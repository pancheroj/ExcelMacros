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d1f659a22996235/Ing. Pancho/Programacion/Macros Excel/PrestamosPersonales/"/>
    </mc:Choice>
  </mc:AlternateContent>
  <xr:revisionPtr revIDLastSave="151" documentId="8_{E45954A7-7CA7-479F-930B-C01B5EBCD6EC}" xr6:coauthVersionLast="47" xr6:coauthVersionMax="47" xr10:uidLastSave="{B042A7CB-8866-472C-BE2C-03A6F6C51F14}"/>
  <bookViews>
    <workbookView xWindow="3765" yWindow="3765" windowWidth="21600" windowHeight="11295" tabRatio="698" firstSheet="1" activeTab="1" xr2:uid="{539AAA88-29E8-414A-B1D3-9782A95F75B5}"/>
  </bookViews>
  <sheets>
    <sheet name="Ejecutar" sheetId="1" r:id="rId1"/>
    <sheet name="Datos Generales" sheetId="2" r:id="rId2"/>
    <sheet name="Socios" sheetId="11" r:id="rId3"/>
    <sheet name="Prestatarios" sheetId="5" r:id="rId4"/>
    <sheet name="Ahorradores" sheetId="4" r:id="rId5"/>
    <sheet name="Inversionistas" sheetId="3" r:id="rId6"/>
    <sheet name="Caja General" sheetId="9" r:id="rId7"/>
    <sheet name="Caja Ahorros" sheetId="6" r:id="rId8"/>
    <sheet name="Caja Inversiones" sheetId="8" r:id="rId9"/>
    <sheet name="Prestamos" sheetId="7" r:id="rId10"/>
    <sheet name="Pagos" sheetId="12" r:id="rId11"/>
    <sheet name="Gastos" sheetId="13" r:id="rId12"/>
  </sheets>
  <functionGroups builtInGroupCount="19"/>
  <definedNames>
    <definedName name="CajaGeneralNow">'Caja General'!$M$1</definedName>
    <definedName name="CAPITAL">'Datos Generales'!$K$2</definedName>
    <definedName name="FechaFinUtilidad">'Datos Generales'!$N$3</definedName>
    <definedName name="InteresPrestamo">'Datos Generales'!$B$12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6" i="2" l="1"/>
  <c r="Y21" i="2"/>
  <c r="X13" i="2" s="1"/>
  <c r="X6" i="2" s="1"/>
  <c r="V3" i="2"/>
  <c r="R29" i="2"/>
  <c r="I2" i="7"/>
  <c r="G2" i="7" s="1"/>
  <c r="H2" i="7"/>
  <c r="I3" i="7"/>
  <c r="G3" i="7" s="1"/>
  <c r="H3" i="7"/>
  <c r="F2" i="5"/>
  <c r="G2" i="5"/>
  <c r="H2" i="5"/>
  <c r="G5" i="11"/>
  <c r="F3" i="5"/>
  <c r="G3" i="5"/>
  <c r="H3" i="5"/>
  <c r="F4" i="5"/>
  <c r="G4" i="5"/>
  <c r="H4" i="5"/>
  <c r="F5" i="5"/>
  <c r="G5" i="5"/>
  <c r="H5" i="5"/>
  <c r="F6" i="5"/>
  <c r="G6" i="5"/>
  <c r="H6" i="5"/>
  <c r="F7" i="5"/>
  <c r="G7" i="5"/>
  <c r="H7" i="5"/>
  <c r="F8" i="5"/>
  <c r="G8" i="5"/>
  <c r="H8" i="5"/>
  <c r="F9" i="5"/>
  <c r="G9" i="5"/>
  <c r="H9" i="5"/>
  <c r="F10" i="5"/>
  <c r="G10" i="5"/>
  <c r="H10" i="5"/>
  <c r="F11" i="5"/>
  <c r="G11" i="5"/>
  <c r="H11" i="5"/>
  <c r="F12" i="5"/>
  <c r="G12" i="5"/>
  <c r="H12" i="5"/>
  <c r="F13" i="5"/>
  <c r="G13" i="5"/>
  <c r="H13" i="5"/>
  <c r="F14" i="5"/>
  <c r="G14" i="5"/>
  <c r="H14" i="5"/>
  <c r="G4" i="11"/>
  <c r="G2" i="11"/>
  <c r="H7" i="9"/>
  <c r="I7" i="9" s="1"/>
  <c r="H6" i="9" s="1"/>
  <c r="I6" i="9" s="1"/>
  <c r="H5" i="9" s="1"/>
  <c r="I5" i="9" s="1"/>
  <c r="H4" i="9" s="1"/>
  <c r="I4" i="9" s="1"/>
  <c r="H3" i="9" s="1"/>
  <c r="I3" i="9" s="1"/>
  <c r="G3" i="11"/>
  <c r="V17" i="2"/>
  <c r="T17" i="2"/>
  <c r="V13" i="2"/>
  <c r="T13" i="2"/>
  <c r="V12" i="2"/>
  <c r="T12" i="2"/>
  <c r="T11" i="2"/>
  <c r="T10" i="2"/>
  <c r="V4" i="2"/>
  <c r="V5" i="2"/>
  <c r="V6" i="2"/>
  <c r="B2" i="2"/>
  <c r="K1" i="9"/>
  <c r="L1" i="9"/>
  <c r="X10" i="2" l="1"/>
  <c r="X12" i="2"/>
  <c r="X5" i="2" s="1"/>
  <c r="X11" i="2"/>
  <c r="X4" i="2" s="1"/>
  <c r="Y13" i="2"/>
  <c r="Y6" i="2"/>
  <c r="Z6" i="2" s="1"/>
  <c r="AA6" i="2" s="1"/>
  <c r="Y5" i="2"/>
  <c r="Z5" i="2" s="1"/>
  <c r="AA5" i="2" s="1"/>
  <c r="Y4" i="2"/>
  <c r="Z4" i="2" s="1"/>
  <c r="AA4" i="2" s="1"/>
  <c r="H2" i="9"/>
  <c r="I2" i="9" s="1"/>
  <c r="I2" i="5"/>
  <c r="I3" i="5"/>
  <c r="I4" i="5"/>
  <c r="I6" i="5"/>
  <c r="I5" i="5"/>
  <c r="I7" i="5"/>
  <c r="I12" i="5"/>
  <c r="I8" i="5"/>
  <c r="I9" i="5"/>
  <c r="I11" i="5"/>
  <c r="I10" i="5"/>
  <c r="I14" i="5"/>
  <c r="I13" i="5"/>
  <c r="V10" i="2"/>
  <c r="Y10" i="2" s="1"/>
  <c r="V11" i="2"/>
  <c r="M1" i="9"/>
  <c r="Y12" i="2" l="1"/>
  <c r="X3" i="2"/>
  <c r="Y3" i="2" s="1"/>
  <c r="Z3" i="2" s="1"/>
  <c r="AA3" i="2" s="1"/>
  <c r="AF3" i="2" s="1"/>
  <c r="X17" i="2"/>
  <c r="Y17" i="2" s="1"/>
  <c r="Z17" i="2" s="1"/>
  <c r="AA17" i="2" s="1"/>
  <c r="Z13" i="2"/>
  <c r="AA13" i="2" s="1"/>
  <c r="AB13" i="2" s="1"/>
  <c r="AB6" i="2"/>
  <c r="AF6" i="2"/>
  <c r="Z12" i="2"/>
  <c r="AA12" i="2" s="1"/>
  <c r="AB12" i="2" s="1"/>
  <c r="AD12" i="2"/>
  <c r="AB4" i="2"/>
  <c r="AF4" i="2"/>
  <c r="AB5" i="2"/>
  <c r="AF5" i="2"/>
  <c r="Z10" i="2"/>
  <c r="AA10" i="2" s="1"/>
  <c r="Y11" i="2"/>
  <c r="AD11" i="2" s="1"/>
  <c r="C3" i="2"/>
  <c r="C4" i="2"/>
  <c r="C5" i="2"/>
  <c r="C6" i="2"/>
  <c r="C8" i="2"/>
  <c r="C2" i="2"/>
  <c r="B7" i="2"/>
  <c r="C7" i="2" s="1"/>
  <c r="AF13" i="2" l="1"/>
  <c r="AB17" i="2"/>
  <c r="AF17" i="2"/>
  <c r="AG11" i="2" s="1"/>
  <c r="AD10" i="2"/>
  <c r="AB3" i="2"/>
  <c r="AC12" i="2"/>
  <c r="AE12" i="2" s="1"/>
  <c r="AG12" i="2"/>
  <c r="AD13" i="2"/>
  <c r="AC13" i="2"/>
  <c r="AF12" i="2"/>
  <c r="AB10" i="2"/>
  <c r="AF10" i="2"/>
  <c r="Z11" i="2"/>
  <c r="AA11" i="2" s="1"/>
  <c r="T4" i="2"/>
  <c r="T5" i="2"/>
  <c r="T6" i="2"/>
  <c r="T3" i="2"/>
  <c r="AG13" i="2" l="1"/>
  <c r="AH13" i="2" s="1"/>
  <c r="AH12" i="2"/>
  <c r="AG10" i="2"/>
  <c r="AH10" i="2"/>
  <c r="AC10" i="2"/>
  <c r="AE10" i="2" s="1"/>
  <c r="AE13" i="2"/>
  <c r="AB11" i="2"/>
  <c r="AC11" i="2" s="1"/>
  <c r="AE11" i="2" s="1"/>
  <c r="AF11" i="2"/>
  <c r="AH11" i="2" s="1"/>
  <c r="AH15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tc={CC470664-D443-4A1C-A468-AF4F59B9035A}</author>
    <author>tc={CD57D814-81B6-4A0F-A400-0A428AEA953F}</author>
  </authors>
  <commentList>
    <comment ref="AC9" authorId="0" shapeId="0" xr:uid="{CC470664-D443-4A1C-A468-AF4F59B9035A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Ganancia - inversiones</t>
      </text>
    </comment>
    <comment ref="AE9" authorId="1" shapeId="0" xr:uid="{CD57D814-81B6-4A0F-A400-0A428AEA953F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Ganancia - inversiones - ahorros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100043227</author>
  </authors>
  <commentList>
    <comment ref="G1" authorId="0" shapeId="0" xr:uid="{A87522C3-4372-4275-84DC-71527D4BF55B}">
      <text>
        <r>
          <rPr>
            <b/>
            <sz val="9"/>
            <color indexed="81"/>
            <rFont val="Tahoma"/>
            <family val="2"/>
          </rPr>
          <t>100043227:</t>
        </r>
        <r>
          <rPr>
            <sz val="9"/>
            <color indexed="81"/>
            <rFont val="Tahoma"/>
            <family val="2"/>
          </rPr>
          <t xml:space="preserve">
=SUMA([@[Monto $]])/CONTAR([@id])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tc={2589A01A-8145-40FD-A28F-71D3C0D878F9}</author>
  </authors>
  <commentList>
    <comment ref="I1" authorId="0" shapeId="0" xr:uid="{2589A01A-8145-40FD-A28F-71D3C0D878F9}">
      <text>
        <t>[Comentario encadenado]
Tu versión de Excel te permite leer este comentario encadenado; sin embargo, las ediciones que se apliquen se quitarán si el archivo se abre en una versión más reciente de Excel. Más información: https://go.microsoft.com/fwlink/?linkid=870924
Comentario:
    Esta tabla cuenta con la columna Estado para que la fecha final sea asignada o siga corriendo según pasa el tiempo hasta que se mande una solicitud de cierre o retiro.</t>
      </text>
    </comment>
  </commentList>
</comments>
</file>

<file path=xl/sharedStrings.xml><?xml version="1.0" encoding="utf-8"?>
<sst xmlns="http://schemas.openxmlformats.org/spreadsheetml/2006/main" count="275" uniqueCount="137">
  <si>
    <t>Prestamos</t>
  </si>
  <si>
    <t>Inversionistas</t>
  </si>
  <si>
    <t>Ahorro</t>
  </si>
  <si>
    <t>id</t>
  </si>
  <si>
    <t>Nombre</t>
  </si>
  <si>
    <t>Empresa</t>
  </si>
  <si>
    <t>RFC</t>
  </si>
  <si>
    <t>CURP</t>
  </si>
  <si>
    <t>Fecha</t>
  </si>
  <si>
    <t>Tipos de usuarios</t>
  </si>
  <si>
    <t>Descripcion</t>
  </si>
  <si>
    <t>Socios</t>
  </si>
  <si>
    <t>Ahorradores</t>
  </si>
  <si>
    <t>Personas o empresdas que aportan al capital inicial</t>
  </si>
  <si>
    <t>Personas que en el transcurso puede aportar capital a una tasa de interes estimada y despues ser retirado el capital con las utilidades</t>
  </si>
  <si>
    <t>Personas que ahorran en un fondo por plazo final de una fecha estimada y que genera un pequeño porcentaje de rendimiento.</t>
  </si>
  <si>
    <t>Personas que piden prestamos por periodos definidos con pagos quincenales retenidos por su pago de nomina.</t>
  </si>
  <si>
    <t>Inversion</t>
  </si>
  <si>
    <t>Unicamente los socios Pueden retirar su utilidad correspondiente pero unicamente al cierre de cajas.</t>
  </si>
  <si>
    <t>Retiros del inversionista con su utilidad correspondiente por el plazo establecido</t>
  </si>
  <si>
    <t>Retiro unicamente en una fecha establecida, incluye su utilidad correspondiente</t>
  </si>
  <si>
    <t>Retiro de capital total o parcial para el cierre de caja, lo que se deje se puede considerar para abrir muevamente el proceso de socio según el capital fondeado.</t>
  </si>
  <si>
    <t>Clientes/Prestatarios</t>
  </si>
  <si>
    <t>Concepto</t>
  </si>
  <si>
    <t>Inversionistas 3</t>
  </si>
  <si>
    <t>Inversionistas 6</t>
  </si>
  <si>
    <t>Inversionistas 9</t>
  </si>
  <si>
    <t>Inversionistas 12</t>
  </si>
  <si>
    <t>Tasa de interes anual</t>
  </si>
  <si>
    <t>Interes Diario</t>
  </si>
  <si>
    <t>Tipos de entradas</t>
  </si>
  <si>
    <t>Tipos de salidas</t>
  </si>
  <si>
    <t>Pago prestamo</t>
  </si>
  <si>
    <t>Pago utilidad</t>
  </si>
  <si>
    <t>Retiro de inversion</t>
  </si>
  <si>
    <t>Retiro de ahorro</t>
  </si>
  <si>
    <t>Retiro de Capital/Socio</t>
  </si>
  <si>
    <t>Capital inicial</t>
  </si>
  <si>
    <t>Entrada $</t>
  </si>
  <si>
    <t>Salida $</t>
  </si>
  <si>
    <t>Monto $</t>
  </si>
  <si>
    <t>Plazo meses</t>
  </si>
  <si>
    <t>Interes %</t>
  </si>
  <si>
    <t>Pagos realizados $</t>
  </si>
  <si>
    <t>Monto+interes/quincena $</t>
  </si>
  <si>
    <t>Deuda $</t>
  </si>
  <si>
    <t>Pago $</t>
  </si>
  <si>
    <t>Capital $</t>
  </si>
  <si>
    <t>Utilidad $</t>
  </si>
  <si>
    <t>Utilidad Generada $</t>
  </si>
  <si>
    <t>Salida de utilidad $</t>
  </si>
  <si>
    <t>La tomara del interes diario al momento de consultar o hacer el cierre</t>
  </si>
  <si>
    <t>Fecha de fin de utilidad</t>
  </si>
  <si>
    <t>Sera la fecha actual hasta que el estado sea cerrado</t>
  </si>
  <si>
    <t>Estado</t>
  </si>
  <si>
    <t>Abierto/Cerrado</t>
  </si>
  <si>
    <t>Monto ahorrado $</t>
  </si>
  <si>
    <t>Interes generados $</t>
  </si>
  <si>
    <t>Monto invertido $</t>
  </si>
  <si>
    <t>Prestamos $</t>
  </si>
  <si>
    <t>Pagado $</t>
  </si>
  <si>
    <t>En deuda $</t>
  </si>
  <si>
    <t>N de prestamos</t>
  </si>
  <si>
    <t>Fecha cierre</t>
  </si>
  <si>
    <t>Caja General %</t>
  </si>
  <si>
    <t>Pago a capital de un prestamo</t>
  </si>
  <si>
    <t>Pago de utilidad/intereses de un prestamo</t>
  </si>
  <si>
    <t>Una nueva inversion</t>
  </si>
  <si>
    <t>Un nuevo ahorro</t>
  </si>
  <si>
    <t>Inversionistas indefinido</t>
  </si>
  <si>
    <t>Fecha de apertura de caja</t>
  </si>
  <si>
    <t>id_concepto</t>
  </si>
  <si>
    <t>Empresas</t>
  </si>
  <si>
    <t>El restaurante</t>
  </si>
  <si>
    <t>Oaxacalifornia</t>
  </si>
  <si>
    <t>Portozuelo</t>
  </si>
  <si>
    <t>Tropicos</t>
  </si>
  <si>
    <t>La pasion</t>
  </si>
  <si>
    <t>Las barbacoas</t>
  </si>
  <si>
    <t>NAE</t>
  </si>
  <si>
    <t>Plazos</t>
  </si>
  <si>
    <t>Quincenas</t>
  </si>
  <si>
    <t>Fechas</t>
  </si>
  <si>
    <t>Porcentaje %</t>
  </si>
  <si>
    <t>Prestamo</t>
  </si>
  <si>
    <t>id_P</t>
  </si>
  <si>
    <t>Saldo anterior</t>
  </si>
  <si>
    <t>Saldo actual</t>
  </si>
  <si>
    <t>Monto sugerido</t>
  </si>
  <si>
    <t>Porcentaje cobrado</t>
  </si>
  <si>
    <t>Interes por inversion anual</t>
  </si>
  <si>
    <t>Interes/plazo</t>
  </si>
  <si>
    <t>Ahorros</t>
  </si>
  <si>
    <t>Lic. Norma</t>
  </si>
  <si>
    <t>RUINOR</t>
  </si>
  <si>
    <t>Francisco Velasco</t>
  </si>
  <si>
    <t>VECF</t>
  </si>
  <si>
    <t>N/A</t>
  </si>
  <si>
    <t>Res1</t>
  </si>
  <si>
    <t>RES</t>
  </si>
  <si>
    <t>Res2</t>
  </si>
  <si>
    <t>Res3</t>
  </si>
  <si>
    <t>Res4</t>
  </si>
  <si>
    <t>Res5</t>
  </si>
  <si>
    <t>Res6</t>
  </si>
  <si>
    <t>Res7</t>
  </si>
  <si>
    <t>Res 11</t>
  </si>
  <si>
    <t>Res8</t>
  </si>
  <si>
    <t>Res9</t>
  </si>
  <si>
    <t>Res10</t>
  </si>
  <si>
    <t>Res 12</t>
  </si>
  <si>
    <t>Res13</t>
  </si>
  <si>
    <t>Nombre entrega</t>
  </si>
  <si>
    <t>Retiro de utilidad</t>
  </si>
  <si>
    <t>El capital que ingresan los socios al iniciar.</t>
  </si>
  <si>
    <t>deuda</t>
  </si>
  <si>
    <t>pago</t>
  </si>
  <si>
    <t>Banorte</t>
  </si>
  <si>
    <t>Pendiente</t>
  </si>
  <si>
    <t>DINN</t>
  </si>
  <si>
    <t>Rappi</t>
  </si>
  <si>
    <t>Solicitado</t>
  </si>
  <si>
    <t>Pago a fin</t>
  </si>
  <si>
    <t>Ganancia por mes</t>
  </si>
  <si>
    <t>Ganancia - pago de inversiones</t>
  </si>
  <si>
    <t>Cocina al carbon</t>
  </si>
  <si>
    <t>% de ganancia por mes</t>
  </si>
  <si>
    <t>Diferencia</t>
  </si>
  <si>
    <t>Diferencia 2</t>
  </si>
  <si>
    <t>% de Inversion Max</t>
  </si>
  <si>
    <t>% de ahorro Max</t>
  </si>
  <si>
    <t>Ganancia a fin de año</t>
  </si>
  <si>
    <t>Pagos</t>
  </si>
  <si>
    <t>Ganancia total anual</t>
  </si>
  <si>
    <t>Total:</t>
  </si>
  <si>
    <t>Saldo inicial</t>
  </si>
  <si>
    <t>%: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</si>
</sst>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;[Red]\-&quot;$&quot;#,##0.00"/>
    <numFmt numFmtId="44" formatCode="_-&quot;$&quot;* #,##0.00_-;\-&quot;$&quot;* #,##0.00_-;_-&quot;$&quot;* &quot;-&quot;??_-;_-@_-"/>
    <numFmt numFmtId="164" formatCode="0.000000000%"/>
    <numFmt numFmtId="165" formatCode="&quot;$&quot;#,##0.00"/>
    <numFmt numFmtId="166" formatCode="0.0%"/>
    <numFmt numFmtId="167" formatCode="0.0000000000000000"/>
    <numFmt numFmtId="168" formatCode="0.000%"/>
    <numFmt numFmtId="172" formatCode="_-&quot;$&quot;* #,##0.000000_-;\-&quot;$&quot;* #,##0.000000_-;_-&quot;$&quot;* &quot;-&quot;??_-;_-@_-"/>
    <numFmt numFmtId="177" formatCode="_-&quot;$&quot;* #,##0.00_-;\-&quot;$&quot;* #,##0.00_-;_-&quot;$&quot;* &quot;-&quot;??????_-;_-@_-"/>
  </numFmts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72"/>
      <color rgb="FF000000"/>
      <name val="Calibri"/>
      <family val="2"/>
    </font>
    <font>
      <sz val="11"/>
      <color rgb="FF9C0006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FFC7CE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3" fillId="2" borderId="0" applyNumberFormat="0" applyBorder="0" applyAlignment="0" applyProtection="0"/>
    <xf numFmtId="44" fontId="1" fillId="0" borderId="0" applyFont="0" applyFill="0" applyBorder="0" applyAlignment="0" applyProtection="0"/>
    <xf numFmtId="0" fontId="6" fillId="3" borderId="1" applyNumberFormat="0" applyAlignment="0" applyProtection="0"/>
    <xf numFmtId="0" fontId="7" fillId="4" borderId="2" applyNumberFormat="0" applyAlignment="0" applyProtection="0"/>
    <xf numFmtId="0" fontId="8" fillId="4" borderId="1" applyNumberFormat="0" applyAlignment="0" applyProtection="0"/>
    <xf numFmtId="0" fontId="9" fillId="5" borderId="0" applyNumberFormat="0" applyBorder="0" applyAlignment="0" applyProtection="0"/>
  </cellStyleXfs>
  <cellXfs count="37">
    <xf numFmtId="0" fontId="0" fillId="0" borderId="0" xfId="0"/>
    <xf numFmtId="9" fontId="0" fillId="0" borderId="0" xfId="1" applyFont="1"/>
    <xf numFmtId="0" fontId="3" fillId="2" borderId="0" xfId="2"/>
    <xf numFmtId="164" fontId="3" fillId="2" borderId="0" xfId="2" applyNumberFormat="1"/>
    <xf numFmtId="14" fontId="0" fillId="0" borderId="0" xfId="0" applyNumberFormat="1"/>
    <xf numFmtId="9" fontId="3" fillId="2" borderId="0" xfId="1" applyFont="1" applyFill="1"/>
    <xf numFmtId="14" fontId="3" fillId="2" borderId="0" xfId="2" applyNumberFormat="1"/>
    <xf numFmtId="44" fontId="3" fillId="2" borderId="0" xfId="3" applyFont="1" applyFill="1"/>
    <xf numFmtId="44" fontId="0" fillId="0" borderId="0" xfId="0" applyNumberFormat="1"/>
    <xf numFmtId="0" fontId="0" fillId="0" borderId="0" xfId="0" quotePrefix="1"/>
    <xf numFmtId="8" fontId="3" fillId="2" borderId="0" xfId="3" applyNumberFormat="1" applyFont="1" applyFill="1"/>
    <xf numFmtId="165" fontId="0" fillId="0" borderId="0" xfId="3" applyNumberFormat="1" applyFont="1"/>
    <xf numFmtId="8" fontId="7" fillId="4" borderId="2" xfId="5" applyNumberFormat="1"/>
    <xf numFmtId="8" fontId="6" fillId="3" borderId="1" xfId="4" applyNumberFormat="1"/>
    <xf numFmtId="8" fontId="8" fillId="4" borderId="1" xfId="6" applyNumberFormat="1"/>
    <xf numFmtId="8" fontId="0" fillId="0" borderId="0" xfId="0" applyNumberFormat="1"/>
    <xf numFmtId="44" fontId="3" fillId="6" borderId="0" xfId="3" applyFont="1" applyFill="1"/>
    <xf numFmtId="10" fontId="3" fillId="2" borderId="0" xfId="1" applyNumberFormat="1" applyFont="1" applyFill="1"/>
    <xf numFmtId="0" fontId="3" fillId="2" borderId="3" xfId="2" applyBorder="1"/>
    <xf numFmtId="9" fontId="3" fillId="2" borderId="0" xfId="2" applyNumberFormat="1"/>
    <xf numFmtId="9" fontId="9" fillId="5" borderId="4" xfId="7" applyNumberFormat="1" applyBorder="1"/>
    <xf numFmtId="10" fontId="0" fillId="0" borderId="0" xfId="1" applyNumberFormat="1" applyFont="1"/>
    <xf numFmtId="44" fontId="3" fillId="2" borderId="0" xfId="1" applyNumberFormat="1" applyFont="1" applyFill="1"/>
    <xf numFmtId="8" fontId="0" fillId="0" borderId="0" xfId="3" applyNumberFormat="1" applyFont="1"/>
    <xf numFmtId="44" fontId="0" fillId="0" borderId="0" xfId="3" applyFont="1"/>
    <xf numFmtId="166" fontId="0" fillId="0" borderId="0" xfId="1" applyNumberFormat="1" applyFont="1"/>
    <xf numFmtId="0" fontId="0" fillId="7" borderId="0" xfId="0" applyFill="1"/>
    <xf numFmtId="167" fontId="0" fillId="0" borderId="0" xfId="0" applyNumberFormat="1"/>
    <xf numFmtId="168" fontId="0" fillId="0" borderId="0" xfId="1" applyNumberFormat="1" applyFont="1"/>
    <xf numFmtId="172" fontId="0" fillId="0" borderId="0" xfId="3" applyNumberFormat="1" applyFont="1"/>
    <xf numFmtId="172" fontId="0" fillId="0" borderId="0" xfId="0" applyNumberFormat="1"/>
    <xf numFmtId="168" fontId="0" fillId="0" borderId="0" xfId="0" applyNumberFormat="1"/>
    <xf numFmtId="44" fontId="0" fillId="0" borderId="0" xfId="3" applyNumberFormat="1" applyFont="1"/>
    <xf numFmtId="177" fontId="0" fillId="0" borderId="0" xfId="0" applyNumberFormat="1"/>
    <xf numFmtId="44" fontId="10" fillId="0" borderId="0" xfId="0" applyNumberFormat="1" applyFont="1"/>
    <xf numFmtId="10" fontId="10" fillId="0" borderId="0" xfId="1" applyNumberFormat="1" applyFont="1"/>
    <xf numFmtId="44" fontId="10" fillId="0" borderId="0" xfId="3" applyFont="1"/>
  </cellXfs>
  <cellStyles count="8">
    <cellStyle name="Bueno" xfId="7" builtinId="26"/>
    <cellStyle name="Cálculo" xfId="6" builtinId="22"/>
    <cellStyle name="Entrada" xfId="4" builtinId="20"/>
    <cellStyle name="Incorrecto" xfId="2" builtinId="27"/>
    <cellStyle name="Moneda" xfId="3" builtinId="4"/>
    <cellStyle name="Normal" xfId="0" builtinId="0"/>
    <cellStyle name="Porcentaje" xfId="1" builtinId="5"/>
    <cellStyle name="Salida" xfId="5" builtinId="21"/>
  </cellStyles>
  <dxfs count="14">
    <dxf>
      <numFmt numFmtId="14" formatCode="0.00%"/>
    </dxf>
    <dxf>
      <numFmt numFmtId="14" formatCode="0.00%"/>
    </dxf>
    <dxf>
      <font>
        <color rgb="FF9C0006"/>
      </font>
      <fill>
        <patternFill>
          <bgColor rgb="FFFFC7CE"/>
        </patternFill>
      </fill>
    </dxf>
    <dxf>
      <numFmt numFmtId="165" formatCode="&quot;$&quot;#,##0.00"/>
    </dxf>
    <dxf>
      <numFmt numFmtId="14" formatCode="0.00%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C0006"/>
        <name val="Calibri"/>
        <family val="2"/>
        <scheme val="minor"/>
      </font>
      <fill>
        <patternFill patternType="solid">
          <fgColor indexed="64"/>
          <bgColor rgb="FFFFC7CE"/>
        </patternFill>
      </fill>
    </dxf>
    <dxf>
      <numFmt numFmtId="19" formatCode="dd/mm/yyyy"/>
    </dxf>
    <dxf>
      <numFmt numFmtId="14" formatCode="0.00%"/>
    </dxf>
    <dxf>
      <numFmt numFmtId="166" formatCode="0.0%"/>
    </dxf>
    <dxf>
      <fill>
        <patternFill patternType="solid">
          <fgColor indexed="64"/>
          <bgColor rgb="FFFFFF00"/>
        </patternFill>
      </fill>
    </dxf>
    <dxf>
      <numFmt numFmtId="164" formatCode="0.0000000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438150</xdr:colOff>
          <xdr:row>8</xdr:row>
          <xdr:rowOff>19050</xdr:rowOff>
        </xdr:from>
        <xdr:to>
          <xdr:col>8</xdr:col>
          <xdr:colOff>381000</xdr:colOff>
          <xdr:row>23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28016" tIns="128016" rIns="128016" bIns="128016" anchor="ctr" upright="1"/>
            <a:lstStyle/>
            <a:p>
              <a:pPr algn="ctr" rtl="0">
                <a:defRPr sz="1000"/>
              </a:pPr>
              <a:r>
                <a:rPr lang="es-MX" sz="7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Iniciar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ancisco Javier Velasco Cruz" id="{9202CAF5-C811-499F-9724-B35135446916}" userId="fd1f659a22996235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3F4ED9-4312-4A0B-BA68-CBAF8BF2C033}" name="TabTazas" displayName="TabTazas" ref="A1:C8" totalsRowShown="0">
  <autoFilter ref="A1:C8" xr:uid="{F93F4ED9-4312-4A0B-BA68-CBAF8BF2C033}"/>
  <tableColumns count="3">
    <tableColumn id="1" xr3:uid="{D5CC886B-887F-4697-9676-46A629BCCC6E}" name="Concepto" dataDxfId="13" dataCellStyle="Porcentaje"/>
    <tableColumn id="2" xr3:uid="{98D0A185-D99D-449C-A0B1-A1319F25B55A}" name="Tasa de interes anual" dataDxfId="12" dataCellStyle="Porcentaje"/>
    <tableColumn id="3" xr3:uid="{67051C36-3018-4AE3-854B-49626419BEDD}" name="Interes Diario" dataDxfId="11" dataCellStyle="Incorrecto">
      <calculatedColumnFormula>TabTazas[[#This Row],[Tasa de interes anual]]/365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F137D8C-6768-4E96-840C-6E7063424142}" name="Tabla3" displayName="Tabla3" ref="H1:I5" totalsRowShown="0">
  <autoFilter ref="H1:I5" xr:uid="{1F137D8C-6768-4E96-840C-6E7063424142}"/>
  <tableColumns count="2">
    <tableColumn id="1" xr3:uid="{849F6B1F-9A0F-4A27-949A-9EE629E9E665}" name="Tipos de salidas"/>
    <tableColumn id="2" xr3:uid="{457C40DE-4308-4B91-8E6F-BF107E85825F}" name="Descripcion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15F852-2781-4563-A2DE-A53F2AA8664D}" name="Tabla4" displayName="Tabla4" ref="K1:L6" totalsRowShown="0">
  <autoFilter ref="K1:L6" xr:uid="{2D15F852-2781-4563-A2DE-A53F2AA8664D}"/>
  <tableColumns count="2">
    <tableColumn id="1" xr3:uid="{79E29A15-43D4-4DC4-B2AA-B505BF175821}" name="Tipos de entradas"/>
    <tableColumn id="2" xr3:uid="{7D17AEBC-06E5-4B66-9550-F6C822245254}" name="Descripcion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72654401-4C7C-46EF-8743-B1D4C6A087D5}" name="TabPlazos" displayName="TabPlazos" ref="S2:V6" totalsRowShown="0">
  <autoFilter ref="S2:V6" xr:uid="{72654401-4C7C-46EF-8743-B1D4C6A087D5}"/>
  <tableColumns count="4">
    <tableColumn id="1" xr3:uid="{6C4BD1B9-6B4E-445E-AC87-F1C75C9A1072}" name="Plazos"/>
    <tableColumn id="2" xr3:uid="{041BB7FC-4ED9-41B1-9C81-75B210389861}" name="Quincenas">
      <calculatedColumnFormula>TabPlazos[[#This Row],[Plazos]]*2</calculatedColumnFormula>
    </tableColumn>
    <tableColumn id="3" xr3:uid="{392182AD-956E-48B0-871B-382C366F2761}" name="Interes por inversion anual" dataCellStyle="Porcentaje"/>
    <tableColumn id="4" xr3:uid="{A2EF2707-8D99-45C7-9FC9-59E65F59D372}" name="Interes/plazo" dataDxfId="1" dataCellStyle="Porcentaje">
      <calculatedColumnFormula>TabPlazos[[#This Row],[Interes por inversion anual]]/12*TabPlazos[[#This Row],[Plazos]]</calculatedColumnFormula>
    </tableColumn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E5ECDA2-B7D8-49B7-9D4A-ABD064DB8D34}" name="TabEmpresas" displayName="TabEmpresas" ref="Q1:Q9" totalsRowShown="0" headerRowDxfId="10">
  <autoFilter ref="Q1:Q9" xr:uid="{1E5ECDA2-B7D8-49B7-9D4A-ABD064DB8D34}"/>
  <tableColumns count="1">
    <tableColumn id="1" xr3:uid="{D3DD49B3-677D-4250-83CE-CC27C5A0E410}" name="Empresas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F91EDF9-51A6-41BD-AD71-F93F06A7EE55}" name="Tabla217" displayName="Tabla217" ref="E1:F5" totalsRowShown="0">
  <autoFilter ref="E1:F5" xr:uid="{1F91EDF9-51A6-41BD-AD71-F93F06A7EE55}"/>
  <tableColumns count="2">
    <tableColumn id="1" xr3:uid="{D6D8593F-1B45-4515-9495-05EEA2974EF9}" name="Tipos de usuarios"/>
    <tableColumn id="2" xr3:uid="{68F12D10-CBFD-4F58-80D7-D814BD16B734}" name="Descripcion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90120CF-001B-4148-94E2-4F638257FEA5}" name="TabPlazos3" displayName="TabPlazos3" ref="S9:V13" totalsRowShown="0">
  <autoFilter ref="S9:V13" xr:uid="{890120CF-001B-4148-94E2-4F638257FEA5}"/>
  <tableColumns count="4">
    <tableColumn id="1" xr3:uid="{491A0B73-F97C-403C-B579-8D852AA14931}" name="Plazos"/>
    <tableColumn id="2" xr3:uid="{CA93B0A8-F29F-4DD0-9941-FC7900EFECA8}" name="Quincenas">
      <calculatedColumnFormula>TabPlazos3[[#This Row],[Plazos]]*2</calculatedColumnFormula>
    </tableColumn>
    <tableColumn id="3" xr3:uid="{222F56DC-C3FB-4F7D-9B6D-90B62E5BF0CE}" name="Interes por inversion anual" dataDxfId="9" dataCellStyle="Porcentaje"/>
    <tableColumn id="4" xr3:uid="{837CFF5E-A4E8-4F77-9258-557420276EC8}" name="Interes/plazo" dataDxfId="8" dataCellStyle="Porcentaje">
      <calculatedColumnFormula>TabPlazos3[[#This Row],[Interes por inversion anual]]/12*TabPlazos3[[#This Row],[Plazos]]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2243E54-A47E-4F85-8D99-17B7D128D9D9}" name="TabPlazos18" displayName="TabPlazos18" ref="S16:V17" totalsRowShown="0">
  <autoFilter ref="S16:V17" xr:uid="{62243E54-A47E-4F85-8D99-17B7D128D9D9}"/>
  <tableColumns count="4">
    <tableColumn id="1" xr3:uid="{66E9B446-D67A-4B3B-A76C-9AAE45AB48E7}" name="Plazos"/>
    <tableColumn id="2" xr3:uid="{D9FD5C53-F399-4133-B016-5A3653A4D015}" name="Quincenas">
      <calculatedColumnFormula>TabPlazos18[[#This Row],[Plazos]]*2</calculatedColumnFormula>
    </tableColumn>
    <tableColumn id="3" xr3:uid="{0ED6A847-2732-4C3C-84CA-DD587920196A}" name="Interes por inversion anual" dataCellStyle="Porcentaje"/>
    <tableColumn id="4" xr3:uid="{241FC0C5-0B01-487A-8F01-B5083472BBBC}" name="Interes/plazo" dataDxfId="0" dataCellStyle="Porcentaje">
      <calculatedColumnFormula>TabPlazos18[[#This Row],[Interes por inversion anual]]/12*TabPlazos18[[#This Row],[Plazos]]</calculatedColumnFormula>
    </tableColumn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CBEB324-B746-4002-873D-F20F9A2CB6C0}" name="TabSocios" displayName="TabSocios" ref="A1:G5" totalsRowShown="0">
  <autoFilter ref="A1:G5" xr:uid="{8CBEB324-B746-4002-873D-F20F9A2CB6C0}"/>
  <tableColumns count="7">
    <tableColumn id="1" xr3:uid="{D1E13638-4C82-4B5A-9B1A-AF99B6B9F88E}" name="id"/>
    <tableColumn id="2" xr3:uid="{2C796A39-F228-4D6D-92D4-272F5F1DB122}" name="Nombre"/>
    <tableColumn id="3" xr3:uid="{E9F00A84-6483-41BC-8D6E-05CFAD48D2FB}" name="Empresa"/>
    <tableColumn id="4" xr3:uid="{9A1B026B-0F56-4D3A-A1BD-3C8A11D134C6}" name="RFC"/>
    <tableColumn id="5" xr3:uid="{E9BD367F-4012-4DAF-8174-98F4EE9A71DC}" name="CURP"/>
    <tableColumn id="6" xr3:uid="{BFE3AC88-0007-4A4A-BA47-5C4E7B91C303}" name="Monto $" dataCellStyle="Moneda"/>
    <tableColumn id="7" xr3:uid="{7A078CBA-8C64-4C36-8E2A-27032D0D6256}" name="Porcentaje %" dataCellStyle="Porcentaje">
      <calculatedColumnFormula>TabSocios[[#This Row],[Monto $]]/SUM(TabSocios[Monto $])</calculatedColumnFormula>
    </tableColumn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64F9F21-5746-44BC-A971-71066F3F3212}" name="TabPrestatarios" displayName="TabPrestatarios" ref="A1:I14" totalsRowShown="0">
  <autoFilter ref="A1:I14" xr:uid="{564F9F21-5746-44BC-A971-71066F3F3212}"/>
  <tableColumns count="9">
    <tableColumn id="1" xr3:uid="{0CCA3564-8692-4927-952C-338620687C45}" name="id"/>
    <tableColumn id="2" xr3:uid="{9ECC518B-850D-449E-BB76-5D31BCB6767E}" name="Nombre"/>
    <tableColumn id="3" xr3:uid="{9025AAB9-D7F2-4A6D-92BA-C39648CD1A84}" name="Empresa"/>
    <tableColumn id="4" xr3:uid="{EC1D52FE-38F2-4446-959E-71265229BF50}" name="RFC"/>
    <tableColumn id="5" xr3:uid="{6D79F319-4A96-433E-AE3F-841805A2C529}" name="CURP"/>
    <tableColumn id="6" xr3:uid="{3633AE46-7702-49B5-8DE2-333ED4C2680C}" name="N de prestamos">
      <calculatedColumnFormula>COUNTIF(TabPrestamos[Nombre],TabPrestatarios[[#This Row],[Nombre]])</calculatedColumnFormula>
    </tableColumn>
    <tableColumn id="7" xr3:uid="{106F4DC5-7766-4A8B-A581-6A924FE6D303}" name="Prestamos $" dataCellStyle="Moneda">
      <calculatedColumnFormula>IFERROR(SUMIF(TabPrestamos[Nombre],TabPrestatarios[[#This Row],[Nombre]],TabPrestamos[Monto $]),0)</calculatedColumnFormula>
    </tableColumn>
    <tableColumn id="8" xr3:uid="{13494952-57B8-418B-B5DE-C01E34102573}" name="Pagado $" dataCellStyle="Moneda">
      <calculatedColumnFormula>IFERROR(SUMIF(TabPagos[Nombre],TabPrestatarios[[#This Row],[Nombre]],TabPagos[Pago $]),0)</calculatedColumnFormula>
    </tableColumn>
    <tableColumn id="9" xr3:uid="{7BB6E38B-3F6C-4C69-80AD-3270EE2D514E}" name="En deuda $">
      <calculatedColumnFormula>TabPrestatarios[[#This Row],[Prestamos $]]-TabPrestatarios[[#This Row],[Pagado $]]</calculatedColumnFormula>
    </tableColumn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8538A81-1151-4E46-B2F4-ACB656FC2A90}" name="TabAhorradores" displayName="TabAhorradores" ref="A1:H4" totalsRowShown="0">
  <autoFilter ref="A1:H4" xr:uid="{68538A81-1151-4E46-B2F4-ACB656FC2A90}"/>
  <tableColumns count="8">
    <tableColumn id="1" xr3:uid="{32505962-A8F8-42D3-BCB8-BAB1B31893D1}" name="id"/>
    <tableColumn id="2" xr3:uid="{CF0ECBFA-176F-46C4-99B8-D122D26C03C5}" name="Nombre"/>
    <tableColumn id="3" xr3:uid="{9307B1FA-62C6-4765-8CB7-6CDDC1284A68}" name="Empresa"/>
    <tableColumn id="4" xr3:uid="{F1294739-DA63-469A-B785-3997B1BFB2E0}" name="RFC"/>
    <tableColumn id="5" xr3:uid="{5FA5B0A4-E871-4335-A24E-5B4395F82B92}" name="CURP"/>
    <tableColumn id="6" xr3:uid="{530974D7-E3D6-42AB-B39B-6D60042BA21D}" name="Monto ahorrado $"/>
    <tableColumn id="7" xr3:uid="{0C389EA2-F1CB-49FE-8A89-004860D8FB69}" name="Interes generados $"/>
    <tableColumn id="8" xr3:uid="{C77BC011-6C80-4E03-9151-0631BCC519C0}" name="Monto sugerido" dataCellStyle="Moneda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1BEC4CFB-996B-486C-9C54-E5F2153C2B1B}" name="TabInversionistas" displayName="TabInversionistas" ref="A1:G3" totalsRowShown="0">
  <autoFilter ref="A1:G3" xr:uid="{1BEC4CFB-996B-486C-9C54-E5F2153C2B1B}"/>
  <tableColumns count="7">
    <tableColumn id="1" xr3:uid="{494CAEAE-780D-4D58-9662-7E1C358F058A}" name="id"/>
    <tableColumn id="2" xr3:uid="{A976E88E-E6CB-435B-9E2C-F6E20271BFDF}" name="Nombre"/>
    <tableColumn id="3" xr3:uid="{975B1A5B-61DB-4126-8489-0B175A9AC6E1}" name="Empresa"/>
    <tableColumn id="4" xr3:uid="{AE0596DC-FFE3-421A-8AE2-C55858EA9E1E}" name="RFC"/>
    <tableColumn id="5" xr3:uid="{0130BF23-C757-497E-9510-A3F55D4980F7}" name="CURP"/>
    <tableColumn id="6" xr3:uid="{3C6689E6-97A0-425B-92BE-39502059477B}" name="Monto invertido $"/>
    <tableColumn id="7" xr3:uid="{FC3AC28E-A65B-4CF7-8EDD-01982CA9F58F}" name="Interes generados $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50C5831-AF64-4BE3-A411-24BB7F12C690}" name="TabCajaGeneral" displayName="TabCajaGeneral" ref="A1:I7" totalsRowShown="0">
  <autoFilter ref="A1:I7" xr:uid="{150C5831-AF64-4BE3-A411-24BB7F12C690}"/>
  <tableColumns count="9">
    <tableColumn id="1" xr3:uid="{4F171DD2-9642-4668-8924-F67690945CF3}" name="id"/>
    <tableColumn id="7" xr3:uid="{D043FB72-4388-43A9-AAEC-7A8A2869F52B}" name="id_concepto"/>
    <tableColumn id="2" xr3:uid="{DBB9F9DC-7754-4A6C-ABF0-856B6EC764ED}" name="Nombre"/>
    <tableColumn id="3" xr3:uid="{34944ECA-FB0B-4472-9D64-B7C5ABC2CBB6}" name="Fecha" dataDxfId="7"/>
    <tableColumn id="4" xr3:uid="{89570226-5E45-4BB7-AD5B-34AEC3104393}" name="Concepto"/>
    <tableColumn id="5" xr3:uid="{E2BFAE5F-46FC-4ED1-9D35-FAA0FE2F2EC8}" name="Entrada $" dataCellStyle="Moneda"/>
    <tableColumn id="6" xr3:uid="{3DD7E8FE-82F8-482F-B5A1-7E74A8A3AF5B}" name="Salida $" dataCellStyle="Moneda"/>
    <tableColumn id="8" xr3:uid="{72CDFC60-18B0-40C7-9DBA-D5F70B2E0F42}" name="Saldo anterior" dataDxfId="6" dataCellStyle="Moneda">
      <calculatedColumnFormula>IFERROR(VLOOKUP(TabCajaGeneral[[#This Row],[id]]-1,TabCajaGeneral[],9,FALSE),0)</calculatedColumnFormula>
    </tableColumn>
    <tableColumn id="9" xr3:uid="{60AC5B7A-4A12-4521-AE11-D49B4AACAFE4}" name="Saldo actual" dataCellStyle="Moneda">
      <calculatedColumnFormula>TabCajaGeneral[[#This Row],[Saldo anterior]]+TabCajaGeneral[[#This Row],[Entrada $]]-TabCajaGeneral[[#This Row],[Salida $]]</calculatedColumnFormula>
    </tableColumn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1C63A04-6E13-4315-B93D-918C86C68255}" name="TabCajaAhorros" displayName="TabCajaAhorros" ref="A1:I2" totalsRowShown="0">
  <autoFilter ref="A1:I2" xr:uid="{71C63A04-6E13-4315-B93D-918C86C68255}"/>
  <tableColumns count="9">
    <tableColumn id="1" xr3:uid="{FF74EE8B-F751-4D5C-A4C6-AB57F7248C4A}" name="id"/>
    <tableColumn id="2" xr3:uid="{5020878E-462E-432B-A541-5B8C2CB2FF0A}" name="Nombre"/>
    <tableColumn id="3" xr3:uid="{0AFE26FF-0E4B-4C39-89A6-4E07236FFABC}" name="Fecha"/>
    <tableColumn id="4" xr3:uid="{10456D48-09BB-48D4-B93E-5F283DFAFEBC}" name="Entrada $"/>
    <tableColumn id="5" xr3:uid="{85EC9343-104D-4D04-A4B2-F9E9AD864FBA}" name="Salida $"/>
    <tableColumn id="6" xr3:uid="{4FA7B77B-5700-4CD8-8D70-0F744D897AD3}" name="Utilidad Generada $"/>
    <tableColumn id="7" xr3:uid="{AC3AD34E-2BF9-47F3-A1AA-4F7DC968DB50}" name="Salida de utilidad $"/>
    <tableColumn id="8" xr3:uid="{A66E0778-61D0-4FB1-927C-746A3127B8E9}" name="Fecha de fin de utilidad"/>
    <tableColumn id="9" xr3:uid="{8AD833B1-A97F-4DBC-9BD4-E5516D89023F}" name="Estado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A8B9F69-D80A-4D5F-BEDD-F1898AD2D94D}" name="TabCajaInversiones" displayName="TabCajaInversiones" ref="A1:J2" insertRow="1" totalsRowShown="0">
  <autoFilter ref="A1:J2" xr:uid="{FA8B9F69-D80A-4D5F-BEDD-F1898AD2D94D}"/>
  <tableColumns count="10">
    <tableColumn id="1" xr3:uid="{D8511855-8FF8-42E7-A863-FFA6319C76E8}" name="id"/>
    <tableColumn id="2" xr3:uid="{E94D9608-C050-4263-B4E3-D1B2A54DF2DC}" name="Nombre"/>
    <tableColumn id="3" xr3:uid="{02BBBDC2-57F9-4E5F-8B1D-986461516B5A}" name="Fecha"/>
    <tableColumn id="4" xr3:uid="{2A666048-6415-4208-9AE5-24E5609487C8}" name="Plazo meses"/>
    <tableColumn id="5" xr3:uid="{FADD0ADB-F2C1-439C-B6FF-1B916E572440}" name="Fecha cierre" dataDxfId="5">
      <calculatedColumnFormula>EDATE(TabCajaInversiones[[#This Row],[Fecha]],TabCajaInversiones[[#This Row],[Plazo meses]])</calculatedColumnFormula>
    </tableColumn>
    <tableColumn id="6" xr3:uid="{40EFD624-C4BF-446D-BC1B-CEEDCF31728D}" name="Entrada $"/>
    <tableColumn id="7" xr3:uid="{01BF6781-A338-4AB9-97C4-CE08378E7476}" name="Caja General %" dataDxfId="4" dataCellStyle="Porcentaje"/>
    <tableColumn id="8" xr3:uid="{C6137157-EC93-4A07-8699-264E93BD5BC6}" name="Utilidad $" dataCellStyle="Moneda">
      <calculatedColumnFormula>(SUMIFS(TabPagos[Utilidad $],TabPagos[Fecha],"&gt;"&amp;TabCajaInversiones[[#This Row],[Fecha]],TabPagos[Fecha],"&lt;"&amp;TabCajaInversiones[[#This Row],[Fecha cierre]]))*TabCajaInversiones[[#This Row],[Caja General %]]</calculatedColumnFormula>
    </tableColumn>
    <tableColumn id="9" xr3:uid="{1072C0BD-E807-4B8E-AB1F-EACE5D1930FA}" name="Salida $"/>
    <tableColumn id="10" xr3:uid="{5E1FE23F-3F5B-466C-BBFC-0081E4DE0F73}" name="Salida de utilidad $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BE91D7F-FC0D-4FAD-B55A-6E522487D0F1}" name="TabPrestamos" displayName="TabPrestamos" ref="A1:I3" totalsRowShown="0">
  <autoFilter ref="A1:I3" xr:uid="{5BE91D7F-FC0D-4FAD-B55A-6E522487D0F1}"/>
  <tableColumns count="9">
    <tableColumn id="1" xr3:uid="{C87C3A59-2A0F-42D2-90B1-D0077A97C3E9}" name="id"/>
    <tableColumn id="2" xr3:uid="{36E5417F-A506-40F9-8417-DC70CCE90C6B}" name="Nombre"/>
    <tableColumn id="3" xr3:uid="{3EEC3919-9BD6-48BE-AF13-F260B12103CE}" name="Fecha"/>
    <tableColumn id="4" xr3:uid="{4AC5FA7B-6B60-4A59-A5A4-94B7A2F71C28}" name="Monto $" dataCellStyle="Moneda"/>
    <tableColumn id="5" xr3:uid="{C7355246-C606-4AB2-B0D4-218D53A3ACAD}" name="Plazo meses"/>
    <tableColumn id="6" xr3:uid="{5232D760-C2AC-41D6-9BD5-747409CBAED2}" name="Interes %" dataCellStyle="Porcentaje"/>
    <tableColumn id="7" xr3:uid="{F92A2176-1D5B-4003-8113-7D6A46A2D94F}" name="Monto+interes/quincena $" dataCellStyle="Moneda">
      <calculatedColumnFormula>TabPrestamos[[#This Row],[Deuda $]]/(TabPrestamos[[#This Row],[Plazo meses]]*2)</calculatedColumnFormula>
    </tableColumn>
    <tableColumn id="8" xr3:uid="{57FE50FE-A45C-49F7-924E-49C28F1286AA}" name="Pagos realizados $" dataCellStyle="Moneda">
      <calculatedColumnFormula>SUMIFS(TabPagos[Pago $],TabPagos[Fecha],"&gt;="&amp;TabPrestamos[[#This Row],[Fecha]],TabPagos[Nombre],TabPrestamos[[#This Row],[Nombre]])</calculatedColumnFormula>
    </tableColumn>
    <tableColumn id="9" xr3:uid="{C9DA6C3D-3CE2-4864-B78F-B7DF9665D15A}" name="Deuda $" dataCellStyle="Moneda">
      <calculatedColumnFormula>TabPrestamos[[#This Row],[Monto $]]+TabPrestamos[[#This Row],[Monto $]]*(TabPrestamos[[#This Row],[Interes %]]*TabPrestamos[[#This Row],[Plazo meses]]/12)</calculatedColumnFormula>
    </tableColumn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E2446414-1C97-4175-BC5E-0E5148D44478}" name="TabPagos" displayName="TabPagos" ref="A1:H2" insertRow="1" totalsRowShown="0">
  <autoFilter ref="A1:H2" xr:uid="{E2446414-1C97-4175-BC5E-0E5148D44478}"/>
  <tableColumns count="8">
    <tableColumn id="1" xr3:uid="{E8779DC2-FA21-40B6-B50D-7A3B2C6E148A}" name="id"/>
    <tableColumn id="7" xr3:uid="{82A3E186-636A-4762-8115-3EF29025A2F7}" name="id_P"/>
    <tableColumn id="2" xr3:uid="{091D0344-07B9-4212-82F2-106263EC0EC3}" name="Nombre"/>
    <tableColumn id="3" xr3:uid="{4C153BDE-74E7-40F9-B92B-03206AC88337}" name="Fecha"/>
    <tableColumn id="4" xr3:uid="{298FAC38-A6C0-4F3E-9ACB-551CFCBD4D0A}" name="Pago $" dataDxfId="3" dataCellStyle="Moneda"/>
    <tableColumn id="5" xr3:uid="{4D936E83-E90C-4887-A7D8-62D9E28F5DEE}" name="Capital $" dataCellStyle="Moneda"/>
    <tableColumn id="6" xr3:uid="{A8D4C28D-7F18-42AB-9812-E9C8450BEA52}" name="Utilidad $" dataCellStyle="Moneda"/>
    <tableColumn id="8" xr3:uid="{509B9EAB-BEBE-4186-8673-4E7042BC52AC}" name="Nombre entrega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C9" dT="2023-07-05T20:14:05.71" personId="{9202CAF5-C811-499F-9724-B35135446916}" id="{CC470664-D443-4A1C-A468-AF4F59B9035A}">
    <text>Ganancia - inversiones</text>
  </threadedComment>
  <threadedComment ref="AE9" dT="2023-07-05T20:14:20.35" personId="{9202CAF5-C811-499F-9724-B35135446916}" id="{CD57D814-81B6-4A0F-A400-0A428AEA953F}">
    <text>Ganancia - inversiones - ahorros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I1" dT="2023-01-27T04:35:44.65" personId="{9202CAF5-C811-499F-9724-B35135446916}" id="{2589A01A-8145-40FD-A28F-71D3C0D878F9}">
    <text>Esta tabla cuenta con la columna Estado para que la fecha final sea asignada o siga corriendo según pasa el tiempo hasta que se mande una solicitud de cierre o retiro.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5.xml"/><Relationship Id="rId11" Type="http://schemas.microsoft.com/office/2017/10/relationships/threadedComment" Target="../threadedComments/threadedComment1.xml"/><Relationship Id="rId5" Type="http://schemas.openxmlformats.org/officeDocument/2006/relationships/table" Target="../tables/table4.xml"/><Relationship Id="rId10" Type="http://schemas.openxmlformats.org/officeDocument/2006/relationships/comments" Target="../comments1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14.xml"/><Relationship Id="rId1" Type="http://schemas.openxmlformats.org/officeDocument/2006/relationships/vmlDrawing" Target="../drawings/vmlDrawing4.vml"/><Relationship Id="rId4" Type="http://schemas.microsoft.com/office/2017/10/relationships/threadedComment" Target="../threadedComments/threadedComment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56EEE5-70A5-4C93-8EFE-BB179B2D63E6}">
  <sheetPr codeName="Hoja1">
    <tabColor rgb="FFFFC000"/>
  </sheetPr>
  <dimension ref="A1"/>
  <sheetViews>
    <sheetView topLeftCell="A7" zoomScaleNormal="100" workbookViewId="0">
      <selection activeCell="N22" sqref="N22"/>
    </sheetView>
  </sheetViews>
  <sheetFormatPr baseColWidth="10" defaultRowHeight="15" x14ac:dyDescent="0.25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ciar">
                <anchor moveWithCells="1" sizeWithCells="1">
                  <from>
                    <xdr:col>1</xdr:col>
                    <xdr:colOff>438150</xdr:colOff>
                    <xdr:row>8</xdr:row>
                    <xdr:rowOff>19050</xdr:rowOff>
                  </from>
                  <to>
                    <xdr:col>8</xdr:col>
                    <xdr:colOff>381000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A1286A-F4C2-4D2F-94F3-9AF72C46B83D}">
  <sheetPr codeName="Hoja2">
    <tabColor rgb="FFFFFF00"/>
  </sheetPr>
  <dimension ref="A1:AH31"/>
  <sheetViews>
    <sheetView tabSelected="1" topLeftCell="U7" workbookViewId="0">
      <selection activeCell="Z20" sqref="Z20"/>
    </sheetView>
  </sheetViews>
  <sheetFormatPr baseColWidth="10" defaultRowHeight="15" x14ac:dyDescent="0.25"/>
  <cols>
    <col min="1" max="1" width="22.7109375" bestFit="1" customWidth="1"/>
    <col min="3" max="3" width="13" bestFit="1" customWidth="1"/>
    <col min="4" max="4" width="13" customWidth="1"/>
    <col min="5" max="5" width="19.85546875" bestFit="1" customWidth="1"/>
    <col min="6" max="6" width="16.85546875" customWidth="1"/>
    <col min="7" max="7" width="12.28515625" customWidth="1"/>
    <col min="8" max="8" width="21.5703125" bestFit="1" customWidth="1"/>
    <col min="9" max="9" width="14.7109375" customWidth="1"/>
    <col min="11" max="11" width="19" bestFit="1" customWidth="1"/>
    <col min="12" max="12" width="17.28515625" customWidth="1"/>
    <col min="13" max="13" width="12.28515625" customWidth="1"/>
    <col min="17" max="17" width="13.7109375" bestFit="1" customWidth="1"/>
    <col min="21" max="21" width="26.5703125" bestFit="1" customWidth="1"/>
    <col min="22" max="22" width="14.7109375" bestFit="1" customWidth="1"/>
    <col min="24" max="24" width="13.85546875" bestFit="1" customWidth="1"/>
    <col min="26" max="26" width="18.7109375" bestFit="1" customWidth="1"/>
    <col min="27" max="27" width="16.7109375" bestFit="1" customWidth="1"/>
    <col min="28" max="28" width="21.28515625" bestFit="1" customWidth="1"/>
    <col min="32" max="32" width="14.7109375" customWidth="1"/>
    <col min="34" max="34" width="15.5703125" bestFit="1" customWidth="1"/>
  </cols>
  <sheetData>
    <row r="1" spans="1:34" x14ac:dyDescent="0.25">
      <c r="A1" t="s">
        <v>23</v>
      </c>
      <c r="B1" t="s">
        <v>28</v>
      </c>
      <c r="C1" s="2" t="s">
        <v>29</v>
      </c>
      <c r="E1" t="s">
        <v>9</v>
      </c>
      <c r="F1" t="s">
        <v>10</v>
      </c>
      <c r="H1" t="s">
        <v>31</v>
      </c>
      <c r="I1" t="s">
        <v>10</v>
      </c>
      <c r="K1" s="2" t="s">
        <v>30</v>
      </c>
      <c r="L1" t="s">
        <v>10</v>
      </c>
      <c r="N1" s="2" t="s">
        <v>82</v>
      </c>
      <c r="O1" s="2"/>
      <c r="Q1" s="26" t="s">
        <v>72</v>
      </c>
      <c r="S1" s="26"/>
      <c r="T1" s="26"/>
      <c r="U1" s="26" t="s">
        <v>17</v>
      </c>
      <c r="V1" s="26"/>
    </row>
    <row r="2" spans="1:34" x14ac:dyDescent="0.25">
      <c r="A2" s="1" t="s">
        <v>0</v>
      </c>
      <c r="B2" s="19">
        <f>InteresPrestamo</f>
        <v>0.16</v>
      </c>
      <c r="C2" s="3">
        <f>TabTazas[[#This Row],[Tasa de interes anual]]/365</f>
        <v>4.3835616438356166E-4</v>
      </c>
      <c r="E2" t="s">
        <v>11</v>
      </c>
      <c r="F2" t="s">
        <v>13</v>
      </c>
      <c r="H2" t="s">
        <v>113</v>
      </c>
      <c r="I2" t="s">
        <v>18</v>
      </c>
      <c r="K2" s="2" t="s">
        <v>37</v>
      </c>
      <c r="L2" t="s">
        <v>114</v>
      </c>
      <c r="N2" s="4">
        <v>44958</v>
      </c>
      <c r="O2" s="4" t="s">
        <v>70</v>
      </c>
      <c r="Q2" t="s">
        <v>73</v>
      </c>
      <c r="S2" t="s">
        <v>80</v>
      </c>
      <c r="T2" t="s">
        <v>81</v>
      </c>
      <c r="U2" t="s">
        <v>90</v>
      </c>
      <c r="V2" t="s">
        <v>91</v>
      </c>
      <c r="W2">
        <v>20</v>
      </c>
      <c r="X2" t="s">
        <v>129</v>
      </c>
    </row>
    <row r="3" spans="1:34" x14ac:dyDescent="0.25">
      <c r="A3" s="1" t="s">
        <v>24</v>
      </c>
      <c r="B3" s="1">
        <v>0.03</v>
      </c>
      <c r="C3" s="3">
        <f>TabTazas[[#This Row],[Tasa de interes anual]]/365</f>
        <v>8.219178082191781E-5</v>
      </c>
      <c r="E3" t="s">
        <v>1</v>
      </c>
      <c r="F3" t="s">
        <v>14</v>
      </c>
      <c r="H3" t="s">
        <v>34</v>
      </c>
      <c r="I3" t="s">
        <v>19</v>
      </c>
      <c r="K3" t="s">
        <v>32</v>
      </c>
      <c r="L3" t="s">
        <v>65</v>
      </c>
      <c r="N3" s="4">
        <v>45231</v>
      </c>
      <c r="O3" t="s">
        <v>52</v>
      </c>
      <c r="Q3" t="s">
        <v>125</v>
      </c>
      <c r="S3">
        <v>3</v>
      </c>
      <c r="T3">
        <f>TabPlazos[[#This Row],[Plazos]]*2</f>
        <v>6</v>
      </c>
      <c r="U3" s="1">
        <v>0.02</v>
      </c>
      <c r="V3" s="21">
        <f>TabPlazos[[#This Row],[Interes por inversion anual]]/12*TabPlazos[[#This Row],[Plazos]]</f>
        <v>5.0000000000000001E-3</v>
      </c>
      <c r="X3" s="24">
        <f>$W$2*X10/100</f>
        <v>15000</v>
      </c>
      <c r="Y3" s="24">
        <f>X3+X3*TabPlazos[[#This Row],[Interes/plazo]]</f>
        <v>15075</v>
      </c>
      <c r="Z3" s="8">
        <f>Y3-X3</f>
        <v>75</v>
      </c>
      <c r="AA3" s="30">
        <f>Z3/TabPlazos[[#This Row],[Plazos]]</f>
        <v>25</v>
      </c>
      <c r="AB3" s="28">
        <f>AA3/X3</f>
        <v>1.6666666666666668E-3</v>
      </c>
      <c r="AF3" s="33">
        <f t="shared" ref="AF3:AF5" si="0">AA3*12</f>
        <v>300</v>
      </c>
    </row>
    <row r="4" spans="1:34" x14ac:dyDescent="0.25">
      <c r="A4" s="1" t="s">
        <v>25</v>
      </c>
      <c r="B4" s="1">
        <v>0.06</v>
      </c>
      <c r="C4" s="3">
        <f>TabTazas[[#This Row],[Tasa de interes anual]]/365</f>
        <v>1.6438356164383562E-4</v>
      </c>
      <c r="E4" t="s">
        <v>12</v>
      </c>
      <c r="F4" t="s">
        <v>15</v>
      </c>
      <c r="H4" t="s">
        <v>35</v>
      </c>
      <c r="I4" t="s">
        <v>20</v>
      </c>
      <c r="K4" t="s">
        <v>33</v>
      </c>
      <c r="L4" t="s">
        <v>66</v>
      </c>
      <c r="Q4" t="s">
        <v>74</v>
      </c>
      <c r="S4">
        <v>6</v>
      </c>
      <c r="T4">
        <f>TabPlazos[[#This Row],[Plazos]]*2</f>
        <v>12</v>
      </c>
      <c r="U4" s="1">
        <v>0.04</v>
      </c>
      <c r="V4" s="21">
        <f>TabPlazos[[#This Row],[Interes por inversion anual]]/12*TabPlazos[[#This Row],[Plazos]]</f>
        <v>0.02</v>
      </c>
      <c r="X4" s="24">
        <f t="shared" ref="X4:X6" si="1">20*X11/100</f>
        <v>15000</v>
      </c>
      <c r="Y4" s="24">
        <f>X4+X4*TabPlazos[[#This Row],[Interes/plazo]]</f>
        <v>15300</v>
      </c>
      <c r="Z4" s="8">
        <f t="shared" ref="Z4:Z6" si="2">Y4-X4</f>
        <v>300</v>
      </c>
      <c r="AA4" s="30">
        <f>Z4/TabPlazos[[#This Row],[Plazos]]</f>
        <v>50</v>
      </c>
      <c r="AB4" s="28">
        <f t="shared" ref="AB4:AB6" si="3">AA4/X4</f>
        <v>3.3333333333333335E-3</v>
      </c>
      <c r="AF4" s="33">
        <f t="shared" si="0"/>
        <v>600</v>
      </c>
    </row>
    <row r="5" spans="1:34" x14ac:dyDescent="0.25">
      <c r="A5" s="1" t="s">
        <v>26</v>
      </c>
      <c r="B5" s="1">
        <v>0.09</v>
      </c>
      <c r="C5" s="3">
        <f>TabTazas[[#This Row],[Tasa de interes anual]]/365</f>
        <v>2.4657534246575342E-4</v>
      </c>
      <c r="E5" t="s">
        <v>22</v>
      </c>
      <c r="F5" t="s">
        <v>16</v>
      </c>
      <c r="H5" t="s">
        <v>36</v>
      </c>
      <c r="I5" t="s">
        <v>21</v>
      </c>
      <c r="K5" t="s">
        <v>17</v>
      </c>
      <c r="L5" t="s">
        <v>67</v>
      </c>
      <c r="Q5" t="s">
        <v>75</v>
      </c>
      <c r="S5">
        <v>9</v>
      </c>
      <c r="T5">
        <f>TabPlazos[[#This Row],[Plazos]]*2</f>
        <v>18</v>
      </c>
      <c r="U5" s="1">
        <v>0.06</v>
      </c>
      <c r="V5" s="21">
        <f>TabPlazos[[#This Row],[Interes por inversion anual]]/12*TabPlazos[[#This Row],[Plazos]]</f>
        <v>4.4999999999999998E-2</v>
      </c>
      <c r="X5" s="24">
        <f t="shared" si="1"/>
        <v>15000</v>
      </c>
      <c r="Y5" s="24">
        <f>X5+X5*TabPlazos[[#This Row],[Interes/plazo]]</f>
        <v>15675</v>
      </c>
      <c r="Z5" s="8">
        <f t="shared" si="2"/>
        <v>675</v>
      </c>
      <c r="AA5" s="30">
        <f>Z5/TabPlazos[[#This Row],[Plazos]]</f>
        <v>75</v>
      </c>
      <c r="AB5" s="28">
        <f t="shared" si="3"/>
        <v>5.0000000000000001E-3</v>
      </c>
      <c r="AF5" s="33">
        <f t="shared" si="0"/>
        <v>900</v>
      </c>
    </row>
    <row r="6" spans="1:34" x14ac:dyDescent="0.25">
      <c r="A6" s="1" t="s">
        <v>27</v>
      </c>
      <c r="B6" s="1">
        <v>0.12</v>
      </c>
      <c r="C6" s="3">
        <f>TabTazas[[#This Row],[Tasa de interes anual]]/365</f>
        <v>3.2876712328767124E-4</v>
      </c>
      <c r="K6" t="s">
        <v>2</v>
      </c>
      <c r="L6" t="s">
        <v>68</v>
      </c>
      <c r="Q6" t="s">
        <v>76</v>
      </c>
      <c r="S6">
        <v>12</v>
      </c>
      <c r="T6">
        <f>TabPlazos[[#This Row],[Plazos]]*2</f>
        <v>24</v>
      </c>
      <c r="U6" s="1">
        <v>0.08</v>
      </c>
      <c r="V6" s="21">
        <f>TabPlazos[[#This Row],[Interes por inversion anual]]/12*TabPlazos[[#This Row],[Plazos]]</f>
        <v>0.08</v>
      </c>
      <c r="X6" s="24">
        <f t="shared" si="1"/>
        <v>15000</v>
      </c>
      <c r="Y6" s="24">
        <f>X6+X6*TabPlazos[[#This Row],[Interes/plazo]]</f>
        <v>16200</v>
      </c>
      <c r="Z6" s="8">
        <f t="shared" si="2"/>
        <v>1200</v>
      </c>
      <c r="AA6" s="30">
        <f>Z6/TabPlazos[[#This Row],[Plazos]]</f>
        <v>100</v>
      </c>
      <c r="AB6" s="28">
        <f t="shared" si="3"/>
        <v>6.6666666666666671E-3</v>
      </c>
      <c r="AF6" s="33">
        <f>AA6*12</f>
        <v>1200</v>
      </c>
    </row>
    <row r="7" spans="1:34" x14ac:dyDescent="0.25">
      <c r="A7" s="1" t="s">
        <v>69</v>
      </c>
      <c r="B7" s="1">
        <f>B2-2%</f>
        <v>0.14000000000000001</v>
      </c>
      <c r="C7" s="3">
        <f>TabTazas[[#This Row],[Tasa de interes anual]]/365</f>
        <v>3.8356164383561648E-4</v>
      </c>
      <c r="Q7" t="s">
        <v>77</v>
      </c>
      <c r="X7" s="24"/>
    </row>
    <row r="8" spans="1:34" x14ac:dyDescent="0.25">
      <c r="A8" s="1" t="s">
        <v>2</v>
      </c>
      <c r="B8" s="1">
        <v>0.02</v>
      </c>
      <c r="C8" s="3">
        <f>TabTazas[[#This Row],[Tasa de interes anual]]/365</f>
        <v>5.4794520547945207E-5</v>
      </c>
      <c r="Q8" t="s">
        <v>78</v>
      </c>
      <c r="U8" t="s">
        <v>84</v>
      </c>
      <c r="X8" s="24"/>
      <c r="Z8" s="27"/>
    </row>
    <row r="9" spans="1:34" x14ac:dyDescent="0.25">
      <c r="Q9" t="s">
        <v>79</v>
      </c>
      <c r="S9" t="s">
        <v>80</v>
      </c>
      <c r="T9" t="s">
        <v>81</v>
      </c>
      <c r="U9" t="s">
        <v>90</v>
      </c>
      <c r="V9" t="s">
        <v>91</v>
      </c>
      <c r="X9" s="24" t="s">
        <v>121</v>
      </c>
      <c r="Y9" t="s">
        <v>122</v>
      </c>
      <c r="Z9" t="s">
        <v>124</v>
      </c>
      <c r="AA9" t="s">
        <v>123</v>
      </c>
      <c r="AB9" t="s">
        <v>126</v>
      </c>
      <c r="AC9" t="s">
        <v>127</v>
      </c>
      <c r="AD9" t="s">
        <v>124</v>
      </c>
      <c r="AE9" t="s">
        <v>128</v>
      </c>
      <c r="AF9" t="s">
        <v>131</v>
      </c>
      <c r="AG9" t="s">
        <v>132</v>
      </c>
      <c r="AH9" t="s">
        <v>133</v>
      </c>
    </row>
    <row r="10" spans="1:34" x14ac:dyDescent="0.25">
      <c r="S10">
        <v>3</v>
      </c>
      <c r="T10">
        <f>TabPlazos3[[#This Row],[Plazos]]*2</f>
        <v>6</v>
      </c>
      <c r="U10" s="25">
        <v>0.12</v>
      </c>
      <c r="V10" s="21">
        <f>TabPlazos3[[#This Row],[Interes por inversion anual]]/12*TabPlazos3[[#This Row],[Plazos]]</f>
        <v>0.03</v>
      </c>
      <c r="X10" s="24">
        <f>$Y$21</f>
        <v>75000</v>
      </c>
      <c r="Y10" s="8">
        <f>X10+X10*TabPlazos3[[#This Row],[Interes/plazo]]</f>
        <v>77250</v>
      </c>
      <c r="Z10" s="8">
        <f>Y10-X10-Z3</f>
        <v>2175</v>
      </c>
      <c r="AA10" s="29">
        <f>Z10/TabPlazos3[[#This Row],[Plazos]]</f>
        <v>725</v>
      </c>
      <c r="AB10" s="28">
        <f>AA10/X10</f>
        <v>9.6666666666666672E-3</v>
      </c>
      <c r="AC10" s="31">
        <f>AB10-AB3</f>
        <v>8.0000000000000002E-3</v>
      </c>
      <c r="AD10" s="24">
        <f>Y10-X10-Z3-$Z$17</f>
        <v>2062.5</v>
      </c>
      <c r="AE10" s="31">
        <f>AC10-$AB$17</f>
        <v>6.3333333333333332E-3</v>
      </c>
      <c r="AF10" s="33">
        <f>AA10*12</f>
        <v>8700</v>
      </c>
      <c r="AG10" s="8">
        <f>AF3+AF$17</f>
        <v>750</v>
      </c>
      <c r="AH10" s="8">
        <f>AF10-AG10</f>
        <v>7950</v>
      </c>
    </row>
    <row r="11" spans="1:34" ht="15.75" thickBot="1" x14ac:dyDescent="0.3">
      <c r="S11">
        <v>6</v>
      </c>
      <c r="T11">
        <f>TabPlazos3[[#This Row],[Plazos]]*2</f>
        <v>12</v>
      </c>
      <c r="U11" s="25">
        <v>0.14000000000000001</v>
      </c>
      <c r="V11" s="21">
        <f>TabPlazos3[[#This Row],[Interes por inversion anual]]/12*TabPlazos3[[#This Row],[Plazos]]</f>
        <v>7.0000000000000007E-2</v>
      </c>
      <c r="X11" s="24">
        <f t="shared" ref="X11:X12" si="4">$Y$21</f>
        <v>75000</v>
      </c>
      <c r="Y11" s="8">
        <f>X11+X11*TabPlazos3[[#This Row],[Interes/plazo]]</f>
        <v>80250</v>
      </c>
      <c r="Z11" s="8">
        <f t="shared" ref="Z11:Z13" si="5">Y11-X11-Z4</f>
        <v>4950</v>
      </c>
      <c r="AA11" s="29">
        <f>Z11/TabPlazos3[[#This Row],[Plazos]]</f>
        <v>825</v>
      </c>
      <c r="AB11" s="28">
        <f t="shared" ref="AB11:AB13" si="6">AA11/X11</f>
        <v>1.0999999999999999E-2</v>
      </c>
      <c r="AC11" s="31">
        <f t="shared" ref="AC11:AC13" si="7">AB11-AB4</f>
        <v>7.6666666666666654E-3</v>
      </c>
      <c r="AD11" s="24">
        <f t="shared" ref="AD11:AD13" si="8">Y11-X11-Z4-$Z$17</f>
        <v>4837.5</v>
      </c>
      <c r="AE11" s="31">
        <f t="shared" ref="AE11:AE13" si="9">AC11-$AB$17</f>
        <v>5.9999999999999984E-3</v>
      </c>
      <c r="AF11" s="33">
        <f t="shared" ref="AF11:AF13" si="10">AA11*12</f>
        <v>9900</v>
      </c>
      <c r="AG11" s="8">
        <f t="shared" ref="AG11:AG13" si="11">AF4+AF$17</f>
        <v>1050</v>
      </c>
      <c r="AH11" s="8">
        <f t="shared" ref="AH11:AH13" si="12">AF11-AG11</f>
        <v>8850</v>
      </c>
    </row>
    <row r="12" spans="1:34" ht="15.75" thickBot="1" x14ac:dyDescent="0.3">
      <c r="A12" s="18" t="s">
        <v>89</v>
      </c>
      <c r="B12" s="20">
        <v>0.16</v>
      </c>
      <c r="S12">
        <v>9</v>
      </c>
      <c r="T12">
        <f>TabPlazos3[[#This Row],[Plazos]]*2</f>
        <v>18</v>
      </c>
      <c r="U12" s="25">
        <v>0.16</v>
      </c>
      <c r="V12" s="21">
        <f>TabPlazos3[[#This Row],[Interes por inversion anual]]/12*TabPlazos3[[#This Row],[Plazos]]</f>
        <v>0.12000000000000001</v>
      </c>
      <c r="X12" s="24">
        <f t="shared" si="4"/>
        <v>75000</v>
      </c>
      <c r="Y12" s="8">
        <f>X12+X12*TabPlazos3[[#This Row],[Interes/plazo]]</f>
        <v>84000</v>
      </c>
      <c r="Z12" s="8">
        <f t="shared" si="5"/>
        <v>8325</v>
      </c>
      <c r="AA12" s="29">
        <f>Z12/TabPlazos3[[#This Row],[Plazos]]</f>
        <v>925</v>
      </c>
      <c r="AB12" s="28">
        <f t="shared" si="6"/>
        <v>1.2333333333333333E-2</v>
      </c>
      <c r="AC12" s="31">
        <f t="shared" si="7"/>
        <v>7.3333333333333332E-3</v>
      </c>
      <c r="AD12" s="24">
        <f t="shared" si="8"/>
        <v>8212.5</v>
      </c>
      <c r="AE12" s="31">
        <f t="shared" si="9"/>
        <v>5.6666666666666662E-3</v>
      </c>
      <c r="AF12" s="33">
        <f t="shared" si="10"/>
        <v>11100</v>
      </c>
      <c r="AG12" s="8">
        <f t="shared" si="11"/>
        <v>1350</v>
      </c>
      <c r="AH12" s="8">
        <f t="shared" si="12"/>
        <v>9750</v>
      </c>
    </row>
    <row r="13" spans="1:34" x14ac:dyDescent="0.25">
      <c r="S13">
        <v>12</v>
      </c>
      <c r="T13">
        <f>TabPlazos3[[#This Row],[Plazos]]*2</f>
        <v>24</v>
      </c>
      <c r="U13" s="25">
        <v>0.18</v>
      </c>
      <c r="V13" s="21">
        <f>TabPlazos3[[#This Row],[Interes por inversion anual]]/12*TabPlazos3[[#This Row],[Plazos]]</f>
        <v>0.18</v>
      </c>
      <c r="X13" s="24">
        <f>$Y$21</f>
        <v>75000</v>
      </c>
      <c r="Y13" s="8">
        <f>X13+X13*TabPlazos3[[#This Row],[Interes/plazo]]</f>
        <v>88500</v>
      </c>
      <c r="Z13" s="8">
        <f t="shared" si="5"/>
        <v>12300</v>
      </c>
      <c r="AA13" s="29">
        <f>Z13/TabPlazos3[[#This Row],[Plazos]]</f>
        <v>1025</v>
      </c>
      <c r="AB13" s="28">
        <f t="shared" si="6"/>
        <v>1.3666666666666667E-2</v>
      </c>
      <c r="AC13" s="31">
        <f t="shared" si="7"/>
        <v>7.0000000000000001E-3</v>
      </c>
      <c r="AD13" s="24">
        <f t="shared" si="8"/>
        <v>12187.5</v>
      </c>
      <c r="AE13" s="31">
        <f t="shared" si="9"/>
        <v>5.3333333333333332E-3</v>
      </c>
      <c r="AF13" s="33">
        <f>AA13*12</f>
        <v>12300</v>
      </c>
      <c r="AG13" s="8">
        <f t="shared" si="11"/>
        <v>1650</v>
      </c>
      <c r="AH13" s="8">
        <f t="shared" si="12"/>
        <v>10650</v>
      </c>
    </row>
    <row r="14" spans="1:34" x14ac:dyDescent="0.25">
      <c r="Z14" s="8"/>
      <c r="AA14" s="29"/>
      <c r="AB14" s="28"/>
      <c r="AC14" s="31"/>
      <c r="AD14" s="31"/>
      <c r="AF14" s="33"/>
    </row>
    <row r="15" spans="1:34" ht="15.75" x14ac:dyDescent="0.25">
      <c r="U15" t="s">
        <v>92</v>
      </c>
      <c r="Z15" s="8"/>
      <c r="AA15" s="29"/>
      <c r="AB15" s="28"/>
      <c r="AC15" s="31"/>
      <c r="AD15" s="31"/>
      <c r="AF15" s="33"/>
      <c r="AG15" t="s">
        <v>134</v>
      </c>
      <c r="AH15" s="34">
        <f>SUM(AH10:AH13)</f>
        <v>37200</v>
      </c>
    </row>
    <row r="16" spans="1:34" ht="15.75" x14ac:dyDescent="0.25">
      <c r="S16" t="s">
        <v>80</v>
      </c>
      <c r="T16" t="s">
        <v>81</v>
      </c>
      <c r="U16" t="s">
        <v>90</v>
      </c>
      <c r="V16" t="s">
        <v>91</v>
      </c>
      <c r="W16">
        <v>30</v>
      </c>
      <c r="X16" t="s">
        <v>130</v>
      </c>
      <c r="Z16" s="8"/>
      <c r="AA16" s="29"/>
      <c r="AB16" s="28"/>
      <c r="AC16" s="31"/>
      <c r="AD16" s="31"/>
      <c r="AF16" s="33"/>
      <c r="AG16" t="s">
        <v>136</v>
      </c>
      <c r="AH16" s="35">
        <f>AH15/X21</f>
        <v>0.124</v>
      </c>
    </row>
    <row r="17" spans="10:32" x14ac:dyDescent="0.25">
      <c r="S17">
        <v>3</v>
      </c>
      <c r="T17">
        <f>TabPlazos18[[#This Row],[Plazos]]*2</f>
        <v>6</v>
      </c>
      <c r="U17" s="1">
        <v>0.02</v>
      </c>
      <c r="V17" s="21">
        <f>TabPlazos18[[#This Row],[Interes por inversion anual]]/12*TabPlazos18[[#This Row],[Plazos]]</f>
        <v>5.0000000000000001E-3</v>
      </c>
      <c r="X17" s="24">
        <f>W16*X10/100</f>
        <v>22500</v>
      </c>
      <c r="Y17" s="8">
        <f>X17+X17*TabPlazos18[[#This Row],[Interes/plazo]]</f>
        <v>22612.5</v>
      </c>
      <c r="Z17" s="8">
        <f t="shared" ref="Z17" si="13">Y17-X17</f>
        <v>112.5</v>
      </c>
      <c r="AA17" s="32">
        <f>Z17/TabPlazos18[[#This Row],[Plazos]]</f>
        <v>37.5</v>
      </c>
      <c r="AB17" s="28">
        <f>AA17/X17</f>
        <v>1.6666666666666668E-3</v>
      </c>
      <c r="AC17" s="31"/>
      <c r="AD17" s="31"/>
      <c r="AF17" s="33">
        <f t="shared" ref="AF14:AF17" si="14">AA17*12</f>
        <v>450</v>
      </c>
    </row>
    <row r="20" spans="10:32" x14ac:dyDescent="0.25">
      <c r="X20" t="s">
        <v>135</v>
      </c>
    </row>
    <row r="21" spans="10:32" ht="15.75" x14ac:dyDescent="0.25">
      <c r="X21" s="36">
        <v>300000</v>
      </c>
      <c r="Y21" s="24">
        <f>X21/4</f>
        <v>75000</v>
      </c>
    </row>
    <row r="23" spans="10:32" x14ac:dyDescent="0.25">
      <c r="J23">
        <v>8655.16</v>
      </c>
    </row>
    <row r="28" spans="10:32" x14ac:dyDescent="0.25">
      <c r="N28" t="s">
        <v>115</v>
      </c>
      <c r="P28" t="s">
        <v>116</v>
      </c>
      <c r="R28" t="s">
        <v>118</v>
      </c>
    </row>
    <row r="29" spans="10:32" x14ac:dyDescent="0.25">
      <c r="M29" t="s">
        <v>117</v>
      </c>
      <c r="N29">
        <v>8263.7000000000007</v>
      </c>
      <c r="P29">
        <v>6940</v>
      </c>
      <c r="Q29" t="s">
        <v>117</v>
      </c>
      <c r="R29" s="24">
        <f>N29+N30-P29-P30-P31-P32</f>
        <v>2578.5799999999981</v>
      </c>
    </row>
    <row r="30" spans="10:32" x14ac:dyDescent="0.25">
      <c r="M30" t="s">
        <v>120</v>
      </c>
      <c r="N30">
        <v>10578.58</v>
      </c>
      <c r="P30">
        <v>1323.7</v>
      </c>
      <c r="Q30" t="s">
        <v>119</v>
      </c>
    </row>
    <row r="31" spans="10:32" x14ac:dyDescent="0.25">
      <c r="P31">
        <v>8000</v>
      </c>
      <c r="Q31" t="s">
        <v>119</v>
      </c>
    </row>
  </sheetData>
  <conditionalFormatting sqref="Z10:AE13">
    <cfRule type="cellIs" dxfId="2" priority="1" operator="lessThan">
      <formula>0</formula>
    </cfRule>
  </conditionalFormatting>
  <pageMargins left="0.7" right="0.7" top="0.75" bottom="0.75" header="0.3" footer="0.3"/>
  <legacyDrawing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3F8F8D-5F8D-4073-B34D-5FFC5B823A9C}">
  <sheetPr codeName="Socios">
    <tabColor rgb="FF00B0F0"/>
  </sheetPr>
  <dimension ref="A1:G5"/>
  <sheetViews>
    <sheetView workbookViewId="0">
      <selection activeCell="E30" sqref="E30"/>
    </sheetView>
  </sheetViews>
  <sheetFormatPr baseColWidth="10" defaultRowHeight="15" x14ac:dyDescent="0.25"/>
  <cols>
    <col min="1" max="1" width="4.5703125" customWidth="1"/>
    <col min="2" max="2" width="26" bestFit="1" customWidth="1"/>
    <col min="3" max="3" width="14.140625" customWidth="1"/>
    <col min="4" max="4" width="14.42578125" bestFit="1" customWidth="1"/>
    <col min="5" max="5" width="20" bestFit="1" customWidth="1"/>
    <col min="6" max="6" width="12.28515625" bestFit="1" customWidth="1"/>
    <col min="7" max="7" width="14.42578125" bestFit="1" customWidth="1"/>
  </cols>
  <sheetData>
    <row r="1" spans="1: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40</v>
      </c>
      <c r="G1" s="2" t="s">
        <v>83</v>
      </c>
    </row>
    <row r="2" spans="1:7" x14ac:dyDescent="0.25">
      <c r="A2">
        <v>2</v>
      </c>
      <c r="B2" t="s">
        <v>95</v>
      </c>
      <c r="C2" t="s">
        <v>79</v>
      </c>
      <c r="D2" t="s">
        <v>96</v>
      </c>
      <c r="E2" t="s">
        <v>96</v>
      </c>
      <c r="F2" s="23">
        <v>10000</v>
      </c>
      <c r="G2" s="22">
        <f>TabSocios[[#This Row],[Monto $]]/SUM(TabSocios[Monto $])</f>
        <v>6.25E-2</v>
      </c>
    </row>
    <row r="3" spans="1:7" x14ac:dyDescent="0.25">
      <c r="A3">
        <v>1</v>
      </c>
      <c r="B3" t="s">
        <v>93</v>
      </c>
      <c r="C3" t="s">
        <v>79</v>
      </c>
      <c r="D3" t="s">
        <v>94</v>
      </c>
      <c r="E3" t="s">
        <v>94</v>
      </c>
      <c r="F3" s="23">
        <v>110000</v>
      </c>
      <c r="G3" s="22">
        <f>TabSocios[[#This Row],[Monto $]]/SUM(TabSocios[Monto $])</f>
        <v>0.6875</v>
      </c>
    </row>
    <row r="4" spans="1:7" x14ac:dyDescent="0.25">
      <c r="A4">
        <v>3</v>
      </c>
      <c r="B4" t="s">
        <v>74</v>
      </c>
      <c r="C4" t="s">
        <v>74</v>
      </c>
      <c r="D4" t="s">
        <v>97</v>
      </c>
      <c r="E4" t="s">
        <v>97</v>
      </c>
      <c r="F4" s="23">
        <v>30000</v>
      </c>
      <c r="G4" s="22">
        <f>TabSocios[[#This Row],[Monto $]]/SUM(TabSocios[Monto $])</f>
        <v>0.1875</v>
      </c>
    </row>
    <row r="5" spans="1:7" x14ac:dyDescent="0.25">
      <c r="A5">
        <v>4</v>
      </c>
      <c r="B5" t="s">
        <v>98</v>
      </c>
      <c r="C5" t="s">
        <v>73</v>
      </c>
      <c r="D5" t="s">
        <v>99</v>
      </c>
      <c r="E5" t="s">
        <v>99</v>
      </c>
      <c r="F5" s="23">
        <v>10000</v>
      </c>
      <c r="G5" s="22">
        <f>TabSocios[[#This Row],[Monto $]]/SUM(TabSocios[Monto $])</f>
        <v>6.25E-2</v>
      </c>
    </row>
  </sheetData>
  <sortState xmlns:xlrd2="http://schemas.microsoft.com/office/spreadsheetml/2017/richdata2" ref="A2:G5">
    <sortCondition ref="B1"/>
    <sortCondition ref="C1"/>
  </sortState>
  <pageMargins left="0.7" right="0.7" top="0.75" bottom="0.75" header="0.3" footer="0.3"/>
  <legacy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A409-9FB6-4CFD-8423-F2FC1EC127BD}">
  <sheetPr codeName="Hoja5">
    <tabColor rgb="FF00B0F0"/>
  </sheetPr>
  <dimension ref="A1:I14"/>
  <sheetViews>
    <sheetView workbookViewId="0">
      <selection activeCell="F3" sqref="F3"/>
    </sheetView>
  </sheetViews>
  <sheetFormatPr baseColWidth="10" defaultRowHeight="15" x14ac:dyDescent="0.25"/>
  <cols>
    <col min="1" max="1" width="4.5703125" customWidth="1"/>
    <col min="2" max="2" width="15.140625" customWidth="1"/>
    <col min="6" max="6" width="16.7109375" bestFit="1" customWidth="1"/>
    <col min="7" max="7" width="13.5703125" bestFit="1" customWidth="1"/>
    <col min="8" max="8" width="12.140625" customWidth="1"/>
    <col min="9" max="9" width="17.28515625" bestFit="1" customWidth="1"/>
  </cols>
  <sheetData>
    <row r="1" spans="1:9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s="2" t="s">
        <v>62</v>
      </c>
      <c r="G1" s="2" t="s">
        <v>59</v>
      </c>
      <c r="H1" s="2" t="s">
        <v>60</v>
      </c>
      <c r="I1" s="2" t="s">
        <v>61</v>
      </c>
    </row>
    <row r="2" spans="1:9" x14ac:dyDescent="0.25">
      <c r="A2">
        <v>13</v>
      </c>
      <c r="B2" t="s">
        <v>111</v>
      </c>
      <c r="C2" t="s">
        <v>73</v>
      </c>
      <c r="D2" t="s">
        <v>99</v>
      </c>
      <c r="E2" t="s">
        <v>99</v>
      </c>
      <c r="F2" s="2">
        <f>COUNTIF(TabPrestamos[Nombre],TabPrestatarios[[#This Row],[Nombre]])</f>
        <v>0</v>
      </c>
      <c r="G2" s="7">
        <f>IFERROR(SUMIF(TabPrestamos[Nombre],TabPrestatarios[[#This Row],[Nombre]],TabPrestamos[Monto $]),0)</f>
        <v>0</v>
      </c>
      <c r="H2" s="7">
        <f>IFERROR(SUMIF(TabPagos[Nombre],TabPrestatarios[[#This Row],[Nombre]],TabPagos[Pago $]),0)</f>
        <v>0</v>
      </c>
      <c r="I2" s="2">
        <f>TabPrestatarios[[#This Row],[Prestamos $]]-TabPrestatarios[[#This Row],[Pagado $]]</f>
        <v>0</v>
      </c>
    </row>
    <row r="3" spans="1:9" x14ac:dyDescent="0.25">
      <c r="A3">
        <v>12</v>
      </c>
      <c r="B3" t="s">
        <v>110</v>
      </c>
      <c r="C3" t="s">
        <v>73</v>
      </c>
      <c r="D3" t="s">
        <v>99</v>
      </c>
      <c r="E3" t="s">
        <v>99</v>
      </c>
      <c r="F3" s="2">
        <f>COUNTIF(TabPrestamos[Nombre],TabPrestatarios[[#This Row],[Nombre]])</f>
        <v>1</v>
      </c>
      <c r="G3" s="7">
        <f>IFERROR(SUMIF(TabPrestamos[Nombre],TabPrestatarios[[#This Row],[Nombre]],TabPrestamos[Monto $]),0)</f>
        <v>10000</v>
      </c>
      <c r="H3" s="7">
        <f>IFERROR(SUMIF(TabPagos[Nombre],TabPrestatarios[[#This Row],[Nombre]],TabPagos[Pago $]),0)</f>
        <v>0</v>
      </c>
      <c r="I3" s="2">
        <f>TabPrestatarios[[#This Row],[Prestamos $]]-TabPrestatarios[[#This Row],[Pagado $]]</f>
        <v>10000</v>
      </c>
    </row>
    <row r="4" spans="1:9" x14ac:dyDescent="0.25">
      <c r="A4">
        <v>11</v>
      </c>
      <c r="B4" t="s">
        <v>106</v>
      </c>
      <c r="C4" t="s">
        <v>73</v>
      </c>
      <c r="D4" t="s">
        <v>99</v>
      </c>
      <c r="E4" t="s">
        <v>99</v>
      </c>
      <c r="F4" s="2">
        <f>COUNTIF(TabPrestamos[Nombre],TabPrestatarios[[#This Row],[Nombre]])</f>
        <v>1</v>
      </c>
      <c r="G4" s="7">
        <f>IFERROR(SUMIF(TabPrestamos[Nombre],TabPrestatarios[[#This Row],[Nombre]],TabPrestamos[Monto $]),0)</f>
        <v>1000</v>
      </c>
      <c r="H4" s="7">
        <f>IFERROR(SUMIF(TabPagos[Nombre],TabPrestatarios[[#This Row],[Nombre]],TabPagos[Pago $]),0)</f>
        <v>0</v>
      </c>
      <c r="I4" s="2">
        <f>TabPrestatarios[[#This Row],[Prestamos $]]-TabPrestatarios[[#This Row],[Pagado $]]</f>
        <v>1000</v>
      </c>
    </row>
    <row r="5" spans="1:9" x14ac:dyDescent="0.25">
      <c r="A5">
        <v>10</v>
      </c>
      <c r="B5" t="s">
        <v>109</v>
      </c>
      <c r="C5" t="s">
        <v>73</v>
      </c>
      <c r="D5" t="s">
        <v>99</v>
      </c>
      <c r="E5" t="s">
        <v>99</v>
      </c>
      <c r="F5" s="2">
        <f>COUNTIF(TabPrestamos[Nombre],TabPrestatarios[[#This Row],[Nombre]])</f>
        <v>0</v>
      </c>
      <c r="G5" s="7">
        <f>IFERROR(SUMIF(TabPrestamos[Nombre],TabPrestatarios[[#This Row],[Nombre]],TabPrestamos[Monto $]),0)</f>
        <v>0</v>
      </c>
      <c r="H5" s="7">
        <f>IFERROR(SUMIF(TabPagos[Nombre],TabPrestatarios[[#This Row],[Nombre]],TabPagos[Pago $]),0)</f>
        <v>0</v>
      </c>
      <c r="I5" s="2">
        <f>TabPrestatarios[[#This Row],[Prestamos $]]-TabPrestatarios[[#This Row],[Pagado $]]</f>
        <v>0</v>
      </c>
    </row>
    <row r="6" spans="1:9" x14ac:dyDescent="0.25">
      <c r="A6">
        <v>9</v>
      </c>
      <c r="B6" t="s">
        <v>108</v>
      </c>
      <c r="C6" t="s">
        <v>73</v>
      </c>
      <c r="D6" t="s">
        <v>99</v>
      </c>
      <c r="E6" t="s">
        <v>99</v>
      </c>
      <c r="F6" s="2">
        <f>COUNTIF(TabPrestamos[Nombre],TabPrestatarios[[#This Row],[Nombre]])</f>
        <v>0</v>
      </c>
      <c r="G6" s="7">
        <f>IFERROR(SUMIF(TabPrestamos[Nombre],TabPrestatarios[[#This Row],[Nombre]],TabPrestamos[Monto $]),0)</f>
        <v>0</v>
      </c>
      <c r="H6" s="7">
        <f>IFERROR(SUMIF(TabPagos[Nombre],TabPrestatarios[[#This Row],[Nombre]],TabPagos[Pago $]),0)</f>
        <v>0</v>
      </c>
      <c r="I6" s="2">
        <f>TabPrestatarios[[#This Row],[Prestamos $]]-TabPrestatarios[[#This Row],[Pagado $]]</f>
        <v>0</v>
      </c>
    </row>
    <row r="7" spans="1:9" x14ac:dyDescent="0.25">
      <c r="A7">
        <v>8</v>
      </c>
      <c r="B7" t="s">
        <v>107</v>
      </c>
      <c r="C7" t="s">
        <v>73</v>
      </c>
      <c r="D7" t="s">
        <v>99</v>
      </c>
      <c r="E7" t="s">
        <v>99</v>
      </c>
      <c r="F7" s="2">
        <f>COUNTIF(TabPrestamos[Nombre],TabPrestatarios[[#This Row],[Nombre]])</f>
        <v>0</v>
      </c>
      <c r="G7" s="7">
        <f>IFERROR(SUMIF(TabPrestamos[Nombre],TabPrestatarios[[#This Row],[Nombre]],TabPrestamos[Monto $]),0)</f>
        <v>0</v>
      </c>
      <c r="H7" s="7">
        <f>IFERROR(SUMIF(TabPagos[Nombre],TabPrestatarios[[#This Row],[Nombre]],TabPagos[Pago $]),0)</f>
        <v>0</v>
      </c>
      <c r="I7" s="2">
        <f>TabPrestatarios[[#This Row],[Prestamos $]]-TabPrestatarios[[#This Row],[Pagado $]]</f>
        <v>0</v>
      </c>
    </row>
    <row r="8" spans="1:9" x14ac:dyDescent="0.25">
      <c r="A8">
        <v>7</v>
      </c>
      <c r="B8" t="s">
        <v>105</v>
      </c>
      <c r="C8" t="s">
        <v>73</v>
      </c>
      <c r="D8" t="s">
        <v>99</v>
      </c>
      <c r="E8" t="s">
        <v>99</v>
      </c>
      <c r="F8" s="2">
        <f>COUNTIF(TabPrestamos[Nombre],TabPrestatarios[[#This Row],[Nombre]])</f>
        <v>0</v>
      </c>
      <c r="G8" s="7">
        <f>IFERROR(SUMIF(TabPrestamos[Nombre],TabPrestatarios[[#This Row],[Nombre]],TabPrestamos[Monto $]),0)</f>
        <v>0</v>
      </c>
      <c r="H8" s="7">
        <f>IFERROR(SUMIF(TabPagos[Nombre],TabPrestatarios[[#This Row],[Nombre]],TabPagos[Pago $]),0)</f>
        <v>0</v>
      </c>
      <c r="I8" s="2">
        <f>TabPrestatarios[[#This Row],[Prestamos $]]-TabPrestatarios[[#This Row],[Pagado $]]</f>
        <v>0</v>
      </c>
    </row>
    <row r="9" spans="1:9" x14ac:dyDescent="0.25">
      <c r="A9">
        <v>6</v>
      </c>
      <c r="B9" t="s">
        <v>104</v>
      </c>
      <c r="C9" t="s">
        <v>73</v>
      </c>
      <c r="D9" t="s">
        <v>99</v>
      </c>
      <c r="E9" t="s">
        <v>99</v>
      </c>
      <c r="F9" s="2">
        <f>COUNTIF(TabPrestamos[Nombre],TabPrestatarios[[#This Row],[Nombre]])</f>
        <v>0</v>
      </c>
      <c r="G9" s="7">
        <f>IFERROR(SUMIF(TabPrestamos[Nombre],TabPrestatarios[[#This Row],[Nombre]],TabPrestamos[Monto $]),0)</f>
        <v>0</v>
      </c>
      <c r="H9" s="7">
        <f>IFERROR(SUMIF(TabPagos[Nombre],TabPrestatarios[[#This Row],[Nombre]],TabPagos[Pago $]),0)</f>
        <v>0</v>
      </c>
      <c r="I9" s="2">
        <f>TabPrestatarios[[#This Row],[Prestamos $]]-TabPrestatarios[[#This Row],[Pagado $]]</f>
        <v>0</v>
      </c>
    </row>
    <row r="10" spans="1:9" x14ac:dyDescent="0.25">
      <c r="A10">
        <v>5</v>
      </c>
      <c r="B10" t="s">
        <v>103</v>
      </c>
      <c r="C10" t="s">
        <v>73</v>
      </c>
      <c r="D10" t="s">
        <v>99</v>
      </c>
      <c r="E10" t="s">
        <v>99</v>
      </c>
      <c r="F10" s="2">
        <f>COUNTIF(TabPrestamos[Nombre],TabPrestatarios[[#This Row],[Nombre]])</f>
        <v>0</v>
      </c>
      <c r="G10" s="7">
        <f>IFERROR(SUMIF(TabPrestamos[Nombre],TabPrestatarios[[#This Row],[Nombre]],TabPrestamos[Monto $]),0)</f>
        <v>0</v>
      </c>
      <c r="H10" s="7">
        <f>IFERROR(SUMIF(TabPagos[Nombre],TabPrestatarios[[#This Row],[Nombre]],TabPagos[Pago $]),0)</f>
        <v>0</v>
      </c>
      <c r="I10" s="2">
        <f>TabPrestatarios[[#This Row],[Prestamos $]]-TabPrestatarios[[#This Row],[Pagado $]]</f>
        <v>0</v>
      </c>
    </row>
    <row r="11" spans="1:9" x14ac:dyDescent="0.25">
      <c r="A11">
        <v>4</v>
      </c>
      <c r="B11" t="s">
        <v>102</v>
      </c>
      <c r="C11" t="s">
        <v>73</v>
      </c>
      <c r="D11" t="s">
        <v>99</v>
      </c>
      <c r="E11" t="s">
        <v>99</v>
      </c>
      <c r="F11" s="2">
        <f>COUNTIF(TabPrestamos[Nombre],TabPrestatarios[[#This Row],[Nombre]])</f>
        <v>0</v>
      </c>
      <c r="G11" s="7">
        <f>IFERROR(SUMIF(TabPrestamos[Nombre],TabPrestatarios[[#This Row],[Nombre]],TabPrestamos[Monto $]),0)</f>
        <v>0</v>
      </c>
      <c r="H11" s="7">
        <f>IFERROR(SUMIF(TabPagos[Nombre],TabPrestatarios[[#This Row],[Nombre]],TabPagos[Pago $]),0)</f>
        <v>0</v>
      </c>
      <c r="I11" s="2">
        <f>TabPrestatarios[[#This Row],[Prestamos $]]-TabPrestatarios[[#This Row],[Pagado $]]</f>
        <v>0</v>
      </c>
    </row>
    <row r="12" spans="1:9" x14ac:dyDescent="0.25">
      <c r="A12">
        <v>3</v>
      </c>
      <c r="B12" t="s">
        <v>101</v>
      </c>
      <c r="C12" t="s">
        <v>73</v>
      </c>
      <c r="D12" t="s">
        <v>99</v>
      </c>
      <c r="E12" t="s">
        <v>99</v>
      </c>
      <c r="F12" s="2">
        <f>COUNTIF(TabPrestamos[Nombre],TabPrestatarios[[#This Row],[Nombre]])</f>
        <v>0</v>
      </c>
      <c r="G12" s="7">
        <f>IFERROR(SUMIF(TabPrestamos[Nombre],TabPrestatarios[[#This Row],[Nombre]],TabPrestamos[Monto $]),0)</f>
        <v>0</v>
      </c>
      <c r="H12" s="7">
        <f>IFERROR(SUMIF(TabPagos[Nombre],TabPrestatarios[[#This Row],[Nombre]],TabPagos[Pago $]),0)</f>
        <v>0</v>
      </c>
      <c r="I12" s="2">
        <f>TabPrestatarios[[#This Row],[Prestamos $]]-TabPrestatarios[[#This Row],[Pagado $]]</f>
        <v>0</v>
      </c>
    </row>
    <row r="13" spans="1:9" x14ac:dyDescent="0.25">
      <c r="A13">
        <v>2</v>
      </c>
      <c r="B13" t="s">
        <v>100</v>
      </c>
      <c r="C13" t="s">
        <v>73</v>
      </c>
      <c r="D13" t="s">
        <v>99</v>
      </c>
      <c r="E13" t="s">
        <v>99</v>
      </c>
      <c r="F13" s="2">
        <f>COUNTIF(TabPrestamos[Nombre],TabPrestatarios[[#This Row],[Nombre]])</f>
        <v>0</v>
      </c>
      <c r="G13" s="7">
        <f>IFERROR(SUMIF(TabPrestamos[Nombre],TabPrestatarios[[#This Row],[Nombre]],TabPrestamos[Monto $]),0)</f>
        <v>0</v>
      </c>
      <c r="H13" s="7">
        <f>IFERROR(SUMIF(TabPagos[Nombre],TabPrestatarios[[#This Row],[Nombre]],TabPagos[Pago $]),0)</f>
        <v>0</v>
      </c>
      <c r="I13" s="2">
        <f>TabPrestatarios[[#This Row],[Prestamos $]]-TabPrestatarios[[#This Row],[Pagado $]]</f>
        <v>0</v>
      </c>
    </row>
    <row r="14" spans="1:9" x14ac:dyDescent="0.25">
      <c r="A14">
        <v>1</v>
      </c>
      <c r="B14" t="s">
        <v>98</v>
      </c>
      <c r="C14" t="s">
        <v>73</v>
      </c>
      <c r="D14" t="s">
        <v>99</v>
      </c>
      <c r="E14" t="s">
        <v>99</v>
      </c>
      <c r="F14" s="2">
        <f>COUNTIF(TabPrestamos[Nombre],TabPrestatarios[[#This Row],[Nombre]])</f>
        <v>0</v>
      </c>
      <c r="G14" s="7">
        <f>IFERROR(SUMIF(TabPrestamos[Nombre],TabPrestatarios[[#This Row],[Nombre]],TabPrestamos[Monto $]),0)</f>
        <v>0</v>
      </c>
      <c r="H14" s="7">
        <f>IFERROR(SUMIF(TabPagos[Nombre],TabPrestatarios[[#This Row],[Nombre]],TabPagos[Pago $]),0)</f>
        <v>0</v>
      </c>
      <c r="I14" s="2">
        <f>TabPrestatarios[[#This Row],[Prestamos $]]-TabPrestatarios[[#This Row],[Pagado $]]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7FF4A-060A-4FD4-B781-D8DD7AADEE1B}">
  <sheetPr codeName="Hoja4">
    <tabColor rgb="FF00B0F0"/>
  </sheetPr>
  <dimension ref="A1:H4"/>
  <sheetViews>
    <sheetView zoomScaleNormal="100" workbookViewId="0">
      <selection activeCell="A4" sqref="A2:XFD4"/>
    </sheetView>
  </sheetViews>
  <sheetFormatPr baseColWidth="10" defaultRowHeight="15" x14ac:dyDescent="0.25"/>
  <cols>
    <col min="1" max="1" width="4.5703125" customWidth="1"/>
    <col min="2" max="2" width="15.140625" customWidth="1"/>
    <col min="6" max="6" width="18.7109375" bestFit="1" customWidth="1"/>
    <col min="7" max="7" width="19.7109375" bestFit="1" customWidth="1"/>
    <col min="8" max="8" width="16.85546875" bestFit="1" customWidth="1"/>
  </cols>
  <sheetData>
    <row r="1" spans="1:8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s="2" t="s">
        <v>56</v>
      </c>
      <c r="G1" s="2" t="s">
        <v>57</v>
      </c>
      <c r="H1" t="s">
        <v>88</v>
      </c>
    </row>
    <row r="2" spans="1:8" x14ac:dyDescent="0.25">
      <c r="A2">
        <v>3</v>
      </c>
      <c r="B2" t="s">
        <v>101</v>
      </c>
      <c r="C2" t="s">
        <v>73</v>
      </c>
      <c r="D2" t="s">
        <v>99</v>
      </c>
      <c r="E2" t="s">
        <v>99</v>
      </c>
      <c r="F2" s="2"/>
      <c r="G2" s="2"/>
      <c r="H2" s="23">
        <v>151</v>
      </c>
    </row>
    <row r="3" spans="1:8" x14ac:dyDescent="0.25">
      <c r="A3">
        <v>2</v>
      </c>
      <c r="B3" t="s">
        <v>100</v>
      </c>
      <c r="C3" t="s">
        <v>73</v>
      </c>
      <c r="D3" t="s">
        <v>99</v>
      </c>
      <c r="E3" t="s">
        <v>99</v>
      </c>
      <c r="F3" s="2"/>
      <c r="G3" s="2"/>
      <c r="H3" s="23">
        <v>20</v>
      </c>
    </row>
    <row r="4" spans="1:8" x14ac:dyDescent="0.25">
      <c r="A4">
        <v>1</v>
      </c>
      <c r="B4" t="s">
        <v>98</v>
      </c>
      <c r="C4" t="s">
        <v>73</v>
      </c>
      <c r="D4" t="s">
        <v>99</v>
      </c>
      <c r="E4" t="s">
        <v>99</v>
      </c>
      <c r="F4" s="2"/>
      <c r="G4" s="2"/>
      <c r="H4" s="23">
        <v>10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6E97C1-71BC-4C88-8EA2-26D673FF2C4D}">
  <sheetPr codeName="Hoja3">
    <tabColor rgb="FF00B0F0"/>
  </sheetPr>
  <dimension ref="A1:G3"/>
  <sheetViews>
    <sheetView workbookViewId="0">
      <selection activeCell="G23" sqref="G23"/>
    </sheetView>
  </sheetViews>
  <sheetFormatPr baseColWidth="10" defaultRowHeight="15" x14ac:dyDescent="0.25"/>
  <cols>
    <col min="1" max="1" width="4.85546875" bestFit="1" customWidth="1"/>
    <col min="6" max="6" width="18.5703125" bestFit="1" customWidth="1"/>
    <col min="7" max="7" width="19.7109375" bestFit="1" customWidth="1"/>
    <col min="8" max="8" width="14.28515625" customWidth="1"/>
  </cols>
  <sheetData>
    <row r="1" spans="1:7" x14ac:dyDescent="0.25">
      <c r="A1" t="s">
        <v>3</v>
      </c>
      <c r="B1" t="s">
        <v>4</v>
      </c>
      <c r="C1" t="s">
        <v>5</v>
      </c>
      <c r="D1" t="s">
        <v>6</v>
      </c>
      <c r="E1" t="s">
        <v>7</v>
      </c>
      <c r="F1" s="2" t="s">
        <v>58</v>
      </c>
      <c r="G1" s="2" t="s">
        <v>57</v>
      </c>
    </row>
    <row r="2" spans="1:7" x14ac:dyDescent="0.25">
      <c r="A2">
        <v>2</v>
      </c>
      <c r="B2" t="s">
        <v>100</v>
      </c>
      <c r="C2" t="s">
        <v>73</v>
      </c>
      <c r="D2" t="s">
        <v>99</v>
      </c>
      <c r="E2" t="s">
        <v>99</v>
      </c>
      <c r="F2" s="2"/>
      <c r="G2" s="2"/>
    </row>
    <row r="3" spans="1:7" x14ac:dyDescent="0.25">
      <c r="A3">
        <v>1</v>
      </c>
      <c r="B3" t="s">
        <v>98</v>
      </c>
      <c r="C3" t="s">
        <v>73</v>
      </c>
      <c r="D3" t="s">
        <v>99</v>
      </c>
      <c r="E3" t="s">
        <v>99</v>
      </c>
      <c r="F3" s="2"/>
      <c r="G3" s="2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B7B7E-C8B0-40BA-A109-A9378D519E86}">
  <sheetPr codeName="Hoja8">
    <tabColor rgb="FF00B050"/>
  </sheetPr>
  <dimension ref="A1:M11"/>
  <sheetViews>
    <sheetView workbookViewId="0">
      <selection activeCell="B2" sqref="B2"/>
    </sheetView>
  </sheetViews>
  <sheetFormatPr baseColWidth="10" defaultRowHeight="15" x14ac:dyDescent="0.25"/>
  <cols>
    <col min="1" max="1" width="4.85546875" bestFit="1" customWidth="1"/>
    <col min="4" max="4" width="12.7109375" bestFit="1" customWidth="1"/>
    <col min="5" max="5" width="13.7109375" bestFit="1" customWidth="1"/>
    <col min="6" max="6" width="12.28515625" bestFit="1" customWidth="1"/>
    <col min="8" max="8" width="16.7109375" bestFit="1" customWidth="1"/>
    <col min="9" max="9" width="13.42578125" bestFit="1" customWidth="1"/>
  </cols>
  <sheetData>
    <row r="1" spans="1:13" x14ac:dyDescent="0.25">
      <c r="A1" s="2" t="s">
        <v>3</v>
      </c>
      <c r="B1" s="2" t="s">
        <v>71</v>
      </c>
      <c r="C1" s="2" t="s">
        <v>4</v>
      </c>
      <c r="D1" s="2" t="s">
        <v>8</v>
      </c>
      <c r="E1" s="2" t="s">
        <v>23</v>
      </c>
      <c r="F1" s="7" t="s">
        <v>38</v>
      </c>
      <c r="G1" s="7" t="s">
        <v>39</v>
      </c>
      <c r="H1" s="7" t="s">
        <v>86</v>
      </c>
      <c r="I1" s="2" t="s">
        <v>87</v>
      </c>
      <c r="K1" s="13">
        <f>SUM(TabCajaGeneral[Entrada $])</f>
        <v>160000</v>
      </c>
      <c r="L1" s="12">
        <f>SUM(TabCajaGeneral[Salida $])</f>
        <v>11000</v>
      </c>
      <c r="M1" s="14">
        <f>K1-L1</f>
        <v>149000</v>
      </c>
    </row>
    <row r="2" spans="1:13" x14ac:dyDescent="0.25">
      <c r="A2" s="2">
        <v>6</v>
      </c>
      <c r="B2" s="2">
        <v>6</v>
      </c>
      <c r="C2" s="2" t="s">
        <v>110</v>
      </c>
      <c r="D2" s="6">
        <v>44960</v>
      </c>
      <c r="E2" s="2" t="s">
        <v>84</v>
      </c>
      <c r="F2" s="7"/>
      <c r="G2" s="10">
        <v>10000</v>
      </c>
      <c r="H2" s="16">
        <f>IFERROR(VLOOKUP(TabCajaGeneral[[#This Row],[id]]-1,TabCajaGeneral[],9,FALSE),0)</f>
        <v>159000</v>
      </c>
      <c r="I2" s="7">
        <f>TabCajaGeneral[[#This Row],[Saldo anterior]]+TabCajaGeneral[[#This Row],[Entrada $]]-TabCajaGeneral[[#This Row],[Salida $]]</f>
        <v>149000</v>
      </c>
      <c r="K2" s="13"/>
      <c r="L2" s="12"/>
      <c r="M2" s="14"/>
    </row>
    <row r="3" spans="1:13" x14ac:dyDescent="0.25">
      <c r="A3" s="2">
        <v>5</v>
      </c>
      <c r="B3" s="2">
        <v>5</v>
      </c>
      <c r="C3" s="2" t="s">
        <v>106</v>
      </c>
      <c r="D3" s="6">
        <v>44960</v>
      </c>
      <c r="E3" s="2" t="s">
        <v>84</v>
      </c>
      <c r="F3" s="7"/>
      <c r="G3" s="10">
        <v>1000</v>
      </c>
      <c r="H3" s="16">
        <f>IFERROR(VLOOKUP(TabCajaGeneral[[#This Row],[id]]-1,TabCajaGeneral[],9,FALSE),0)</f>
        <v>160000</v>
      </c>
      <c r="I3" s="7">
        <f>TabCajaGeneral[[#This Row],[Saldo anterior]]+TabCajaGeneral[[#This Row],[Entrada $]]-TabCajaGeneral[[#This Row],[Salida $]]</f>
        <v>159000</v>
      </c>
      <c r="K3" s="13"/>
      <c r="L3" s="12"/>
      <c r="M3" s="14"/>
    </row>
    <row r="4" spans="1:13" x14ac:dyDescent="0.25">
      <c r="A4" s="2">
        <v>4</v>
      </c>
      <c r="B4" s="2">
        <v>4</v>
      </c>
      <c r="C4" s="2" t="s">
        <v>98</v>
      </c>
      <c r="D4" s="6">
        <v>44960</v>
      </c>
      <c r="E4" s="2" t="s">
        <v>37</v>
      </c>
      <c r="F4" s="10">
        <v>10000</v>
      </c>
      <c r="G4" s="7"/>
      <c r="H4" s="16">
        <f>IFERROR(VLOOKUP(TabCajaGeneral[[#This Row],[id]]-1,TabCajaGeneral[],9,FALSE),0)</f>
        <v>150000</v>
      </c>
      <c r="I4" s="7">
        <f>TabCajaGeneral[[#This Row],[Saldo anterior]]+TabCajaGeneral[[#This Row],[Entrada $]]-TabCajaGeneral[[#This Row],[Salida $]]</f>
        <v>160000</v>
      </c>
      <c r="K4" s="13"/>
      <c r="L4" s="12"/>
      <c r="M4" s="14"/>
    </row>
    <row r="5" spans="1:13" x14ac:dyDescent="0.25">
      <c r="A5" s="2">
        <v>3</v>
      </c>
      <c r="B5" s="2">
        <v>3</v>
      </c>
      <c r="C5" s="2" t="s">
        <v>74</v>
      </c>
      <c r="D5" s="6">
        <v>44960</v>
      </c>
      <c r="E5" s="2" t="s">
        <v>37</v>
      </c>
      <c r="F5" s="10">
        <v>30000</v>
      </c>
      <c r="G5" s="7"/>
      <c r="H5" s="16">
        <f>IFERROR(VLOOKUP(TabCajaGeneral[[#This Row],[id]]-1,TabCajaGeneral[],9,FALSE),0)</f>
        <v>120000</v>
      </c>
      <c r="I5" s="7">
        <f>TabCajaGeneral[[#This Row],[Saldo anterior]]+TabCajaGeneral[[#This Row],[Entrada $]]-TabCajaGeneral[[#This Row],[Salida $]]</f>
        <v>150000</v>
      </c>
      <c r="K5" s="13"/>
      <c r="L5" s="12"/>
      <c r="M5" s="14"/>
    </row>
    <row r="6" spans="1:13" x14ac:dyDescent="0.25">
      <c r="A6" s="2">
        <v>2</v>
      </c>
      <c r="B6" s="2">
        <v>2</v>
      </c>
      <c r="C6" s="2" t="s">
        <v>95</v>
      </c>
      <c r="D6" s="6">
        <v>44960</v>
      </c>
      <c r="E6" s="2" t="s">
        <v>37</v>
      </c>
      <c r="F6" s="10">
        <v>10000</v>
      </c>
      <c r="G6" s="7"/>
      <c r="H6" s="16">
        <f>IFERROR(VLOOKUP(TabCajaGeneral[[#This Row],[id]]-1,TabCajaGeneral[],9,FALSE),0)</f>
        <v>110000</v>
      </c>
      <c r="I6" s="7">
        <f>TabCajaGeneral[[#This Row],[Saldo anterior]]+TabCajaGeneral[[#This Row],[Entrada $]]-TabCajaGeneral[[#This Row],[Salida $]]</f>
        <v>120000</v>
      </c>
      <c r="K6" s="13"/>
      <c r="L6" s="12"/>
      <c r="M6" s="14"/>
    </row>
    <row r="7" spans="1:13" x14ac:dyDescent="0.25">
      <c r="A7" s="2">
        <v>1</v>
      </c>
      <c r="B7" s="2">
        <v>1</v>
      </c>
      <c r="C7" s="2" t="s">
        <v>93</v>
      </c>
      <c r="D7" s="6">
        <v>44960</v>
      </c>
      <c r="E7" s="2" t="s">
        <v>37</v>
      </c>
      <c r="F7" s="10">
        <v>110000</v>
      </c>
      <c r="G7" s="7"/>
      <c r="H7" s="16">
        <f>IFERROR(VLOOKUP(TabCajaGeneral[[#This Row],[id]]-1,TabCajaGeneral[],9,FALSE),0)</f>
        <v>0</v>
      </c>
      <c r="I7" s="7">
        <f>TabCajaGeneral[[#This Row],[Saldo anterior]]+TabCajaGeneral[[#This Row],[Entrada $]]-TabCajaGeneral[[#This Row],[Salida $]]</f>
        <v>110000</v>
      </c>
      <c r="K7" s="13"/>
      <c r="L7" s="12"/>
      <c r="M7" s="14"/>
    </row>
    <row r="8" spans="1:13" x14ac:dyDescent="0.25">
      <c r="K8" s="13"/>
      <c r="L8" s="12"/>
      <c r="M8" s="14"/>
    </row>
    <row r="9" spans="1:13" x14ac:dyDescent="0.25">
      <c r="K9" s="13"/>
      <c r="L9" s="12"/>
      <c r="M9" s="14"/>
    </row>
    <row r="10" spans="1:13" x14ac:dyDescent="0.25">
      <c r="K10" s="13"/>
      <c r="L10" s="12"/>
      <c r="M10" s="14"/>
    </row>
    <row r="11" spans="1:13" x14ac:dyDescent="0.25">
      <c r="K11" s="13"/>
      <c r="L11" s="12"/>
      <c r="M11" s="14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F68A1-DB1B-4189-BA2E-03D5672AE631}">
  <sheetPr codeName="Hoja9">
    <tabColor rgb="FF00B050"/>
  </sheetPr>
  <dimension ref="A1:I2"/>
  <sheetViews>
    <sheetView workbookViewId="0">
      <selection activeCell="G2" sqref="G2"/>
    </sheetView>
  </sheetViews>
  <sheetFormatPr baseColWidth="10" defaultRowHeight="15" x14ac:dyDescent="0.25"/>
  <cols>
    <col min="6" max="6" width="19.7109375" customWidth="1"/>
    <col min="7" max="7" width="19.28515625" customWidth="1"/>
    <col min="8" max="8" width="22.28515625" customWidth="1"/>
    <col min="9" max="9" width="14.28515625" bestFit="1" customWidth="1"/>
  </cols>
  <sheetData>
    <row r="1" spans="1:9" x14ac:dyDescent="0.25">
      <c r="A1" s="2" t="s">
        <v>3</v>
      </c>
      <c r="B1" t="s">
        <v>4</v>
      </c>
      <c r="C1" t="s">
        <v>8</v>
      </c>
      <c r="D1" t="s">
        <v>38</v>
      </c>
      <c r="E1" s="2" t="s">
        <v>39</v>
      </c>
      <c r="F1" s="2" t="s">
        <v>49</v>
      </c>
      <c r="G1" s="2" t="s">
        <v>50</v>
      </c>
      <c r="H1" t="s">
        <v>52</v>
      </c>
      <c r="I1" t="s">
        <v>54</v>
      </c>
    </row>
    <row r="2" spans="1:9" x14ac:dyDescent="0.25">
      <c r="F2" t="s">
        <v>51</v>
      </c>
      <c r="H2" t="s">
        <v>53</v>
      </c>
      <c r="I2" t="s">
        <v>55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772A2-F7DB-46D4-8AE6-94C51E05652E}">
  <sheetPr codeName="Hoja7">
    <tabColor rgb="FF00B050"/>
  </sheetPr>
  <dimension ref="A1:J2"/>
  <sheetViews>
    <sheetView workbookViewId="0">
      <selection activeCell="F8" sqref="F8"/>
    </sheetView>
  </sheetViews>
  <sheetFormatPr baseColWidth="10" defaultRowHeight="15" x14ac:dyDescent="0.25"/>
  <cols>
    <col min="1" max="1" width="4.85546875" bestFit="1" customWidth="1"/>
    <col min="2" max="2" width="16.140625" bestFit="1" customWidth="1"/>
    <col min="5" max="5" width="13.7109375" customWidth="1"/>
    <col min="7" max="7" width="16.140625" bestFit="1" customWidth="1"/>
    <col min="10" max="10" width="18" customWidth="1"/>
  </cols>
  <sheetData>
    <row r="1" spans="1:10" x14ac:dyDescent="0.25">
      <c r="A1" s="2" t="s">
        <v>3</v>
      </c>
      <c r="B1" t="s">
        <v>4</v>
      </c>
      <c r="C1" t="s">
        <v>8</v>
      </c>
      <c r="D1" t="s">
        <v>41</v>
      </c>
      <c r="E1" s="2" t="s">
        <v>63</v>
      </c>
      <c r="F1" t="s">
        <v>38</v>
      </c>
      <c r="G1" s="2" t="s">
        <v>64</v>
      </c>
      <c r="H1" s="2" t="s">
        <v>48</v>
      </c>
      <c r="I1" s="2" t="s">
        <v>39</v>
      </c>
      <c r="J1" s="2" t="s">
        <v>50</v>
      </c>
    </row>
    <row r="2" spans="1:10" x14ac:dyDescent="0.25">
      <c r="A2" s="2"/>
      <c r="C2" s="4"/>
      <c r="E2" s="6"/>
      <c r="F2" s="15"/>
      <c r="G2" s="17"/>
      <c r="H2" s="7"/>
      <c r="I2" s="2"/>
      <c r="J2" s="2"/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F8120-51BE-4280-81CD-5BE982EC1E00}">
  <sheetPr codeName="Hoja6">
    <tabColor theme="5"/>
  </sheetPr>
  <dimension ref="A1:N23"/>
  <sheetViews>
    <sheetView workbookViewId="0">
      <selection activeCell="A3" sqref="A2:A3"/>
    </sheetView>
  </sheetViews>
  <sheetFormatPr baseColWidth="10" defaultRowHeight="15" x14ac:dyDescent="0.25"/>
  <cols>
    <col min="1" max="1" width="4.85546875" bestFit="1" customWidth="1"/>
    <col min="2" max="2" width="18.7109375" bestFit="1" customWidth="1"/>
    <col min="3" max="3" width="10.5703125" bestFit="1" customWidth="1"/>
    <col min="4" max="4" width="11.28515625" bestFit="1" customWidth="1"/>
    <col min="5" max="5" width="13.7109375" bestFit="1" customWidth="1"/>
    <col min="6" max="6" width="11.28515625" bestFit="1" customWidth="1"/>
    <col min="7" max="7" width="26.5703125" bestFit="1" customWidth="1"/>
    <col min="8" max="8" width="18.85546875" bestFit="1" customWidth="1"/>
    <col min="9" max="9" width="11.28515625" bestFit="1" customWidth="1"/>
  </cols>
  <sheetData>
    <row r="1" spans="1:14" x14ac:dyDescent="0.25">
      <c r="A1" s="2" t="s">
        <v>3</v>
      </c>
      <c r="B1" t="s">
        <v>4</v>
      </c>
      <c r="C1" t="s">
        <v>8</v>
      </c>
      <c r="D1" t="s">
        <v>40</v>
      </c>
      <c r="E1" t="s">
        <v>41</v>
      </c>
      <c r="F1" s="2" t="s">
        <v>42</v>
      </c>
      <c r="G1" s="2" t="s">
        <v>44</v>
      </c>
      <c r="H1" s="2" t="s">
        <v>43</v>
      </c>
      <c r="I1" s="2" t="s">
        <v>45</v>
      </c>
    </row>
    <row r="2" spans="1:14" x14ac:dyDescent="0.25">
      <c r="A2" s="2">
        <v>2</v>
      </c>
      <c r="B2" t="s">
        <v>110</v>
      </c>
      <c r="C2" s="4">
        <v>44960</v>
      </c>
      <c r="D2" s="23">
        <v>10000</v>
      </c>
      <c r="E2">
        <v>12</v>
      </c>
      <c r="F2" s="5">
        <v>0.16</v>
      </c>
      <c r="G2" s="7">
        <f>TabPrestamos[[#This Row],[Deuda $]]/(TabPrestamos[[#This Row],[Plazo meses]]*2)</f>
        <v>483.33333333333331</v>
      </c>
      <c r="H2" s="7">
        <f>SUMIFS(TabPagos[Pago $],TabPagos[Fecha],"&gt;="&amp;TabPrestamos[[#This Row],[Fecha]],TabPagos[Nombre],TabPrestamos[[#This Row],[Nombre]])</f>
        <v>0</v>
      </c>
      <c r="I2" s="7">
        <f>TabPrestamos[[#This Row],[Monto $]]+TabPrestamos[[#This Row],[Monto $]]*(TabPrestamos[[#This Row],[Interes %]]*TabPrestamos[[#This Row],[Plazo meses]]/12)</f>
        <v>11600</v>
      </c>
    </row>
    <row r="3" spans="1:14" x14ac:dyDescent="0.25">
      <c r="A3" s="2">
        <v>1</v>
      </c>
      <c r="B3" t="s">
        <v>106</v>
      </c>
      <c r="C3" s="4">
        <v>44960</v>
      </c>
      <c r="D3" s="23">
        <v>1000</v>
      </c>
      <c r="E3">
        <v>3</v>
      </c>
      <c r="F3" s="5">
        <v>0.16</v>
      </c>
      <c r="G3" s="7">
        <f>TabPrestamos[[#This Row],[Deuda $]]/(TabPrestamos[[#This Row],[Plazo meses]]*2)</f>
        <v>173.33333333333334</v>
      </c>
      <c r="H3" s="7">
        <f>SUMIFS(TabPagos[Pago $],TabPagos[Fecha],"&gt;="&amp;TabPrestamos[[#This Row],[Fecha]],TabPagos[Nombre],TabPrestamos[[#This Row],[Nombre]])</f>
        <v>0</v>
      </c>
      <c r="I3" s="7">
        <f>TabPrestamos[[#This Row],[Monto $]]+TabPrestamos[[#This Row],[Monto $]]*(TabPrestamos[[#This Row],[Interes %]]*TabPrestamos[[#This Row],[Plazo meses]]/12)</f>
        <v>1040</v>
      </c>
    </row>
    <row r="11" spans="1:14" x14ac:dyDescent="0.25">
      <c r="N11" s="9"/>
    </row>
    <row r="23" spans="11:11" x14ac:dyDescent="0.25">
      <c r="K23" s="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603C9-DF74-43C2-8226-0A8336557EB7}">
  <sheetPr codeName="Hoja12">
    <tabColor theme="5"/>
  </sheetPr>
  <dimension ref="A1:H2"/>
  <sheetViews>
    <sheetView workbookViewId="0">
      <selection activeCell="H2" sqref="H2"/>
    </sheetView>
  </sheetViews>
  <sheetFormatPr baseColWidth="10" defaultRowHeight="15" x14ac:dyDescent="0.25"/>
  <cols>
    <col min="1" max="1" width="4.85546875" bestFit="1" customWidth="1"/>
    <col min="2" max="2" width="4.85546875" customWidth="1"/>
    <col min="3" max="3" width="18.7109375" bestFit="1" customWidth="1"/>
    <col min="5" max="5" width="14.7109375" bestFit="1" customWidth="1"/>
    <col min="8" max="8" width="17.28515625" bestFit="1" customWidth="1"/>
  </cols>
  <sheetData>
    <row r="1" spans="1:8" x14ac:dyDescent="0.25">
      <c r="A1" s="2" t="s">
        <v>3</v>
      </c>
      <c r="B1" s="2" t="s">
        <v>85</v>
      </c>
      <c r="C1" t="s">
        <v>4</v>
      </c>
      <c r="D1" t="s">
        <v>8</v>
      </c>
      <c r="E1" t="s">
        <v>46</v>
      </c>
      <c r="F1" s="2" t="s">
        <v>47</v>
      </c>
      <c r="G1" s="2" t="s">
        <v>48</v>
      </c>
      <c r="H1" t="s">
        <v>112</v>
      </c>
    </row>
    <row r="2" spans="1:8" x14ac:dyDescent="0.25">
      <c r="A2" s="2"/>
      <c r="B2" s="2"/>
      <c r="D2" s="4"/>
      <c r="E2" s="11"/>
      <c r="F2" s="7"/>
      <c r="G2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A0AB9-DE74-4447-A6B0-2D89CE3FA7E1}">
  <sheetPr codeName="Hoja10"/>
  <dimension ref="A1"/>
  <sheetViews>
    <sheetView workbookViewId="0">
      <selection activeCell="F16" sqref="F16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4</vt:i4>
      </vt:variant>
    </vt:vector>
  </HeadingPairs>
  <TitlesOfParts>
    <vt:vector size="16" baseType="lpstr">
      <vt:lpstr>Ejecutar</vt:lpstr>
      <vt:lpstr>Datos Generales</vt:lpstr>
      <vt:lpstr>Socios</vt:lpstr>
      <vt:lpstr>Prestatarios</vt:lpstr>
      <vt:lpstr>Ahorradores</vt:lpstr>
      <vt:lpstr>Inversionistas</vt:lpstr>
      <vt:lpstr>Caja General</vt:lpstr>
      <vt:lpstr>Caja Ahorros</vt:lpstr>
      <vt:lpstr>Caja Inversiones</vt:lpstr>
      <vt:lpstr>Prestamos</vt:lpstr>
      <vt:lpstr>Pagos</vt:lpstr>
      <vt:lpstr>Gastos</vt:lpstr>
      <vt:lpstr>CajaGeneralNow</vt:lpstr>
      <vt:lpstr>CAPITAL</vt:lpstr>
      <vt:lpstr>FechaFinUtilidad</vt:lpstr>
      <vt:lpstr>InteresPrestamo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100043227</dc:creator>
  <cp:lastModifiedBy>Francisco Javier Velasco Cruz</cp:lastModifiedBy>
  <dcterms:created xsi:type="dcterms:W3CDTF">2023-01-23T22:46:19Z</dcterms:created>
  <dcterms:modified xsi:type="dcterms:W3CDTF">2023-07-05T23:55:59Z</dcterms:modified>
</cp:coreProperties>
</file>