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d1f659a22996235/Ing. Pancho/Programacion/Macros Excel/Recetas/"/>
    </mc:Choice>
  </mc:AlternateContent>
  <xr:revisionPtr revIDLastSave="79" documentId="13_ncr:1_{C3A3E498-D92B-432F-A93F-5C08F5F061E5}" xr6:coauthVersionLast="47" xr6:coauthVersionMax="47" xr10:uidLastSave="{D69CB44B-FC20-407E-A213-041B0AAD0E83}"/>
  <bookViews>
    <workbookView xWindow="-108" yWindow="-108" windowWidth="19416" windowHeight="10296" activeTab="4" xr2:uid="{02B5959D-8B04-4A9F-891B-A8586C2599CB}"/>
  </bookViews>
  <sheets>
    <sheet name="Ejecutar" sheetId="9" r:id="rId1"/>
    <sheet name="Precios Tablas" sheetId="1" r:id="rId2"/>
    <sheet name="Informacion" sheetId="6" r:id="rId3"/>
    <sheet name="Recetas" sheetId="7" r:id="rId4"/>
    <sheet name="Receta-Ingredientes" sheetId="8" r:id="rId5"/>
    <sheet name="Tabla de precios" sheetId="10" r:id="rId6"/>
  </sheets>
  <functionGroups builtInGroupCount="19"/>
  <definedNames>
    <definedName name="Tipo">TabGrRecetas[Tipo]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4" i="8" l="1"/>
  <c r="G69" i="8"/>
  <c r="G68" i="8"/>
  <c r="G67" i="8"/>
  <c r="G66" i="8"/>
  <c r="G65" i="8"/>
  <c r="G63" i="8"/>
  <c r="G62" i="8"/>
  <c r="G61" i="8"/>
  <c r="G60" i="8"/>
  <c r="G115" i="8"/>
  <c r="G114" i="8"/>
  <c r="G113" i="8"/>
  <c r="G112" i="8"/>
  <c r="G110" i="8"/>
  <c r="G109" i="8"/>
  <c r="G2" i="8"/>
  <c r="G107" i="8"/>
  <c r="G106" i="8"/>
  <c r="G13" i="8"/>
  <c r="G12" i="8"/>
  <c r="G11" i="8"/>
  <c r="G10" i="8"/>
  <c r="G8" i="8"/>
  <c r="G7" i="8"/>
  <c r="G108" i="8"/>
  <c r="G5" i="8"/>
  <c r="G9" i="8"/>
  <c r="C26" i="10"/>
  <c r="F26" i="10" s="1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C30" i="10"/>
  <c r="H30" i="10" s="1"/>
  <c r="C31" i="10"/>
  <c r="H31" i="10" s="1"/>
  <c r="C32" i="10"/>
  <c r="F32" i="10" s="1"/>
  <c r="C33" i="10"/>
  <c r="E33" i="10" s="1"/>
  <c r="C34" i="10"/>
  <c r="E34" i="10" s="1"/>
  <c r="C35" i="10"/>
  <c r="E35" i="10" s="1"/>
  <c r="C36" i="10"/>
  <c r="E36" i="10" s="1"/>
  <c r="C37" i="10"/>
  <c r="E37" i="10" s="1"/>
  <c r="C38" i="10"/>
  <c r="H38" i="10" s="1"/>
  <c r="C39" i="10"/>
  <c r="E39" i="10" s="1"/>
  <c r="C40" i="10"/>
  <c r="D40" i="10" s="1"/>
  <c r="C41" i="10"/>
  <c r="H41" i="10" s="1"/>
  <c r="C42" i="10"/>
  <c r="D42" i="10" s="1"/>
  <c r="C43" i="10"/>
  <c r="E43" i="10" s="1"/>
  <c r="C44" i="10"/>
  <c r="H44" i="10" s="1"/>
  <c r="C45" i="10"/>
  <c r="E45" i="10" s="1"/>
  <c r="C46" i="10"/>
  <c r="D46" i="10" s="1"/>
  <c r="C47" i="10"/>
  <c r="E47" i="10" s="1"/>
  <c r="C48" i="10"/>
  <c r="D48" i="10" s="1"/>
  <c r="C49" i="10"/>
  <c r="E49" i="10" s="1"/>
  <c r="C50" i="10"/>
  <c r="E50" i="10" s="1"/>
  <c r="C51" i="10"/>
  <c r="E51" i="10" s="1"/>
  <c r="C52" i="10"/>
  <c r="E52" i="10" s="1"/>
  <c r="C53" i="10"/>
  <c r="D53" i="10" s="1"/>
  <c r="C54" i="10"/>
  <c r="F54" i="10" s="1"/>
  <c r="C55" i="10"/>
  <c r="H55" i="10" s="1"/>
  <c r="C56" i="10"/>
  <c r="E56" i="10" s="1"/>
  <c r="C57" i="10"/>
  <c r="E57" i="10" s="1"/>
  <c r="C58" i="10"/>
  <c r="H58" i="10" s="1"/>
  <c r="C59" i="10"/>
  <c r="D59" i="10" s="1"/>
  <c r="C60" i="10"/>
  <c r="D60" i="10" s="1"/>
  <c r="C61" i="10"/>
  <c r="E61" i="10" s="1"/>
  <c r="C62" i="10"/>
  <c r="F62" i="10" s="1"/>
  <c r="C63" i="10"/>
  <c r="D63" i="10" s="1"/>
  <c r="C64" i="10"/>
  <c r="E64" i="10" s="1"/>
  <c r="C65" i="10"/>
  <c r="D65" i="10" s="1"/>
  <c r="C66" i="10"/>
  <c r="D66" i="10" s="1"/>
  <c r="C67" i="10"/>
  <c r="E67" i="10" s="1"/>
  <c r="C68" i="10"/>
  <c r="D68" i="10" s="1"/>
  <c r="C69" i="10"/>
  <c r="E69" i="10" s="1"/>
  <c r="C70" i="10"/>
  <c r="H70" i="10" s="1"/>
  <c r="C71" i="10"/>
  <c r="E71" i="10" s="1"/>
  <c r="C72" i="10"/>
  <c r="E72" i="10" s="1"/>
  <c r="C73" i="10"/>
  <c r="E73" i="10" s="1"/>
  <c r="C74" i="10"/>
  <c r="H74" i="10" s="1"/>
  <c r="C75" i="10"/>
  <c r="E75" i="10" s="1"/>
  <c r="C76" i="10"/>
  <c r="E76" i="10" s="1"/>
  <c r="C77" i="10"/>
  <c r="D77" i="10" s="1"/>
  <c r="C78" i="10"/>
  <c r="H78" i="10" s="1"/>
  <c r="C79" i="10"/>
  <c r="D79" i="10" s="1"/>
  <c r="C80" i="10"/>
  <c r="E80" i="10" s="1"/>
  <c r="C81" i="10"/>
  <c r="E81" i="10" s="1"/>
  <c r="C82" i="10"/>
  <c r="D82" i="10" s="1"/>
  <c r="C83" i="10"/>
  <c r="H83" i="10" s="1"/>
  <c r="C84" i="10"/>
  <c r="D84" i="10" s="1"/>
  <c r="C85" i="10"/>
  <c r="E85" i="10" s="1"/>
  <c r="C86" i="10"/>
  <c r="E86" i="10" s="1"/>
  <c r="C87" i="10"/>
  <c r="E87" i="10" s="1"/>
  <c r="C88" i="10"/>
  <c r="E88" i="10" s="1"/>
  <c r="C89" i="10"/>
  <c r="E89" i="10" s="1"/>
  <c r="C90" i="10"/>
  <c r="F90" i="10" s="1"/>
  <c r="C91" i="10"/>
  <c r="D91" i="10" s="1"/>
  <c r="C92" i="10"/>
  <c r="D92" i="10" s="1"/>
  <c r="C93" i="10"/>
  <c r="E93" i="10" s="1"/>
  <c r="C94" i="10"/>
  <c r="D94" i="10" s="1"/>
  <c r="C95" i="10"/>
  <c r="E95" i="10" s="1"/>
  <c r="C96" i="10"/>
  <c r="D96" i="10" s="1"/>
  <c r="C97" i="10"/>
  <c r="E97" i="10" s="1"/>
  <c r="C98" i="10"/>
  <c r="E98" i="10" s="1"/>
  <c r="C99" i="10"/>
  <c r="F99" i="10" s="1"/>
  <c r="C100" i="10"/>
  <c r="D100" i="10" s="1"/>
  <c r="C101" i="10"/>
  <c r="D101" i="10" s="1"/>
  <c r="B29" i="10"/>
  <c r="C29" i="10"/>
  <c r="E29" i="10" s="1"/>
  <c r="B2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D31" i="10" l="1"/>
  <c r="D34" i="10"/>
  <c r="D32" i="10"/>
  <c r="D35" i="10"/>
  <c r="D33" i="10"/>
  <c r="E30" i="10"/>
  <c r="D30" i="10"/>
  <c r="D56" i="10"/>
  <c r="H34" i="10"/>
  <c r="E58" i="10"/>
  <c r="E46" i="10"/>
  <c r="D58" i="10"/>
  <c r="F30" i="10"/>
  <c r="D54" i="10"/>
  <c r="H66" i="10"/>
  <c r="F46" i="10"/>
  <c r="F34" i="10"/>
  <c r="H94" i="10"/>
  <c r="H82" i="10"/>
  <c r="F58" i="10"/>
  <c r="H56" i="10"/>
  <c r="H46" i="10"/>
  <c r="H68" i="10"/>
  <c r="E32" i="10"/>
  <c r="H32" i="10"/>
  <c r="E44" i="10"/>
  <c r="H80" i="10"/>
  <c r="H59" i="10"/>
  <c r="F42" i="10"/>
  <c r="E78" i="10"/>
  <c r="H42" i="10"/>
  <c r="D45" i="10"/>
  <c r="H96" i="10"/>
  <c r="E54" i="10"/>
  <c r="H90" i="10"/>
  <c r="F78" i="10"/>
  <c r="E42" i="10"/>
  <c r="F66" i="10"/>
  <c r="H60" i="10"/>
  <c r="F70" i="10"/>
  <c r="E70" i="10"/>
  <c r="D70" i="10"/>
  <c r="E60" i="10"/>
  <c r="F60" i="10"/>
  <c r="F59" i="10"/>
  <c r="F94" i="10"/>
  <c r="E94" i="10"/>
  <c r="F82" i="10"/>
  <c r="E82" i="10"/>
  <c r="H95" i="10"/>
  <c r="D95" i="10"/>
  <c r="F96" i="10"/>
  <c r="F95" i="10"/>
  <c r="F80" i="10"/>
  <c r="E92" i="10"/>
  <c r="E90" i="10"/>
  <c r="D80" i="10"/>
  <c r="F68" i="10"/>
  <c r="F56" i="10"/>
  <c r="D44" i="10"/>
  <c r="F92" i="10"/>
  <c r="F44" i="10"/>
  <c r="E68" i="10"/>
  <c r="H92" i="10"/>
  <c r="E59" i="10"/>
  <c r="H2" i="7"/>
  <c r="C24" i="10" s="1"/>
  <c r="H24" i="10" s="1"/>
  <c r="D90" i="10"/>
  <c r="D47" i="10"/>
  <c r="H47" i="10"/>
  <c r="F83" i="10"/>
  <c r="F47" i="10"/>
  <c r="E83" i="10"/>
  <c r="D83" i="10"/>
  <c r="D71" i="10"/>
  <c r="H71" i="10"/>
  <c r="H35" i="10"/>
  <c r="F71" i="10"/>
  <c r="F35" i="10"/>
  <c r="F79" i="10"/>
  <c r="E41" i="10"/>
  <c r="D78" i="10"/>
  <c r="H89" i="10"/>
  <c r="H54" i="10"/>
  <c r="E101" i="10"/>
  <c r="E66" i="10"/>
  <c r="D75" i="10"/>
  <c r="F53" i="10"/>
  <c r="E65" i="10"/>
  <c r="F101" i="10"/>
  <c r="F77" i="10"/>
  <c r="H53" i="10"/>
  <c r="D41" i="10"/>
  <c r="H77" i="10"/>
  <c r="H101" i="10"/>
  <c r="F41" i="10"/>
  <c r="F65" i="10"/>
  <c r="E53" i="10"/>
  <c r="F89" i="10"/>
  <c r="E77" i="10"/>
  <c r="H65" i="10"/>
  <c r="D89" i="10"/>
  <c r="E96" i="10"/>
  <c r="D62" i="10"/>
  <c r="D38" i="10"/>
  <c r="E99" i="10"/>
  <c r="D86" i="10"/>
  <c r="D87" i="10"/>
  <c r="D39" i="10"/>
  <c r="E63" i="10"/>
  <c r="H63" i="10"/>
  <c r="D74" i="10"/>
  <c r="H91" i="10"/>
  <c r="H67" i="10"/>
  <c r="F55" i="10"/>
  <c r="F31" i="10"/>
  <c r="D43" i="10"/>
  <c r="H43" i="10"/>
  <c r="D88" i="10"/>
  <c r="D55" i="10"/>
  <c r="E55" i="10"/>
  <c r="E31" i="10"/>
  <c r="F91" i="10"/>
  <c r="F67" i="10"/>
  <c r="E79" i="10"/>
  <c r="D67" i="10"/>
  <c r="D52" i="10"/>
  <c r="D37" i="10"/>
  <c r="H79" i="10"/>
  <c r="F43" i="10"/>
  <c r="D99" i="10"/>
  <c r="D51" i="10"/>
  <c r="H99" i="10"/>
  <c r="F63" i="10"/>
  <c r="D98" i="10"/>
  <c r="D50" i="10"/>
  <c r="E91" i="10"/>
  <c r="D64" i="10"/>
  <c r="D76" i="10"/>
  <c r="D61" i="10"/>
  <c r="H84" i="10"/>
  <c r="H48" i="10"/>
  <c r="F84" i="10"/>
  <c r="F48" i="10"/>
  <c r="E84" i="10"/>
  <c r="E48" i="10"/>
  <c r="D85" i="10"/>
  <c r="D72" i="10"/>
  <c r="D49" i="10"/>
  <c r="H75" i="10"/>
  <c r="H39" i="10"/>
  <c r="F75" i="10"/>
  <c r="F39" i="10"/>
  <c r="D73" i="10"/>
  <c r="D36" i="10"/>
  <c r="H72" i="10"/>
  <c r="H36" i="10"/>
  <c r="F72" i="10"/>
  <c r="F36" i="10"/>
  <c r="D93" i="10"/>
  <c r="D81" i="10"/>
  <c r="D69" i="10"/>
  <c r="D57" i="10"/>
  <c r="D97" i="10"/>
  <c r="H87" i="10"/>
  <c r="H51" i="10"/>
  <c r="F87" i="10"/>
  <c r="F51" i="10"/>
  <c r="H100" i="10"/>
  <c r="H88" i="10"/>
  <c r="H76" i="10"/>
  <c r="H64" i="10"/>
  <c r="H52" i="10"/>
  <c r="H40" i="10"/>
  <c r="F100" i="10"/>
  <c r="F88" i="10"/>
  <c r="F76" i="10"/>
  <c r="F64" i="10"/>
  <c r="F52" i="10"/>
  <c r="F40" i="10"/>
  <c r="E100" i="10"/>
  <c r="E40" i="10"/>
  <c r="H86" i="10"/>
  <c r="F98" i="10"/>
  <c r="F38" i="10"/>
  <c r="E62" i="10"/>
  <c r="H97" i="10"/>
  <c r="H85" i="10"/>
  <c r="H73" i="10"/>
  <c r="H61" i="10"/>
  <c r="H49" i="10"/>
  <c r="H37" i="10"/>
  <c r="F97" i="10"/>
  <c r="F85" i="10"/>
  <c r="F73" i="10"/>
  <c r="F61" i="10"/>
  <c r="F49" i="10"/>
  <c r="F37" i="10"/>
  <c r="H50" i="10"/>
  <c r="E74" i="10"/>
  <c r="H98" i="10"/>
  <c r="H62" i="10"/>
  <c r="F74" i="10"/>
  <c r="E38" i="10"/>
  <c r="F86" i="10"/>
  <c r="F50" i="10"/>
  <c r="H93" i="10"/>
  <c r="H81" i="10"/>
  <c r="H69" i="10"/>
  <c r="H57" i="10"/>
  <c r="H45" i="10"/>
  <c r="H33" i="10"/>
  <c r="F93" i="10"/>
  <c r="F81" i="10"/>
  <c r="F69" i="10"/>
  <c r="F57" i="10"/>
  <c r="F45" i="10"/>
  <c r="F33" i="10"/>
  <c r="D29" i="10"/>
  <c r="H29" i="10"/>
  <c r="F29" i="10"/>
  <c r="C25" i="10"/>
  <c r="E25" i="10" s="1"/>
  <c r="D26" i="10"/>
  <c r="H26" i="10"/>
  <c r="E26" i="10"/>
  <c r="D25" i="10" l="1"/>
  <c r="F25" i="10"/>
  <c r="H25" i="10"/>
  <c r="F24" i="10"/>
  <c r="E24" i="10"/>
  <c r="D24" i="10"/>
  <c r="H52" i="1" l="1"/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77" i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68" i="1" l="1"/>
  <c r="H111" i="1"/>
  <c r="E111" i="1" s="1"/>
  <c r="H109" i="1"/>
  <c r="E109" i="1" s="1"/>
  <c r="H110" i="1"/>
  <c r="E110" i="1" s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5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H119" i="1" s="1"/>
  <c r="H120" i="1" s="1"/>
  <c r="E120" i="1" s="1"/>
  <c r="E46" i="1"/>
  <c r="E47" i="1"/>
  <c r="E48" i="1"/>
  <c r="E49" i="1"/>
  <c r="E50" i="1"/>
  <c r="E51" i="1"/>
  <c r="E52" i="1"/>
  <c r="E53" i="1"/>
  <c r="E14" i="1"/>
  <c r="E5" i="1"/>
  <c r="E6" i="1"/>
  <c r="E7" i="1"/>
  <c r="E8" i="1"/>
  <c r="E9" i="1"/>
  <c r="E10" i="1"/>
  <c r="E11" i="1"/>
  <c r="E12" i="1"/>
  <c r="E13" i="1"/>
  <c r="E4" i="1"/>
  <c r="E3" i="1"/>
  <c r="E99" i="1"/>
  <c r="E100" i="1"/>
  <c r="E101" i="1"/>
  <c r="H121" i="1" l="1"/>
  <c r="E121" i="1" s="1"/>
  <c r="G111" i="8" s="1"/>
  <c r="E119" i="1"/>
  <c r="A120" i="1"/>
  <c r="A121" i="1" s="1"/>
  <c r="A110" i="1"/>
  <c r="A111" i="1" s="1"/>
  <c r="G64" i="8" l="1"/>
  <c r="G59" i="8"/>
  <c r="G4" i="8"/>
  <c r="H25" i="7" s="1"/>
  <c r="G19" i="8"/>
  <c r="G31" i="8"/>
  <c r="G43" i="8"/>
  <c r="G55" i="8"/>
  <c r="G79" i="8"/>
  <c r="G91" i="8"/>
  <c r="G103" i="8"/>
  <c r="G117" i="8"/>
  <c r="G129" i="8"/>
  <c r="G141" i="8"/>
  <c r="G84" i="8"/>
  <c r="G76" i="8"/>
  <c r="G30" i="8"/>
  <c r="G90" i="8"/>
  <c r="G20" i="8"/>
  <c r="G32" i="8"/>
  <c r="G44" i="8"/>
  <c r="G56" i="8"/>
  <c r="G80" i="8"/>
  <c r="G92" i="8"/>
  <c r="G104" i="8"/>
  <c r="G118" i="8"/>
  <c r="G130" i="8"/>
  <c r="G142" i="8"/>
  <c r="G24" i="8"/>
  <c r="G72" i="8"/>
  <c r="G96" i="8"/>
  <c r="G134" i="8"/>
  <c r="G25" i="8"/>
  <c r="G97" i="8"/>
  <c r="G123" i="8"/>
  <c r="G29" i="8"/>
  <c r="G77" i="8"/>
  <c r="G127" i="8"/>
  <c r="G42" i="8"/>
  <c r="G102" i="8"/>
  <c r="G140" i="8"/>
  <c r="G21" i="8"/>
  <c r="G33" i="8"/>
  <c r="G45" i="8"/>
  <c r="G57" i="8"/>
  <c r="G81" i="8"/>
  <c r="G93" i="8"/>
  <c r="G105" i="8"/>
  <c r="G119" i="8"/>
  <c r="G131" i="8"/>
  <c r="G143" i="8"/>
  <c r="G146" i="8"/>
  <c r="G49" i="8"/>
  <c r="G85" i="8"/>
  <c r="G135" i="8"/>
  <c r="G52" i="8"/>
  <c r="H19" i="7" s="1"/>
  <c r="C17" i="10" s="1"/>
  <c r="G100" i="8"/>
  <c r="G138" i="8"/>
  <c r="G22" i="8"/>
  <c r="G34" i="8"/>
  <c r="G46" i="8"/>
  <c r="G58" i="8"/>
  <c r="G70" i="8"/>
  <c r="G82" i="8"/>
  <c r="G94" i="8"/>
  <c r="G120" i="8"/>
  <c r="G132" i="8"/>
  <c r="G144" i="8"/>
  <c r="G48" i="8"/>
  <c r="G126" i="8"/>
  <c r="G53" i="8"/>
  <c r="G101" i="8"/>
  <c r="G139" i="8"/>
  <c r="G54" i="8"/>
  <c r="G78" i="8"/>
  <c r="G116" i="8"/>
  <c r="G23" i="8"/>
  <c r="G35" i="8"/>
  <c r="G47" i="8"/>
  <c r="G71" i="8"/>
  <c r="G83" i="8"/>
  <c r="G95" i="8"/>
  <c r="G121" i="8"/>
  <c r="G133" i="8"/>
  <c r="G145" i="8"/>
  <c r="G36" i="8"/>
  <c r="G122" i="8"/>
  <c r="G37" i="8"/>
  <c r="G73" i="8"/>
  <c r="G147" i="8"/>
  <c r="G28" i="8"/>
  <c r="G40" i="8"/>
  <c r="H7" i="7"/>
  <c r="C14" i="10" s="1"/>
  <c r="G88" i="8"/>
  <c r="G6" i="8"/>
  <c r="H3" i="7" s="1"/>
  <c r="C23" i="10" s="1"/>
  <c r="G26" i="8"/>
  <c r="G38" i="8"/>
  <c r="G50" i="8"/>
  <c r="G74" i="8"/>
  <c r="G86" i="8"/>
  <c r="G98" i="8"/>
  <c r="G124" i="8"/>
  <c r="G136" i="8"/>
  <c r="G27" i="8"/>
  <c r="G39" i="8"/>
  <c r="G51" i="8"/>
  <c r="G75" i="8"/>
  <c r="G87" i="8"/>
  <c r="G99" i="8"/>
  <c r="G125" i="8"/>
  <c r="G137" i="8"/>
  <c r="G41" i="8"/>
  <c r="G89" i="8"/>
  <c r="G128" i="8"/>
  <c r="G15" i="8"/>
  <c r="G16" i="8"/>
  <c r="G17" i="8"/>
  <c r="G18" i="8"/>
  <c r="H11" i="7" l="1"/>
  <c r="C4" i="10" s="1"/>
  <c r="F4" i="10" s="1"/>
  <c r="H16" i="7"/>
  <c r="C2" i="10" s="1"/>
  <c r="H12" i="7"/>
  <c r="C6" i="10" s="1"/>
  <c r="C27" i="10"/>
  <c r="G3" i="8"/>
  <c r="H26" i="7" s="1"/>
  <c r="C28" i="10" s="1"/>
  <c r="H4" i="7"/>
  <c r="C8" i="10" s="1"/>
  <c r="D8" i="10" s="1"/>
  <c r="H10" i="7"/>
  <c r="C5" i="10" s="1"/>
  <c r="E5" i="10" s="1"/>
  <c r="H20" i="7"/>
  <c r="C9" i="10" s="1"/>
  <c r="H9" i="10" s="1"/>
  <c r="H15" i="7"/>
  <c r="C3" i="10" s="1"/>
  <c r="F3" i="10" s="1"/>
  <c r="H22" i="7"/>
  <c r="C18" i="10" s="1"/>
  <c r="E18" i="10" s="1"/>
  <c r="H18" i="7"/>
  <c r="C16" i="10" s="1"/>
  <c r="H17" i="7"/>
  <c r="C12" i="10" s="1"/>
  <c r="H12" i="10" s="1"/>
  <c r="H24" i="7"/>
  <c r="C13" i="10" s="1"/>
  <c r="H13" i="10" s="1"/>
  <c r="H23" i="7"/>
  <c r="C10" i="10" s="1"/>
  <c r="H10" i="10" s="1"/>
  <c r="H8" i="7"/>
  <c r="C22" i="10" s="1"/>
  <c r="H22" i="10" s="1"/>
  <c r="H14" i="7"/>
  <c r="C11" i="10" s="1"/>
  <c r="H11" i="10" s="1"/>
  <c r="H13" i="7"/>
  <c r="C20" i="10" s="1"/>
  <c r="D20" i="10" s="1"/>
  <c r="H21" i="7"/>
  <c r="C19" i="10" s="1"/>
  <c r="D19" i="10" s="1"/>
  <c r="H5" i="7"/>
  <c r="C7" i="10" s="1"/>
  <c r="H6" i="7"/>
  <c r="C15" i="10" s="1"/>
  <c r="F15" i="10" s="1"/>
  <c r="H9" i="7"/>
  <c r="C21" i="10" s="1"/>
  <c r="H21" i="10" s="1"/>
  <c r="F27" i="10"/>
  <c r="D27" i="10"/>
  <c r="H27" i="10"/>
  <c r="E27" i="10"/>
  <c r="F2" i="10"/>
  <c r="D2" i="10"/>
  <c r="E2" i="10"/>
  <c r="H2" i="10"/>
  <c r="H23" i="10"/>
  <c r="E23" i="10"/>
  <c r="F23" i="10"/>
  <c r="D23" i="10"/>
  <c r="F14" i="10"/>
  <c r="D14" i="10"/>
  <c r="H14" i="10"/>
  <c r="E14" i="10"/>
  <c r="F6" i="10"/>
  <c r="E6" i="10"/>
  <c r="D6" i="10"/>
  <c r="H6" i="10"/>
  <c r="F17" i="10"/>
  <c r="D17" i="10"/>
  <c r="H17" i="10"/>
  <c r="E17" i="10"/>
  <c r="H4" i="10" l="1"/>
  <c r="E4" i="10"/>
  <c r="D4" i="10"/>
  <c r="D5" i="10"/>
  <c r="H5" i="10"/>
  <c r="F28" i="10"/>
  <c r="H28" i="10"/>
  <c r="D28" i="10"/>
  <c r="E28" i="10"/>
  <c r="D3" i="10"/>
  <c r="E3" i="10"/>
  <c r="H3" i="10"/>
  <c r="F5" i="10"/>
  <c r="E22" i="10"/>
  <c r="D18" i="10"/>
  <c r="E21" i="10"/>
  <c r="F21" i="10"/>
  <c r="F22" i="10"/>
  <c r="F9" i="10"/>
  <c r="D22" i="10"/>
  <c r="D9" i="10"/>
  <c r="F13" i="10"/>
  <c r="H18" i="10"/>
  <c r="D13" i="10"/>
  <c r="F18" i="10"/>
  <c r="E13" i="10"/>
  <c r="H8" i="10"/>
  <c r="E8" i="10"/>
  <c r="F8" i="10"/>
  <c r="E10" i="10"/>
  <c r="E11" i="10"/>
  <c r="E19" i="10"/>
  <c r="F10" i="10"/>
  <c r="F11" i="10"/>
  <c r="F19" i="10"/>
  <c r="F16" i="10"/>
  <c r="D16" i="10"/>
  <c r="E16" i="10"/>
  <c r="H16" i="10"/>
  <c r="E9" i="10"/>
  <c r="H15" i="10"/>
  <c r="F12" i="10"/>
  <c r="D10" i="10"/>
  <c r="D11" i="10"/>
  <c r="H19" i="10"/>
  <c r="D15" i="10"/>
  <c r="D12" i="10"/>
  <c r="E15" i="10"/>
  <c r="E12" i="10"/>
  <c r="H20" i="10"/>
  <c r="E20" i="10"/>
  <c r="F20" i="10"/>
  <c r="D21" i="10"/>
  <c r="D7" i="10"/>
  <c r="E7" i="10"/>
  <c r="H7" i="10"/>
  <c r="F7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tc={7861785E-B34A-4CED-99E6-E7C2EA2802B3}</author>
    <author>tc={F9BE7474-8713-4DCC-B997-CC817D4C70F5}</author>
  </authors>
  <commentList>
    <comment ref="E2" authorId="0" shapeId="0" xr:uid="{7861785E-B34A-4CED-99E6-E7C2EA2802B3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=$/Presentacion (/) presentacion</t>
      </text>
    </comment>
    <comment ref="I108" authorId="1" shapeId="0" xr:uid="{F9BE7474-8713-4DCC-B997-CC817D4C70F5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Kg requeridos para hacer un Litro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tc={BE13210D-DBB1-4EFF-9D51-C1A2BF79372E}</author>
    <author>tc={49D96242-2075-4501-AC7E-6B317DB177D7}</author>
  </authors>
  <commentList>
    <comment ref="H1" authorId="0" shapeId="0" xr:uid="{BE13210D-DBB1-4EFF-9D51-C1A2BF79372E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Costo total de insumos + FactorProteccion</t>
      </text>
    </comment>
    <comment ref="I1" authorId="1" shapeId="0" xr:uid="{49D96242-2075-4501-AC7E-6B317DB177D7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Numero de personas</t>
      </text>
    </comment>
  </commentList>
</comments>
</file>

<file path=xl/sharedStrings.xml><?xml version="1.0" encoding="utf-8"?>
<sst xmlns="http://schemas.openxmlformats.org/spreadsheetml/2006/main" count="1132" uniqueCount="283">
  <si>
    <t>No.</t>
  </si>
  <si>
    <t>Grupo</t>
  </si>
  <si>
    <t>Marca</t>
  </si>
  <si>
    <t>Unidad</t>
  </si>
  <si>
    <t>Observacion</t>
  </si>
  <si>
    <t>Pruducto</t>
  </si>
  <si>
    <t>$/Unidad</t>
  </si>
  <si>
    <t>Aceite Vegetal.</t>
  </si>
  <si>
    <t>Patrona</t>
  </si>
  <si>
    <t>L</t>
  </si>
  <si>
    <t>Galon</t>
  </si>
  <si>
    <t>Agua Purificada</t>
  </si>
  <si>
    <t>Purificada</t>
  </si>
  <si>
    <t>Por litro</t>
  </si>
  <si>
    <t>Almendra Molida</t>
  </si>
  <si>
    <t>A Granel</t>
  </si>
  <si>
    <t>Kg</t>
  </si>
  <si>
    <t>Ate Amarillo</t>
  </si>
  <si>
    <t>Por Kilo</t>
  </si>
  <si>
    <t>Ate de Rojo</t>
  </si>
  <si>
    <t>Ate de Verde</t>
  </si>
  <si>
    <t>Azúcar Glass</t>
  </si>
  <si>
    <t>Bolsa</t>
  </si>
  <si>
    <t>Azucar Mascabado</t>
  </si>
  <si>
    <t>Metco Genuino</t>
  </si>
  <si>
    <t>Azucar Refinada</t>
  </si>
  <si>
    <t>Café Soluble</t>
  </si>
  <si>
    <t>Member's Mark</t>
  </si>
  <si>
    <t>Bote</t>
  </si>
  <si>
    <t>Chocolate 70-30-38</t>
  </si>
  <si>
    <t>Callebaut</t>
  </si>
  <si>
    <t>Chocolate Blanco</t>
  </si>
  <si>
    <t>Turin</t>
  </si>
  <si>
    <t>Paquete</t>
  </si>
  <si>
    <t>Karat</t>
  </si>
  <si>
    <t>Kg.</t>
  </si>
  <si>
    <t>Cocoa</t>
  </si>
  <si>
    <t>Cocoa Extra Brut</t>
  </si>
  <si>
    <t>Barry Callebaut</t>
  </si>
  <si>
    <t>kg</t>
  </si>
  <si>
    <t>Colorante Amarillo</t>
  </si>
  <si>
    <t>Enco</t>
  </si>
  <si>
    <t>Colorante Azul</t>
  </si>
  <si>
    <t>Colorante Negro</t>
  </si>
  <si>
    <t>Colorante Rojo</t>
  </si>
  <si>
    <t>Colorante Verde</t>
  </si>
  <si>
    <t>Esencia de Vainilla</t>
  </si>
  <si>
    <t>Castells</t>
  </si>
  <si>
    <t>Fecula de Maiz</t>
  </si>
  <si>
    <t>Fondant Blanco Coco</t>
  </si>
  <si>
    <t>baker</t>
  </si>
  <si>
    <t>Galletas Saladas</t>
  </si>
  <si>
    <t>Ritz</t>
  </si>
  <si>
    <t>Grenetina</t>
  </si>
  <si>
    <t>Duche</t>
  </si>
  <si>
    <t>Medalla de Oro</t>
  </si>
  <si>
    <t>Bulto</t>
  </si>
  <si>
    <t>Hoja de Plata</t>
  </si>
  <si>
    <t>Huevos Estandar</t>
  </si>
  <si>
    <t>socorro</t>
  </si>
  <si>
    <t>Pza</t>
  </si>
  <si>
    <t>Cono</t>
  </si>
  <si>
    <t>Leche Condensada</t>
  </si>
  <si>
    <t>La Lechera</t>
  </si>
  <si>
    <t>Lata</t>
  </si>
  <si>
    <t>Leche Entera</t>
  </si>
  <si>
    <t>Lyncott</t>
  </si>
  <si>
    <t>Caja</t>
  </si>
  <si>
    <t>Leche Evaporada</t>
  </si>
  <si>
    <t>Carnation</t>
  </si>
  <si>
    <t xml:space="preserve">Litro </t>
  </si>
  <si>
    <t>Levadura Seca</t>
  </si>
  <si>
    <t>La Florida</t>
  </si>
  <si>
    <t>Maple</t>
  </si>
  <si>
    <t>bote</t>
  </si>
  <si>
    <t>Muñequitos de Rosca</t>
  </si>
  <si>
    <t>Polvo para Hornear</t>
  </si>
  <si>
    <t>Royal</t>
  </si>
  <si>
    <t>Polvo para Hornear Doble Accion</t>
  </si>
  <si>
    <t>Pennsylvania</t>
  </si>
  <si>
    <t>Sal</t>
  </si>
  <si>
    <t>La Fina</t>
  </si>
  <si>
    <t>Berenjena</t>
  </si>
  <si>
    <t>Chabacano</t>
  </si>
  <si>
    <t>Fresa Domo</t>
  </si>
  <si>
    <t>Guayaba</t>
  </si>
  <si>
    <t>Higos</t>
  </si>
  <si>
    <t>Leche de Coco</t>
  </si>
  <si>
    <t>Limon Ingerto</t>
  </si>
  <si>
    <t>Mandarina</t>
  </si>
  <si>
    <t>Mango</t>
  </si>
  <si>
    <t>Mix de Flores</t>
  </si>
  <si>
    <t>Mora Azul</t>
  </si>
  <si>
    <t>Piña</t>
  </si>
  <si>
    <t>pza</t>
  </si>
  <si>
    <t>Yogurt Natural</t>
  </si>
  <si>
    <t>Calabaza</t>
  </si>
  <si>
    <t>Zanahoria</t>
  </si>
  <si>
    <t>Pera</t>
  </si>
  <si>
    <t>Hojas de Menta</t>
  </si>
  <si>
    <t>Pulpa de Maracuya</t>
  </si>
  <si>
    <t>Chocolate 70%</t>
  </si>
  <si>
    <t>Sicao</t>
  </si>
  <si>
    <t>Cubeta</t>
  </si>
  <si>
    <t>Manteca Vegetal</t>
  </si>
  <si>
    <t>Inca</t>
  </si>
  <si>
    <t>Mantequilla</t>
  </si>
  <si>
    <t>Gloria</t>
  </si>
  <si>
    <t>Caja de 12 Pz/90gr</t>
  </si>
  <si>
    <t>Queso Crema</t>
  </si>
  <si>
    <t>Philadelphia</t>
  </si>
  <si>
    <t>Queso Mascarpone</t>
  </si>
  <si>
    <t>BelGioioso</t>
  </si>
  <si>
    <t>Brandy</t>
  </si>
  <si>
    <t>Presidente</t>
  </si>
  <si>
    <t>Botella</t>
  </si>
  <si>
    <t>Ron</t>
  </si>
  <si>
    <t>Bacardi Blanco</t>
  </si>
  <si>
    <t>Ajonjoli</t>
  </si>
  <si>
    <t>Almendra Fileteada</t>
  </si>
  <si>
    <t>Almendras</t>
  </si>
  <si>
    <t>Anis Estrella</t>
  </si>
  <si>
    <t>Avellana</t>
  </si>
  <si>
    <t>Canela en Polvo</t>
  </si>
  <si>
    <t>Canela en Raja</t>
  </si>
  <si>
    <t>Cardamomo en Polvo</t>
  </si>
  <si>
    <t>Clavo en Polvo</t>
  </si>
  <si>
    <t>Coco Rallado</t>
  </si>
  <si>
    <t>Nuez Granillo</t>
  </si>
  <si>
    <t>Mezcla de Especias</t>
  </si>
  <si>
    <t>Nuez Moscada en Polvo</t>
  </si>
  <si>
    <t>Rosita de cacoa</t>
  </si>
  <si>
    <t>Lista de Fruta</t>
  </si>
  <si>
    <t>Porcentaje de merma %</t>
  </si>
  <si>
    <t>$/Unidad + Merma</t>
  </si>
  <si>
    <t>Naranja</t>
  </si>
  <si>
    <t>Lista de Citricos</t>
  </si>
  <si>
    <t>Kg/L</t>
  </si>
  <si>
    <t>$/Unidad Presentacion</t>
  </si>
  <si>
    <t>Abarrotes</t>
  </si>
  <si>
    <t>Yema</t>
  </si>
  <si>
    <t>$ Promedio/U</t>
  </si>
  <si>
    <t>$/ Presentacion</t>
  </si>
  <si>
    <t>Peso Kg</t>
  </si>
  <si>
    <t>Lista de Huevos</t>
  </si>
  <si>
    <t>PPT</t>
  </si>
  <si>
    <t>Zarzamora Domo</t>
  </si>
  <si>
    <t>Manzana</t>
  </si>
  <si>
    <t>Limon ingerto</t>
  </si>
  <si>
    <t>Grupo de unidades</t>
  </si>
  <si>
    <t>Grupo de ingredientes</t>
  </si>
  <si>
    <t>Grupo de recetas</t>
  </si>
  <si>
    <t>Tipo</t>
  </si>
  <si>
    <t>Descripcion</t>
  </si>
  <si>
    <t>Pza.</t>
  </si>
  <si>
    <t>Kilogramo</t>
  </si>
  <si>
    <t>Litro</t>
  </si>
  <si>
    <t>Pieza</t>
  </si>
  <si>
    <t>Bizcochos</t>
  </si>
  <si>
    <t>Pasteles</t>
  </si>
  <si>
    <t>Tartas</t>
  </si>
  <si>
    <t>Galletas</t>
  </si>
  <si>
    <t>Panaderia</t>
  </si>
  <si>
    <t>Salsas</t>
  </si>
  <si>
    <t>Licores</t>
  </si>
  <si>
    <t>Lacteos</t>
  </si>
  <si>
    <t>Otros</t>
  </si>
  <si>
    <t>Para ornear pasteles</t>
  </si>
  <si>
    <t>Para decorar pasteles</t>
  </si>
  <si>
    <t>Producto Final</t>
  </si>
  <si>
    <t xml:space="preserve">Para preparar </t>
  </si>
  <si>
    <t>Huevos</t>
  </si>
  <si>
    <t>Preparacion interna</t>
  </si>
  <si>
    <t>Musses</t>
  </si>
  <si>
    <t>Cremas</t>
  </si>
  <si>
    <t>Frutas y Verduras</t>
  </si>
  <si>
    <t>Secos y Semillas</t>
  </si>
  <si>
    <t>id</t>
  </si>
  <si>
    <t>Nombre Receta</t>
  </si>
  <si>
    <t>Tiempo Coccion</t>
  </si>
  <si>
    <t>Tiempo Reposo</t>
  </si>
  <si>
    <t>Tiempo Vida</t>
  </si>
  <si>
    <t>Preparacion</t>
  </si>
  <si>
    <t>Genoise de Vainilla</t>
  </si>
  <si>
    <t>25 min</t>
  </si>
  <si>
    <t>50 a 60 min</t>
  </si>
  <si>
    <t>Tiempo Preparacion</t>
  </si>
  <si>
    <t>1 mes Congelador</t>
  </si>
  <si>
    <t>Factor de proteccion</t>
  </si>
  <si>
    <t>FP</t>
  </si>
  <si>
    <t xml:space="preserve">Agregamos todos los huevos con el azucar y la vainilla a la batidora en velocidad tres.
Ponemos el aceite y la leche a hervir.
Cuando este en punto liston agregamos en tres partes, el harina, con el royal ya tamizados, y los liquidos alternandolos.
se meten en los moldes y se ornean a 170°c por 50 min aproximadamente. </t>
  </si>
  <si>
    <t>PENDIENTE</t>
  </si>
  <si>
    <t>Genoise de Chocolate</t>
  </si>
  <si>
    <t>Agregamos todos los huevos con el azucar y la vainilla a la batidora en velocidad tres.
Ponemos el aceite y la leche a hervir.
Cuando este en punto liston agregamos en tres partes, el harina, con el royal y la cocoa ya tamizados, tambien los liquidos alternandolos.
se meten en los moldes y se ornean a 170°c por 50 min aproximadamente</t>
  </si>
  <si>
    <t>Bizcocho Genoves</t>
  </si>
  <si>
    <t>Ingrediente</t>
  </si>
  <si>
    <t>Cantidad</t>
  </si>
  <si>
    <t>Unidad/P</t>
  </si>
  <si>
    <t>Precio PP</t>
  </si>
  <si>
    <t>Lista de Abarrotes, Secos y semillas, Licores y Lacteos, y Otros</t>
  </si>
  <si>
    <t>Citricos</t>
  </si>
  <si>
    <t>Harina de Trigo D.</t>
  </si>
  <si>
    <t>1 mes en congelacion</t>
  </si>
  <si>
    <t>50 min</t>
  </si>
  <si>
    <t>2 semanas congelacion</t>
  </si>
  <si>
    <t>2 semanas en congelacion</t>
  </si>
  <si>
    <t>Bizcocho de Almendra sin Gluten</t>
  </si>
  <si>
    <t>Bizcocho Sacherthorte</t>
  </si>
  <si>
    <t>Base de Mostachon</t>
  </si>
  <si>
    <t>Base de Gardencake</t>
  </si>
  <si>
    <t>Pan de Yema</t>
  </si>
  <si>
    <t>Panque para Pastel Fondant</t>
  </si>
  <si>
    <t>Brownie</t>
  </si>
  <si>
    <t>Macarrones</t>
  </si>
  <si>
    <t>Rosca de Reyes</t>
  </si>
  <si>
    <t>Base Pastel Rectangular Chocozarzamora</t>
  </si>
  <si>
    <t>Base de Niño Envuelto</t>
  </si>
  <si>
    <t>Masa de Tartas</t>
  </si>
  <si>
    <t>Biscocho Choco Rollo Navideño</t>
  </si>
  <si>
    <t>Panque para Pastel (Chocolate)</t>
  </si>
  <si>
    <t>Panque para Pastel (Vainilla)</t>
  </si>
  <si>
    <t>Biscocho de Almendras (Citricos)</t>
  </si>
  <si>
    <t>Base de Galleta P/ Cheescake de Guayaba</t>
  </si>
  <si>
    <t>20 min</t>
  </si>
  <si>
    <t>1 semana en refrigeracion</t>
  </si>
  <si>
    <t>3 semanas en congelacion</t>
  </si>
  <si>
    <t>3 meses en congelacion</t>
  </si>
  <si>
    <t>30 min</t>
  </si>
  <si>
    <t>35 min</t>
  </si>
  <si>
    <t>40 min</t>
  </si>
  <si>
    <t>15 min</t>
  </si>
  <si>
    <t>1 hora 15 min</t>
  </si>
  <si>
    <t>3 dias</t>
  </si>
  <si>
    <t>45 min</t>
  </si>
  <si>
    <t>2 horas</t>
  </si>
  <si>
    <t>2 semanas en refrigeracion</t>
  </si>
  <si>
    <t>Se muelen las almendrasenteras en pedasos gruesos, se tamizan los polvos harina, fecula y azucar glass. se hace un merengue italiano con el azucar y se ponen a batir los huevos en velocidad 3 hasta que alcance 108°( jarabe) y agragamos a las claras  (120°c), se realiza un (paté à bombe).cuando se estabilize agragamos nuestros polvos y almendra en velocidad 1. se vierten en nuestros moldes y se cocina por 50 minutos a 160°c.</t>
  </si>
  <si>
    <t>Se hace un  paté à bombe con los huevos y el azucar,
se trocean las almendras en pedasos grandes.
derrita el chocolate
se mezcla con el pate a bombe envolventemente y se agrega el chocolate junto con el polvo de almendras. posteriormente se vacian en moldes y se hornean a 180°c por 45 minutos aproximadamente.</t>
  </si>
  <si>
    <t xml:space="preserve">Deretir el chocolote, batir la mantequilla con el azucar glass e incorporara el chocolate derretido, batir hasta conseguir una mousse y agregar 1 x 1 las yemas.
Aparte batir las claras con el azucar refinada, mezclar con la mezcla anterior y agregar la harina cernida, vertir en moldes y hornear a 160°c por 45 minutos aproximadamente. </t>
  </si>
  <si>
    <t>Se trituran las nueces y galletas en trozos pequeñitos,(no molido).
realizamos un merengue frances con el azucar, añadimos la vainilla, cuando llegue apunta firme, agregamos las nuecez molidas y las galletas de forma envolvente se vierten en moldes y se hornean a 160°c por 45 minutos aproximadamente, (no resecar tanto).</t>
  </si>
  <si>
    <t xml:space="preserve">Ponemos a batirla  mantequilla con el azucar y vainilla  hasta blanquearla, cernimos los polvos y agragamos poco a poco a la mezcla, al final el huevo. dejamos enfriar y estiramos del grosor que necesitemos. se hornea a 150°c por 15 minutos aproximadamnte. </t>
  </si>
  <si>
    <t xml:space="preserve">Se pesan todos los ingredientes y se tamizan los polvos, en la batidora se agrega la harina, ralladura,levadura,azahar y la vainilla junto con los liquidos bien frios la leche y los huevos se agregan y se baten con ayuda del gancho por 10 min aproximadamente, y se van agregando en tres partes el azucar junto con la mantequilla, hasta llegar punto media. se deja fermentar por 40 min , se arman y pocionan de acuerdo a la figura que se deseë y se fermenta por otros 50 min aprox, se barnizan y hornean a 160°c por 15 a 20 min aproximadamente. </t>
  </si>
  <si>
    <t>Se ponen a batir la  mantequilla con el azucar y la vainilla, posteriormente se agrega la lechera y los huevos uno a uno hasta que hagan una mezcla homogenia, se agregan los polvos,  se mezclan bien y se vierten en moldes, se hornea por 45 minutos a 165°c</t>
  </si>
  <si>
    <t xml:space="preserve">Se pesan y tamizan todos los ingredientes, se ponen los polvos en la batidora junto con los liquidos, se hara una masa dura se deja amasar por 10 minutos y se van agregando en tres partes la azucar y la mantequilla , hasta hacer una masa lisa y suave punto media, se deja reposar por 50 minutos y de forma para despues fermentar por una hora 15 aproximadamente, se mete a hornear a 165°c por 15 minutos </t>
  </si>
  <si>
    <t xml:space="preserve">Se tamizan los polvos y se derrite el chocolate, en la batidora se baten los huevos con el azucar hasta que llegue a punto liston se agrega la mantequila en forma de hilo y se va agregando los polvos,poco a poco  y el chocolate al final . se vacia en la charola y se mete a hornear por 35 minutos a 150°c aproximadamente. </t>
  </si>
  <si>
    <t>Se baten los huevos junto con el azucar y la esencia de vainilla, hasta llegar a punto de liston, posteriormente se van agregando los polvos ya sernidos poco a poco con la batidora ya apagada, envolventemente y  vaciar en la charola con ayuda de una espatula acodada exparcerla hasta tener dos centimetos aproximadamente de grosor y horner a 160°c por 30 min aproximadamente.</t>
  </si>
  <si>
    <t xml:space="preserve">Colocar en el bowl de la batidora la mantequilla cortada en cubos y fria  junto con la harina y mezclar.
Agregar el agua a la mezcla hasta obtener una masa suave sin trabajar tanto y refrigerar. </t>
  </si>
  <si>
    <t xml:space="preserve">En la batidora de agrega el azucar con la mantequilla y se acreman hasta que este completamente blanco se agrega uno a uno los huevos, lugo se agregan los polvos previamente tamizados y la base de sabor que necesitamos para la tarta a realizar. se porcionanan y se meten en el refrigerados o congelador . </t>
  </si>
  <si>
    <t xml:space="preserve">Se corta la leche con el vinagre, porteriormente se tamizan los polvos. 
en la batidora se acreman la mantequilla junto con el azucar hasta blanquearla, posteriormente los huevos uno a uno hasta emulcionar junto con la vainilla, se agregan los polvos y los liquidos hasta integrar completamente. se vierten en los moldes y se hornean a 165°c por 50 minutos aproximadamente. </t>
  </si>
  <si>
    <t xml:space="preserve">Mice en Place:
Se tamizan todos los polvos ( p.almendras,y la harina). por separado el azucar glass,  se separan los huevos, claras y yemas. se derrite la mantequilla y se saca la rayadura de dos naranjas.
Procedimiento:
En la batidora se baten las yemas de los huevos con el azucar glass hasta que lleguen a punto liston, se agrega poco a poco los polvos, ralladura de naranja, vainilla y la mantequilla en forma de hilo y se reserva.
Se realiza un merengue Frances con las claras y el azucar y se mezclan con la preparacion anterior en forma envolvente y se mete a hornear a 130°c por 30 minutos. </t>
  </si>
  <si>
    <t xml:space="preserve">Mice en Place: Se separan las yemas de las clara y se realizan dos merengues uno con las yemas y 100gr de azucar y el de claras con 140gr de azucar posteriormente se juntan y se agregan los liquidos y al final los porvos envolventemente. </t>
  </si>
  <si>
    <t>Clara</t>
  </si>
  <si>
    <t>Anis</t>
  </si>
  <si>
    <t>Vinagre Blanco</t>
  </si>
  <si>
    <t>Crema para Batir</t>
  </si>
  <si>
    <t>Carambolo</t>
  </si>
  <si>
    <t>Bicarbonato de Sodio</t>
  </si>
  <si>
    <t>Chocolate Karat</t>
  </si>
  <si>
    <t>Harina de Trigo F.</t>
  </si>
  <si>
    <t>Jengibre en Polvo</t>
  </si>
  <si>
    <t>Nuez en Mitades</t>
  </si>
  <si>
    <t>Pasitas</t>
  </si>
  <si>
    <t>Pimienta Negra en Polvo</t>
  </si>
  <si>
    <t>Manzana Gala</t>
  </si>
  <si>
    <t>Platano</t>
  </si>
  <si>
    <t>Toronja</t>
  </si>
  <si>
    <t>Uva verde</t>
  </si>
  <si>
    <t>Costo Empaquetado</t>
  </si>
  <si>
    <t>Precio Elaboracion</t>
  </si>
  <si>
    <t>Receta</t>
  </si>
  <si>
    <t>Precio de elavoracion</t>
  </si>
  <si>
    <t>Precio mas empaquetado</t>
  </si>
  <si>
    <t>$ con 30% +</t>
  </si>
  <si>
    <t>$ con 60% +</t>
  </si>
  <si>
    <t>% + editable</t>
  </si>
  <si>
    <t>$ + % editable</t>
  </si>
  <si>
    <t>Porcion</t>
  </si>
  <si>
    <t>Base de Galleta P/ Tarta de Platano</t>
  </si>
  <si>
    <t>Bizcoocho 4x4 Panque</t>
  </si>
  <si>
    <t>Masa Sucre</t>
  </si>
  <si>
    <t>prueba tercera</t>
  </si>
  <si>
    <t>Galletas prueba</t>
  </si>
  <si>
    <t>Pza/L/Kg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</si>
</sst>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0%;[Red]0%;\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36"/>
      <name val="Aparajita"/>
      <family val="1"/>
    </font>
    <font>
      <sz val="14"/>
      <name val="Aparajita"/>
      <family val="1"/>
    </font>
    <font>
      <b/>
      <sz val="14"/>
      <name val="Aparajita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7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CC"/>
      </patternFill>
    </fill>
  </fills>
  <borders count="14">
    <border>
      <left/>
      <right/>
      <top/>
      <bottom/>
      <diagonal/>
    </border>
    <border>
      <left style="thick">
        <color theme="1"/>
      </left>
      <right/>
      <top style="thick">
        <color theme="1"/>
      </top>
      <bottom/>
      <diagonal/>
    </border>
    <border>
      <left/>
      <right/>
      <top style="thick">
        <color theme="1"/>
      </top>
      <bottom/>
      <diagonal/>
    </border>
    <border>
      <left/>
      <right style="medium">
        <color theme="1"/>
      </right>
      <top/>
      <bottom style="thick">
        <color theme="1"/>
      </bottom>
      <diagonal/>
    </border>
    <border>
      <left style="thick">
        <color theme="1"/>
      </left>
      <right style="medium">
        <color theme="1"/>
      </right>
      <top/>
      <bottom style="thick">
        <color theme="1"/>
      </bottom>
      <diagonal/>
    </border>
    <border>
      <left style="medium">
        <color theme="1"/>
      </left>
      <right/>
      <top/>
      <bottom style="thick">
        <color theme="1"/>
      </bottom>
      <diagonal/>
    </border>
    <border>
      <left/>
      <right style="medium">
        <color theme="1"/>
      </right>
      <top/>
      <bottom/>
      <diagonal/>
    </border>
    <border>
      <left/>
      <right/>
      <top/>
      <bottom style="thick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Protection="0"/>
  </cellStyleXfs>
  <cellXfs count="49">
    <xf numFmtId="0" fontId="0" fillId="0" borderId="0" xfId="0"/>
    <xf numFmtId="49" fontId="4" fillId="4" borderId="3" xfId="3" applyNumberFormat="1" applyFont="1" applyFill="1" applyBorder="1" applyAlignment="1">
      <alignment horizontal="center" vertical="center" wrapText="1"/>
    </xf>
    <xf numFmtId="49" fontId="4" fillId="4" borderId="5" xfId="3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49" fontId="4" fillId="4" borderId="7" xfId="3" applyNumberFormat="1" applyFont="1" applyFill="1" applyBorder="1" applyAlignment="1">
      <alignment horizontal="center" vertical="center" wrapText="1"/>
    </xf>
    <xf numFmtId="49" fontId="5" fillId="4" borderId="5" xfId="3" applyNumberFormat="1" applyFont="1" applyFill="1" applyBorder="1" applyAlignment="1">
      <alignment horizontal="center" vertical="center" wrapText="1"/>
    </xf>
    <xf numFmtId="49" fontId="4" fillId="4" borderId="3" xfId="3" applyNumberFormat="1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5" fillId="4" borderId="5" xfId="3" applyNumberFormat="1" applyFont="1" applyFill="1" applyBorder="1" applyAlignment="1">
      <alignment horizontal="left" vertical="center" wrapText="1"/>
    </xf>
    <xf numFmtId="49" fontId="4" fillId="4" borderId="4" xfId="3" applyNumberFormat="1" applyFont="1" applyFill="1" applyBorder="1" applyAlignment="1">
      <alignment horizontal="left" vertical="center" wrapText="1"/>
    </xf>
    <xf numFmtId="49" fontId="4" fillId="4" borderId="5" xfId="3" applyNumberFormat="1" applyFont="1" applyFill="1" applyBorder="1" applyAlignment="1">
      <alignment horizontal="left" vertical="center" wrapText="1"/>
    </xf>
    <xf numFmtId="164" fontId="4" fillId="4" borderId="3" xfId="1" applyFont="1" applyFill="1" applyBorder="1" applyAlignment="1">
      <alignment horizontal="center" vertical="center" wrapText="1"/>
    </xf>
    <xf numFmtId="164" fontId="0" fillId="0" borderId="0" xfId="1" applyFont="1" applyAlignment="1">
      <alignment horizontal="center" vertical="center"/>
    </xf>
    <xf numFmtId="164" fontId="4" fillId="4" borderId="5" xfId="1" applyFont="1" applyFill="1" applyBorder="1" applyAlignment="1">
      <alignment horizontal="center" vertical="center" wrapText="1"/>
    </xf>
    <xf numFmtId="164" fontId="5" fillId="4" borderId="5" xfId="1" applyFont="1" applyFill="1" applyBorder="1" applyAlignment="1">
      <alignment horizontal="center" vertical="center" wrapText="1"/>
    </xf>
    <xf numFmtId="164" fontId="0" fillId="0" borderId="0" xfId="1" applyFont="1"/>
    <xf numFmtId="0" fontId="4" fillId="4" borderId="3" xfId="3" applyNumberFormat="1" applyFont="1" applyFill="1" applyBorder="1" applyAlignment="1">
      <alignment horizontal="center" vertical="center" wrapText="1"/>
    </xf>
    <xf numFmtId="0" fontId="4" fillId="4" borderId="5" xfId="3" applyNumberFormat="1" applyFont="1" applyFill="1" applyBorder="1" applyAlignment="1">
      <alignment horizontal="center" vertical="center" wrapText="1"/>
    </xf>
    <xf numFmtId="0" fontId="5" fillId="4" borderId="5" xfId="3" applyNumberFormat="1" applyFont="1" applyFill="1" applyBorder="1" applyAlignment="1">
      <alignment horizontal="center" vertical="center" wrapText="1"/>
    </xf>
    <xf numFmtId="165" fontId="0" fillId="0" borderId="0" xfId="2" applyNumberFormat="1" applyFont="1" applyAlignment="1">
      <alignment horizontal="center" vertical="center"/>
    </xf>
    <xf numFmtId="164" fontId="5" fillId="4" borderId="8" xfId="1" applyFont="1" applyFill="1" applyBorder="1" applyAlignment="1">
      <alignment horizontal="center" vertical="center" wrapText="1"/>
    </xf>
    <xf numFmtId="164" fontId="4" fillId="4" borderId="6" xfId="1" applyFont="1" applyFill="1" applyBorder="1" applyAlignment="1">
      <alignment horizontal="center" vertical="center" wrapText="1"/>
    </xf>
    <xf numFmtId="164" fontId="0" fillId="0" borderId="8" xfId="1" applyFont="1" applyBorder="1" applyAlignment="1">
      <alignment horizontal="center" vertical="center"/>
    </xf>
    <xf numFmtId="0" fontId="0" fillId="0" borderId="8" xfId="0" applyBorder="1"/>
    <xf numFmtId="164" fontId="1" fillId="0" borderId="8" xfId="1" applyFont="1" applyBorder="1" applyAlignment="1">
      <alignment horizontal="center" vertical="center"/>
    </xf>
    <xf numFmtId="164" fontId="1" fillId="0" borderId="8" xfId="1" applyFont="1" applyBorder="1"/>
    <xf numFmtId="0" fontId="0" fillId="0" borderId="0" xfId="2" applyNumberFormat="1" applyFont="1" applyAlignment="1">
      <alignment horizontal="center" vertical="center"/>
    </xf>
    <xf numFmtId="164" fontId="4" fillId="4" borderId="9" xfId="1" applyFont="1" applyFill="1" applyBorder="1" applyAlignment="1">
      <alignment horizontal="center" vertical="center" wrapText="1"/>
    </xf>
    <xf numFmtId="9" fontId="0" fillId="0" borderId="0" xfId="0" applyNumberFormat="1"/>
    <xf numFmtId="0" fontId="0" fillId="0" borderId="0" xfId="2" applyNumberFormat="1" applyFont="1"/>
    <xf numFmtId="0" fontId="0" fillId="0" borderId="0" xfId="0" applyAlignment="1">
      <alignment vertical="center" wrapText="1"/>
    </xf>
    <xf numFmtId="164" fontId="5" fillId="4" borderId="9" xfId="1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164" fontId="0" fillId="0" borderId="0" xfId="1" applyFont="1" applyBorder="1" applyAlignment="1">
      <alignment horizontal="center" vertical="center"/>
    </xf>
    <xf numFmtId="165" fontId="0" fillId="0" borderId="0" xfId="2" applyNumberFormat="1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4" fontId="0" fillId="0" borderId="0" xfId="1" applyFont="1" applyBorder="1"/>
    <xf numFmtId="0" fontId="0" fillId="0" borderId="11" xfId="0" applyBorder="1"/>
    <xf numFmtId="0" fontId="7" fillId="0" borderId="0" xfId="0" applyFont="1" applyAlignment="1">
      <alignment wrapText="1"/>
    </xf>
    <xf numFmtId="0" fontId="3" fillId="3" borderId="2" xfId="3" applyFont="1" applyFill="1" applyBorder="1" applyAlignment="1">
      <alignment vertical="center" wrapText="1"/>
    </xf>
    <xf numFmtId="0" fontId="3" fillId="3" borderId="2" xfId="3" applyFont="1" applyFill="1" applyBorder="1" applyAlignment="1">
      <alignment vertical="center"/>
    </xf>
    <xf numFmtId="0" fontId="3" fillId="2" borderId="1" xfId="3" applyFont="1" applyFill="1" applyBorder="1" applyAlignment="1">
      <alignment vertical="center" wrapText="1"/>
    </xf>
    <xf numFmtId="0" fontId="3" fillId="2" borderId="2" xfId="3" applyFont="1" applyFill="1" applyBorder="1" applyAlignment="1">
      <alignment vertical="center" wrapText="1"/>
    </xf>
    <xf numFmtId="0" fontId="3" fillId="2" borderId="1" xfId="3" applyFont="1" applyFill="1" applyBorder="1" applyAlignment="1">
      <alignment vertical="center"/>
    </xf>
    <xf numFmtId="0" fontId="3" fillId="2" borderId="2" xfId="3" applyFont="1" applyFill="1" applyBorder="1" applyAlignment="1">
      <alignment vertical="center"/>
    </xf>
    <xf numFmtId="0" fontId="0" fillId="0" borderId="0" xfId="0" applyAlignment="1">
      <alignment horizontal="center"/>
    </xf>
    <xf numFmtId="9" fontId="0" fillId="5" borderId="12" xfId="2" applyFont="1" applyFill="1" applyBorder="1"/>
    <xf numFmtId="9" fontId="0" fillId="5" borderId="13" xfId="2" applyFont="1" applyFill="1" applyBorder="1"/>
  </cellXfs>
  <cellStyles count="4">
    <cellStyle name="Moneda" xfId="1" builtinId="4"/>
    <cellStyle name="Normal" xfId="0" builtinId="0"/>
    <cellStyle name="Normal 2" xfId="3" xr:uid="{4744D146-0FE9-426D-8D89-8D7A5820292E}"/>
    <cellStyle name="Porcentaje" xfId="2" builtinId="5"/>
  </cellStyles>
  <dxfs count="69"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 style="medium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numFmt numFmtId="16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ck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parajita"/>
        <family val="1"/>
        <scheme val="none"/>
      </font>
      <numFmt numFmtId="30" formatCode="@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numFmt numFmtId="16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numFmt numFmtId="16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ck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parajita"/>
        <family val="1"/>
        <scheme val="none"/>
      </font>
      <numFmt numFmtId="30" formatCode="@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arajita"/>
        <family val="1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arajita"/>
        <family val="1"/>
        <scheme val="none"/>
      </font>
      <numFmt numFmtId="165" formatCode="0%;[Red]0%;\-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arajita"/>
        <family val="1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arajita"/>
        <family val="1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arajita"/>
        <family val="1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 style="medium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arajita"/>
        <family val="1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theme="1"/>
        </left>
        <right style="medium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arajita"/>
        <family val="1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arajita"/>
        <family val="1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 style="thin">
          <color theme="1"/>
        </top>
        <bottom style="thin">
          <color theme="1"/>
        </bottom>
      </border>
    </dxf>
    <dxf>
      <border outline="0">
        <bottom style="thick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parajita"/>
        <family val="1"/>
        <scheme val="none"/>
      </font>
      <numFmt numFmtId="30" formatCode="@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arajita"/>
        <family val="1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arajita"/>
        <family val="1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1"/>
        </left>
        <right style="medium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arajita"/>
        <family val="1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arajita"/>
        <family val="1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arajita"/>
        <family val="1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 style="medium">
          <color indexed="64"/>
        </vertical>
        <horizontal style="medium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arajita"/>
        <family val="1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arajita"/>
        <family val="1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theme="1"/>
        </left>
        <right style="medium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arajita"/>
        <family val="1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arajita"/>
        <family val="1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bottom style="thick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parajita"/>
        <family val="1"/>
        <scheme val="none"/>
      </font>
      <numFmt numFmtId="30" formatCode="@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441960</xdr:colOff>
          <xdr:row>4</xdr:row>
          <xdr:rowOff>22860</xdr:rowOff>
        </xdr:from>
        <xdr:to>
          <xdr:col>8</xdr:col>
          <xdr:colOff>381000</xdr:colOff>
          <xdr:row>19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55448" tIns="155448" rIns="155448" bIns="155448" anchor="ctr" upright="1"/>
            <a:lstStyle/>
            <a:p>
              <a:pPr algn="ctr" rtl="0">
                <a:defRPr sz="1000"/>
              </a:pPr>
              <a:r>
                <a:rPr lang="es-MX" sz="7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10832</xdr:colOff>
      <xdr:row>0</xdr:row>
      <xdr:rowOff>105311</xdr:rowOff>
    </xdr:from>
    <xdr:to>
      <xdr:col>1</xdr:col>
      <xdr:colOff>758001</xdr:colOff>
      <xdr:row>0</xdr:row>
      <xdr:rowOff>937260</xdr:rowOff>
    </xdr:to>
    <xdr:pic>
      <xdr:nvPicPr>
        <xdr:cNvPr id="3" name="Imagen 2" descr="No hay ninguna descripción de la foto disponible.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4472" b="13974"/>
        <a:stretch/>
      </xdr:blipFill>
      <xdr:spPr bwMode="auto">
        <a:xfrm>
          <a:off x="10832" y="105311"/>
          <a:ext cx="1051969" cy="83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73</xdr:row>
      <xdr:rowOff>137160</xdr:rowOff>
    </xdr:from>
    <xdr:to>
      <xdr:col>1</xdr:col>
      <xdr:colOff>747169</xdr:colOff>
      <xdr:row>73</xdr:row>
      <xdr:rowOff>969109</xdr:rowOff>
    </xdr:to>
    <xdr:pic>
      <xdr:nvPicPr>
        <xdr:cNvPr id="7" name="Imagen 6" descr="No hay ninguna descripción de la foto disponible.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4472" b="13974"/>
        <a:stretch/>
      </xdr:blipFill>
      <xdr:spPr bwMode="auto">
        <a:xfrm>
          <a:off x="0" y="15255240"/>
          <a:ext cx="1051969" cy="83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106</xdr:row>
      <xdr:rowOff>91440</xdr:rowOff>
    </xdr:from>
    <xdr:to>
      <xdr:col>1</xdr:col>
      <xdr:colOff>747169</xdr:colOff>
      <xdr:row>106</xdr:row>
      <xdr:rowOff>923389</xdr:rowOff>
    </xdr:to>
    <xdr:pic>
      <xdr:nvPicPr>
        <xdr:cNvPr id="8" name="Imagen 7" descr="No hay ninguna descripción de la foto disponible.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4472" b="13974"/>
        <a:stretch/>
      </xdr:blipFill>
      <xdr:spPr bwMode="auto">
        <a:xfrm>
          <a:off x="0" y="23766780"/>
          <a:ext cx="1051969" cy="83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116</xdr:row>
      <xdr:rowOff>114300</xdr:rowOff>
    </xdr:from>
    <xdr:to>
      <xdr:col>1</xdr:col>
      <xdr:colOff>747169</xdr:colOff>
      <xdr:row>116</xdr:row>
      <xdr:rowOff>946249</xdr:rowOff>
    </xdr:to>
    <xdr:pic>
      <xdr:nvPicPr>
        <xdr:cNvPr id="9" name="Imagen 8" descr="No hay ninguna descripción de la foto disponible.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4472" b="13974"/>
        <a:stretch/>
      </xdr:blipFill>
      <xdr:spPr bwMode="auto">
        <a:xfrm>
          <a:off x="0" y="26822400"/>
          <a:ext cx="1051969" cy="8319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NEGOCIOS Y APLICACIONES ESTRATEGICAS S.A. DE C.V." id="{407E5166-6AA8-419E-B34A-13F2C09F9820}" userId="d744b031a561ee3d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4E3BEA-3A0E-4534-9605-59231247A174}" name="TabAbarrotes" displayName="TabAbarrotes" ref="A2:J68" totalsRowShown="0" headerRowDxfId="65" headerRowBorderDxfId="64" headerRowCellStyle="Normal 2">
  <autoFilter ref="A2:J68" xr:uid="{F74E3BEA-3A0E-4534-9605-59231247A174}"/>
  <sortState xmlns:xlrd2="http://schemas.microsoft.com/office/spreadsheetml/2017/richdata2" ref="A3:J68">
    <sortCondition ref="C2:C68"/>
  </sortState>
  <tableColumns count="10">
    <tableColumn id="1" xr3:uid="{1E3851BB-1181-4B62-B343-B3B05CE6018A}" name="No." dataDxfId="63"/>
    <tableColumn id="2" xr3:uid="{C37F3B15-EB7E-4A4E-ABF3-987DBEDE8AB9}" name="Grupo" dataDxfId="62"/>
    <tableColumn id="3" xr3:uid="{91DF1235-A34C-4F48-B5D9-DCA773860757}" name="Pruducto" dataDxfId="61"/>
    <tableColumn id="11" xr3:uid="{C5C1A233-7DA5-4C95-A26F-AAA4AE4D03BB}" name="Unidad" dataDxfId="60"/>
    <tableColumn id="12" xr3:uid="{1AD7F45F-67C9-40A2-9036-638C55E56629}" name="$/Unidad" dataDxfId="59" dataCellStyle="Moneda">
      <calculatedColumnFormula>TabAbarrotes[[#This Row],[$/ Presentacion]]/TabAbarrotes[[#This Row],[PPT]]</calculatedColumnFormula>
    </tableColumn>
    <tableColumn id="13" xr3:uid="{A977ED4A-3235-416D-8EE9-BDFBF9F15435}" name="$ Promedio/U" dataDxfId="58" dataCellStyle="Moneda"/>
    <tableColumn id="15" xr3:uid="{07C828D1-B0AF-45F4-80EE-7EFCE15A06D6}" name="PPT" dataDxfId="57"/>
    <tableColumn id="14" xr3:uid="{4D9859F2-806E-4E8E-AE3D-D08DFC276281}" name="$/ Presentacion" dataDxfId="56" dataCellStyle="Moneda"/>
    <tableColumn id="4" xr3:uid="{0CE8AF1A-A3C1-4A80-AF39-62435F47B9DE}" name="Marca" dataDxfId="55"/>
    <tableColumn id="7" xr3:uid="{EDF49C90-A759-4B23-BB5D-8F13A1DC7979}" name="Observacion" dataDxfId="54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302648-BCAB-4E4F-ADB1-A82E824A8255}" name="TabFrutas" displayName="TabFrutas" ref="A75:J101" totalsRowShown="0" headerRowDxfId="53" headerRowBorderDxfId="52" headerRowCellStyle="Normal 2">
  <autoFilter ref="A75:J101" xr:uid="{5C302648-BCAB-4E4F-ADB1-A82E824A8255}"/>
  <sortState xmlns:xlrd2="http://schemas.microsoft.com/office/spreadsheetml/2017/richdata2" ref="A76:J101">
    <sortCondition ref="C75:C101"/>
  </sortState>
  <tableColumns count="10">
    <tableColumn id="1" xr3:uid="{789449DB-1D46-48C4-BE4E-B22D3A1E65FC}" name="No." dataDxfId="51"/>
    <tableColumn id="2" xr3:uid="{77B42234-166F-45C5-A100-681103912133}" name="Grupo" dataDxfId="50"/>
    <tableColumn id="3" xr3:uid="{1B6F6DBA-AD03-4B02-9E21-27CDB6CA69FA}" name="Pruducto" dataDxfId="49"/>
    <tableColumn id="13" xr3:uid="{1F33AC51-E4FD-4DB4-9B39-367213C0006F}" name="Unidad" dataDxfId="48"/>
    <tableColumn id="14" xr3:uid="{CCC416F3-60C4-4B11-8268-2153C87A2D8D}" name="$/Unidad + Merma" dataDxfId="47" dataCellStyle="Moneda"/>
    <tableColumn id="15" xr3:uid="{0610766F-BEF9-4847-B198-E30F406F944E}" name="$ Promedio/U" dataDxfId="46" dataCellStyle="Moneda"/>
    <tableColumn id="17" xr3:uid="{01E97929-3231-441D-8875-702884A742A4}" name="PPT" dataDxfId="45"/>
    <tableColumn id="18" xr3:uid="{71B634A7-B09A-45AD-BABE-BBB97F4FE454}" name="$/ Presentacion" dataDxfId="44" dataCellStyle="Moneda"/>
    <tableColumn id="4" xr3:uid="{9810A055-9D8E-47F2-BED1-0A397A06FD54}" name="Porcentaje de merma %" dataDxfId="43" dataCellStyle="Porcentaje"/>
    <tableColumn id="16" xr3:uid="{DDD3D7B8-D683-4F2C-A075-ACA50858298C}" name="Observacion" dataDxfId="42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286F82D-E00A-4B21-BF54-8F125EA9B74A}" name="TabCitricos" displayName="TabCitricos" ref="A108:J111" totalsRowShown="0" headerRowDxfId="41" headerRowBorderDxfId="40" headerRowCellStyle="Normal 2">
  <autoFilter ref="A108:J111" xr:uid="{1286F82D-E00A-4B21-BF54-8F125EA9B74A}"/>
  <tableColumns count="10">
    <tableColumn id="1" xr3:uid="{459C02AB-427D-486C-8298-2FEF4C06959F}" name="No." dataDxfId="39"/>
    <tableColumn id="2" xr3:uid="{5422BC70-17B7-4994-A7C7-CFC0C10EA2B4}" name="Grupo" dataDxfId="38"/>
    <tableColumn id="3" xr3:uid="{C3559991-ACFD-4A22-918A-2D51D0BFB033}" name="Pruducto" dataDxfId="37"/>
    <tableColumn id="11" xr3:uid="{99145FBF-2118-41CA-8EFC-3E2B6E3963CE}" name="Unidad" dataDxfId="36"/>
    <tableColumn id="12" xr3:uid="{6C1C23C5-FDA3-41BA-921C-40EF3C59F078}" name="$/Unidad" dataDxfId="35" dataCellStyle="Moneda">
      <calculatedColumnFormula>TabCitricos[[#This Row],[$/Unidad Presentacion]]*TabCitricos[[#This Row],[Kg/L]]/TabCitricos[[#This Row],[PPT]]</calculatedColumnFormula>
    </tableColumn>
    <tableColumn id="13" xr3:uid="{FE5B9952-7832-4E5D-9933-2EA7BFB0DFC7}" name="$ Promedio/U" dataDxfId="34" dataCellStyle="Moneda"/>
    <tableColumn id="14" xr3:uid="{B0636DF3-4ECD-4D08-8B60-7A699BD4D91E}" name="PPT" dataDxfId="33"/>
    <tableColumn id="15" xr3:uid="{AF16F675-1074-4EB4-8E76-22031D5B1DC5}" name="$/Unidad Presentacion" dataDxfId="32" dataCellStyle="Moneda"/>
    <tableColumn id="4" xr3:uid="{57D05B6D-8936-4213-ABCE-A5D2274AA19B}" name="Kg/L" dataDxfId="31" dataCellStyle="Porcentaje"/>
    <tableColumn id="7" xr3:uid="{8EF301E1-B2A1-47E8-86D7-22083A4BEEEE}" name="Observacion" dataDxfId="30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55969C2-485D-4062-8BB8-77F5FD1F35DA}" name="TabHuevos" displayName="TabHuevos" ref="A118:J121" totalsRowShown="0" headerRowDxfId="29" headerRowBorderDxfId="28" tableBorderDxfId="27" headerRowCellStyle="Normal 2">
  <autoFilter ref="A118:J121" xr:uid="{355969C2-485D-4062-8BB8-77F5FD1F35DA}"/>
  <tableColumns count="10">
    <tableColumn id="1" xr3:uid="{E94482C0-48E0-4990-AC5B-39F4A58E35EC}" name="No." dataDxfId="26"/>
    <tableColumn id="2" xr3:uid="{D1AC837D-0C43-4955-B16A-1535F95E25F5}" name="Grupo" dataDxfId="25"/>
    <tableColumn id="3" xr3:uid="{4E6779E8-0C4F-4634-9566-E662E2770F99}" name="Pruducto" dataDxfId="24"/>
    <tableColumn id="4" xr3:uid="{73EA82A7-058D-4DB8-A2FC-2DB20D0B7EC3}" name="Unidad" dataDxfId="23"/>
    <tableColumn id="5" xr3:uid="{D61D92BD-C050-4CBD-AFCF-B94CEA36202C}" name="$/Unidad" dataDxfId="22" dataCellStyle="Moneda">
      <calculatedColumnFormula>TabHuevos[[#This Row],[$/Unidad Presentacion]]*TabHuevos[[#This Row],[PPT]]</calculatedColumnFormula>
    </tableColumn>
    <tableColumn id="6" xr3:uid="{09743B9F-99E6-4F32-B65D-0595CE898C2C}" name="$ Promedio/U" dataDxfId="21" dataCellStyle="Moneda"/>
    <tableColumn id="7" xr3:uid="{D3E2784B-6979-4476-81FE-6457A9E373AD}" name="PPT" dataDxfId="20"/>
    <tableColumn id="8" xr3:uid="{B1F3DEBF-0A77-4FF3-9098-1DF5A111E11D}" name="$/Unidad Presentacion" dataDxfId="19" dataCellStyle="Moneda">
      <calculatedColumnFormula>VLOOKUP(TabHuevos[[#This Row],[Pruducto]],TabAbarrotes[[#All],[Pruducto]:[$/ Presentacion]],2,FALSE)</calculatedColumnFormula>
    </tableColumn>
    <tableColumn id="9" xr3:uid="{A4C338D4-4CF4-4B1E-B1CB-030D91CF2925}" name="Peso Kg" dataDxfId="18" dataCellStyle="Porcentaje"/>
    <tableColumn id="10" xr3:uid="{5D187CF6-2110-46DA-859A-E893B2769C6E}" name="Observacion" dataDxfId="17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CB31229-FF58-4F52-A9FF-0D405ECBAB3E}" name="TabUnidades" displayName="TabUnidades" ref="J3:L6" totalsRowShown="0">
  <autoFilter ref="J3:L6" xr:uid="{1CB31229-FF58-4F52-A9FF-0D405ECBAB3E}"/>
  <tableColumns count="3">
    <tableColumn id="1" xr3:uid="{560CE04E-5684-4A80-BA3F-94FCB9519BE5}" name="No."/>
    <tableColumn id="2" xr3:uid="{F82D8281-9CF9-433F-B44F-ACA807E0817F}" name="Unidad"/>
    <tableColumn id="3" xr3:uid="{61F393E9-0848-4F0F-B4C9-8B2644328D8D}" name="Descripcion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DB8C6D1-D691-4517-9720-15B27DAF3FC8}" name="TabGrRecetas" displayName="TabGrRecetas" ref="A3:D11" totalsRowShown="0">
  <autoFilter ref="A3:D11" xr:uid="{FDB8C6D1-D691-4517-9720-15B27DAF3FC8}"/>
  <sortState xmlns:xlrd2="http://schemas.microsoft.com/office/spreadsheetml/2017/richdata2" ref="A4:D11">
    <sortCondition ref="B3:B11"/>
  </sortState>
  <tableColumns count="4">
    <tableColumn id="1" xr3:uid="{448C7F8B-B6FE-4B03-8853-6950F4A69616}" name="No."/>
    <tableColumn id="2" xr3:uid="{145339CC-70D7-4764-8210-BA374E508F52}" name="Tipo"/>
    <tableColumn id="4" xr3:uid="{1CCED429-4DF1-4573-9A03-E81B4CDDDDD1}" name="Unidad"/>
    <tableColumn id="3" xr3:uid="{3AE7E1EB-57BA-4E62-88B0-B5751E5E93F2}" name="Descripcion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A99918D-4287-4A67-86FE-499DF8C862C9}" name="TabGrIngredientes" displayName="TabGrIngredientes" ref="F3:H15" totalsRowShown="0">
  <autoFilter ref="F3:H15" xr:uid="{4A99918D-4287-4A67-86FE-499DF8C862C9}"/>
  <sortState xmlns:xlrd2="http://schemas.microsoft.com/office/spreadsheetml/2017/richdata2" ref="F4:H15">
    <sortCondition ref="G3:G15"/>
  </sortState>
  <tableColumns count="3">
    <tableColumn id="1" xr3:uid="{FD248CE9-7B37-4E7A-BD21-86CDA2BAF2F1}" name="No."/>
    <tableColumn id="2" xr3:uid="{99C65E44-C686-4B5C-B460-28FD4756F28F}" name="Tipo"/>
    <tableColumn id="3" xr3:uid="{3526520E-2995-47A3-9878-10A270070279}" name="Descripcion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35C221-4599-4508-AC3C-CE49A611FD48}" name="TabRecetas" displayName="TabRecetas" ref="A1:J26" totalsRowShown="0" dataDxfId="16">
  <autoFilter ref="A1:J26" xr:uid="{1D35C221-4599-4508-AC3C-CE49A611FD48}"/>
  <sortState xmlns:xlrd2="http://schemas.microsoft.com/office/spreadsheetml/2017/richdata2" ref="A2:J26">
    <sortCondition descending="1" ref="A1:A26"/>
  </sortState>
  <tableColumns count="10">
    <tableColumn id="1" xr3:uid="{34BD64F1-595C-4805-954E-DE6104D0A0B2}" name="id" dataDxfId="15"/>
    <tableColumn id="2" xr3:uid="{C5BE7CEF-F1E6-4ED2-A917-CAD1F7AD5B3A}" name="Nombre Receta" dataDxfId="14"/>
    <tableColumn id="3" xr3:uid="{16663BC1-EC5B-4925-B8B7-2AE2DDA5124E}" name="Tipo" dataDxfId="13"/>
    <tableColumn id="4" xr3:uid="{1843EA29-997B-4C54-9AEE-E19D4D028A94}" name="Tiempo Preparacion" dataDxfId="12"/>
    <tableColumn id="5" xr3:uid="{CB2DD6F5-89DE-4667-A883-D0ED7F9EDCAF}" name="Tiempo Coccion" dataDxfId="11"/>
    <tableColumn id="6" xr3:uid="{FA7BB4F0-1683-45D8-84B9-9EE58A3BB773}" name="Tiempo Reposo" dataDxfId="10"/>
    <tableColumn id="7" xr3:uid="{129C3F6D-6404-40ED-A01D-B06B4E5986EA}" name="Tiempo Vida" dataDxfId="9"/>
    <tableColumn id="8" xr3:uid="{125ACAFE-C695-44DD-8FFC-6A9FD61A7996}" name="Precio Elaboracion" dataDxfId="8">
      <calculatedColumnFormula>SUMIF(TabRecetaIng[id],TabRecetas[[#This Row],[id]],TabRecetaIng[Precio PP])+(SUMIF(TabRecetaIng[id],TabRecetas[[#This Row],[id]],TabRecetaIng[Precio PP])*Informacion!$O$3)</calculatedColumnFormula>
    </tableColumn>
    <tableColumn id="9" xr3:uid="{D064AF64-ECAA-49D2-AD63-C467EA2F8B58}" name="Porcion" dataDxfId="7"/>
    <tableColumn id="10" xr3:uid="{2A3C6BBB-DD43-4C69-892C-60CBA24509F2}" name="Preparacion" dataDxfId="6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803DDDA-6624-4AA7-86B1-5A568837E020}" name="TabRecetaIng" displayName="TabRecetaIng" ref="A1:G147" totalsRowShown="0">
  <autoFilter ref="A1:G147" xr:uid="{9803DDDA-6624-4AA7-86B1-5A568837E020}">
    <filterColumn colId="0">
      <filters>
        <filter val="23"/>
      </filters>
    </filterColumn>
  </autoFilter>
  <tableColumns count="7">
    <tableColumn id="1" xr3:uid="{3EE7D5B2-85FE-49DF-AECD-0FD94805EE77}" name="id"/>
    <tableColumn id="2" xr3:uid="{7FA23533-9718-4EE1-85CA-70286BF116D1}" name="No."/>
    <tableColumn id="3" xr3:uid="{225BB6F5-275D-4068-9AD5-054D3A5B0D31}" name="Grupo"/>
    <tableColumn id="4" xr3:uid="{93AAE4C2-A938-4F6D-84ED-2A71F7408C6F}" name="Ingrediente"/>
    <tableColumn id="5" xr3:uid="{A0EEE364-5CAE-4FF1-99F5-D9B6B851925A}" name="Cantidad"/>
    <tableColumn id="6" xr3:uid="{66F3FBD3-C1B8-4261-BEF6-DF7B14ACADDF}" name="Unidad/P"/>
    <tableColumn id="7" xr3:uid="{E47A33E8-96EA-4583-A3A4-60950ECF6469}" name="Precio PP" dataDxfId="5">
      <calculatedColumnFormula>'Precios Tablas'!$E$119 + R23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9CEDF0D-5FF6-44CC-9B6A-712CC5858EE3}" name="Tabla5" displayName="Tabla5" ref="A1:H101" totalsRowShown="0">
  <autoFilter ref="A1:H101" xr:uid="{A9CEDF0D-5FF6-44CC-9B6A-712CC5858EE3}"/>
  <tableColumns count="8">
    <tableColumn id="1" xr3:uid="{2AE0AC82-60FD-4B38-94A3-0C20ED033C5E}" name="id" dataDxfId="4"/>
    <tableColumn id="2" xr3:uid="{F50596B4-F43B-4DE9-820C-B791FE9B4B03}" name="Receta" dataDxfId="3">
      <calculatedColumnFormula>VLOOKUP(Tabla5[[#This Row],[id]],TabRecetas[],2,FALSE)</calculatedColumnFormula>
    </tableColumn>
    <tableColumn id="3" xr3:uid="{87D48299-FEC5-49FC-BA59-28E905542821}" name="Precio de elavoracion" dataCellStyle="Moneda">
      <calculatedColumnFormula>VLOOKUP(Tabla5[[#This Row],[id]],TabRecetas[],8,FALSE)</calculatedColumnFormula>
    </tableColumn>
    <tableColumn id="4" xr3:uid="{7819D29F-A83F-48BC-ADFC-BAE6182E12E0}" name="Precio mas empaquetado" dataCellStyle="Moneda">
      <calculatedColumnFormula>Tabla5[[#This Row],[Precio de elavoracion]]+Informacion!$O$4</calculatedColumnFormula>
    </tableColumn>
    <tableColumn id="5" xr3:uid="{0E5CED12-BB59-47CB-AC71-97C59377144B}" name="$ con 30% +" dataDxfId="2" dataCellStyle="Moneda">
      <calculatedColumnFormula>Tabla5[[#This Row],[Precio de elavoracion]]+(Tabla5[[#This Row],[Precio de elavoracion]]*30%)+Informacion!$O$4</calculatedColumnFormula>
    </tableColumn>
    <tableColumn id="6" xr3:uid="{EB923E89-8351-44F3-8C2E-6327BE65492F}" name="$ con 60% +" dataDxfId="1" dataCellStyle="Moneda">
      <calculatedColumnFormula>Tabla5[[#This Row],[Precio de elavoracion]]+(Tabla5[[#This Row],[Precio de elavoracion]]*60%)+Informacion!$O$4</calculatedColumnFormula>
    </tableColumn>
    <tableColumn id="7" xr3:uid="{299E8156-FBC6-41D1-A8A3-CB30B3DD8E6C}" name="% + editable" dataCellStyle="Porcentaje"/>
    <tableColumn id="8" xr3:uid="{248B8E39-EF57-4C5B-B680-44895025EDC7}" name="$ + % editable" dataDxfId="0" dataCellStyle="Moneda">
      <calculatedColumnFormula>Tabla5[[#This Row],[Precio de elavoracion]]+(Tabla5[[#This Row],[Precio de elavoracion]]*Tabla5[[#This Row],[% + editable]])+Informacion!$O$4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2" dT="2022-11-29T23:35:35.16" personId="{407E5166-6AA8-419E-B34A-13F2C09F9820}" id="{7861785E-B34A-4CED-99E6-E7C2EA2802B3}">
    <text>=$/Presentacion (/) presentacion</text>
  </threadedComment>
  <threadedComment ref="I108" dT="2022-11-29T22:43:55.18" personId="{407E5166-6AA8-419E-B34A-13F2C09F9820}" id="{F9BE7474-8713-4DCC-B997-CC817D4C70F5}">
    <text>Kg requeridos para hacer un Litro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1" dT="2022-12-07T20:27:53.81" personId="{407E5166-6AA8-419E-B34A-13F2C09F9820}" id="{BE13210D-DBB1-4EFF-9D51-C1A2BF79372E}">
    <text>Costo total de insumos + FactorProteccion</text>
  </threadedComment>
  <threadedComment ref="I1" dT="2022-12-07T18:23:54.41" personId="{407E5166-6AA8-419E-B34A-13F2C09F9820}" id="{49D96242-2075-4501-AC7E-6B317DB177D7}">
    <text>Numero de personas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65749-9984-4066-ACF6-D52690731C21}">
  <sheetPr codeName="Hoja5"/>
  <dimension ref="A1"/>
  <sheetViews>
    <sheetView showGridLines="0" topLeftCell="A4" workbookViewId="0">
      <selection activeCell="I19" sqref="I19"/>
    </sheetView>
  </sheetViews>
  <sheetFormatPr baseColWidth="10" defaultRowHeight="14.4" x14ac:dyDescent="0.3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iciarMacro">
                <anchor moveWithCells="1" sizeWithCells="1">
                  <from>
                    <xdr:col>1</xdr:col>
                    <xdr:colOff>441960</xdr:colOff>
                    <xdr:row>4</xdr:row>
                    <xdr:rowOff>22860</xdr:rowOff>
                  </from>
                  <to>
                    <xdr:col>8</xdr:col>
                    <xdr:colOff>381000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A4D31-F468-461B-805A-8C5DCE13BAE6}">
  <sheetPr codeName="Hoja1"/>
  <dimension ref="A1:J128"/>
  <sheetViews>
    <sheetView topLeftCell="A118" zoomScale="85" zoomScaleNormal="85" workbookViewId="0">
      <selection activeCell="G43" sqref="G43"/>
    </sheetView>
  </sheetViews>
  <sheetFormatPr baseColWidth="10" defaultRowHeight="14.4" x14ac:dyDescent="0.3"/>
  <cols>
    <col min="1" max="1" width="4.44140625" style="4" customWidth="1"/>
    <col min="2" max="2" width="18.33203125" style="8" bestFit="1" customWidth="1"/>
    <col min="3" max="3" width="19.33203125" style="8" customWidth="1"/>
    <col min="4" max="4" width="7.33203125" style="4" customWidth="1"/>
    <col min="5" max="5" width="10.5546875" style="13" customWidth="1"/>
    <col min="6" max="6" width="11.5546875" style="16" customWidth="1"/>
    <col min="7" max="7" width="5.44140625" style="4" customWidth="1"/>
    <col min="8" max="8" width="12.44140625" style="16" customWidth="1"/>
    <col min="9" max="9" width="17.33203125" bestFit="1" customWidth="1"/>
    <col min="10" max="10" width="16.44140625" customWidth="1"/>
  </cols>
  <sheetData>
    <row r="1" spans="1:10" ht="83.4" customHeight="1" thickTop="1" thickBot="1" x14ac:dyDescent="0.35">
      <c r="A1" s="42"/>
      <c r="B1" s="43"/>
      <c r="C1" s="41" t="s">
        <v>199</v>
      </c>
      <c r="D1" s="40"/>
      <c r="E1" s="40"/>
      <c r="F1" s="40"/>
      <c r="G1" s="40"/>
      <c r="H1" s="40"/>
      <c r="I1" s="40"/>
      <c r="J1" s="40"/>
    </row>
    <row r="2" spans="1:10" ht="41.4" thickBot="1" x14ac:dyDescent="0.35">
      <c r="A2" s="1" t="s">
        <v>0</v>
      </c>
      <c r="B2" s="7" t="s">
        <v>1</v>
      </c>
      <c r="C2" s="10" t="s">
        <v>5</v>
      </c>
      <c r="D2" s="5" t="s">
        <v>3</v>
      </c>
      <c r="E2" s="21" t="s">
        <v>6</v>
      </c>
      <c r="F2" s="21" t="s">
        <v>141</v>
      </c>
      <c r="G2" s="1" t="s">
        <v>145</v>
      </c>
      <c r="H2" s="12" t="s">
        <v>142</v>
      </c>
      <c r="I2" s="17" t="s">
        <v>2</v>
      </c>
      <c r="J2" s="2" t="s">
        <v>4</v>
      </c>
    </row>
    <row r="3" spans="1:10" ht="15.6" thickTop="1" thickBot="1" x14ac:dyDescent="0.35">
      <c r="A3" s="33">
        <v>1</v>
      </c>
      <c r="B3" s="8" t="s">
        <v>139</v>
      </c>
      <c r="C3" s="8" t="s">
        <v>7</v>
      </c>
      <c r="D3" s="4" t="s">
        <v>9</v>
      </c>
      <c r="E3" s="25">
        <f>TabAbarrotes[[#This Row],[$/ Presentacion]]/TabAbarrotes[[#This Row],[PPT]]</f>
        <v>42</v>
      </c>
      <c r="F3" s="26"/>
      <c r="G3" s="4">
        <v>1</v>
      </c>
      <c r="H3" s="37">
        <v>42</v>
      </c>
      <c r="I3" t="s">
        <v>8</v>
      </c>
      <c r="J3" s="38" t="s">
        <v>10</v>
      </c>
    </row>
    <row r="4" spans="1:10" ht="15" thickBot="1" x14ac:dyDescent="0.35">
      <c r="A4" s="33">
        <f t="shared" ref="A4:A67" si="0">A3+1</f>
        <v>2</v>
      </c>
      <c r="B4" s="8" t="s">
        <v>139</v>
      </c>
      <c r="C4" s="8" t="s">
        <v>11</v>
      </c>
      <c r="D4" s="4" t="s">
        <v>9</v>
      </c>
      <c r="E4" s="25">
        <f>TabAbarrotes[[#This Row],[$/ Presentacion]]/TabAbarrotes[[#This Row],[PPT]]</f>
        <v>32</v>
      </c>
      <c r="F4" s="26"/>
      <c r="G4" s="4">
        <v>1</v>
      </c>
      <c r="H4" s="37">
        <v>32</v>
      </c>
      <c r="I4" t="s">
        <v>12</v>
      </c>
      <c r="J4" s="38" t="s">
        <v>13</v>
      </c>
    </row>
    <row r="5" spans="1:10" ht="15" thickBot="1" x14ac:dyDescent="0.35">
      <c r="A5" s="33">
        <f t="shared" si="0"/>
        <v>3</v>
      </c>
      <c r="B5" s="8" t="s">
        <v>176</v>
      </c>
      <c r="C5" s="8" t="s">
        <v>118</v>
      </c>
      <c r="D5" s="4" t="s">
        <v>16</v>
      </c>
      <c r="E5" s="25">
        <f>TabAbarrotes[[#This Row],[$/ Presentacion]]/TabAbarrotes[[#This Row],[PPT]]</f>
        <v>63</v>
      </c>
      <c r="F5" s="26"/>
      <c r="G5" s="4">
        <v>1</v>
      </c>
      <c r="H5" s="37">
        <v>63</v>
      </c>
      <c r="I5" t="s">
        <v>15</v>
      </c>
      <c r="J5" s="38" t="s">
        <v>15</v>
      </c>
    </row>
    <row r="6" spans="1:10" ht="15" thickBot="1" x14ac:dyDescent="0.35">
      <c r="A6" s="33">
        <f t="shared" si="0"/>
        <v>4</v>
      </c>
      <c r="B6" s="8" t="s">
        <v>176</v>
      </c>
      <c r="C6" s="8" t="s">
        <v>119</v>
      </c>
      <c r="D6" s="4" t="s">
        <v>16</v>
      </c>
      <c r="E6" s="25">
        <f>TabAbarrotes[[#This Row],[$/ Presentacion]]/TabAbarrotes[[#This Row],[PPT]]</f>
        <v>218</v>
      </c>
      <c r="F6" s="26"/>
      <c r="G6" s="4">
        <v>1</v>
      </c>
      <c r="H6" s="37">
        <v>218</v>
      </c>
      <c r="I6" t="s">
        <v>15</v>
      </c>
      <c r="J6" s="38" t="s">
        <v>15</v>
      </c>
    </row>
    <row r="7" spans="1:10" ht="15" thickBot="1" x14ac:dyDescent="0.35">
      <c r="A7" s="33">
        <f t="shared" si="0"/>
        <v>5</v>
      </c>
      <c r="B7" s="8" t="s">
        <v>139</v>
      </c>
      <c r="C7" s="8" t="s">
        <v>14</v>
      </c>
      <c r="D7" s="4" t="s">
        <v>16</v>
      </c>
      <c r="E7" s="25">
        <f>TabAbarrotes[[#This Row],[$/ Presentacion]]/TabAbarrotes[[#This Row],[PPT]]</f>
        <v>270</v>
      </c>
      <c r="F7" s="26"/>
      <c r="G7" s="4">
        <v>1</v>
      </c>
      <c r="H7" s="37">
        <v>270</v>
      </c>
      <c r="I7" t="s">
        <v>15</v>
      </c>
      <c r="J7" s="38" t="s">
        <v>15</v>
      </c>
    </row>
    <row r="8" spans="1:10" ht="15" thickBot="1" x14ac:dyDescent="0.35">
      <c r="A8" s="33">
        <f t="shared" si="0"/>
        <v>6</v>
      </c>
      <c r="B8" s="8" t="s">
        <v>176</v>
      </c>
      <c r="C8" s="8" t="s">
        <v>120</v>
      </c>
      <c r="D8" s="4" t="s">
        <v>16</v>
      </c>
      <c r="E8" s="25">
        <f>TabAbarrotes[[#This Row],[$/ Presentacion]]/TabAbarrotes[[#This Row],[PPT]]</f>
        <v>185</v>
      </c>
      <c r="F8" s="26"/>
      <c r="G8" s="4">
        <v>1</v>
      </c>
      <c r="H8" s="37">
        <v>185</v>
      </c>
      <c r="I8" t="s">
        <v>15</v>
      </c>
      <c r="J8" s="38" t="s">
        <v>15</v>
      </c>
    </row>
    <row r="9" spans="1:10" ht="15" thickBot="1" x14ac:dyDescent="0.35">
      <c r="A9" s="33">
        <f t="shared" si="0"/>
        <v>7</v>
      </c>
      <c r="B9" s="8" t="s">
        <v>176</v>
      </c>
      <c r="C9" s="8" t="s">
        <v>252</v>
      </c>
      <c r="D9" s="4" t="s">
        <v>16</v>
      </c>
      <c r="E9" s="25">
        <f>TabAbarrotes[[#This Row],[$/ Presentacion]]/TabAbarrotes[[#This Row],[PPT]]</f>
        <v>95</v>
      </c>
      <c r="F9" s="26"/>
      <c r="G9" s="4">
        <v>1</v>
      </c>
      <c r="H9" s="37">
        <v>95</v>
      </c>
      <c r="I9" t="s">
        <v>15</v>
      </c>
      <c r="J9" s="38" t="s">
        <v>15</v>
      </c>
    </row>
    <row r="10" spans="1:10" ht="15" thickBot="1" x14ac:dyDescent="0.35">
      <c r="A10" s="33">
        <f t="shared" si="0"/>
        <v>8</v>
      </c>
      <c r="B10" s="8" t="s">
        <v>176</v>
      </c>
      <c r="C10" s="8" t="s">
        <v>121</v>
      </c>
      <c r="D10" s="4" t="s">
        <v>16</v>
      </c>
      <c r="E10" s="25">
        <f>TabAbarrotes[[#This Row],[$/ Presentacion]]/TabAbarrotes[[#This Row],[PPT]]</f>
        <v>500</v>
      </c>
      <c r="F10" s="26"/>
      <c r="G10" s="4">
        <v>1</v>
      </c>
      <c r="H10" s="37">
        <v>500</v>
      </c>
      <c r="I10" t="s">
        <v>15</v>
      </c>
      <c r="J10" s="38" t="s">
        <v>15</v>
      </c>
    </row>
    <row r="11" spans="1:10" ht="15" thickBot="1" x14ac:dyDescent="0.35">
      <c r="A11" s="33">
        <f t="shared" si="0"/>
        <v>9</v>
      </c>
      <c r="B11" s="8" t="s">
        <v>139</v>
      </c>
      <c r="C11" s="8" t="s">
        <v>17</v>
      </c>
      <c r="D11" s="4" t="s">
        <v>16</v>
      </c>
      <c r="E11" s="25">
        <f>TabAbarrotes[[#This Row],[$/ Presentacion]]/TabAbarrotes[[#This Row],[PPT]]</f>
        <v>320</v>
      </c>
      <c r="F11" s="26"/>
      <c r="G11" s="4">
        <v>1</v>
      </c>
      <c r="H11" s="37">
        <v>320</v>
      </c>
      <c r="I11" t="s">
        <v>15</v>
      </c>
      <c r="J11" s="38" t="s">
        <v>18</v>
      </c>
    </row>
    <row r="12" spans="1:10" ht="15" thickBot="1" x14ac:dyDescent="0.35">
      <c r="A12" s="33">
        <f t="shared" si="0"/>
        <v>10</v>
      </c>
      <c r="B12" s="8" t="s">
        <v>139</v>
      </c>
      <c r="C12" s="8" t="s">
        <v>19</v>
      </c>
      <c r="D12" s="4" t="s">
        <v>16</v>
      </c>
      <c r="E12" s="25">
        <f>TabAbarrotes[[#This Row],[$/ Presentacion]]/TabAbarrotes[[#This Row],[PPT]]</f>
        <v>320</v>
      </c>
      <c r="F12" s="26"/>
      <c r="G12" s="4">
        <v>1</v>
      </c>
      <c r="H12" s="37">
        <v>320</v>
      </c>
      <c r="I12" t="s">
        <v>15</v>
      </c>
      <c r="J12" s="38" t="s">
        <v>18</v>
      </c>
    </row>
    <row r="13" spans="1:10" ht="15" thickBot="1" x14ac:dyDescent="0.35">
      <c r="A13" s="33">
        <f t="shared" si="0"/>
        <v>11</v>
      </c>
      <c r="B13" s="8" t="s">
        <v>139</v>
      </c>
      <c r="C13" s="8" t="s">
        <v>20</v>
      </c>
      <c r="D13" s="4" t="s">
        <v>16</v>
      </c>
      <c r="E13" s="25">
        <f>TabAbarrotes[[#This Row],[$/ Presentacion]]/TabAbarrotes[[#This Row],[PPT]]</f>
        <v>320</v>
      </c>
      <c r="F13" s="26"/>
      <c r="G13" s="4">
        <v>1</v>
      </c>
      <c r="H13" s="37">
        <v>320</v>
      </c>
      <c r="I13" t="s">
        <v>15</v>
      </c>
      <c r="J13" s="38" t="s">
        <v>18</v>
      </c>
    </row>
    <row r="14" spans="1:10" ht="15" thickBot="1" x14ac:dyDescent="0.35">
      <c r="A14" s="33">
        <f t="shared" si="0"/>
        <v>12</v>
      </c>
      <c r="B14" s="8" t="s">
        <v>139</v>
      </c>
      <c r="C14" s="8" t="s">
        <v>122</v>
      </c>
      <c r="D14" s="4" t="s">
        <v>16</v>
      </c>
      <c r="E14" s="25">
        <f>TabAbarrotes[[#This Row],[$/ Presentacion]]/TabAbarrotes[[#This Row],[PPT]]</f>
        <v>489</v>
      </c>
      <c r="F14" s="26"/>
      <c r="G14" s="4">
        <v>1</v>
      </c>
      <c r="H14" s="37">
        <v>489</v>
      </c>
      <c r="I14" t="s">
        <v>15</v>
      </c>
      <c r="J14" s="38" t="s">
        <v>15</v>
      </c>
    </row>
    <row r="15" spans="1:10" ht="15" thickBot="1" x14ac:dyDescent="0.35">
      <c r="A15" s="33">
        <f t="shared" si="0"/>
        <v>13</v>
      </c>
      <c r="B15" s="8" t="s">
        <v>139</v>
      </c>
      <c r="C15" s="8" t="s">
        <v>21</v>
      </c>
      <c r="D15" s="4" t="s">
        <v>16</v>
      </c>
      <c r="E15" s="25">
        <f>TabAbarrotes[[#This Row],[$/ Presentacion]]/TabAbarrotes[[#This Row],[PPT]]</f>
        <v>37</v>
      </c>
      <c r="F15" s="26"/>
      <c r="G15" s="4">
        <v>1</v>
      </c>
      <c r="H15" s="37">
        <v>37</v>
      </c>
      <c r="I15" t="s">
        <v>15</v>
      </c>
      <c r="J15" s="38" t="s">
        <v>22</v>
      </c>
    </row>
    <row r="16" spans="1:10" ht="15" thickBot="1" x14ac:dyDescent="0.35">
      <c r="A16" s="33">
        <f t="shared" si="0"/>
        <v>14</v>
      </c>
      <c r="B16" s="8" t="s">
        <v>139</v>
      </c>
      <c r="C16" s="8" t="s">
        <v>23</v>
      </c>
      <c r="D16" s="4" t="s">
        <v>16</v>
      </c>
      <c r="E16" s="25">
        <f>TabAbarrotes[[#This Row],[$/ Presentacion]]/TabAbarrotes[[#This Row],[PPT]]</f>
        <v>42</v>
      </c>
      <c r="F16" s="26"/>
      <c r="G16" s="4">
        <v>1</v>
      </c>
      <c r="H16" s="37">
        <v>42</v>
      </c>
      <c r="I16" t="s">
        <v>24</v>
      </c>
      <c r="J16" s="38" t="s">
        <v>22</v>
      </c>
    </row>
    <row r="17" spans="1:10" ht="15" thickBot="1" x14ac:dyDescent="0.35">
      <c r="A17" s="33">
        <f t="shared" si="0"/>
        <v>15</v>
      </c>
      <c r="B17" s="8" t="s">
        <v>139</v>
      </c>
      <c r="C17" s="8" t="s">
        <v>25</v>
      </c>
      <c r="D17" s="4" t="s">
        <v>16</v>
      </c>
      <c r="E17" s="25">
        <f>TabAbarrotes[[#This Row],[$/ Presentacion]]/TabAbarrotes[[#This Row],[PPT]]</f>
        <v>23.2</v>
      </c>
      <c r="F17" s="26"/>
      <c r="G17" s="4">
        <v>50</v>
      </c>
      <c r="H17" s="37">
        <v>1160</v>
      </c>
      <c r="I17" t="s">
        <v>15</v>
      </c>
      <c r="J17" s="38" t="s">
        <v>15</v>
      </c>
    </row>
    <row r="18" spans="1:10" ht="15" thickBot="1" x14ac:dyDescent="0.35">
      <c r="A18" s="33">
        <f t="shared" si="0"/>
        <v>16</v>
      </c>
      <c r="B18" s="8" t="s">
        <v>139</v>
      </c>
      <c r="C18" s="8" t="s">
        <v>256</v>
      </c>
      <c r="D18" s="4" t="s">
        <v>16</v>
      </c>
      <c r="E18" s="25">
        <f>TabAbarrotes[[#This Row],[$/ Presentacion]]/TabAbarrotes[[#This Row],[PPT]]</f>
        <v>25</v>
      </c>
      <c r="F18" s="26"/>
      <c r="G18" s="4">
        <v>1</v>
      </c>
      <c r="H18" s="37">
        <v>25</v>
      </c>
      <c r="I18" t="s">
        <v>15</v>
      </c>
      <c r="J18" s="38" t="s">
        <v>18</v>
      </c>
    </row>
    <row r="19" spans="1:10" ht="15" thickBot="1" x14ac:dyDescent="0.35">
      <c r="A19" s="33">
        <f t="shared" si="0"/>
        <v>17</v>
      </c>
      <c r="B19" s="8" t="s">
        <v>139</v>
      </c>
      <c r="C19" s="8" t="s">
        <v>113</v>
      </c>
      <c r="D19" s="4" t="s">
        <v>9</v>
      </c>
      <c r="E19" s="25">
        <f>TabAbarrotes[[#This Row],[$/ Presentacion]]/TabAbarrotes[[#This Row],[PPT]]</f>
        <v>254</v>
      </c>
      <c r="F19" s="26"/>
      <c r="G19" s="4">
        <v>1</v>
      </c>
      <c r="H19" s="37">
        <v>254</v>
      </c>
      <c r="I19" t="s">
        <v>114</v>
      </c>
      <c r="J19" s="38" t="s">
        <v>115</v>
      </c>
    </row>
    <row r="20" spans="1:10" ht="15" thickBot="1" x14ac:dyDescent="0.35">
      <c r="A20" s="33">
        <f t="shared" si="0"/>
        <v>18</v>
      </c>
      <c r="B20" s="8" t="s">
        <v>139</v>
      </c>
      <c r="C20" s="8" t="s">
        <v>26</v>
      </c>
      <c r="D20" s="4" t="s">
        <v>16</v>
      </c>
      <c r="E20" s="25">
        <f>TabAbarrotes[[#This Row],[$/ Presentacion]]/TabAbarrotes[[#This Row],[PPT]]</f>
        <v>496.5</v>
      </c>
      <c r="F20" s="26"/>
      <c r="G20" s="4">
        <v>1</v>
      </c>
      <c r="H20" s="37">
        <v>496.5</v>
      </c>
      <c r="I20" t="s">
        <v>27</v>
      </c>
      <c r="J20" s="38" t="s">
        <v>28</v>
      </c>
    </row>
    <row r="21" spans="1:10" ht="15" thickBot="1" x14ac:dyDescent="0.35">
      <c r="A21" s="33">
        <f t="shared" si="0"/>
        <v>19</v>
      </c>
      <c r="B21" s="8" t="s">
        <v>139</v>
      </c>
      <c r="C21" s="8" t="s">
        <v>123</v>
      </c>
      <c r="D21" s="4" t="s">
        <v>16</v>
      </c>
      <c r="E21" s="25">
        <f>TabAbarrotes[[#This Row],[$/ Presentacion]]/TabAbarrotes[[#This Row],[PPT]]</f>
        <v>33</v>
      </c>
      <c r="F21" s="26"/>
      <c r="G21" s="4">
        <v>1</v>
      </c>
      <c r="H21" s="37">
        <v>33</v>
      </c>
      <c r="I21" t="s">
        <v>27</v>
      </c>
      <c r="J21" s="38" t="s">
        <v>28</v>
      </c>
    </row>
    <row r="22" spans="1:10" ht="15" thickBot="1" x14ac:dyDescent="0.35">
      <c r="A22" s="33">
        <f t="shared" si="0"/>
        <v>20</v>
      </c>
      <c r="B22" s="8" t="s">
        <v>139</v>
      </c>
      <c r="C22" s="8" t="s">
        <v>124</v>
      </c>
      <c r="D22" s="4" t="s">
        <v>16</v>
      </c>
      <c r="E22" s="25">
        <f>TabAbarrotes[[#This Row],[$/ Presentacion]]/TabAbarrotes[[#This Row],[PPT]]</f>
        <v>395</v>
      </c>
      <c r="F22" s="26"/>
      <c r="G22" s="4">
        <v>1</v>
      </c>
      <c r="H22" s="37">
        <v>395</v>
      </c>
      <c r="I22" t="s">
        <v>27</v>
      </c>
      <c r="J22" s="38" t="s">
        <v>15</v>
      </c>
    </row>
    <row r="23" spans="1:10" ht="15" thickBot="1" x14ac:dyDescent="0.35">
      <c r="A23" s="33">
        <f t="shared" si="0"/>
        <v>21</v>
      </c>
      <c r="B23" s="8" t="s">
        <v>139</v>
      </c>
      <c r="C23" s="8" t="s">
        <v>125</v>
      </c>
      <c r="D23" s="4" t="s">
        <v>16</v>
      </c>
      <c r="E23" s="25">
        <f>TabAbarrotes[[#This Row],[$/ Presentacion]]/TabAbarrotes[[#This Row],[PPT]]</f>
        <v>900</v>
      </c>
      <c r="F23" s="26"/>
      <c r="G23" s="4">
        <v>1</v>
      </c>
      <c r="H23" s="37">
        <v>900</v>
      </c>
      <c r="I23" t="s">
        <v>15</v>
      </c>
      <c r="J23" s="38" t="s">
        <v>15</v>
      </c>
    </row>
    <row r="24" spans="1:10" ht="15" thickBot="1" x14ac:dyDescent="0.35">
      <c r="A24" s="33">
        <f t="shared" si="0"/>
        <v>22</v>
      </c>
      <c r="B24" s="8" t="s">
        <v>139</v>
      </c>
      <c r="C24" s="8" t="s">
        <v>101</v>
      </c>
      <c r="D24" s="4" t="s">
        <v>16</v>
      </c>
      <c r="E24" s="25">
        <f>TabAbarrotes[[#This Row],[$/ Presentacion]]/TabAbarrotes[[#This Row],[PPT]]</f>
        <v>168.51</v>
      </c>
      <c r="F24" s="26"/>
      <c r="G24" s="4">
        <v>1</v>
      </c>
      <c r="H24" s="37">
        <v>168.51</v>
      </c>
      <c r="I24" t="s">
        <v>102</v>
      </c>
      <c r="J24" s="38" t="s">
        <v>22</v>
      </c>
    </row>
    <row r="25" spans="1:10" ht="15" thickBot="1" x14ac:dyDescent="0.35">
      <c r="A25" s="33">
        <f t="shared" si="0"/>
        <v>23</v>
      </c>
      <c r="B25" s="8" t="s">
        <v>139</v>
      </c>
      <c r="C25" s="8" t="s">
        <v>29</v>
      </c>
      <c r="D25" s="4" t="s">
        <v>16</v>
      </c>
      <c r="E25" s="25">
        <f>TabAbarrotes[[#This Row],[$/ Presentacion]]/TabAbarrotes[[#This Row],[PPT]]</f>
        <v>320</v>
      </c>
      <c r="F25" s="26"/>
      <c r="G25" s="4">
        <v>1</v>
      </c>
      <c r="H25" s="37">
        <v>320</v>
      </c>
      <c r="I25" t="s">
        <v>30</v>
      </c>
      <c r="J25" s="38" t="s">
        <v>22</v>
      </c>
    </row>
    <row r="26" spans="1:10" ht="15" thickBot="1" x14ac:dyDescent="0.35">
      <c r="A26" s="33">
        <f t="shared" si="0"/>
        <v>24</v>
      </c>
      <c r="B26" s="8" t="s">
        <v>139</v>
      </c>
      <c r="C26" s="8" t="s">
        <v>31</v>
      </c>
      <c r="D26" s="4" t="s">
        <v>16</v>
      </c>
      <c r="E26" s="25">
        <f>TabAbarrotes[[#This Row],[$/ Presentacion]]/TabAbarrotes[[#This Row],[PPT]]</f>
        <v>290</v>
      </c>
      <c r="F26" s="26"/>
      <c r="G26" s="4">
        <v>1</v>
      </c>
      <c r="H26" s="37">
        <v>290</v>
      </c>
      <c r="I26" t="s">
        <v>32</v>
      </c>
      <c r="J26" s="38" t="s">
        <v>33</v>
      </c>
    </row>
    <row r="27" spans="1:10" ht="15" thickBot="1" x14ac:dyDescent="0.35">
      <c r="A27" s="33">
        <f t="shared" si="0"/>
        <v>25</v>
      </c>
      <c r="B27" s="8" t="s">
        <v>139</v>
      </c>
      <c r="C27" s="8" t="s">
        <v>257</v>
      </c>
      <c r="D27" s="4" t="s">
        <v>9</v>
      </c>
      <c r="E27" s="25">
        <f>TabAbarrotes[[#This Row],[$/ Presentacion]]/TabAbarrotes[[#This Row],[PPT]]</f>
        <v>109</v>
      </c>
      <c r="F27" s="26"/>
      <c r="G27" s="4">
        <v>1</v>
      </c>
      <c r="H27" s="37">
        <v>109</v>
      </c>
      <c r="I27" t="s">
        <v>34</v>
      </c>
      <c r="J27" s="38" t="s">
        <v>35</v>
      </c>
    </row>
    <row r="28" spans="1:10" ht="15" thickBot="1" x14ac:dyDescent="0.35">
      <c r="A28" s="33">
        <f t="shared" si="0"/>
        <v>26</v>
      </c>
      <c r="B28" s="8" t="s">
        <v>139</v>
      </c>
      <c r="C28" s="8" t="s">
        <v>126</v>
      </c>
      <c r="D28" s="4" t="s">
        <v>16</v>
      </c>
      <c r="E28" s="25">
        <f>TabAbarrotes[[#This Row],[$/ Presentacion]]/TabAbarrotes[[#This Row],[PPT]]</f>
        <v>889</v>
      </c>
      <c r="F28" s="26"/>
      <c r="G28" s="4">
        <v>1</v>
      </c>
      <c r="H28" s="37">
        <v>889</v>
      </c>
      <c r="I28" t="s">
        <v>15</v>
      </c>
      <c r="J28" s="38" t="s">
        <v>35</v>
      </c>
    </row>
    <row r="29" spans="1:10" ht="15" thickBot="1" x14ac:dyDescent="0.35">
      <c r="A29" s="33">
        <f t="shared" si="0"/>
        <v>27</v>
      </c>
      <c r="B29" s="8" t="s">
        <v>139</v>
      </c>
      <c r="C29" s="8" t="s">
        <v>127</v>
      </c>
      <c r="D29" s="4" t="s">
        <v>16</v>
      </c>
      <c r="E29" s="25">
        <f>TabAbarrotes[[#This Row],[$/ Presentacion]]/TabAbarrotes[[#This Row],[PPT]]</f>
        <v>208</v>
      </c>
      <c r="F29" s="26"/>
      <c r="G29" s="4">
        <v>1</v>
      </c>
      <c r="H29" s="37">
        <v>208</v>
      </c>
      <c r="I29" t="s">
        <v>15</v>
      </c>
      <c r="J29" s="38" t="s">
        <v>15</v>
      </c>
    </row>
    <row r="30" spans="1:10" ht="15" thickBot="1" x14ac:dyDescent="0.35">
      <c r="A30" s="33">
        <f t="shared" si="0"/>
        <v>28</v>
      </c>
      <c r="B30" s="8" t="s">
        <v>139</v>
      </c>
      <c r="C30" s="8" t="s">
        <v>36</v>
      </c>
      <c r="D30" s="4" t="s">
        <v>16</v>
      </c>
      <c r="E30" s="25">
        <f>TabAbarrotes[[#This Row],[$/ Presentacion]]/TabAbarrotes[[#This Row],[PPT]]</f>
        <v>309.8</v>
      </c>
      <c r="F30" s="26"/>
      <c r="G30" s="4">
        <v>1</v>
      </c>
      <c r="H30" s="37">
        <v>309.8</v>
      </c>
      <c r="I30" t="s">
        <v>32</v>
      </c>
      <c r="J30" s="38" t="s">
        <v>22</v>
      </c>
    </row>
    <row r="31" spans="1:10" ht="15" thickBot="1" x14ac:dyDescent="0.35">
      <c r="A31" s="33">
        <f t="shared" si="0"/>
        <v>29</v>
      </c>
      <c r="B31" s="8" t="s">
        <v>139</v>
      </c>
      <c r="C31" s="8" t="s">
        <v>37</v>
      </c>
      <c r="D31" s="4" t="s">
        <v>39</v>
      </c>
      <c r="E31" s="25">
        <f>TabAbarrotes[[#This Row],[$/ Presentacion]]/TabAbarrotes[[#This Row],[PPT]]</f>
        <v>337.1</v>
      </c>
      <c r="F31" s="26"/>
      <c r="G31" s="4">
        <v>1</v>
      </c>
      <c r="H31" s="37">
        <v>337.1</v>
      </c>
      <c r="I31" t="s">
        <v>38</v>
      </c>
      <c r="J31" s="38" t="s">
        <v>35</v>
      </c>
    </row>
    <row r="32" spans="1:10" ht="15" thickBot="1" x14ac:dyDescent="0.35">
      <c r="A32" s="33">
        <f t="shared" si="0"/>
        <v>30</v>
      </c>
      <c r="B32" s="8" t="s">
        <v>139</v>
      </c>
      <c r="C32" s="8" t="s">
        <v>40</v>
      </c>
      <c r="D32" s="4" t="s">
        <v>16</v>
      </c>
      <c r="E32" s="25">
        <f>TabAbarrotes[[#This Row],[$/ Presentacion]]/TabAbarrotes[[#This Row],[PPT]]</f>
        <v>833.33333333333337</v>
      </c>
      <c r="F32" s="26"/>
      <c r="G32" s="4">
        <v>0.06</v>
      </c>
      <c r="H32" s="37">
        <v>50</v>
      </c>
      <c r="I32" t="s">
        <v>41</v>
      </c>
      <c r="J32" s="38" t="s">
        <v>28</v>
      </c>
    </row>
    <row r="33" spans="1:10" ht="15" thickBot="1" x14ac:dyDescent="0.35">
      <c r="A33" s="33">
        <f t="shared" si="0"/>
        <v>31</v>
      </c>
      <c r="B33" s="8" t="s">
        <v>139</v>
      </c>
      <c r="C33" s="8" t="s">
        <v>42</v>
      </c>
      <c r="D33" s="4" t="s">
        <v>16</v>
      </c>
      <c r="E33" s="25">
        <f>TabAbarrotes[[#This Row],[$/ Presentacion]]/TabAbarrotes[[#This Row],[PPT]]</f>
        <v>1033.3333333333335</v>
      </c>
      <c r="F33" s="26"/>
      <c r="G33" s="4">
        <v>0.06</v>
      </c>
      <c r="H33" s="37">
        <v>62</v>
      </c>
      <c r="I33" t="s">
        <v>41</v>
      </c>
      <c r="J33" s="38" t="s">
        <v>28</v>
      </c>
    </row>
    <row r="34" spans="1:10" ht="15" thickBot="1" x14ac:dyDescent="0.35">
      <c r="A34" s="33">
        <f t="shared" si="0"/>
        <v>32</v>
      </c>
      <c r="B34" s="8" t="s">
        <v>139</v>
      </c>
      <c r="C34" s="8" t="s">
        <v>43</v>
      </c>
      <c r="D34" s="4" t="s">
        <v>16</v>
      </c>
      <c r="E34" s="25">
        <f>TabAbarrotes[[#This Row],[$/ Presentacion]]/TabAbarrotes[[#This Row],[PPT]]</f>
        <v>1033.3333333333335</v>
      </c>
      <c r="F34" s="26"/>
      <c r="G34" s="4">
        <v>0.06</v>
      </c>
      <c r="H34" s="37">
        <v>62</v>
      </c>
      <c r="I34" t="s">
        <v>41</v>
      </c>
      <c r="J34" s="38" t="s">
        <v>28</v>
      </c>
    </row>
    <row r="35" spans="1:10" ht="15" thickBot="1" x14ac:dyDescent="0.35">
      <c r="A35" s="33">
        <f t="shared" si="0"/>
        <v>33</v>
      </c>
      <c r="B35" s="8" t="s">
        <v>139</v>
      </c>
      <c r="C35" s="8" t="s">
        <v>44</v>
      </c>
      <c r="D35" s="4" t="s">
        <v>16</v>
      </c>
      <c r="E35" s="25">
        <f>TabAbarrotes[[#This Row],[$/ Presentacion]]/TabAbarrotes[[#This Row],[PPT]]</f>
        <v>1033.3333333333335</v>
      </c>
      <c r="F35" s="26"/>
      <c r="G35" s="4">
        <v>0.06</v>
      </c>
      <c r="H35" s="37">
        <v>62</v>
      </c>
      <c r="I35" t="s">
        <v>41</v>
      </c>
      <c r="J35" s="38" t="s">
        <v>28</v>
      </c>
    </row>
    <row r="36" spans="1:10" ht="15" thickBot="1" x14ac:dyDescent="0.35">
      <c r="A36" s="33">
        <f t="shared" si="0"/>
        <v>34</v>
      </c>
      <c r="B36" s="8" t="s">
        <v>139</v>
      </c>
      <c r="C36" s="8" t="s">
        <v>45</v>
      </c>
      <c r="D36" s="4" t="s">
        <v>16</v>
      </c>
      <c r="E36" s="25">
        <f>TabAbarrotes[[#This Row],[$/ Presentacion]]/TabAbarrotes[[#This Row],[PPT]]</f>
        <v>1033.3333333333335</v>
      </c>
      <c r="F36" s="26"/>
      <c r="G36" s="4">
        <v>0.06</v>
      </c>
      <c r="H36" s="37">
        <v>62</v>
      </c>
      <c r="I36" t="s">
        <v>41</v>
      </c>
      <c r="J36" s="38" t="s">
        <v>28</v>
      </c>
    </row>
    <row r="37" spans="1:10" ht="15" thickBot="1" x14ac:dyDescent="0.35">
      <c r="A37" s="33">
        <f t="shared" si="0"/>
        <v>35</v>
      </c>
      <c r="B37" s="8" t="s">
        <v>139</v>
      </c>
      <c r="C37" s="8" t="s">
        <v>254</v>
      </c>
      <c r="D37" s="4" t="s">
        <v>9</v>
      </c>
      <c r="E37" s="25">
        <f>TabAbarrotes[[#This Row],[$/ Presentacion]]/TabAbarrotes[[#This Row],[PPT]]</f>
        <v>76.84210526315789</v>
      </c>
      <c r="F37" s="26"/>
      <c r="G37" s="4">
        <v>19</v>
      </c>
      <c r="H37" s="37">
        <v>1460</v>
      </c>
      <c r="I37" t="s">
        <v>66</v>
      </c>
      <c r="J37" s="38" t="s">
        <v>103</v>
      </c>
    </row>
    <row r="38" spans="1:10" ht="15" thickBot="1" x14ac:dyDescent="0.35">
      <c r="A38" s="33">
        <f t="shared" si="0"/>
        <v>36</v>
      </c>
      <c r="B38" s="8" t="s">
        <v>139</v>
      </c>
      <c r="C38" s="8" t="s">
        <v>46</v>
      </c>
      <c r="D38" s="4" t="s">
        <v>9</v>
      </c>
      <c r="E38" s="25">
        <f>TabAbarrotes[[#This Row],[$/ Presentacion]]/TabAbarrotes[[#This Row],[PPT]]</f>
        <v>58</v>
      </c>
      <c r="F38" s="26"/>
      <c r="G38" s="4">
        <v>1</v>
      </c>
      <c r="H38" s="37">
        <v>58</v>
      </c>
      <c r="I38" t="s">
        <v>47</v>
      </c>
      <c r="J38" s="38" t="s">
        <v>28</v>
      </c>
    </row>
    <row r="39" spans="1:10" ht="15" thickBot="1" x14ac:dyDescent="0.35">
      <c r="A39" s="33">
        <f t="shared" si="0"/>
        <v>37</v>
      </c>
      <c r="B39" s="8" t="s">
        <v>139</v>
      </c>
      <c r="C39" s="8" t="s">
        <v>48</v>
      </c>
      <c r="D39" s="4" t="s">
        <v>16</v>
      </c>
      <c r="E39" s="25">
        <f>TabAbarrotes[[#This Row],[$/ Presentacion]]/TabAbarrotes[[#This Row],[PPT]]</f>
        <v>28</v>
      </c>
      <c r="F39" s="26"/>
      <c r="G39" s="4">
        <v>1</v>
      </c>
      <c r="H39" s="37">
        <v>28</v>
      </c>
      <c r="I39" t="s">
        <v>15</v>
      </c>
      <c r="J39" s="38" t="s">
        <v>15</v>
      </c>
    </row>
    <row r="40" spans="1:10" ht="15" thickBot="1" x14ac:dyDescent="0.35">
      <c r="A40" s="33">
        <f t="shared" si="0"/>
        <v>38</v>
      </c>
      <c r="B40" s="8" t="s">
        <v>139</v>
      </c>
      <c r="C40" s="8" t="s">
        <v>49</v>
      </c>
      <c r="D40" s="4" t="s">
        <v>16</v>
      </c>
      <c r="E40" s="25">
        <f>TabAbarrotes[[#This Row],[$/ Presentacion]]/TabAbarrotes[[#This Row],[PPT]]</f>
        <v>130</v>
      </c>
      <c r="F40" s="26"/>
      <c r="G40" s="4">
        <v>1</v>
      </c>
      <c r="H40" s="37">
        <v>130</v>
      </c>
      <c r="I40" t="s">
        <v>50</v>
      </c>
      <c r="J40" s="38" t="s">
        <v>28</v>
      </c>
    </row>
    <row r="41" spans="1:10" ht="15" thickBot="1" x14ac:dyDescent="0.35">
      <c r="A41" s="33">
        <f t="shared" si="0"/>
        <v>39</v>
      </c>
      <c r="B41" s="8" t="s">
        <v>139</v>
      </c>
      <c r="C41" s="8" t="s">
        <v>51</v>
      </c>
      <c r="D41" s="4" t="s">
        <v>16</v>
      </c>
      <c r="E41" s="25">
        <f>TabAbarrotes[[#This Row],[$/ Presentacion]]/TabAbarrotes[[#This Row],[PPT]]</f>
        <v>76</v>
      </c>
      <c r="F41" s="26"/>
      <c r="G41" s="4">
        <v>1</v>
      </c>
      <c r="H41" s="37">
        <v>76</v>
      </c>
      <c r="I41" t="s">
        <v>52</v>
      </c>
      <c r="J41" s="38"/>
    </row>
    <row r="42" spans="1:10" ht="15" thickBot="1" x14ac:dyDescent="0.35">
      <c r="A42" s="33">
        <f t="shared" si="0"/>
        <v>40</v>
      </c>
      <c r="B42" s="8" t="s">
        <v>139</v>
      </c>
      <c r="C42" s="8" t="s">
        <v>53</v>
      </c>
      <c r="D42" s="4" t="s">
        <v>16</v>
      </c>
      <c r="E42" s="25">
        <f>TabAbarrotes[[#This Row],[$/ Presentacion]]/TabAbarrotes[[#This Row],[PPT]]</f>
        <v>230</v>
      </c>
      <c r="F42" s="26"/>
      <c r="G42" s="4">
        <v>1</v>
      </c>
      <c r="H42" s="37">
        <v>230</v>
      </c>
      <c r="I42" t="s">
        <v>54</v>
      </c>
      <c r="J42" s="38" t="s">
        <v>22</v>
      </c>
    </row>
    <row r="43" spans="1:10" ht="15" thickBot="1" x14ac:dyDescent="0.35">
      <c r="A43" s="33">
        <f t="shared" si="0"/>
        <v>41</v>
      </c>
      <c r="B43" s="8" t="s">
        <v>139</v>
      </c>
      <c r="C43" s="8" t="s">
        <v>201</v>
      </c>
      <c r="D43" s="4" t="s">
        <v>16</v>
      </c>
      <c r="E43" s="25">
        <f>TabAbarrotes[[#This Row],[$/ Presentacion]]/TabAbarrotes[[#This Row],[PPT]]</f>
        <v>17.5</v>
      </c>
      <c r="F43" s="26"/>
      <c r="G43" s="4">
        <v>44</v>
      </c>
      <c r="H43" s="37">
        <v>770</v>
      </c>
      <c r="I43" t="s">
        <v>55</v>
      </c>
      <c r="J43" s="38" t="s">
        <v>56</v>
      </c>
    </row>
    <row r="44" spans="1:10" ht="15" thickBot="1" x14ac:dyDescent="0.35">
      <c r="A44" s="33">
        <f t="shared" si="0"/>
        <v>42</v>
      </c>
      <c r="B44" s="8" t="s">
        <v>139</v>
      </c>
      <c r="C44" s="8" t="s">
        <v>258</v>
      </c>
      <c r="D44" s="4" t="s">
        <v>16</v>
      </c>
      <c r="E44" s="25">
        <f>TabAbarrotes[[#This Row],[$/ Presentacion]]/TabAbarrotes[[#This Row],[PPT]]</f>
        <v>18</v>
      </c>
      <c r="F44" s="26"/>
      <c r="G44" s="4">
        <v>44</v>
      </c>
      <c r="H44" s="37">
        <v>792</v>
      </c>
      <c r="I44" t="s">
        <v>57</v>
      </c>
      <c r="J44" s="38" t="s">
        <v>56</v>
      </c>
    </row>
    <row r="45" spans="1:10" ht="15" thickBot="1" x14ac:dyDescent="0.35">
      <c r="A45" s="33">
        <f t="shared" si="0"/>
        <v>43</v>
      </c>
      <c r="B45" s="8" t="s">
        <v>139</v>
      </c>
      <c r="C45" s="8" t="s">
        <v>58</v>
      </c>
      <c r="D45" s="4" t="s">
        <v>60</v>
      </c>
      <c r="E45" s="25">
        <f>TabAbarrotes[[#This Row],[$/ Presentacion]]/TabAbarrotes[[#This Row],[PPT]]</f>
        <v>2.6</v>
      </c>
      <c r="F45" s="26"/>
      <c r="G45" s="4">
        <v>35</v>
      </c>
      <c r="H45" s="37">
        <v>91</v>
      </c>
      <c r="I45" t="s">
        <v>59</v>
      </c>
      <c r="J45" s="38" t="s">
        <v>61</v>
      </c>
    </row>
    <row r="46" spans="1:10" ht="15" thickBot="1" x14ac:dyDescent="0.35">
      <c r="A46" s="33">
        <f t="shared" si="0"/>
        <v>44</v>
      </c>
      <c r="B46" s="8" t="s">
        <v>139</v>
      </c>
      <c r="C46" s="8" t="s">
        <v>259</v>
      </c>
      <c r="D46" s="4" t="s">
        <v>39</v>
      </c>
      <c r="E46" s="25">
        <f>TabAbarrotes[[#This Row],[$/ Presentacion]]/TabAbarrotes[[#This Row],[PPT]]</f>
        <v>230</v>
      </c>
      <c r="F46" s="26"/>
      <c r="G46" s="4">
        <v>1</v>
      </c>
      <c r="H46" s="37">
        <v>230</v>
      </c>
      <c r="I46" t="s">
        <v>15</v>
      </c>
      <c r="J46" s="38"/>
    </row>
    <row r="47" spans="1:10" ht="15" thickBot="1" x14ac:dyDescent="0.35">
      <c r="A47" s="33">
        <f t="shared" si="0"/>
        <v>45</v>
      </c>
      <c r="B47" s="8" t="s">
        <v>139</v>
      </c>
      <c r="C47" s="8" t="s">
        <v>62</v>
      </c>
      <c r="D47" s="4" t="s">
        <v>16</v>
      </c>
      <c r="E47" s="25">
        <f>TabAbarrotes[[#This Row],[$/ Presentacion]]/TabAbarrotes[[#This Row],[PPT]]</f>
        <v>170.54263565891472</v>
      </c>
      <c r="F47" s="26"/>
      <c r="G47" s="4">
        <v>0.38700000000000001</v>
      </c>
      <c r="H47" s="37">
        <v>66</v>
      </c>
      <c r="I47" t="s">
        <v>63</v>
      </c>
      <c r="J47" s="38" t="s">
        <v>64</v>
      </c>
    </row>
    <row r="48" spans="1:10" ht="15" thickBot="1" x14ac:dyDescent="0.35">
      <c r="A48" s="33">
        <f t="shared" si="0"/>
        <v>46</v>
      </c>
      <c r="B48" s="8" t="s">
        <v>139</v>
      </c>
      <c r="C48" s="8" t="s">
        <v>65</v>
      </c>
      <c r="D48" s="4" t="s">
        <v>9</v>
      </c>
      <c r="E48" s="25">
        <f>TabAbarrotes[[#This Row],[$/ Presentacion]]/TabAbarrotes[[#This Row],[PPT]]</f>
        <v>25.8</v>
      </c>
      <c r="F48" s="26"/>
      <c r="G48" s="4">
        <v>10</v>
      </c>
      <c r="H48" s="37">
        <v>258</v>
      </c>
      <c r="I48" t="s">
        <v>66</v>
      </c>
      <c r="J48" s="38" t="s">
        <v>67</v>
      </c>
    </row>
    <row r="49" spans="1:10" ht="15" thickBot="1" x14ac:dyDescent="0.35">
      <c r="A49" s="33">
        <f t="shared" si="0"/>
        <v>47</v>
      </c>
      <c r="B49" s="8" t="s">
        <v>139</v>
      </c>
      <c r="C49" s="8" t="s">
        <v>68</v>
      </c>
      <c r="D49" s="4" t="s">
        <v>9</v>
      </c>
      <c r="E49" s="25">
        <f>TabAbarrotes[[#This Row],[$/ Presentacion]]/TabAbarrotes[[#This Row],[PPT]]</f>
        <v>52</v>
      </c>
      <c r="F49" s="26"/>
      <c r="G49" s="4">
        <v>1</v>
      </c>
      <c r="H49" s="37">
        <v>52</v>
      </c>
      <c r="I49" t="s">
        <v>69</v>
      </c>
      <c r="J49" s="38" t="s">
        <v>70</v>
      </c>
    </row>
    <row r="50" spans="1:10" ht="15" thickBot="1" x14ac:dyDescent="0.35">
      <c r="A50" s="33">
        <f t="shared" si="0"/>
        <v>48</v>
      </c>
      <c r="B50" s="8" t="s">
        <v>139</v>
      </c>
      <c r="C50" s="8" t="s">
        <v>71</v>
      </c>
      <c r="D50" s="4" t="s">
        <v>16</v>
      </c>
      <c r="E50" s="25">
        <f>TabAbarrotes[[#This Row],[$/ Presentacion]]/TabAbarrotes[[#This Row],[PPT]]</f>
        <v>137.5</v>
      </c>
      <c r="F50" s="26"/>
      <c r="G50" s="4">
        <v>0.4</v>
      </c>
      <c r="H50" s="37">
        <v>55</v>
      </c>
      <c r="I50" t="s">
        <v>72</v>
      </c>
      <c r="J50" s="38" t="s">
        <v>33</v>
      </c>
    </row>
    <row r="51" spans="1:10" ht="15" thickBot="1" x14ac:dyDescent="0.35">
      <c r="A51" s="33">
        <f t="shared" si="0"/>
        <v>49</v>
      </c>
      <c r="B51" s="8" t="s">
        <v>139</v>
      </c>
      <c r="C51" s="8" t="s">
        <v>104</v>
      </c>
      <c r="D51" s="4" t="s">
        <v>16</v>
      </c>
      <c r="E51" s="25">
        <f>TabAbarrotes[[#This Row],[$/ Presentacion]]/TabAbarrotes[[#This Row],[PPT]]</f>
        <v>73</v>
      </c>
      <c r="F51" s="26"/>
      <c r="G51" s="4">
        <v>1</v>
      </c>
      <c r="H51" s="37">
        <v>73</v>
      </c>
      <c r="I51" t="s">
        <v>105</v>
      </c>
      <c r="J51" s="38" t="s">
        <v>33</v>
      </c>
    </row>
    <row r="52" spans="1:10" ht="15" thickBot="1" x14ac:dyDescent="0.35">
      <c r="A52" s="33">
        <f t="shared" si="0"/>
        <v>50</v>
      </c>
      <c r="B52" s="8" t="s">
        <v>139</v>
      </c>
      <c r="C52" s="8" t="s">
        <v>106</v>
      </c>
      <c r="D52" s="4" t="s">
        <v>16</v>
      </c>
      <c r="E52" s="25">
        <f>TabAbarrotes[[#This Row],[$/ Presentacion]]/TabAbarrotes[[#This Row],[PPT]]</f>
        <v>145.74614197530863</v>
      </c>
      <c r="F52" s="26"/>
      <c r="G52" s="4">
        <v>1.08</v>
      </c>
      <c r="H52" s="37">
        <f>1888.87/12</f>
        <v>157.40583333333333</v>
      </c>
      <c r="I52" t="s">
        <v>107</v>
      </c>
      <c r="J52" s="38" t="s">
        <v>108</v>
      </c>
    </row>
    <row r="53" spans="1:10" ht="15" thickBot="1" x14ac:dyDescent="0.35">
      <c r="A53" s="33">
        <f t="shared" si="0"/>
        <v>51</v>
      </c>
      <c r="B53" s="8" t="s">
        <v>139</v>
      </c>
      <c r="C53" s="8" t="s">
        <v>73</v>
      </c>
      <c r="D53" s="4" t="s">
        <v>9</v>
      </c>
      <c r="E53" s="25">
        <f>TabAbarrotes[[#This Row],[$/ Presentacion]]/TabAbarrotes[[#This Row],[PPT]]</f>
        <v>160</v>
      </c>
      <c r="F53" s="26"/>
      <c r="G53" s="4">
        <v>1.2</v>
      </c>
      <c r="H53" s="37">
        <v>192</v>
      </c>
      <c r="I53" t="s">
        <v>27</v>
      </c>
      <c r="J53" s="38" t="s">
        <v>74</v>
      </c>
    </row>
    <row r="54" spans="1:10" ht="15" thickBot="1" x14ac:dyDescent="0.35">
      <c r="A54" s="33">
        <f t="shared" si="0"/>
        <v>52</v>
      </c>
      <c r="B54" s="8" t="s">
        <v>139</v>
      </c>
      <c r="C54" s="8" t="s">
        <v>129</v>
      </c>
      <c r="D54" s="4" t="s">
        <v>16</v>
      </c>
      <c r="E54" s="25">
        <f>TabAbarrotes[[#This Row],[$/ Presentacion]]/TabAbarrotes[[#This Row],[PPT]]</f>
        <v>1157</v>
      </c>
      <c r="F54" s="26"/>
      <c r="G54" s="4">
        <v>1</v>
      </c>
      <c r="H54" s="37">
        <v>1157</v>
      </c>
      <c r="I54" t="s">
        <v>15</v>
      </c>
      <c r="J54" s="38"/>
    </row>
    <row r="55" spans="1:10" ht="15" thickBot="1" x14ac:dyDescent="0.35">
      <c r="A55" s="33">
        <f t="shared" si="0"/>
        <v>53</v>
      </c>
      <c r="B55" s="8" t="s">
        <v>139</v>
      </c>
      <c r="C55" s="8" t="s">
        <v>75</v>
      </c>
      <c r="D55" s="4" t="s">
        <v>60</v>
      </c>
      <c r="E55" s="25">
        <f>TabAbarrotes[[#This Row],[$/ Presentacion]]/TabAbarrotes[[#This Row],[PPT]]</f>
        <v>17</v>
      </c>
      <c r="F55" s="26"/>
      <c r="G55" s="4">
        <v>1</v>
      </c>
      <c r="H55" s="37">
        <v>17</v>
      </c>
      <c r="J55" s="38"/>
    </row>
    <row r="56" spans="1:10" ht="15" thickBot="1" x14ac:dyDescent="0.35">
      <c r="A56" s="33">
        <f t="shared" si="0"/>
        <v>54</v>
      </c>
      <c r="B56" s="8" t="s">
        <v>139</v>
      </c>
      <c r="C56" s="8" t="s">
        <v>260</v>
      </c>
      <c r="D56" s="4" t="s">
        <v>39</v>
      </c>
      <c r="E56" s="25">
        <f>TabAbarrotes[[#This Row],[$/ Presentacion]]/TabAbarrotes[[#This Row],[PPT]]</f>
        <v>370</v>
      </c>
      <c r="F56" s="26"/>
      <c r="G56" s="4">
        <v>1</v>
      </c>
      <c r="H56" s="37">
        <v>370</v>
      </c>
      <c r="I56" t="s">
        <v>15</v>
      </c>
      <c r="J56" s="38"/>
    </row>
    <row r="57" spans="1:10" ht="15" thickBot="1" x14ac:dyDescent="0.35">
      <c r="A57" s="33">
        <f t="shared" si="0"/>
        <v>55</v>
      </c>
      <c r="B57" s="8" t="s">
        <v>139</v>
      </c>
      <c r="C57" s="8" t="s">
        <v>128</v>
      </c>
      <c r="D57" s="4" t="s">
        <v>16</v>
      </c>
      <c r="E57" s="25">
        <f>TabAbarrotes[[#This Row],[$/ Presentacion]]/TabAbarrotes[[#This Row],[PPT]]</f>
        <v>335</v>
      </c>
      <c r="F57" s="26"/>
      <c r="G57" s="4">
        <v>1</v>
      </c>
      <c r="H57" s="37">
        <v>335</v>
      </c>
      <c r="I57" t="s">
        <v>15</v>
      </c>
      <c r="J57" s="38" t="s">
        <v>15</v>
      </c>
    </row>
    <row r="58" spans="1:10" ht="15" thickBot="1" x14ac:dyDescent="0.35">
      <c r="A58" s="33">
        <f t="shared" si="0"/>
        <v>56</v>
      </c>
      <c r="B58" s="8" t="s">
        <v>139</v>
      </c>
      <c r="C58" s="8" t="s">
        <v>130</v>
      </c>
      <c r="D58" s="4" t="s">
        <v>16</v>
      </c>
      <c r="E58" s="25">
        <f>TabAbarrotes[[#This Row],[$/ Presentacion]]/TabAbarrotes[[#This Row],[PPT]]</f>
        <v>919.31</v>
      </c>
      <c r="F58" s="26"/>
      <c r="G58" s="4">
        <v>1</v>
      </c>
      <c r="H58" s="37">
        <v>919.31</v>
      </c>
      <c r="I58" t="s">
        <v>15</v>
      </c>
      <c r="J58" s="38"/>
    </row>
    <row r="59" spans="1:10" ht="15" thickBot="1" x14ac:dyDescent="0.35">
      <c r="A59" s="33">
        <f t="shared" si="0"/>
        <v>57</v>
      </c>
      <c r="B59" s="8" t="s">
        <v>139</v>
      </c>
      <c r="C59" s="8" t="s">
        <v>261</v>
      </c>
      <c r="D59" s="4" t="s">
        <v>16</v>
      </c>
      <c r="E59" s="25">
        <f>TabAbarrotes[[#This Row],[$/ Presentacion]]/TabAbarrotes[[#This Row],[PPT]]</f>
        <v>60</v>
      </c>
      <c r="F59" s="26"/>
      <c r="G59" s="4">
        <v>1</v>
      </c>
      <c r="H59" s="37">
        <v>60</v>
      </c>
      <c r="J59" s="38"/>
    </row>
    <row r="60" spans="1:10" ht="15" thickBot="1" x14ac:dyDescent="0.35">
      <c r="A60" s="33">
        <f t="shared" si="0"/>
        <v>58</v>
      </c>
      <c r="B60" s="8" t="s">
        <v>139</v>
      </c>
      <c r="C60" s="8" t="s">
        <v>262</v>
      </c>
      <c r="D60" s="4" t="s">
        <v>16</v>
      </c>
      <c r="E60" s="25">
        <f>TabAbarrotes[[#This Row],[$/ Presentacion]]/TabAbarrotes[[#This Row],[PPT]]</f>
        <v>541</v>
      </c>
      <c r="F60" s="26"/>
      <c r="G60" s="4">
        <v>1</v>
      </c>
      <c r="H60" s="37">
        <v>541</v>
      </c>
      <c r="I60" t="s">
        <v>15</v>
      </c>
      <c r="J60" s="38"/>
    </row>
    <row r="61" spans="1:10" ht="15" thickBot="1" x14ac:dyDescent="0.35">
      <c r="A61" s="33">
        <f t="shared" si="0"/>
        <v>59</v>
      </c>
      <c r="B61" s="8" t="s">
        <v>139</v>
      </c>
      <c r="C61" s="8" t="s">
        <v>76</v>
      </c>
      <c r="D61" s="4" t="s">
        <v>16</v>
      </c>
      <c r="E61" s="25">
        <f>TabAbarrotes[[#This Row],[$/ Presentacion]]/TabAbarrotes[[#This Row],[PPT]]</f>
        <v>27</v>
      </c>
      <c r="F61" s="26"/>
      <c r="G61" s="4">
        <v>1</v>
      </c>
      <c r="H61" s="37">
        <v>27</v>
      </c>
      <c r="I61" t="s">
        <v>77</v>
      </c>
      <c r="J61" s="38" t="s">
        <v>28</v>
      </c>
    </row>
    <row r="62" spans="1:10" ht="15" thickBot="1" x14ac:dyDescent="0.35">
      <c r="A62" s="33">
        <f t="shared" si="0"/>
        <v>60</v>
      </c>
      <c r="B62" s="8" t="s">
        <v>139</v>
      </c>
      <c r="C62" s="8" t="s">
        <v>78</v>
      </c>
      <c r="D62" s="4" t="s">
        <v>16</v>
      </c>
      <c r="E62" s="25">
        <f>TabAbarrotes[[#This Row],[$/ Presentacion]]/TabAbarrotes[[#This Row],[PPT]]</f>
        <v>27</v>
      </c>
      <c r="F62" s="26"/>
      <c r="G62" s="4">
        <v>1</v>
      </c>
      <c r="H62" s="37">
        <v>27</v>
      </c>
      <c r="I62" t="s">
        <v>79</v>
      </c>
      <c r="J62" s="38" t="s">
        <v>33</v>
      </c>
    </row>
    <row r="63" spans="1:10" ht="15" thickBot="1" x14ac:dyDescent="0.35">
      <c r="A63" s="33">
        <f t="shared" si="0"/>
        <v>61</v>
      </c>
      <c r="B63" s="8" t="s">
        <v>139</v>
      </c>
      <c r="C63" s="8" t="s">
        <v>109</v>
      </c>
      <c r="D63" s="4" t="s">
        <v>16</v>
      </c>
      <c r="E63" s="25">
        <f>TabAbarrotes[[#This Row],[$/ Presentacion]]/TabAbarrotes[[#This Row],[PPT]]</f>
        <v>1.6E-2</v>
      </c>
      <c r="F63" s="26"/>
      <c r="G63" s="4">
        <v>8000</v>
      </c>
      <c r="H63" s="37">
        <v>128</v>
      </c>
      <c r="I63" t="s">
        <v>110</v>
      </c>
      <c r="J63" s="38" t="s">
        <v>33</v>
      </c>
    </row>
    <row r="64" spans="1:10" ht="15" thickBot="1" x14ac:dyDescent="0.35">
      <c r="A64" s="33">
        <f t="shared" si="0"/>
        <v>62</v>
      </c>
      <c r="B64" s="8" t="s">
        <v>139</v>
      </c>
      <c r="C64" s="8" t="s">
        <v>111</v>
      </c>
      <c r="D64" s="4" t="s">
        <v>16</v>
      </c>
      <c r="E64" s="25">
        <f>TabAbarrotes[[#This Row],[$/ Presentacion]]/TabAbarrotes[[#This Row],[PPT]]</f>
        <v>289.1832229580574</v>
      </c>
      <c r="F64" s="26"/>
      <c r="G64" s="4">
        <v>0.45300000000000001</v>
      </c>
      <c r="H64" s="37">
        <v>131</v>
      </c>
      <c r="I64" t="s">
        <v>112</v>
      </c>
      <c r="J64" s="38" t="s">
        <v>28</v>
      </c>
    </row>
    <row r="65" spans="1:10" ht="15" thickBot="1" x14ac:dyDescent="0.35">
      <c r="A65" s="33">
        <f t="shared" si="0"/>
        <v>63</v>
      </c>
      <c r="B65" s="8" t="s">
        <v>139</v>
      </c>
      <c r="C65" s="8" t="s">
        <v>116</v>
      </c>
      <c r="D65" s="4" t="s">
        <v>9</v>
      </c>
      <c r="E65" s="25">
        <f>TabAbarrotes[[#This Row],[$/ Presentacion]]/TabAbarrotes[[#This Row],[PPT]]</f>
        <v>165</v>
      </c>
      <c r="F65" s="26"/>
      <c r="G65" s="4">
        <v>1</v>
      </c>
      <c r="H65" s="37">
        <v>165</v>
      </c>
      <c r="I65" t="s">
        <v>117</v>
      </c>
      <c r="J65" s="38" t="s">
        <v>115</v>
      </c>
    </row>
    <row r="66" spans="1:10" ht="15" thickBot="1" x14ac:dyDescent="0.35">
      <c r="A66" s="33">
        <f t="shared" si="0"/>
        <v>64</v>
      </c>
      <c r="B66" s="8" t="s">
        <v>139</v>
      </c>
      <c r="C66" s="8" t="s">
        <v>131</v>
      </c>
      <c r="D66" s="4" t="s">
        <v>39</v>
      </c>
      <c r="E66" s="25">
        <f>TabAbarrotes[[#This Row],[$/ Presentacion]]/TabAbarrotes[[#This Row],[PPT]]</f>
        <v>2000</v>
      </c>
      <c r="F66" s="26"/>
      <c r="G66" s="4">
        <v>1</v>
      </c>
      <c r="H66" s="37">
        <v>2000</v>
      </c>
      <c r="I66" t="s">
        <v>15</v>
      </c>
      <c r="J66" s="38"/>
    </row>
    <row r="67" spans="1:10" ht="15" thickBot="1" x14ac:dyDescent="0.35">
      <c r="A67" s="33">
        <f t="shared" si="0"/>
        <v>65</v>
      </c>
      <c r="B67" s="8" t="s">
        <v>139</v>
      </c>
      <c r="C67" s="8" t="s">
        <v>80</v>
      </c>
      <c r="D67" s="4" t="s">
        <v>16</v>
      </c>
      <c r="E67" s="25">
        <f>TabAbarrotes[[#This Row],[$/ Presentacion]]/TabAbarrotes[[#This Row],[PPT]]</f>
        <v>14.5</v>
      </c>
      <c r="F67" s="26"/>
      <c r="G67" s="4">
        <v>1</v>
      </c>
      <c r="H67" s="37">
        <v>14.5</v>
      </c>
      <c r="I67" t="s">
        <v>81</v>
      </c>
      <c r="J67" s="38" t="s">
        <v>22</v>
      </c>
    </row>
    <row r="68" spans="1:10" ht="15" thickBot="1" x14ac:dyDescent="0.35">
      <c r="A68" s="33">
        <f t="shared" ref="A68" si="1">A67+1</f>
        <v>66</v>
      </c>
      <c r="B68" s="8" t="s">
        <v>139</v>
      </c>
      <c r="C68" s="8" t="s">
        <v>253</v>
      </c>
      <c r="D68" s="4" t="s">
        <v>9</v>
      </c>
      <c r="E68" s="25">
        <f>TabAbarrotes[[#This Row],[$/ Presentacion]]/TabAbarrotes[[#This Row],[PPT]]</f>
        <v>14</v>
      </c>
      <c r="F68" s="26"/>
      <c r="G68" s="4">
        <v>1</v>
      </c>
      <c r="H68" s="37">
        <v>14</v>
      </c>
      <c r="J68" s="38"/>
    </row>
    <row r="73" spans="1:10" ht="15" thickBot="1" x14ac:dyDescent="0.35"/>
    <row r="74" spans="1:10" ht="81" customHeight="1" thickTop="1" x14ac:dyDescent="0.3">
      <c r="A74" s="42"/>
      <c r="B74" s="43"/>
      <c r="C74" s="41" t="s">
        <v>132</v>
      </c>
      <c r="D74" s="41"/>
      <c r="E74" s="41"/>
      <c r="F74" s="41"/>
      <c r="G74" s="41"/>
      <c r="H74" s="41"/>
      <c r="I74" s="41"/>
      <c r="J74" s="41"/>
    </row>
    <row r="75" spans="1:10" ht="41.4" thickBot="1" x14ac:dyDescent="0.35">
      <c r="A75" s="1" t="s">
        <v>0</v>
      </c>
      <c r="B75" s="7" t="s">
        <v>1</v>
      </c>
      <c r="C75" s="10" t="s">
        <v>5</v>
      </c>
      <c r="D75" s="1" t="s">
        <v>3</v>
      </c>
      <c r="E75" s="22" t="s">
        <v>134</v>
      </c>
      <c r="F75" s="22" t="s">
        <v>141</v>
      </c>
      <c r="G75" s="1" t="s">
        <v>145</v>
      </c>
      <c r="H75" s="12" t="s">
        <v>142</v>
      </c>
      <c r="I75" s="17" t="s">
        <v>133</v>
      </c>
      <c r="J75" s="1" t="s">
        <v>4</v>
      </c>
    </row>
    <row r="76" spans="1:10" ht="15.6" thickTop="1" thickBot="1" x14ac:dyDescent="0.35">
      <c r="A76" s="33">
        <v>1</v>
      </c>
      <c r="B76" s="8" t="s">
        <v>175</v>
      </c>
      <c r="C76" s="8" t="s">
        <v>82</v>
      </c>
      <c r="D76" s="4" t="s">
        <v>16</v>
      </c>
      <c r="E76" s="23">
        <f>TabFrutas[[#This Row],[$/ Presentacion]]+(TabFrutas[[#This Row],[$/ Presentacion]]/TabFrutas[[#This Row],[PPT]]*TabFrutas[[#This Row],[Porcentaje de merma %]])</f>
        <v>50</v>
      </c>
      <c r="F76" s="23"/>
      <c r="G76" s="4">
        <v>1</v>
      </c>
      <c r="H76" s="34">
        <v>50</v>
      </c>
      <c r="I76" s="35">
        <v>0</v>
      </c>
      <c r="J76" s="36"/>
    </row>
    <row r="77" spans="1:10" ht="15" thickBot="1" x14ac:dyDescent="0.35">
      <c r="A77" s="33">
        <f t="shared" ref="A77:A101" si="2">A76+1</f>
        <v>2</v>
      </c>
      <c r="B77" s="8" t="s">
        <v>175</v>
      </c>
      <c r="C77" s="8" t="s">
        <v>96</v>
      </c>
      <c r="D77" s="4" t="s">
        <v>16</v>
      </c>
      <c r="E77" s="23">
        <f>TabFrutas[[#This Row],[$/ Presentacion]]+(TabFrutas[[#This Row],[$/ Presentacion]]/TabFrutas[[#This Row],[PPT]]*TabFrutas[[#This Row],[Porcentaje de merma %]])</f>
        <v>60</v>
      </c>
      <c r="F77" s="23"/>
      <c r="G77" s="4">
        <v>1</v>
      </c>
      <c r="H77" s="34">
        <v>60</v>
      </c>
      <c r="I77" s="35">
        <v>0</v>
      </c>
      <c r="J77" s="36"/>
    </row>
    <row r="78" spans="1:10" ht="13.95" customHeight="1" thickBot="1" x14ac:dyDescent="0.35">
      <c r="A78" s="33">
        <f t="shared" si="2"/>
        <v>3</v>
      </c>
      <c r="B78" s="8" t="s">
        <v>175</v>
      </c>
      <c r="C78" s="8" t="s">
        <v>255</v>
      </c>
      <c r="D78" s="4" t="s">
        <v>16</v>
      </c>
      <c r="E78" s="23">
        <f>TabFrutas[[#This Row],[$/ Presentacion]]+(TabFrutas[[#This Row],[$/ Presentacion]]/TabFrutas[[#This Row],[PPT]]*TabFrutas[[#This Row],[Porcentaje de merma %]])</f>
        <v>50</v>
      </c>
      <c r="F78" s="23"/>
      <c r="G78" s="4">
        <v>1</v>
      </c>
      <c r="H78" s="34">
        <v>50</v>
      </c>
      <c r="I78" s="35">
        <v>0</v>
      </c>
      <c r="J78" s="36"/>
    </row>
    <row r="79" spans="1:10" ht="15" thickBot="1" x14ac:dyDescent="0.35">
      <c r="A79" s="33">
        <f t="shared" si="2"/>
        <v>4</v>
      </c>
      <c r="B79" s="8" t="s">
        <v>175</v>
      </c>
      <c r="C79" s="8" t="s">
        <v>83</v>
      </c>
      <c r="D79" s="4" t="s">
        <v>16</v>
      </c>
      <c r="E79" s="23">
        <f>TabFrutas[[#This Row],[$/ Presentacion]]+(TabFrutas[[#This Row],[$/ Presentacion]]/TabFrutas[[#This Row],[PPT]]*TabFrutas[[#This Row],[Porcentaje de merma %]])</f>
        <v>132.6</v>
      </c>
      <c r="F79" s="23"/>
      <c r="G79" s="4">
        <v>1</v>
      </c>
      <c r="H79" s="34">
        <v>102</v>
      </c>
      <c r="I79" s="35">
        <v>0.3</v>
      </c>
      <c r="J79" s="36" t="s">
        <v>18</v>
      </c>
    </row>
    <row r="80" spans="1:10" ht="15" thickBot="1" x14ac:dyDescent="0.35">
      <c r="A80" s="33">
        <f t="shared" si="2"/>
        <v>5</v>
      </c>
      <c r="B80" s="8" t="s">
        <v>175</v>
      </c>
      <c r="C80" s="8" t="s">
        <v>84</v>
      </c>
      <c r="D80" s="4" t="s">
        <v>16</v>
      </c>
      <c r="E80" s="23">
        <f>TabFrutas[[#This Row],[$/ Presentacion]]+(TabFrutas[[#This Row],[$/ Presentacion]]/TabFrutas[[#This Row],[PPT]]*TabFrutas[[#This Row],[Porcentaje de merma %]])</f>
        <v>58</v>
      </c>
      <c r="F80" s="23"/>
      <c r="G80" s="4">
        <v>0.17199999999999999</v>
      </c>
      <c r="H80" s="34">
        <v>58</v>
      </c>
      <c r="I80" s="35">
        <v>0</v>
      </c>
      <c r="J80" s="36" t="s">
        <v>33</v>
      </c>
    </row>
    <row r="81" spans="1:10" ht="15" thickBot="1" x14ac:dyDescent="0.35">
      <c r="A81" s="33">
        <f t="shared" si="2"/>
        <v>6</v>
      </c>
      <c r="B81" s="8" t="s">
        <v>175</v>
      </c>
      <c r="C81" s="8" t="s">
        <v>85</v>
      </c>
      <c r="D81" s="4" t="s">
        <v>16</v>
      </c>
      <c r="E81" s="23">
        <f>TabFrutas[[#This Row],[$/ Presentacion]]+(TabFrutas[[#This Row],[$/ Presentacion]]/TabFrutas[[#This Row],[PPT]]*TabFrutas[[#This Row],[Porcentaje de merma %]])</f>
        <v>50</v>
      </c>
      <c r="F81" s="23"/>
      <c r="G81" s="4">
        <v>1</v>
      </c>
      <c r="H81" s="34">
        <v>40</v>
      </c>
      <c r="I81" s="35">
        <v>0.25</v>
      </c>
      <c r="J81" s="36"/>
    </row>
    <row r="82" spans="1:10" ht="15" thickBot="1" x14ac:dyDescent="0.35">
      <c r="A82" s="33">
        <f t="shared" si="2"/>
        <v>7</v>
      </c>
      <c r="B82" s="8" t="s">
        <v>175</v>
      </c>
      <c r="C82" s="8" t="s">
        <v>86</v>
      </c>
      <c r="D82" s="4" t="s">
        <v>16</v>
      </c>
      <c r="E82" s="23">
        <f>TabFrutas[[#This Row],[$/ Presentacion]]+(TabFrutas[[#This Row],[$/ Presentacion]]/TabFrutas[[#This Row],[PPT]]*TabFrutas[[#This Row],[Porcentaje de merma %]])</f>
        <v>294</v>
      </c>
      <c r="F82" s="23"/>
      <c r="G82" s="4">
        <v>1</v>
      </c>
      <c r="H82" s="34">
        <v>280</v>
      </c>
      <c r="I82" s="35">
        <v>0.05</v>
      </c>
      <c r="J82" s="36" t="s">
        <v>18</v>
      </c>
    </row>
    <row r="83" spans="1:10" ht="15" thickBot="1" x14ac:dyDescent="0.35">
      <c r="A83" s="33">
        <f t="shared" si="2"/>
        <v>8</v>
      </c>
      <c r="B83" s="8" t="s">
        <v>175</v>
      </c>
      <c r="C83" s="8" t="s">
        <v>99</v>
      </c>
      <c r="D83" s="4" t="s">
        <v>16</v>
      </c>
      <c r="E83" s="23">
        <f>TabFrutas[[#This Row],[$/ Presentacion]]+(TabFrutas[[#This Row],[$/ Presentacion]]/TabFrutas[[#This Row],[PPT]]*TabFrutas[[#This Row],[Porcentaje de merma %]])</f>
        <v>65</v>
      </c>
      <c r="F83" s="23"/>
      <c r="G83" s="4">
        <v>1</v>
      </c>
      <c r="H83" s="34">
        <v>65</v>
      </c>
      <c r="I83" s="35">
        <v>0</v>
      </c>
      <c r="J83" s="36"/>
    </row>
    <row r="84" spans="1:10" ht="15" thickBot="1" x14ac:dyDescent="0.35">
      <c r="A84" s="33">
        <f t="shared" si="2"/>
        <v>9</v>
      </c>
      <c r="B84" s="8" t="s">
        <v>175</v>
      </c>
      <c r="C84" s="8" t="s">
        <v>87</v>
      </c>
      <c r="D84" s="4" t="s">
        <v>16</v>
      </c>
      <c r="E84" s="23">
        <f>TabFrutas[[#This Row],[$/ Presentacion]]+(TabFrutas[[#This Row],[$/ Presentacion]]/TabFrutas[[#This Row],[PPT]]*TabFrutas[[#This Row],[Porcentaje de merma %]])</f>
        <v>55</v>
      </c>
      <c r="F84" s="23"/>
      <c r="G84" s="4">
        <v>1</v>
      </c>
      <c r="H84" s="34">
        <v>55</v>
      </c>
      <c r="I84" s="35">
        <v>0</v>
      </c>
      <c r="J84" s="36"/>
    </row>
    <row r="85" spans="1:10" ht="15" thickBot="1" x14ac:dyDescent="0.35">
      <c r="A85" s="33">
        <f t="shared" si="2"/>
        <v>10</v>
      </c>
      <c r="B85" s="8" t="s">
        <v>175</v>
      </c>
      <c r="C85" s="8" t="s">
        <v>88</v>
      </c>
      <c r="D85" s="4" t="s">
        <v>16</v>
      </c>
      <c r="E85" s="23">
        <f>TabFrutas[[#This Row],[$/ Presentacion]]+(TabFrutas[[#This Row],[$/ Presentacion]]/TabFrutas[[#This Row],[PPT]]*TabFrutas[[#This Row],[Porcentaje de merma %]])</f>
        <v>15.6</v>
      </c>
      <c r="F85" s="23"/>
      <c r="G85" s="4">
        <v>1</v>
      </c>
      <c r="H85" s="34">
        <v>12</v>
      </c>
      <c r="I85" s="35">
        <v>0.3</v>
      </c>
      <c r="J85" s="36" t="s">
        <v>18</v>
      </c>
    </row>
    <row r="86" spans="1:10" ht="15" thickBot="1" x14ac:dyDescent="0.35">
      <c r="A86" s="33">
        <f t="shared" si="2"/>
        <v>11</v>
      </c>
      <c r="B86" s="8" t="s">
        <v>175</v>
      </c>
      <c r="C86" s="8" t="s">
        <v>89</v>
      </c>
      <c r="D86" s="4" t="s">
        <v>16</v>
      </c>
      <c r="E86" s="23">
        <f>TabFrutas[[#This Row],[$/ Presentacion]]+(TabFrutas[[#This Row],[$/ Presentacion]]/TabFrutas[[#This Row],[PPT]]*TabFrutas[[#This Row],[Porcentaje de merma %]])</f>
        <v>38</v>
      </c>
      <c r="F86" s="23"/>
      <c r="G86" s="4">
        <v>1</v>
      </c>
      <c r="H86" s="34">
        <v>38</v>
      </c>
      <c r="I86" s="35">
        <v>0</v>
      </c>
      <c r="J86" s="36" t="s">
        <v>18</v>
      </c>
    </row>
    <row r="87" spans="1:10" ht="15" thickBot="1" x14ac:dyDescent="0.35">
      <c r="A87" s="33">
        <f t="shared" si="2"/>
        <v>12</v>
      </c>
      <c r="B87" s="8" t="s">
        <v>175</v>
      </c>
      <c r="C87" s="8" t="s">
        <v>90</v>
      </c>
      <c r="D87" s="4" t="s">
        <v>16</v>
      </c>
      <c r="E87" s="23">
        <f>TabFrutas[[#This Row],[$/ Presentacion]]+(TabFrutas[[#This Row],[$/ Presentacion]]/TabFrutas[[#This Row],[PPT]]*TabFrutas[[#This Row],[Porcentaje de merma %]])</f>
        <v>31.25</v>
      </c>
      <c r="F87" s="23"/>
      <c r="G87" s="4">
        <v>1</v>
      </c>
      <c r="H87" s="34">
        <v>25</v>
      </c>
      <c r="I87" s="35">
        <v>0.25</v>
      </c>
      <c r="J87" s="36"/>
    </row>
    <row r="88" spans="1:10" ht="15" thickBot="1" x14ac:dyDescent="0.35">
      <c r="A88" s="33">
        <f t="shared" si="2"/>
        <v>13</v>
      </c>
      <c r="B88" s="8" t="s">
        <v>175</v>
      </c>
      <c r="C88" s="8" t="s">
        <v>147</v>
      </c>
      <c r="D88" s="4" t="s">
        <v>16</v>
      </c>
      <c r="E88" s="23">
        <f>TabFrutas[[#This Row],[$/ Presentacion]]+(TabFrutas[[#This Row],[$/ Presentacion]]/TabFrutas[[#This Row],[PPT]]*TabFrutas[[#This Row],[Porcentaje de merma %]])</f>
        <v>192.5</v>
      </c>
      <c r="F88" s="23"/>
      <c r="G88" s="4">
        <v>1</v>
      </c>
      <c r="H88" s="34">
        <v>175</v>
      </c>
      <c r="I88" s="35">
        <v>0.1</v>
      </c>
      <c r="J88" s="36"/>
    </row>
    <row r="89" spans="1:10" ht="15" thickBot="1" x14ac:dyDescent="0.35">
      <c r="A89" s="33">
        <f t="shared" si="2"/>
        <v>14</v>
      </c>
      <c r="B89" s="8" t="s">
        <v>175</v>
      </c>
      <c r="C89" s="8" t="s">
        <v>263</v>
      </c>
      <c r="E89" s="23">
        <f>TabFrutas[[#This Row],[$/ Presentacion]]+(TabFrutas[[#This Row],[$/ Presentacion]]/TabFrutas[[#This Row],[PPT]]*TabFrutas[[#This Row],[Porcentaje de merma %]])</f>
        <v>65</v>
      </c>
      <c r="F89" s="23"/>
      <c r="G89" s="4">
        <v>1</v>
      </c>
      <c r="H89" s="34">
        <v>65</v>
      </c>
      <c r="I89" s="35">
        <v>0</v>
      </c>
      <c r="J89" s="36"/>
    </row>
    <row r="90" spans="1:10" ht="15" thickBot="1" x14ac:dyDescent="0.35">
      <c r="A90" s="33">
        <f t="shared" si="2"/>
        <v>15</v>
      </c>
      <c r="B90" s="8" t="s">
        <v>175</v>
      </c>
      <c r="C90" s="8" t="s">
        <v>91</v>
      </c>
      <c r="E90" s="23">
        <f>TabFrutas[[#This Row],[$/ Presentacion]]+(TabFrutas[[#This Row],[$/ Presentacion]]/TabFrutas[[#This Row],[PPT]]*TabFrutas[[#This Row],[Porcentaje de merma %]])</f>
        <v>65</v>
      </c>
      <c r="F90" s="24"/>
      <c r="G90" s="4">
        <v>1</v>
      </c>
      <c r="H90" s="34">
        <v>65</v>
      </c>
      <c r="I90" s="35">
        <v>0</v>
      </c>
      <c r="J90" s="36"/>
    </row>
    <row r="91" spans="1:10" ht="15" thickBot="1" x14ac:dyDescent="0.35">
      <c r="A91" s="33">
        <f t="shared" si="2"/>
        <v>16</v>
      </c>
      <c r="B91" s="8" t="s">
        <v>175</v>
      </c>
      <c r="C91" s="8" t="s">
        <v>92</v>
      </c>
      <c r="D91" s="4" t="s">
        <v>9</v>
      </c>
      <c r="E91" s="23">
        <f>TabFrutas[[#This Row],[$/ Presentacion]]+(TabFrutas[[#This Row],[$/ Presentacion]]/TabFrutas[[#This Row],[PPT]]*TabFrutas[[#This Row],[Porcentaje de merma %]])</f>
        <v>290</v>
      </c>
      <c r="F91" s="23"/>
      <c r="G91" s="4">
        <v>1</v>
      </c>
      <c r="H91" s="34">
        <v>290</v>
      </c>
      <c r="I91" s="35">
        <v>0</v>
      </c>
      <c r="J91" s="36" t="s">
        <v>70</v>
      </c>
    </row>
    <row r="92" spans="1:10" ht="15" thickBot="1" x14ac:dyDescent="0.35">
      <c r="A92" s="33">
        <f t="shared" si="2"/>
        <v>17</v>
      </c>
      <c r="B92" s="8" t="s">
        <v>175</v>
      </c>
      <c r="C92" s="8" t="s">
        <v>135</v>
      </c>
      <c r="D92" s="4" t="s">
        <v>16</v>
      </c>
      <c r="E92" s="23">
        <f>TabFrutas[[#This Row],[$/ Presentacion]]+(TabFrutas[[#This Row],[$/ Presentacion]]/TabFrutas[[#This Row],[PPT]]*TabFrutas[[#This Row],[Porcentaje de merma %]])</f>
        <v>28.8</v>
      </c>
      <c r="F92" s="23"/>
      <c r="G92" s="4">
        <v>1</v>
      </c>
      <c r="H92" s="34">
        <v>24</v>
      </c>
      <c r="I92" s="35">
        <v>0.2</v>
      </c>
      <c r="J92" s="36"/>
    </row>
    <row r="93" spans="1:10" ht="15" thickBot="1" x14ac:dyDescent="0.35">
      <c r="A93" s="33">
        <f t="shared" si="2"/>
        <v>18</v>
      </c>
      <c r="B93" s="8" t="s">
        <v>175</v>
      </c>
      <c r="C93" s="8" t="s">
        <v>98</v>
      </c>
      <c r="D93" s="4" t="s">
        <v>16</v>
      </c>
      <c r="E93" s="23">
        <f>TabFrutas[[#This Row],[$/ Presentacion]]+(TabFrutas[[#This Row],[$/ Presentacion]]/TabFrutas[[#This Row],[PPT]]*TabFrutas[[#This Row],[Porcentaje de merma %]])</f>
        <v>60</v>
      </c>
      <c r="F93" s="23"/>
      <c r="G93" s="4">
        <v>1</v>
      </c>
      <c r="H93" s="34">
        <v>50</v>
      </c>
      <c r="I93" s="35">
        <v>0.2</v>
      </c>
      <c r="J93" s="36"/>
    </row>
    <row r="94" spans="1:10" ht="15" thickBot="1" x14ac:dyDescent="0.35">
      <c r="A94" s="33">
        <f t="shared" si="2"/>
        <v>19</v>
      </c>
      <c r="B94" s="8" t="s">
        <v>175</v>
      </c>
      <c r="C94" s="8" t="s">
        <v>93</v>
      </c>
      <c r="D94" s="4" t="s">
        <v>16</v>
      </c>
      <c r="E94" s="23">
        <f>TabFrutas[[#This Row],[$/ Presentacion]]+(TabFrutas[[#This Row],[$/ Presentacion]]/TabFrutas[[#This Row],[PPT]]*TabFrutas[[#This Row],[Porcentaje de merma %]])</f>
        <v>55.2</v>
      </c>
      <c r="F94" s="23"/>
      <c r="G94" s="4">
        <v>1</v>
      </c>
      <c r="H94" s="34">
        <v>40</v>
      </c>
      <c r="I94" s="35">
        <v>0.38</v>
      </c>
      <c r="J94" s="36" t="s">
        <v>94</v>
      </c>
    </row>
    <row r="95" spans="1:10" ht="15" thickBot="1" x14ac:dyDescent="0.35">
      <c r="A95" s="33">
        <f t="shared" si="2"/>
        <v>20</v>
      </c>
      <c r="B95" s="8" t="s">
        <v>175</v>
      </c>
      <c r="C95" s="8" t="s">
        <v>264</v>
      </c>
      <c r="D95" s="4" t="s">
        <v>16</v>
      </c>
      <c r="E95" s="23">
        <f>TabFrutas[[#This Row],[$/ Presentacion]]+(TabFrutas[[#This Row],[$/ Presentacion]]/TabFrutas[[#This Row],[PPT]]*TabFrutas[[#This Row],[Porcentaje de merma %]])</f>
        <v>13.8</v>
      </c>
      <c r="F95" s="24"/>
      <c r="G95" s="4">
        <v>1</v>
      </c>
      <c r="H95" s="34">
        <v>12</v>
      </c>
      <c r="I95" s="35">
        <v>0.15</v>
      </c>
      <c r="J95" s="36"/>
    </row>
    <row r="96" spans="1:10" ht="15" thickBot="1" x14ac:dyDescent="0.35">
      <c r="A96" s="33">
        <f t="shared" si="2"/>
        <v>21</v>
      </c>
      <c r="B96" s="8" t="s">
        <v>175</v>
      </c>
      <c r="C96" s="8" t="s">
        <v>100</v>
      </c>
      <c r="D96" s="4" t="s">
        <v>16</v>
      </c>
      <c r="E96" s="23">
        <f>TabFrutas[[#This Row],[$/ Presentacion]]+(TabFrutas[[#This Row],[$/ Presentacion]]/TabFrutas[[#This Row],[PPT]]*TabFrutas[[#This Row],[Porcentaje de merma %]])</f>
        <v>220</v>
      </c>
      <c r="F96" s="23"/>
      <c r="G96" s="4">
        <v>1</v>
      </c>
      <c r="H96" s="34">
        <v>220</v>
      </c>
      <c r="I96" s="35">
        <v>0</v>
      </c>
      <c r="J96" s="36"/>
    </row>
    <row r="97" spans="1:10" ht="15" thickBot="1" x14ac:dyDescent="0.35">
      <c r="A97" s="33">
        <f t="shared" si="2"/>
        <v>22</v>
      </c>
      <c r="B97" s="8" t="s">
        <v>175</v>
      </c>
      <c r="C97" s="8" t="s">
        <v>265</v>
      </c>
      <c r="D97" s="4" t="s">
        <v>16</v>
      </c>
      <c r="E97" s="23">
        <f>TabFrutas[[#This Row],[$/ Presentacion]]+(TabFrutas[[#This Row],[$/ Presentacion]]/TabFrutas[[#This Row],[PPT]]*TabFrutas[[#This Row],[Porcentaje de merma %]])</f>
        <v>12</v>
      </c>
      <c r="F97" s="23"/>
      <c r="G97" s="4">
        <v>1</v>
      </c>
      <c r="H97" s="34">
        <v>10</v>
      </c>
      <c r="I97" s="35">
        <v>0.2</v>
      </c>
      <c r="J97" s="36"/>
    </row>
    <row r="98" spans="1:10" ht="15" thickBot="1" x14ac:dyDescent="0.35">
      <c r="A98" s="33">
        <f t="shared" si="2"/>
        <v>23</v>
      </c>
      <c r="B98" s="8" t="s">
        <v>175</v>
      </c>
      <c r="C98" s="8" t="s">
        <v>266</v>
      </c>
      <c r="D98" s="4" t="s">
        <v>16</v>
      </c>
      <c r="E98" s="23">
        <f>TabFrutas[[#This Row],[$/ Presentacion]]+(TabFrutas[[#This Row],[$/ Presentacion]]/TabFrutas[[#This Row],[PPT]]*TabFrutas[[#This Row],[Porcentaje de merma %]])</f>
        <v>40</v>
      </c>
      <c r="F98" s="23"/>
      <c r="G98" s="4">
        <v>1</v>
      </c>
      <c r="H98" s="34">
        <v>40</v>
      </c>
      <c r="I98" s="35">
        <v>0</v>
      </c>
      <c r="J98" s="36"/>
    </row>
    <row r="99" spans="1:10" ht="15" thickBot="1" x14ac:dyDescent="0.35">
      <c r="A99" s="33">
        <f t="shared" si="2"/>
        <v>24</v>
      </c>
      <c r="B99" s="8" t="s">
        <v>175</v>
      </c>
      <c r="C99" s="8" t="s">
        <v>95</v>
      </c>
      <c r="D99" s="4" t="s">
        <v>16</v>
      </c>
      <c r="E99" s="23">
        <f>TabFrutas[[#This Row],[$/ Presentacion]]+(TabFrutas[[#This Row],[$/ Presentacion]]/TabFrutas[[#This Row],[PPT]]*TabFrutas[[#This Row],[Porcentaje de merma %]])</f>
        <v>35.200000000000003</v>
      </c>
      <c r="F99" s="23"/>
      <c r="G99" s="4">
        <v>1</v>
      </c>
      <c r="H99" s="34">
        <v>35.200000000000003</v>
      </c>
      <c r="I99" s="35">
        <v>0</v>
      </c>
      <c r="J99" s="36"/>
    </row>
    <row r="100" spans="1:10" ht="15" thickBot="1" x14ac:dyDescent="0.35">
      <c r="A100" s="33">
        <f t="shared" si="2"/>
        <v>25</v>
      </c>
      <c r="B100" s="8" t="s">
        <v>175</v>
      </c>
      <c r="C100" s="8" t="s">
        <v>97</v>
      </c>
      <c r="D100" s="4" t="s">
        <v>16</v>
      </c>
      <c r="E100" s="23">
        <f>TabFrutas[[#This Row],[$/ Presentacion]]+(TabFrutas[[#This Row],[$/ Presentacion]]/TabFrutas[[#This Row],[PPT]]*TabFrutas[[#This Row],[Porcentaje de merma %]])</f>
        <v>14</v>
      </c>
      <c r="F100" s="23"/>
      <c r="G100" s="4">
        <v>1</v>
      </c>
      <c r="H100" s="34">
        <v>14</v>
      </c>
      <c r="I100" s="35">
        <v>0</v>
      </c>
      <c r="J100" s="36"/>
    </row>
    <row r="101" spans="1:10" ht="15" thickBot="1" x14ac:dyDescent="0.35">
      <c r="A101" s="33">
        <f t="shared" si="2"/>
        <v>26</v>
      </c>
      <c r="B101" s="8" t="s">
        <v>175</v>
      </c>
      <c r="C101" s="8" t="s">
        <v>146</v>
      </c>
      <c r="D101" s="4" t="s">
        <v>16</v>
      </c>
      <c r="E101" s="23">
        <f>TabFrutas[[#This Row],[$/ Presentacion]]+(TabFrutas[[#This Row],[$/ Presentacion]]/TabFrutas[[#This Row],[PPT]]*TabFrutas[[#This Row],[Porcentaje de merma %]])</f>
        <v>35</v>
      </c>
      <c r="F101" s="23"/>
      <c r="G101" s="4">
        <v>0.17</v>
      </c>
      <c r="H101" s="34">
        <v>35</v>
      </c>
      <c r="I101" s="35">
        <v>0</v>
      </c>
      <c r="J101" s="36" t="s">
        <v>33</v>
      </c>
    </row>
    <row r="102" spans="1:10" x14ac:dyDescent="0.3">
      <c r="E102"/>
      <c r="F102"/>
      <c r="H102" s="13"/>
      <c r="I102" s="20"/>
      <c r="J102" s="4"/>
    </row>
    <row r="103" spans="1:10" x14ac:dyDescent="0.3">
      <c r="E103"/>
      <c r="F103"/>
      <c r="H103" s="13"/>
      <c r="I103" s="20"/>
      <c r="J103" s="4"/>
    </row>
    <row r="104" spans="1:10" x14ac:dyDescent="0.3">
      <c r="E104"/>
      <c r="F104"/>
      <c r="H104" s="13"/>
      <c r="I104" s="20"/>
      <c r="J104" s="4"/>
    </row>
    <row r="105" spans="1:10" x14ac:dyDescent="0.3">
      <c r="E105"/>
      <c r="F105"/>
      <c r="H105" s="13"/>
      <c r="I105" s="20"/>
      <c r="J105" s="4"/>
    </row>
    <row r="106" spans="1:10" ht="15" thickBot="1" x14ac:dyDescent="0.35">
      <c r="E106"/>
      <c r="F106"/>
      <c r="H106" s="13"/>
      <c r="I106" s="20"/>
      <c r="J106" s="4"/>
    </row>
    <row r="107" spans="1:10" ht="76.2" customHeight="1" thickTop="1" x14ac:dyDescent="0.3">
      <c r="A107" s="44"/>
      <c r="B107" s="45"/>
      <c r="C107" s="41" t="s">
        <v>136</v>
      </c>
      <c r="D107" s="41"/>
      <c r="E107" s="41"/>
      <c r="F107" s="41"/>
      <c r="G107" s="41"/>
      <c r="H107" s="41"/>
      <c r="I107" s="41"/>
      <c r="J107" s="41"/>
    </row>
    <row r="108" spans="1:10" ht="41.4" thickBot="1" x14ac:dyDescent="0.35">
      <c r="A108" s="1" t="s">
        <v>0</v>
      </c>
      <c r="B108" s="7" t="s">
        <v>1</v>
      </c>
      <c r="C108" s="11" t="s">
        <v>5</v>
      </c>
      <c r="D108" s="2" t="s">
        <v>3</v>
      </c>
      <c r="E108" s="14" t="s">
        <v>6</v>
      </c>
      <c r="F108" s="14" t="s">
        <v>141</v>
      </c>
      <c r="G108" s="1" t="s">
        <v>145</v>
      </c>
      <c r="H108" s="28" t="s">
        <v>138</v>
      </c>
      <c r="I108" s="18" t="s">
        <v>137</v>
      </c>
      <c r="J108" s="2" t="s">
        <v>4</v>
      </c>
    </row>
    <row r="109" spans="1:10" ht="15.6" thickTop="1" thickBot="1" x14ac:dyDescent="0.35">
      <c r="A109" s="4">
        <v>1</v>
      </c>
      <c r="B109" s="8" t="s">
        <v>200</v>
      </c>
      <c r="C109" s="8" t="s">
        <v>135</v>
      </c>
      <c r="D109" s="4" t="s">
        <v>9</v>
      </c>
      <c r="E109" s="23">
        <f>TabCitricos[[#This Row],[$/Unidad Presentacion]]*TabCitricos[[#This Row],[Kg/L]]/TabCitricos[[#This Row],[PPT]]</f>
        <v>60.480000000000004</v>
      </c>
      <c r="F109" s="23"/>
      <c r="G109" s="4">
        <v>1</v>
      </c>
      <c r="H109" s="23">
        <f>VLOOKUP(TabCitricos[[#This Row],[Pruducto]],TabFrutas[[Pruducto]:[$/ Presentacion]],3,FALSE)</f>
        <v>28.8</v>
      </c>
      <c r="I109" s="27">
        <v>2.1</v>
      </c>
      <c r="J109" s="4"/>
    </row>
    <row r="110" spans="1:10" ht="15" thickBot="1" x14ac:dyDescent="0.35">
      <c r="A110" s="4">
        <f>A109+1</f>
        <v>2</v>
      </c>
      <c r="B110" s="8" t="s">
        <v>200</v>
      </c>
      <c r="C110" s="8" t="s">
        <v>89</v>
      </c>
      <c r="D110" s="4" t="s">
        <v>9</v>
      </c>
      <c r="E110" s="23">
        <f>TabCitricos[[#This Row],[$/Unidad Presentacion]]*TabCitricos[[#This Row],[Kg/L]]/TabCitricos[[#This Row],[PPT]]</f>
        <v>106.39999999999999</v>
      </c>
      <c r="F110" s="23"/>
      <c r="G110" s="4">
        <v>1</v>
      </c>
      <c r="H110" s="23">
        <f>VLOOKUP(TabCitricos[[#This Row],[Pruducto]],TabFrutas[[Pruducto]:[$/ Presentacion]],3,FALSE)</f>
        <v>38</v>
      </c>
      <c r="I110" s="27">
        <v>2.8</v>
      </c>
      <c r="J110" s="4"/>
    </row>
    <row r="111" spans="1:10" ht="15" thickBot="1" x14ac:dyDescent="0.35">
      <c r="A111" s="4">
        <f>A110+1</f>
        <v>3</v>
      </c>
      <c r="B111" s="8" t="s">
        <v>200</v>
      </c>
      <c r="C111" s="8" t="s">
        <v>148</v>
      </c>
      <c r="D111" s="4" t="s">
        <v>9</v>
      </c>
      <c r="E111" s="23">
        <f>TabCitricos[[#This Row],[$/Unidad Presentacion]]*TabCitricos[[#This Row],[Kg/L]]/TabCitricos[[#This Row],[PPT]]</f>
        <v>39</v>
      </c>
      <c r="F111" s="23"/>
      <c r="G111" s="4">
        <v>1</v>
      </c>
      <c r="H111" s="23">
        <f>VLOOKUP(TabCitricos[[#This Row],[Pruducto]],TabFrutas[[Pruducto]:[$/ Presentacion]],3,FALSE)</f>
        <v>15.6</v>
      </c>
      <c r="I111" s="27">
        <v>2.5</v>
      </c>
      <c r="J111" s="4"/>
    </row>
    <row r="112" spans="1:10" x14ac:dyDescent="0.3">
      <c r="F112" s="13"/>
      <c r="H112" s="13"/>
      <c r="I112" s="27"/>
      <c r="J112" s="4"/>
    </row>
    <row r="113" spans="1:10" x14ac:dyDescent="0.3">
      <c r="F113" s="13"/>
      <c r="H113" s="13"/>
      <c r="I113" s="27"/>
      <c r="J113" s="4"/>
    </row>
    <row r="114" spans="1:10" x14ac:dyDescent="0.3">
      <c r="F114" s="13"/>
      <c r="H114" s="13"/>
      <c r="I114" s="27"/>
      <c r="J114" s="4"/>
    </row>
    <row r="115" spans="1:10" x14ac:dyDescent="0.3">
      <c r="F115" s="13"/>
      <c r="H115" s="13"/>
      <c r="I115" s="27"/>
      <c r="J115" s="4"/>
    </row>
    <row r="116" spans="1:10" ht="15" thickBot="1" x14ac:dyDescent="0.35">
      <c r="F116" s="13"/>
      <c r="H116" s="13"/>
      <c r="I116" s="27"/>
      <c r="J116" s="4"/>
    </row>
    <row r="117" spans="1:10" ht="79.95" customHeight="1" thickTop="1" x14ac:dyDescent="0.3">
      <c r="A117" s="44"/>
      <c r="B117" s="45"/>
      <c r="C117" s="41" t="s">
        <v>144</v>
      </c>
      <c r="D117" s="41"/>
      <c r="E117" s="41"/>
      <c r="F117" s="41"/>
      <c r="G117" s="41"/>
      <c r="H117" s="41"/>
      <c r="I117" s="41"/>
      <c r="J117" s="41"/>
    </row>
    <row r="118" spans="1:10" ht="82.2" customHeight="1" thickBot="1" x14ac:dyDescent="0.35">
      <c r="A118" s="6" t="s">
        <v>0</v>
      </c>
      <c r="B118" s="9" t="s">
        <v>1</v>
      </c>
      <c r="C118" s="9" t="s">
        <v>5</v>
      </c>
      <c r="D118" s="6" t="s">
        <v>3</v>
      </c>
      <c r="E118" s="15" t="s">
        <v>6</v>
      </c>
      <c r="F118" s="15" t="s">
        <v>141</v>
      </c>
      <c r="G118" s="1" t="s">
        <v>145</v>
      </c>
      <c r="H118" s="32" t="s">
        <v>138</v>
      </c>
      <c r="I118" s="19" t="s">
        <v>143</v>
      </c>
      <c r="J118" s="6" t="s">
        <v>4</v>
      </c>
    </row>
    <row r="119" spans="1:10" ht="15.6" thickTop="1" thickBot="1" x14ac:dyDescent="0.35">
      <c r="A119" s="4">
        <v>1</v>
      </c>
      <c r="B119" s="8" t="s">
        <v>171</v>
      </c>
      <c r="C119" s="8" t="s">
        <v>58</v>
      </c>
      <c r="D119" s="4" t="s">
        <v>60</v>
      </c>
      <c r="E119" s="23">
        <f>TabHuevos[[#This Row],[$/Unidad Presentacion]]*TabHuevos[[#This Row],[PPT]]</f>
        <v>2.6</v>
      </c>
      <c r="F119" s="23"/>
      <c r="G119" s="4">
        <v>1</v>
      </c>
      <c r="H119" s="23">
        <f>VLOOKUP(TabHuevos[[#This Row],[Pruducto]],TabAbarrotes[[#All],[Pruducto]:[$/ Presentacion]],3,FALSE)</f>
        <v>2.6</v>
      </c>
      <c r="I119" s="27">
        <v>0.05</v>
      </c>
      <c r="J119" s="4" t="s">
        <v>39</v>
      </c>
    </row>
    <row r="120" spans="1:10" ht="15" thickBot="1" x14ac:dyDescent="0.35">
      <c r="A120" s="4">
        <f>A119+1</f>
        <v>2</v>
      </c>
      <c r="B120" s="8" t="s">
        <v>171</v>
      </c>
      <c r="C120" s="8" t="s">
        <v>140</v>
      </c>
      <c r="D120" s="4" t="s">
        <v>16</v>
      </c>
      <c r="E120" s="23">
        <f>TabHuevos[[#This Row],[$/Unidad Presentacion]]*TabHuevos[[#This Row],[PPT]]/TabHuevos[[#This Row],[Peso Kg]]</f>
        <v>52</v>
      </c>
      <c r="F120" s="23"/>
      <c r="G120" s="4">
        <v>1</v>
      </c>
      <c r="H120" s="23">
        <f>TabHuevos[[#This Row],[Peso Kg]]*H$119/I$119</f>
        <v>1.04</v>
      </c>
      <c r="I120" s="27">
        <v>0.02</v>
      </c>
      <c r="J120" s="4" t="s">
        <v>39</v>
      </c>
    </row>
    <row r="121" spans="1:10" ht="15" thickBot="1" x14ac:dyDescent="0.35">
      <c r="A121" s="4">
        <f>A120+1</f>
        <v>3</v>
      </c>
      <c r="B121" s="8" t="s">
        <v>171</v>
      </c>
      <c r="C121" s="8" t="s">
        <v>251</v>
      </c>
      <c r="D121" s="4" t="s">
        <v>16</v>
      </c>
      <c r="E121" s="23">
        <f>TabHuevos[[#This Row],[$/Unidad Presentacion]]*TabHuevos[[#This Row],[PPT]]/TabHuevos[[#This Row],[Peso Kg]]</f>
        <v>51.999999999999993</v>
      </c>
      <c r="F121" s="23"/>
      <c r="G121" s="4">
        <v>1</v>
      </c>
      <c r="H121" s="23">
        <f>TabHuevos[[#This Row],[Peso Kg]]*H$119/I$119</f>
        <v>1.5599999999999998</v>
      </c>
      <c r="I121" s="27">
        <v>0.03</v>
      </c>
      <c r="J121" s="4" t="s">
        <v>39</v>
      </c>
    </row>
    <row r="128" spans="1:10" ht="83.4" customHeight="1" x14ac:dyDescent="0.3"/>
  </sheetData>
  <conditionalFormatting sqref="C102:C1048576 C1:C2 C69:C75">
    <cfRule type="duplicateValues" dxfId="68" priority="3"/>
  </conditionalFormatting>
  <conditionalFormatting sqref="C76:C101">
    <cfRule type="duplicateValues" dxfId="67" priority="2"/>
  </conditionalFormatting>
  <conditionalFormatting sqref="C3:C68">
    <cfRule type="duplicateValues" dxfId="66" priority="1"/>
  </conditionalFormatting>
  <dataValidations count="1">
    <dataValidation type="list" allowBlank="1" showInputMessage="1" showErrorMessage="1" sqref="D76:D101 D119 D3:D68" xr:uid="{41533BD8-5803-4AE1-9987-1BF4ABEF3D49}">
      <formula1>Unidades</formula1>
    </dataValidation>
  </dataValidations>
  <pageMargins left="0.7" right="0.7" top="0.75" bottom="0.75" header="0.3" footer="0.3"/>
  <pageSetup orientation="portrait" r:id="rId1"/>
  <drawing r:id="rId2"/>
  <legacyDrawing r:id="rId3"/>
  <tableParts count="4"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FF726-E595-478F-BEFF-E3957F1F6706}">
  <sheetPr codeName="Hoja2"/>
  <dimension ref="A2:O15"/>
  <sheetViews>
    <sheetView workbookViewId="0">
      <selection activeCell="O4" sqref="O4"/>
    </sheetView>
  </sheetViews>
  <sheetFormatPr baseColWidth="10" defaultRowHeight="14.4" x14ac:dyDescent="0.3"/>
  <cols>
    <col min="1" max="1" width="5.5546875" customWidth="1"/>
    <col min="4" max="4" width="18.88671875" customWidth="1"/>
    <col min="6" max="6" width="5.6640625" customWidth="1"/>
    <col min="7" max="7" width="14.5546875" customWidth="1"/>
    <col min="8" max="8" width="17.33203125" customWidth="1"/>
    <col min="9" max="9" width="11.5546875" customWidth="1"/>
    <col min="10" max="10" width="5.6640625" customWidth="1"/>
    <col min="11" max="11" width="9" customWidth="1"/>
    <col min="12" max="12" width="12.33203125" customWidth="1"/>
    <col min="14" max="14" width="17.44140625" customWidth="1"/>
  </cols>
  <sheetData>
    <row r="2" spans="1:15" x14ac:dyDescent="0.3">
      <c r="A2" t="s">
        <v>151</v>
      </c>
      <c r="F2" t="s">
        <v>150</v>
      </c>
      <c r="J2" t="s">
        <v>149</v>
      </c>
      <c r="N2" t="s">
        <v>188</v>
      </c>
    </row>
    <row r="3" spans="1:15" x14ac:dyDescent="0.3">
      <c r="A3" t="s">
        <v>0</v>
      </c>
      <c r="B3" t="s">
        <v>152</v>
      </c>
      <c r="C3" t="s">
        <v>3</v>
      </c>
      <c r="D3" t="s">
        <v>153</v>
      </c>
      <c r="F3" t="s">
        <v>0</v>
      </c>
      <c r="G3" t="s">
        <v>152</v>
      </c>
      <c r="H3" t="s">
        <v>153</v>
      </c>
      <c r="J3" t="s">
        <v>0</v>
      </c>
      <c r="K3" t="s">
        <v>3</v>
      </c>
      <c r="L3" t="s">
        <v>153</v>
      </c>
      <c r="N3" s="30" t="s">
        <v>189</v>
      </c>
      <c r="O3" s="29">
        <v>0.2</v>
      </c>
    </row>
    <row r="4" spans="1:15" x14ac:dyDescent="0.3">
      <c r="A4">
        <v>1</v>
      </c>
      <c r="B4" t="s">
        <v>158</v>
      </c>
      <c r="C4" t="s">
        <v>16</v>
      </c>
      <c r="D4" t="s">
        <v>167</v>
      </c>
      <c r="F4">
        <v>1</v>
      </c>
      <c r="G4" t="s">
        <v>139</v>
      </c>
      <c r="J4">
        <v>1</v>
      </c>
      <c r="K4" t="s">
        <v>16</v>
      </c>
      <c r="L4" t="s">
        <v>155</v>
      </c>
      <c r="N4" t="s">
        <v>267</v>
      </c>
      <c r="O4" s="16">
        <v>20</v>
      </c>
    </row>
    <row r="5" spans="1:15" x14ac:dyDescent="0.3">
      <c r="A5">
        <v>2</v>
      </c>
      <c r="B5" t="s">
        <v>174</v>
      </c>
      <c r="C5" t="s">
        <v>9</v>
      </c>
      <c r="D5" t="s">
        <v>168</v>
      </c>
      <c r="F5">
        <v>2</v>
      </c>
      <c r="G5" t="s">
        <v>158</v>
      </c>
      <c r="H5" t="s">
        <v>172</v>
      </c>
      <c r="J5">
        <v>2</v>
      </c>
      <c r="K5" t="s">
        <v>9</v>
      </c>
      <c r="L5" t="s">
        <v>156</v>
      </c>
    </row>
    <row r="6" spans="1:15" x14ac:dyDescent="0.3">
      <c r="A6">
        <v>3</v>
      </c>
      <c r="B6" t="s">
        <v>161</v>
      </c>
      <c r="D6" t="s">
        <v>169</v>
      </c>
      <c r="F6">
        <v>3</v>
      </c>
      <c r="G6" t="s">
        <v>200</v>
      </c>
      <c r="H6" t="s">
        <v>172</v>
      </c>
      <c r="J6">
        <v>3</v>
      </c>
      <c r="K6" t="s">
        <v>154</v>
      </c>
      <c r="L6" t="s">
        <v>157</v>
      </c>
    </row>
    <row r="7" spans="1:15" x14ac:dyDescent="0.3">
      <c r="A7">
        <v>4</v>
      </c>
      <c r="B7" t="s">
        <v>173</v>
      </c>
      <c r="C7" t="s">
        <v>16</v>
      </c>
      <c r="D7" t="s">
        <v>170</v>
      </c>
      <c r="F7">
        <v>4</v>
      </c>
      <c r="G7" t="s">
        <v>174</v>
      </c>
      <c r="H7" t="s">
        <v>172</v>
      </c>
    </row>
    <row r="8" spans="1:15" x14ac:dyDescent="0.3">
      <c r="A8">
        <v>5</v>
      </c>
      <c r="B8" t="s">
        <v>162</v>
      </c>
      <c r="D8" t="s">
        <v>169</v>
      </c>
      <c r="F8">
        <v>5</v>
      </c>
      <c r="G8" t="s">
        <v>175</v>
      </c>
    </row>
    <row r="9" spans="1:15" x14ac:dyDescent="0.3">
      <c r="A9">
        <v>6</v>
      </c>
      <c r="B9" t="s">
        <v>159</v>
      </c>
      <c r="D9" t="s">
        <v>169</v>
      </c>
      <c r="F9">
        <v>6</v>
      </c>
      <c r="G9" t="s">
        <v>171</v>
      </c>
    </row>
    <row r="10" spans="1:15" x14ac:dyDescent="0.3">
      <c r="A10">
        <v>7</v>
      </c>
      <c r="B10" t="s">
        <v>163</v>
      </c>
      <c r="C10" t="s">
        <v>9</v>
      </c>
      <c r="D10" t="s">
        <v>170</v>
      </c>
      <c r="F10">
        <v>7</v>
      </c>
      <c r="G10" t="s">
        <v>165</v>
      </c>
    </row>
    <row r="11" spans="1:15" x14ac:dyDescent="0.3">
      <c r="A11">
        <v>8</v>
      </c>
      <c r="B11" t="s">
        <v>160</v>
      </c>
      <c r="D11" t="s">
        <v>169</v>
      </c>
      <c r="F11">
        <v>8</v>
      </c>
      <c r="G11" t="s">
        <v>164</v>
      </c>
    </row>
    <row r="12" spans="1:15" x14ac:dyDescent="0.3">
      <c r="F12">
        <v>9</v>
      </c>
      <c r="G12" t="s">
        <v>173</v>
      </c>
      <c r="H12" t="s">
        <v>172</v>
      </c>
    </row>
    <row r="13" spans="1:15" x14ac:dyDescent="0.3">
      <c r="F13">
        <v>10</v>
      </c>
      <c r="G13" t="s">
        <v>166</v>
      </c>
    </row>
    <row r="14" spans="1:15" x14ac:dyDescent="0.3">
      <c r="F14">
        <v>11</v>
      </c>
      <c r="G14" t="s">
        <v>163</v>
      </c>
      <c r="H14" t="s">
        <v>172</v>
      </c>
    </row>
    <row r="15" spans="1:15" x14ac:dyDescent="0.3">
      <c r="F15">
        <v>12</v>
      </c>
      <c r="G15" t="s">
        <v>176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B6681-5B08-4BC9-A401-58126E603682}">
  <sheetPr codeName="Hoja3"/>
  <dimension ref="A1:J26"/>
  <sheetViews>
    <sheetView workbookViewId="0">
      <selection activeCell="B2" sqref="B2"/>
    </sheetView>
  </sheetViews>
  <sheetFormatPr baseColWidth="10" defaultRowHeight="14.4" x14ac:dyDescent="0.3"/>
  <cols>
    <col min="1" max="1" width="4.33203125" customWidth="1"/>
    <col min="2" max="2" width="35.88671875" customWidth="1"/>
    <col min="3" max="3" width="11.5546875" customWidth="1"/>
    <col min="4" max="4" width="19.33203125" customWidth="1"/>
    <col min="5" max="5" width="16" customWidth="1"/>
    <col min="6" max="6" width="15.5546875" customWidth="1"/>
    <col min="7" max="7" width="23.109375" bestFit="1" customWidth="1"/>
    <col min="8" max="8" width="18" customWidth="1"/>
    <col min="9" max="9" width="13.33203125" customWidth="1"/>
    <col min="10" max="10" width="71.33203125" customWidth="1"/>
  </cols>
  <sheetData>
    <row r="1" spans="1:10" x14ac:dyDescent="0.3">
      <c r="A1" t="s">
        <v>177</v>
      </c>
      <c r="B1" t="s">
        <v>178</v>
      </c>
      <c r="C1" t="s">
        <v>152</v>
      </c>
      <c r="D1" t="s">
        <v>186</v>
      </c>
      <c r="E1" t="s">
        <v>179</v>
      </c>
      <c r="F1" t="s">
        <v>180</v>
      </c>
      <c r="G1" t="s">
        <v>181</v>
      </c>
      <c r="H1" t="s">
        <v>268</v>
      </c>
      <c r="I1" t="s">
        <v>276</v>
      </c>
      <c r="J1" t="s">
        <v>182</v>
      </c>
    </row>
    <row r="2" spans="1:10" x14ac:dyDescent="0.3">
      <c r="A2" s="3">
        <v>23</v>
      </c>
      <c r="B2" s="3" t="s">
        <v>222</v>
      </c>
      <c r="C2" s="3" t="s">
        <v>158</v>
      </c>
      <c r="D2" s="3">
        <v>0</v>
      </c>
      <c r="E2" s="3">
        <v>0</v>
      </c>
      <c r="F2" s="3">
        <v>0</v>
      </c>
      <c r="G2" s="3">
        <v>0</v>
      </c>
      <c r="H2" s="3">
        <f>SUMIF(TabRecetaIng[id],TabRecetas[[#This Row],[id]],TabRecetaIng[Precio PP])+(SUMIF(TabRecetaIng[id],TabRecetas[[#This Row],[id]],TabRecetaIng[Precio PP])*Informacion!$O$3)</f>
        <v>2010.2114722222223</v>
      </c>
      <c r="I2" s="3" t="s">
        <v>191</v>
      </c>
      <c r="J2" s="31"/>
    </row>
    <row r="3" spans="1:10" x14ac:dyDescent="0.3">
      <c r="A3" s="3">
        <v>22</v>
      </c>
      <c r="B3" s="3" t="s">
        <v>277</v>
      </c>
      <c r="C3" s="3" t="s">
        <v>158</v>
      </c>
      <c r="D3" s="3">
        <v>0</v>
      </c>
      <c r="E3" s="3">
        <v>0</v>
      </c>
      <c r="F3" s="3">
        <v>0</v>
      </c>
      <c r="G3" s="3">
        <v>0</v>
      </c>
      <c r="H3" s="3">
        <f>SUMIF(TabRecetaIng[id],TabRecetas[[#This Row],[id]],TabRecetaIng[Precio PP])+(SUMIF(TabRecetaIng[id],TabRecetas[[#This Row],[id]],TabRecetaIng[Precio PP])*Informacion!$O$3)</f>
        <v>78.778800000000004</v>
      </c>
      <c r="I3" s="3" t="s">
        <v>191</v>
      </c>
      <c r="J3" s="31"/>
    </row>
    <row r="4" spans="1:10" ht="57.6" x14ac:dyDescent="0.3">
      <c r="A4" s="3">
        <v>7</v>
      </c>
      <c r="B4" s="3" t="s">
        <v>209</v>
      </c>
      <c r="C4" s="3" t="s">
        <v>158</v>
      </c>
      <c r="D4" s="3" t="s">
        <v>184</v>
      </c>
      <c r="E4" s="3" t="s">
        <v>184</v>
      </c>
      <c r="F4" s="3">
        <v>0</v>
      </c>
      <c r="G4" s="3" t="s">
        <v>202</v>
      </c>
      <c r="H4" s="3">
        <f>SUMIF(TabRecetaIng[id],TabRecetas[[#This Row],[id]],TabRecetaIng[Precio PP])+(SUMIF(TabRecetaIng[id],TabRecetas[[#This Row],[id]],TabRecetaIng[Precio PP])*Informacion!$O$3)</f>
        <v>54.799842592592597</v>
      </c>
      <c r="I4" s="3" t="s">
        <v>191</v>
      </c>
      <c r="J4" s="39" t="s">
        <v>240</v>
      </c>
    </row>
    <row r="5" spans="1:10" ht="72" x14ac:dyDescent="0.3">
      <c r="A5" s="3">
        <v>6</v>
      </c>
      <c r="B5" s="3" t="s">
        <v>208</v>
      </c>
      <c r="C5" s="3" t="s">
        <v>158</v>
      </c>
      <c r="D5" s="3" t="s">
        <v>227</v>
      </c>
      <c r="E5" s="3" t="s">
        <v>233</v>
      </c>
      <c r="F5" s="3">
        <v>0</v>
      </c>
      <c r="G5" s="3" t="s">
        <v>235</v>
      </c>
      <c r="H5" s="3">
        <f>SUMIF(TabRecetaIng[id],TabRecetas[[#This Row],[id]],TabRecetaIng[Precio PP])+(SUMIF(TabRecetaIng[id],TabRecetas[[#This Row],[id]],TabRecetaIng[Precio PP])*Informacion!$O$3)</f>
        <v>938.5007999999998</v>
      </c>
      <c r="I5" s="3" t="s">
        <v>191</v>
      </c>
      <c r="J5" s="39" t="s">
        <v>239</v>
      </c>
    </row>
    <row r="6" spans="1:10" ht="72" x14ac:dyDescent="0.3">
      <c r="A6" s="3">
        <v>14</v>
      </c>
      <c r="B6" s="3" t="s">
        <v>216</v>
      </c>
      <c r="C6" s="3" t="s">
        <v>158</v>
      </c>
      <c r="D6" s="3" t="s">
        <v>223</v>
      </c>
      <c r="E6" s="3" t="s">
        <v>227</v>
      </c>
      <c r="F6" s="3">
        <v>0</v>
      </c>
      <c r="G6" s="3" t="s">
        <v>225</v>
      </c>
      <c r="H6" s="3">
        <f>SUMIF(TabRecetaIng[id],TabRecetas[[#This Row],[id]],TabRecetaIng[Precio PP])+(SUMIF(TabRecetaIng[id],TabRecetas[[#This Row],[id]],TabRecetaIng[Precio PP])*Informacion!$O$3)</f>
        <v>25.484999999999996</v>
      </c>
      <c r="I6" s="3" t="s">
        <v>191</v>
      </c>
      <c r="J6" s="31" t="s">
        <v>245</v>
      </c>
    </row>
    <row r="7" spans="1:10" ht="57.6" x14ac:dyDescent="0.3">
      <c r="A7" s="3">
        <v>13</v>
      </c>
      <c r="B7" s="3" t="s">
        <v>215</v>
      </c>
      <c r="C7" s="3" t="s">
        <v>158</v>
      </c>
      <c r="D7" s="3" t="s">
        <v>223</v>
      </c>
      <c r="E7" s="3" t="s">
        <v>228</v>
      </c>
      <c r="F7" s="3">
        <v>0</v>
      </c>
      <c r="G7" s="3" t="s">
        <v>225</v>
      </c>
      <c r="H7" s="3">
        <f>SUMIF(TabRecetaIng[id],TabRecetas[[#This Row],[id]],TabRecetaIng[Precio PP])+(SUMIF(TabRecetaIng[id],TabRecetas[[#This Row],[id]],TabRecetaIng[Precio PP])*Informacion!$O$3)</f>
        <v>132.58568888888888</v>
      </c>
      <c r="I7" s="3" t="s">
        <v>191</v>
      </c>
      <c r="J7" s="31" t="s">
        <v>244</v>
      </c>
    </row>
    <row r="8" spans="1:10" ht="43.2" x14ac:dyDescent="0.3">
      <c r="A8" s="3">
        <v>21</v>
      </c>
      <c r="B8" s="3" t="s">
        <v>218</v>
      </c>
      <c r="C8" s="3" t="s">
        <v>158</v>
      </c>
      <c r="D8" s="3" t="s">
        <v>223</v>
      </c>
      <c r="E8" s="3" t="s">
        <v>203</v>
      </c>
      <c r="F8" s="3">
        <v>0</v>
      </c>
      <c r="G8" s="3" t="s">
        <v>224</v>
      </c>
      <c r="H8" s="3">
        <f>SUMIF(TabRecetaIng[id],TabRecetas[[#This Row],[id]],TabRecetaIng[Precio PP])+(SUMIF(TabRecetaIng[id],TabRecetas[[#This Row],[id]],TabRecetaIng[Precio PP])*Informacion!$O$3)</f>
        <v>24.57</v>
      </c>
      <c r="I8" s="3" t="s">
        <v>191</v>
      </c>
      <c r="J8" s="39" t="s">
        <v>250</v>
      </c>
    </row>
    <row r="9" spans="1:10" ht="158.4" x14ac:dyDescent="0.3">
      <c r="A9" s="3">
        <v>20</v>
      </c>
      <c r="B9" s="3" t="s">
        <v>221</v>
      </c>
      <c r="C9" s="3" t="s">
        <v>158</v>
      </c>
      <c r="D9" s="3" t="s">
        <v>223</v>
      </c>
      <c r="E9" s="3" t="s">
        <v>203</v>
      </c>
      <c r="F9" s="3">
        <v>0</v>
      </c>
      <c r="G9" s="3" t="s">
        <v>224</v>
      </c>
      <c r="H9" s="3">
        <f>SUMIF(TabRecetaIng[id],TabRecetas[[#This Row],[id]],TabRecetaIng[Precio PP])+(SUMIF(TabRecetaIng[id],TabRecetas[[#This Row],[id]],TabRecetaIng[Precio PP])*Informacion!$O$3)</f>
        <v>24.96</v>
      </c>
      <c r="I9" s="3" t="s">
        <v>191</v>
      </c>
      <c r="J9" s="31" t="s">
        <v>249</v>
      </c>
    </row>
    <row r="10" spans="1:10" ht="86.4" x14ac:dyDescent="0.3">
      <c r="A10" s="3">
        <v>4</v>
      </c>
      <c r="B10" s="3" t="s">
        <v>206</v>
      </c>
      <c r="C10" s="3" t="s">
        <v>158</v>
      </c>
      <c r="D10" s="3" t="s">
        <v>227</v>
      </c>
      <c r="E10" s="3" t="s">
        <v>233</v>
      </c>
      <c r="F10" s="3">
        <v>0</v>
      </c>
      <c r="G10" s="3" t="s">
        <v>204</v>
      </c>
      <c r="H10" s="3">
        <f>SUMIF(TabRecetaIng[id],TabRecetas[[#This Row],[id]],TabRecetaIng[Precio PP])+(SUMIF(TabRecetaIng[id],TabRecetas[[#This Row],[id]],TabRecetaIng[Precio PP])*Informacion!$O$3)</f>
        <v>18.72</v>
      </c>
      <c r="I10" s="3" t="s">
        <v>191</v>
      </c>
      <c r="J10" s="39" t="s">
        <v>237</v>
      </c>
    </row>
    <row r="11" spans="1:10" ht="86.4" x14ac:dyDescent="0.3">
      <c r="A11" s="3">
        <v>3</v>
      </c>
      <c r="B11" s="3" t="s">
        <v>194</v>
      </c>
      <c r="C11" s="3" t="s">
        <v>158</v>
      </c>
      <c r="D11" s="3" t="s">
        <v>184</v>
      </c>
      <c r="E11" s="3" t="s">
        <v>203</v>
      </c>
      <c r="F11" s="3">
        <v>0</v>
      </c>
      <c r="G11" s="3" t="s">
        <v>205</v>
      </c>
      <c r="H11" s="3">
        <f>SUMIF(TabRecetaIng[id],TabRecetas[[#This Row],[id]],TabRecetaIng[Precio PP])+(SUMIF(TabRecetaIng[id],TabRecetas[[#This Row],[id]],TabRecetaIng[Precio PP])*Informacion!$O$3)</f>
        <v>21.84</v>
      </c>
      <c r="I11" s="3" t="s">
        <v>191</v>
      </c>
      <c r="J11" s="39" t="s">
        <v>236</v>
      </c>
    </row>
    <row r="12" spans="1:10" ht="72" x14ac:dyDescent="0.3">
      <c r="A12" s="3">
        <v>5</v>
      </c>
      <c r="B12" s="3" t="s">
        <v>207</v>
      </c>
      <c r="C12" s="3" t="s">
        <v>158</v>
      </c>
      <c r="D12" s="3" t="s">
        <v>223</v>
      </c>
      <c r="E12" s="3" t="s">
        <v>203</v>
      </c>
      <c r="F12" s="3">
        <v>0</v>
      </c>
      <c r="G12" s="3" t="s">
        <v>225</v>
      </c>
      <c r="H12" s="3">
        <f>SUMIF(TabRecetaIng[id],TabRecetas[[#This Row],[id]],TabRecetaIng[Precio PP])+(SUMIF(TabRecetaIng[id],TabRecetas[[#This Row],[id]],TabRecetaIng[Precio PP])*Informacion!$O$3)</f>
        <v>18.72</v>
      </c>
      <c r="I12" s="3" t="s">
        <v>191</v>
      </c>
      <c r="J12" s="39" t="s">
        <v>238</v>
      </c>
    </row>
    <row r="13" spans="1:10" x14ac:dyDescent="0.3">
      <c r="A13" s="3">
        <v>19</v>
      </c>
      <c r="B13" s="3" t="s">
        <v>278</v>
      </c>
      <c r="C13" s="3" t="s">
        <v>158</v>
      </c>
      <c r="D13" s="3">
        <v>0</v>
      </c>
      <c r="E13" s="3">
        <v>0</v>
      </c>
      <c r="F13" s="3">
        <v>0</v>
      </c>
      <c r="G13" s="3">
        <v>0</v>
      </c>
      <c r="H13" s="3">
        <f>SUMIF(TabRecetaIng[id],TabRecetas[[#This Row],[id]],TabRecetaIng[Precio PP])+(SUMIF(TabRecetaIng[id],TabRecetas[[#This Row],[id]],TabRecetaIng[Precio PP])*Informacion!$O$3)</f>
        <v>18.72</v>
      </c>
      <c r="I13" s="3" t="s">
        <v>191</v>
      </c>
      <c r="J13" s="31"/>
    </row>
    <row r="14" spans="1:10" x14ac:dyDescent="0.3">
      <c r="A14" s="3">
        <v>10</v>
      </c>
      <c r="B14" s="3" t="s">
        <v>212</v>
      </c>
      <c r="C14" s="3" t="s">
        <v>158</v>
      </c>
      <c r="D14" s="3">
        <v>0</v>
      </c>
      <c r="E14" s="3">
        <v>0</v>
      </c>
      <c r="F14" s="3">
        <v>0</v>
      </c>
      <c r="G14" s="3">
        <v>0</v>
      </c>
      <c r="H14" s="3">
        <f>SUMIF(TabRecetaIng[id],TabRecetas[[#This Row],[id]],TabRecetaIng[Precio PP])+(SUMIF(TabRecetaIng[id],TabRecetas[[#This Row],[id]],TabRecetaIng[Precio PP])*Informacion!$O$3)</f>
        <v>21.84</v>
      </c>
      <c r="I14" s="3" t="s">
        <v>191</v>
      </c>
      <c r="J14" s="31"/>
    </row>
    <row r="15" spans="1:10" ht="72" x14ac:dyDescent="0.3">
      <c r="A15" s="3">
        <v>2</v>
      </c>
      <c r="B15" s="3" t="s">
        <v>192</v>
      </c>
      <c r="C15" s="3" t="s">
        <v>158</v>
      </c>
      <c r="D15" s="3" t="s">
        <v>184</v>
      </c>
      <c r="E15" s="3" t="s">
        <v>185</v>
      </c>
      <c r="F15" s="3">
        <v>0</v>
      </c>
      <c r="G15" s="3" t="s">
        <v>187</v>
      </c>
      <c r="H15" s="3">
        <f>SUMIF(TabRecetaIng[id],TabRecetas[[#This Row],[id]],TabRecetaIng[Precio PP])+(SUMIF(TabRecetaIng[id],TabRecetas[[#This Row],[id]],TabRecetaIng[Precio PP])*Informacion!$O$3)</f>
        <v>18.72</v>
      </c>
      <c r="I15" s="3" t="s">
        <v>191</v>
      </c>
      <c r="J15" s="31" t="s">
        <v>193</v>
      </c>
    </row>
    <row r="16" spans="1:10" ht="72" x14ac:dyDescent="0.3">
      <c r="A16" s="3">
        <v>1</v>
      </c>
      <c r="B16" s="3" t="s">
        <v>183</v>
      </c>
      <c r="C16" s="3" t="s">
        <v>158</v>
      </c>
      <c r="D16" s="3" t="s">
        <v>184</v>
      </c>
      <c r="E16" s="3" t="s">
        <v>185</v>
      </c>
      <c r="F16" s="3">
        <v>0</v>
      </c>
      <c r="G16" s="3" t="s">
        <v>202</v>
      </c>
      <c r="H16" s="3">
        <f>SUMIF(TabRecetaIng[id],TabRecetas[[#This Row],[id]],TabRecetaIng[Precio PP])+(SUMIF(TabRecetaIng[id],TabRecetas[[#This Row],[id]],TabRecetaIng[Precio PP])*Informacion!$O$3)</f>
        <v>21.84</v>
      </c>
      <c r="I16" s="3" t="s">
        <v>191</v>
      </c>
      <c r="J16" s="31" t="s">
        <v>190</v>
      </c>
    </row>
    <row r="17" spans="1:10" x14ac:dyDescent="0.3">
      <c r="A17" s="3">
        <v>11</v>
      </c>
      <c r="B17" s="3" t="s">
        <v>213</v>
      </c>
      <c r="C17" s="3" t="s">
        <v>158</v>
      </c>
      <c r="D17" s="3">
        <v>0</v>
      </c>
      <c r="E17" s="3">
        <v>0</v>
      </c>
      <c r="F17" s="3">
        <v>0</v>
      </c>
      <c r="G17" s="3">
        <v>0</v>
      </c>
      <c r="H17" s="3">
        <f>SUMIF(TabRecetaIng[id],TabRecetas[[#This Row],[id]],TabRecetaIng[Precio PP])+(SUMIF(TabRecetaIng[id],TabRecetas[[#This Row],[id]],TabRecetaIng[Precio PP])*Informacion!$O$3)</f>
        <v>12.48</v>
      </c>
      <c r="I17" s="3" t="s">
        <v>191</v>
      </c>
      <c r="J17" s="31"/>
    </row>
    <row r="18" spans="1:10" ht="57.6" x14ac:dyDescent="0.3">
      <c r="A18" s="3">
        <v>15</v>
      </c>
      <c r="B18" s="3" t="s">
        <v>217</v>
      </c>
      <c r="C18" s="3" t="s">
        <v>158</v>
      </c>
      <c r="D18" s="3" t="s">
        <v>223</v>
      </c>
      <c r="E18" s="3">
        <v>0</v>
      </c>
      <c r="F18" s="3">
        <v>0</v>
      </c>
      <c r="G18" s="3" t="s">
        <v>226</v>
      </c>
      <c r="H18" s="3">
        <f>SUMIF(TabRecetaIng[id],TabRecetas[[#This Row],[id]],TabRecetaIng[Precio PP])+(SUMIF(TabRecetaIng[id],TabRecetas[[#This Row],[id]],TabRecetaIng[Precio PP])*Informacion!$O$3)</f>
        <v>9.3600000000000012</v>
      </c>
      <c r="I18" s="3" t="s">
        <v>191</v>
      </c>
      <c r="J18" s="39" t="s">
        <v>246</v>
      </c>
    </row>
    <row r="19" spans="1:10" ht="57.6" x14ac:dyDescent="0.3">
      <c r="A19" s="3">
        <v>16</v>
      </c>
      <c r="B19" s="3" t="s">
        <v>279</v>
      </c>
      <c r="C19" s="3" t="s">
        <v>158</v>
      </c>
      <c r="D19" s="3" t="s">
        <v>223</v>
      </c>
      <c r="E19" s="3">
        <v>0</v>
      </c>
      <c r="F19" s="3">
        <v>0</v>
      </c>
      <c r="G19" s="3" t="s">
        <v>225</v>
      </c>
      <c r="H19" s="3">
        <f>SUMIF(TabRecetaIng[id],TabRecetas[[#This Row],[id]],TabRecetaIng[Precio PP])+(SUMIF(TabRecetaIng[id],TabRecetas[[#This Row],[id]],TabRecetaIng[Precio PP])*Informacion!$O$3)</f>
        <v>12.48</v>
      </c>
      <c r="I19" s="3" t="s">
        <v>191</v>
      </c>
      <c r="J19" s="39" t="s">
        <v>247</v>
      </c>
    </row>
    <row r="20" spans="1:10" ht="100.8" x14ac:dyDescent="0.3">
      <c r="A20" s="3">
        <v>8</v>
      </c>
      <c r="B20" s="3" t="s">
        <v>210</v>
      </c>
      <c r="C20" s="3" t="s">
        <v>158</v>
      </c>
      <c r="D20" s="3" t="s">
        <v>233</v>
      </c>
      <c r="E20" s="3" t="s">
        <v>230</v>
      </c>
      <c r="F20" s="3" t="s">
        <v>234</v>
      </c>
      <c r="G20" s="3" t="s">
        <v>232</v>
      </c>
      <c r="H20" s="3">
        <f>SUMIF(TabRecetaIng[id],TabRecetas[[#This Row],[id]],TabRecetaIng[Precio PP])+(SUMIF(TabRecetaIng[id],TabRecetas[[#This Row],[id]],TabRecetaIng[Precio PP])*Informacion!$O$3)</f>
        <v>28.080000000000002</v>
      </c>
      <c r="I20" s="3" t="s">
        <v>191</v>
      </c>
      <c r="J20" s="31" t="s">
        <v>241</v>
      </c>
    </row>
    <row r="21" spans="1:10" ht="72" x14ac:dyDescent="0.3">
      <c r="A21" s="3">
        <v>18</v>
      </c>
      <c r="B21" s="3" t="s">
        <v>219</v>
      </c>
      <c r="C21" s="3" t="s">
        <v>158</v>
      </c>
      <c r="D21" s="3" t="s">
        <v>184</v>
      </c>
      <c r="E21" s="3" t="s">
        <v>203</v>
      </c>
      <c r="F21" s="3">
        <v>0</v>
      </c>
      <c r="G21" s="3" t="s">
        <v>225</v>
      </c>
      <c r="H21" s="3">
        <f>SUMIF(TabRecetaIng[id],TabRecetas[[#This Row],[id]],TabRecetaIng[Precio PP])+(SUMIF(TabRecetaIng[id],TabRecetas[[#This Row],[id]],TabRecetaIng[Precio PP])*Informacion!$O$3)</f>
        <v>28.080000000000002</v>
      </c>
      <c r="I21" s="3" t="s">
        <v>191</v>
      </c>
      <c r="J21" s="31" t="s">
        <v>248</v>
      </c>
    </row>
    <row r="22" spans="1:10" ht="72" x14ac:dyDescent="0.3">
      <c r="A22" s="3">
        <v>17</v>
      </c>
      <c r="B22" s="3" t="s">
        <v>220</v>
      </c>
      <c r="C22" s="3" t="s">
        <v>158</v>
      </c>
      <c r="D22" s="3" t="s">
        <v>184</v>
      </c>
      <c r="E22" s="3" t="s">
        <v>203</v>
      </c>
      <c r="F22" s="3">
        <v>0</v>
      </c>
      <c r="G22" s="3" t="s">
        <v>225</v>
      </c>
      <c r="H22" s="3">
        <f>SUMIF(TabRecetaIng[id],TabRecetas[[#This Row],[id]],TabRecetaIng[Precio PP])+(SUMIF(TabRecetaIng[id],TabRecetas[[#This Row],[id]],TabRecetaIng[Precio PP])*Informacion!$O$3)</f>
        <v>21.84</v>
      </c>
      <c r="I22" s="3" t="s">
        <v>191</v>
      </c>
      <c r="J22" s="31" t="s">
        <v>248</v>
      </c>
    </row>
    <row r="23" spans="1:10" ht="43.2" x14ac:dyDescent="0.3">
      <c r="A23" s="3">
        <v>9</v>
      </c>
      <c r="B23" s="3" t="s">
        <v>211</v>
      </c>
      <c r="C23" s="3" t="s">
        <v>158</v>
      </c>
      <c r="D23" s="3" t="s">
        <v>184</v>
      </c>
      <c r="E23" s="3" t="s">
        <v>229</v>
      </c>
      <c r="F23" s="3">
        <v>0</v>
      </c>
      <c r="G23" s="3" t="s">
        <v>225</v>
      </c>
      <c r="H23" s="3">
        <f>SUMIF(TabRecetaIng[id],TabRecetas[[#This Row],[id]],TabRecetaIng[Precio PP])+(SUMIF(TabRecetaIng[id],TabRecetas[[#This Row],[id]],TabRecetaIng[Precio PP])*Informacion!$O$3)</f>
        <v>21.84</v>
      </c>
      <c r="I23" s="3" t="s">
        <v>191</v>
      </c>
      <c r="J23" s="31" t="s">
        <v>242</v>
      </c>
    </row>
    <row r="24" spans="1:10" ht="86.4" x14ac:dyDescent="0.3">
      <c r="A24" s="3">
        <v>12</v>
      </c>
      <c r="B24" s="3" t="s">
        <v>214</v>
      </c>
      <c r="C24" s="3" t="s">
        <v>158</v>
      </c>
      <c r="D24" s="3" t="s">
        <v>229</v>
      </c>
      <c r="E24" s="3" t="s">
        <v>230</v>
      </c>
      <c r="F24" s="3" t="s">
        <v>231</v>
      </c>
      <c r="G24" s="3" t="s">
        <v>232</v>
      </c>
      <c r="H24" s="3">
        <f>SUMIF(TabRecetaIng[id],TabRecetas[[#This Row],[id]],TabRecetaIng[Precio PP])+(SUMIF(TabRecetaIng[id],TabRecetas[[#This Row],[id]],TabRecetaIng[Precio PP])*Informacion!$O$3)</f>
        <v>28.080000000000002</v>
      </c>
      <c r="I24" s="3" t="s">
        <v>191</v>
      </c>
      <c r="J24" s="31" t="s">
        <v>243</v>
      </c>
    </row>
    <row r="25" spans="1:10" x14ac:dyDescent="0.3">
      <c r="A25" s="3">
        <v>26</v>
      </c>
      <c r="B25" s="3" t="s">
        <v>280</v>
      </c>
      <c r="C25" s="3" t="s">
        <v>174</v>
      </c>
      <c r="D25" s="3">
        <v>4654</v>
      </c>
      <c r="E25" s="3">
        <v>564</v>
      </c>
      <c r="F25" s="3">
        <v>654</v>
      </c>
      <c r="G25" s="3">
        <v>564</v>
      </c>
      <c r="H25" s="3">
        <f>SUMIF(TabRecetaIng[id],TabRecetas[[#This Row],[id]],TabRecetaIng[Precio PP])+(SUMIF(TabRecetaIng[id],TabRecetas[[#This Row],[id]],TabRecetaIng[Precio PP])*Informacion!$O$3)</f>
        <v>46.8</v>
      </c>
      <c r="I25" s="3">
        <v>654</v>
      </c>
      <c r="J25" s="31">
        <v>654</v>
      </c>
    </row>
    <row r="26" spans="1:10" x14ac:dyDescent="0.3">
      <c r="A26" s="3">
        <v>27</v>
      </c>
      <c r="B26" s="3" t="s">
        <v>281</v>
      </c>
      <c r="C26" s="3" t="s">
        <v>161</v>
      </c>
      <c r="D26" s="3">
        <v>645</v>
      </c>
      <c r="E26" s="3">
        <v>6546</v>
      </c>
      <c r="F26" s="3">
        <v>4546</v>
      </c>
      <c r="G26" s="3">
        <v>65</v>
      </c>
      <c r="H26" s="3">
        <f>SUMIF(TabRecetaIng[id],TabRecetas[[#This Row],[id]],TabRecetaIng[Precio PP])+(SUMIF(TabRecetaIng[id],TabRecetas[[#This Row],[id]],TabRecetaIng[Precio PP])*Informacion!$O$3)</f>
        <v>133.32</v>
      </c>
      <c r="I26" s="3">
        <v>465</v>
      </c>
      <c r="J26" s="31">
        <v>4565</v>
      </c>
    </row>
  </sheetData>
  <sortState xmlns:xlrd2="http://schemas.microsoft.com/office/spreadsheetml/2017/richdata2" ref="A2:J26">
    <sortCondition ref="C1"/>
    <sortCondition ref="B1"/>
  </sortState>
  <phoneticPr fontId="6" type="noConversion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EEEF3-20EA-411F-B1D5-499AD3851ADA}">
  <sheetPr codeName="Hoja4"/>
  <dimension ref="A1:G147"/>
  <sheetViews>
    <sheetView tabSelected="1" workbookViewId="0">
      <selection activeCell="K155" sqref="K155"/>
    </sheetView>
  </sheetViews>
  <sheetFormatPr baseColWidth="10" defaultRowHeight="14.4" x14ac:dyDescent="0.3"/>
  <cols>
    <col min="1" max="1" width="4.33203125" customWidth="1"/>
    <col min="2" max="2" width="5" customWidth="1"/>
    <col min="3" max="3" width="13.6640625" customWidth="1"/>
    <col min="4" max="4" width="15.5546875" customWidth="1"/>
    <col min="5" max="5" width="8.88671875" customWidth="1"/>
    <col min="6" max="6" width="10" customWidth="1"/>
    <col min="7" max="7" width="11.109375" bestFit="1" customWidth="1"/>
  </cols>
  <sheetData>
    <row r="1" spans="1:7" x14ac:dyDescent="0.3">
      <c r="A1" t="s">
        <v>177</v>
      </c>
      <c r="B1" t="s">
        <v>0</v>
      </c>
      <c r="C1" t="s">
        <v>1</v>
      </c>
      <c r="D1" t="s">
        <v>195</v>
      </c>
      <c r="E1" t="s">
        <v>196</v>
      </c>
      <c r="F1" t="s">
        <v>197</v>
      </c>
      <c r="G1" t="s">
        <v>198</v>
      </c>
    </row>
    <row r="2" spans="1:7" hidden="1" x14ac:dyDescent="0.3">
      <c r="A2">
        <v>27</v>
      </c>
      <c r="B2">
        <v>1</v>
      </c>
      <c r="C2" t="s">
        <v>139</v>
      </c>
      <c r="D2" t="s">
        <v>201</v>
      </c>
      <c r="E2">
        <v>1</v>
      </c>
      <c r="F2" t="s">
        <v>16</v>
      </c>
      <c r="G2">
        <f>'Precios Tablas'!$E$43 *TabRecetaIng[[#This Row],[Cantidad]]</f>
        <v>17.5</v>
      </c>
    </row>
    <row r="3" spans="1:7" hidden="1" x14ac:dyDescent="0.3">
      <c r="A3">
        <v>27</v>
      </c>
      <c r="B3">
        <v>2</v>
      </c>
      <c r="C3" t="s">
        <v>174</v>
      </c>
      <c r="D3" t="s">
        <v>280</v>
      </c>
      <c r="E3">
        <v>2</v>
      </c>
      <c r="F3" t="s">
        <v>282</v>
      </c>
      <c r="G3">
        <f>Recetas!$H$25 *TabRecetaIng[[#This Row],[Cantidad]]</f>
        <v>93.6</v>
      </c>
    </row>
    <row r="4" spans="1:7" hidden="1" x14ac:dyDescent="0.3">
      <c r="A4">
        <v>26</v>
      </c>
      <c r="B4">
        <v>1</v>
      </c>
      <c r="C4" t="s">
        <v>171</v>
      </c>
      <c r="D4" t="s">
        <v>58</v>
      </c>
      <c r="E4">
        <v>15</v>
      </c>
      <c r="F4" t="s">
        <v>60</v>
      </c>
      <c r="G4">
        <f>'Precios Tablas'!$E$119 *TabRecetaIng[[#This Row],[Cantidad]]</f>
        <v>39</v>
      </c>
    </row>
    <row r="5" spans="1:7" x14ac:dyDescent="0.3">
      <c r="A5">
        <v>23</v>
      </c>
      <c r="B5">
        <v>2</v>
      </c>
      <c r="C5" t="s">
        <v>139</v>
      </c>
      <c r="D5" t="s">
        <v>258</v>
      </c>
      <c r="E5">
        <v>89</v>
      </c>
      <c r="F5" t="s">
        <v>16</v>
      </c>
      <c r="G5">
        <f>'Precios Tablas'!$E$44 *TabRecetaIng[[#This Row],[Cantidad]]</f>
        <v>1602</v>
      </c>
    </row>
    <row r="6" spans="1:7" hidden="1" x14ac:dyDescent="0.3">
      <c r="A6">
        <v>22</v>
      </c>
      <c r="B6">
        <v>3</v>
      </c>
      <c r="C6" t="s">
        <v>171</v>
      </c>
      <c r="D6" t="s">
        <v>58</v>
      </c>
      <c r="E6">
        <v>10</v>
      </c>
      <c r="F6" t="s">
        <v>60</v>
      </c>
      <c r="G6">
        <f>'Precios Tablas'!$E$119 *TabRecetaIng[[#This Row],[Cantidad]]</f>
        <v>26</v>
      </c>
    </row>
    <row r="7" spans="1:7" x14ac:dyDescent="0.3">
      <c r="A7">
        <v>23</v>
      </c>
      <c r="B7">
        <v>3</v>
      </c>
      <c r="C7" t="s">
        <v>139</v>
      </c>
      <c r="D7" t="s">
        <v>14</v>
      </c>
      <c r="E7">
        <v>0.08</v>
      </c>
      <c r="F7" t="s">
        <v>16</v>
      </c>
      <c r="G7">
        <f>'Precios Tablas'!$E$7 *TabRecetaIng[[#This Row],[Cantidad]]</f>
        <v>21.6</v>
      </c>
    </row>
    <row r="8" spans="1:7" x14ac:dyDescent="0.3">
      <c r="A8">
        <v>23</v>
      </c>
      <c r="B8">
        <v>4</v>
      </c>
      <c r="C8" t="s">
        <v>139</v>
      </c>
      <c r="D8" t="s">
        <v>25</v>
      </c>
      <c r="E8">
        <v>0.15</v>
      </c>
      <c r="F8" t="s">
        <v>16</v>
      </c>
      <c r="G8">
        <f>'Precios Tablas'!$E$17 *TabRecetaIng[[#This Row],[Cantidad]]</f>
        <v>3.48</v>
      </c>
    </row>
    <row r="9" spans="1:7" x14ac:dyDescent="0.3">
      <c r="A9">
        <v>23</v>
      </c>
      <c r="B9">
        <v>5</v>
      </c>
      <c r="C9" t="s">
        <v>139</v>
      </c>
      <c r="D9" t="s">
        <v>106</v>
      </c>
      <c r="E9">
        <v>0.33</v>
      </c>
      <c r="F9" t="s">
        <v>16</v>
      </c>
      <c r="G9">
        <f>'Precios Tablas'!$E$52 *TabRecetaIng[[#This Row],[Cantidad]]</f>
        <v>48.096226851851853</v>
      </c>
    </row>
    <row r="10" spans="1:7" hidden="1" x14ac:dyDescent="0.3">
      <c r="A10">
        <v>22</v>
      </c>
      <c r="B10">
        <v>4</v>
      </c>
      <c r="C10" t="s">
        <v>139</v>
      </c>
      <c r="D10" t="s">
        <v>25</v>
      </c>
      <c r="E10">
        <v>0.1</v>
      </c>
      <c r="F10" t="s">
        <v>16</v>
      </c>
      <c r="G10">
        <f>'Precios Tablas'!$E$17 *TabRecetaIng[[#This Row],[Cantidad]]</f>
        <v>2.3199999999999998</v>
      </c>
    </row>
    <row r="11" spans="1:7" hidden="1" x14ac:dyDescent="0.3">
      <c r="A11">
        <v>22</v>
      </c>
      <c r="B11">
        <v>5</v>
      </c>
      <c r="C11" t="s">
        <v>139</v>
      </c>
      <c r="D11" t="s">
        <v>80</v>
      </c>
      <c r="E11">
        <v>2E-3</v>
      </c>
      <c r="F11" t="s">
        <v>16</v>
      </c>
      <c r="G11">
        <f>'Precios Tablas'!$E$67 *TabRecetaIng[[#This Row],[Cantidad]]</f>
        <v>2.9000000000000001E-2</v>
      </c>
    </row>
    <row r="12" spans="1:7" hidden="1" x14ac:dyDescent="0.3">
      <c r="A12">
        <v>22</v>
      </c>
      <c r="B12">
        <v>6</v>
      </c>
      <c r="C12" t="s">
        <v>139</v>
      </c>
      <c r="D12" t="s">
        <v>123</v>
      </c>
      <c r="E12">
        <v>0.6</v>
      </c>
      <c r="F12" t="s">
        <v>16</v>
      </c>
      <c r="G12">
        <f>'Precios Tablas'!$E$21 *TabRecetaIng[[#This Row],[Cantidad]]</f>
        <v>19.8</v>
      </c>
    </row>
    <row r="13" spans="1:7" hidden="1" x14ac:dyDescent="0.3">
      <c r="A13">
        <v>22</v>
      </c>
      <c r="B13">
        <v>7</v>
      </c>
      <c r="C13" t="s">
        <v>175</v>
      </c>
      <c r="D13" t="s">
        <v>85</v>
      </c>
      <c r="E13">
        <v>0.35</v>
      </c>
      <c r="F13" t="s">
        <v>16</v>
      </c>
      <c r="G13">
        <f>'Precios Tablas'!$E$81 *TabRecetaIng[[#This Row],[Cantidad]]</f>
        <v>17.5</v>
      </c>
    </row>
    <row r="14" spans="1:7" hidden="1" x14ac:dyDescent="0.3">
      <c r="A14">
        <v>21</v>
      </c>
      <c r="B14">
        <v>1</v>
      </c>
      <c r="C14" t="s">
        <v>139</v>
      </c>
      <c r="D14" t="s">
        <v>201</v>
      </c>
      <c r="E14">
        <v>0.13</v>
      </c>
      <c r="F14" t="s">
        <v>16</v>
      </c>
      <c r="G14">
        <f>'Precios Tablas'!$E$43 *TabRecetaIng[[#This Row],[Cantidad]]</f>
        <v>2.2749999999999999</v>
      </c>
    </row>
    <row r="15" spans="1:7" hidden="1" x14ac:dyDescent="0.3">
      <c r="A15">
        <v>21</v>
      </c>
      <c r="B15">
        <v>2</v>
      </c>
      <c r="C15" t="s">
        <v>139</v>
      </c>
      <c r="D15" t="s">
        <v>36</v>
      </c>
      <c r="E15">
        <v>0.03</v>
      </c>
      <c r="F15" t="s">
        <v>16</v>
      </c>
      <c r="G15">
        <f>'Precios Tablas'!$E$119 + R47</f>
        <v>2.6</v>
      </c>
    </row>
    <row r="16" spans="1:7" hidden="1" x14ac:dyDescent="0.3">
      <c r="A16">
        <v>21</v>
      </c>
      <c r="B16">
        <v>3</v>
      </c>
      <c r="C16" t="s">
        <v>176</v>
      </c>
      <c r="D16" t="s">
        <v>37</v>
      </c>
      <c r="E16">
        <v>0.02</v>
      </c>
      <c r="F16" t="s">
        <v>16</v>
      </c>
      <c r="G16">
        <f>'Precios Tablas'!$E$119 + R48</f>
        <v>2.6</v>
      </c>
    </row>
    <row r="17" spans="1:7" hidden="1" x14ac:dyDescent="0.3">
      <c r="A17">
        <v>21</v>
      </c>
      <c r="B17">
        <v>4</v>
      </c>
      <c r="C17" t="s">
        <v>139</v>
      </c>
      <c r="D17" t="s">
        <v>7</v>
      </c>
      <c r="E17">
        <v>0.1</v>
      </c>
      <c r="F17" t="s">
        <v>9</v>
      </c>
      <c r="G17">
        <f>'Precios Tablas'!$E$119 + R49</f>
        <v>2.6</v>
      </c>
    </row>
    <row r="18" spans="1:7" hidden="1" x14ac:dyDescent="0.3">
      <c r="A18">
        <v>21</v>
      </c>
      <c r="B18">
        <v>5</v>
      </c>
      <c r="C18" t="s">
        <v>139</v>
      </c>
      <c r="D18" t="s">
        <v>65</v>
      </c>
      <c r="E18">
        <v>0.1</v>
      </c>
      <c r="F18" t="s">
        <v>9</v>
      </c>
      <c r="G18">
        <f>'Precios Tablas'!$E$119 + R50</f>
        <v>2.6</v>
      </c>
    </row>
    <row r="19" spans="1:7" hidden="1" x14ac:dyDescent="0.3">
      <c r="A19">
        <v>21</v>
      </c>
      <c r="B19">
        <v>6</v>
      </c>
      <c r="C19" t="s">
        <v>171</v>
      </c>
      <c r="D19" t="s">
        <v>251</v>
      </c>
      <c r="E19">
        <v>0.3</v>
      </c>
      <c r="F19" t="s">
        <v>16</v>
      </c>
      <c r="G19">
        <f>'Precios Tablas'!$E$119 + R51</f>
        <v>2.6</v>
      </c>
    </row>
    <row r="20" spans="1:7" hidden="1" x14ac:dyDescent="0.3">
      <c r="A20">
        <v>21</v>
      </c>
      <c r="B20">
        <v>7</v>
      </c>
      <c r="C20" t="s">
        <v>171</v>
      </c>
      <c r="D20" t="s">
        <v>140</v>
      </c>
      <c r="E20">
        <v>0.2</v>
      </c>
      <c r="F20" t="s">
        <v>16</v>
      </c>
      <c r="G20">
        <f>'Precios Tablas'!$E$119 + R52</f>
        <v>2.6</v>
      </c>
    </row>
    <row r="21" spans="1:7" hidden="1" x14ac:dyDescent="0.3">
      <c r="A21">
        <v>21</v>
      </c>
      <c r="B21">
        <v>8</v>
      </c>
      <c r="C21" t="s">
        <v>139</v>
      </c>
      <c r="D21" t="s">
        <v>25</v>
      </c>
      <c r="E21">
        <v>0.1</v>
      </c>
      <c r="F21" t="s">
        <v>16</v>
      </c>
      <c r="G21">
        <f>'Precios Tablas'!$E$119 + R53</f>
        <v>2.6</v>
      </c>
    </row>
    <row r="22" spans="1:7" hidden="1" x14ac:dyDescent="0.3">
      <c r="A22">
        <v>20</v>
      </c>
      <c r="B22">
        <v>1</v>
      </c>
      <c r="C22" t="s">
        <v>139</v>
      </c>
      <c r="D22" t="s">
        <v>21</v>
      </c>
      <c r="E22">
        <v>0.6</v>
      </c>
      <c r="F22" t="s">
        <v>16</v>
      </c>
      <c r="G22">
        <f>'Precios Tablas'!$E$119 + R54</f>
        <v>2.6</v>
      </c>
    </row>
    <row r="23" spans="1:7" hidden="1" x14ac:dyDescent="0.3">
      <c r="A23">
        <v>20</v>
      </c>
      <c r="B23">
        <v>2</v>
      </c>
      <c r="C23" t="s">
        <v>139</v>
      </c>
      <c r="D23" t="s">
        <v>14</v>
      </c>
      <c r="E23">
        <v>0.6</v>
      </c>
      <c r="F23" t="s">
        <v>16</v>
      </c>
      <c r="G23">
        <f>'Precios Tablas'!$E$119 + R55</f>
        <v>2.6</v>
      </c>
    </row>
    <row r="24" spans="1:7" hidden="1" x14ac:dyDescent="0.3">
      <c r="A24">
        <v>20</v>
      </c>
      <c r="B24">
        <v>3</v>
      </c>
      <c r="C24" t="s">
        <v>139</v>
      </c>
      <c r="D24" t="s">
        <v>201</v>
      </c>
      <c r="E24">
        <v>0.2</v>
      </c>
      <c r="F24" t="s">
        <v>16</v>
      </c>
      <c r="G24">
        <f>'Precios Tablas'!$E$119 + R56</f>
        <v>2.6</v>
      </c>
    </row>
    <row r="25" spans="1:7" hidden="1" x14ac:dyDescent="0.3">
      <c r="A25">
        <v>20</v>
      </c>
      <c r="B25">
        <v>4</v>
      </c>
      <c r="C25" t="s">
        <v>139</v>
      </c>
      <c r="D25" t="s">
        <v>106</v>
      </c>
      <c r="E25">
        <v>0.38</v>
      </c>
      <c r="F25" t="s">
        <v>16</v>
      </c>
      <c r="G25">
        <f>'Precios Tablas'!$E$119 + R57</f>
        <v>2.6</v>
      </c>
    </row>
    <row r="26" spans="1:7" hidden="1" x14ac:dyDescent="0.3">
      <c r="A26">
        <v>20</v>
      </c>
      <c r="B26">
        <v>5</v>
      </c>
      <c r="C26" t="s">
        <v>171</v>
      </c>
      <c r="D26" t="s">
        <v>58</v>
      </c>
      <c r="E26">
        <v>15</v>
      </c>
      <c r="F26" t="s">
        <v>60</v>
      </c>
      <c r="G26">
        <f>'Precios Tablas'!$E$119 + R58</f>
        <v>2.6</v>
      </c>
    </row>
    <row r="27" spans="1:7" hidden="1" x14ac:dyDescent="0.3">
      <c r="A27">
        <v>20</v>
      </c>
      <c r="B27">
        <v>6</v>
      </c>
      <c r="C27" t="s">
        <v>175</v>
      </c>
      <c r="D27" t="s">
        <v>135</v>
      </c>
      <c r="E27">
        <v>0.25</v>
      </c>
      <c r="F27" t="s">
        <v>16</v>
      </c>
      <c r="G27">
        <f>'Precios Tablas'!$E$119 + R59</f>
        <v>2.6</v>
      </c>
    </row>
    <row r="28" spans="1:7" hidden="1" x14ac:dyDescent="0.3">
      <c r="A28">
        <v>20</v>
      </c>
      <c r="B28">
        <v>7</v>
      </c>
      <c r="C28" t="s">
        <v>139</v>
      </c>
      <c r="D28" t="s">
        <v>46</v>
      </c>
      <c r="E28">
        <v>1.4999999999999999E-2</v>
      </c>
      <c r="F28" t="s">
        <v>9</v>
      </c>
      <c r="G28">
        <f>'Precios Tablas'!$E$119 + R60</f>
        <v>2.6</v>
      </c>
    </row>
    <row r="29" spans="1:7" hidden="1" x14ac:dyDescent="0.3">
      <c r="A29">
        <v>20</v>
      </c>
      <c r="B29">
        <v>8</v>
      </c>
      <c r="C29" t="s">
        <v>139</v>
      </c>
      <c r="D29" t="s">
        <v>25</v>
      </c>
      <c r="E29">
        <v>0.28000000000000003</v>
      </c>
      <c r="F29" t="s">
        <v>16</v>
      </c>
      <c r="G29">
        <f>'Precios Tablas'!$E$119 + R61</f>
        <v>2.6</v>
      </c>
    </row>
    <row r="30" spans="1:7" hidden="1" x14ac:dyDescent="0.3">
      <c r="A30">
        <v>19</v>
      </c>
      <c r="B30">
        <v>1</v>
      </c>
      <c r="C30" t="s">
        <v>139</v>
      </c>
      <c r="D30" t="s">
        <v>201</v>
      </c>
      <c r="E30">
        <v>0.2</v>
      </c>
      <c r="F30" t="s">
        <v>16</v>
      </c>
      <c r="G30">
        <f>'Precios Tablas'!$E$119 + R62</f>
        <v>2.6</v>
      </c>
    </row>
    <row r="31" spans="1:7" hidden="1" x14ac:dyDescent="0.3">
      <c r="A31">
        <v>19</v>
      </c>
      <c r="B31">
        <v>2</v>
      </c>
      <c r="C31" t="s">
        <v>139</v>
      </c>
      <c r="D31" t="s">
        <v>25</v>
      </c>
      <c r="E31">
        <v>0.2</v>
      </c>
      <c r="F31" t="s">
        <v>16</v>
      </c>
      <c r="G31">
        <f>'Precios Tablas'!$E$119 + R63</f>
        <v>2.6</v>
      </c>
    </row>
    <row r="32" spans="1:7" hidden="1" x14ac:dyDescent="0.3">
      <c r="A32">
        <v>19</v>
      </c>
      <c r="B32">
        <v>3</v>
      </c>
      <c r="C32" t="s">
        <v>171</v>
      </c>
      <c r="D32" t="s">
        <v>58</v>
      </c>
      <c r="E32">
        <v>2</v>
      </c>
      <c r="F32" t="s">
        <v>60</v>
      </c>
      <c r="G32">
        <f>'Precios Tablas'!$E$119 + R64</f>
        <v>2.6</v>
      </c>
    </row>
    <row r="33" spans="1:7" hidden="1" x14ac:dyDescent="0.3">
      <c r="A33">
        <v>19</v>
      </c>
      <c r="B33">
        <v>4</v>
      </c>
      <c r="C33" t="s">
        <v>139</v>
      </c>
      <c r="D33" t="s">
        <v>106</v>
      </c>
      <c r="E33">
        <v>0.1</v>
      </c>
      <c r="F33" t="s">
        <v>16</v>
      </c>
      <c r="G33">
        <f>'Precios Tablas'!$E$119 + R65</f>
        <v>2.6</v>
      </c>
    </row>
    <row r="34" spans="1:7" hidden="1" x14ac:dyDescent="0.3">
      <c r="A34">
        <v>19</v>
      </c>
      <c r="B34">
        <v>5</v>
      </c>
      <c r="C34" t="s">
        <v>139</v>
      </c>
      <c r="D34" t="s">
        <v>254</v>
      </c>
      <c r="E34">
        <v>0.1</v>
      </c>
      <c r="F34" t="s">
        <v>9</v>
      </c>
      <c r="G34">
        <f>'Precios Tablas'!$E$119 + R66</f>
        <v>2.6</v>
      </c>
    </row>
    <row r="35" spans="1:7" hidden="1" x14ac:dyDescent="0.3">
      <c r="A35">
        <v>19</v>
      </c>
      <c r="B35">
        <v>6</v>
      </c>
      <c r="C35" t="s">
        <v>139</v>
      </c>
      <c r="D35" t="s">
        <v>76</v>
      </c>
      <c r="E35">
        <v>0.05</v>
      </c>
      <c r="F35" t="s">
        <v>16</v>
      </c>
      <c r="G35">
        <f>'Precios Tablas'!$E$119 + R67</f>
        <v>2.6</v>
      </c>
    </row>
    <row r="36" spans="1:7" hidden="1" x14ac:dyDescent="0.3">
      <c r="A36">
        <v>18</v>
      </c>
      <c r="B36">
        <v>1</v>
      </c>
      <c r="C36" t="s">
        <v>171</v>
      </c>
      <c r="D36" t="s">
        <v>58</v>
      </c>
      <c r="E36">
        <v>5</v>
      </c>
      <c r="F36" t="s">
        <v>60</v>
      </c>
      <c r="G36">
        <f>'Precios Tablas'!$E$119 + R68</f>
        <v>2.6</v>
      </c>
    </row>
    <row r="37" spans="1:7" hidden="1" x14ac:dyDescent="0.3">
      <c r="A37">
        <v>18</v>
      </c>
      <c r="B37">
        <v>2</v>
      </c>
      <c r="C37" t="s">
        <v>139</v>
      </c>
      <c r="D37" t="s">
        <v>25</v>
      </c>
      <c r="E37">
        <v>0.35</v>
      </c>
      <c r="F37" t="s">
        <v>16</v>
      </c>
      <c r="G37">
        <f>'Precios Tablas'!$E$119 + R69</f>
        <v>2.6</v>
      </c>
    </row>
    <row r="38" spans="1:7" hidden="1" x14ac:dyDescent="0.3">
      <c r="A38">
        <v>18</v>
      </c>
      <c r="B38">
        <v>3</v>
      </c>
      <c r="C38" t="s">
        <v>139</v>
      </c>
      <c r="D38" t="s">
        <v>201</v>
      </c>
      <c r="E38">
        <v>0.48</v>
      </c>
      <c r="F38" t="s">
        <v>16</v>
      </c>
      <c r="G38">
        <f>'Precios Tablas'!$E$119 + R70</f>
        <v>2.6</v>
      </c>
    </row>
    <row r="39" spans="1:7" hidden="1" x14ac:dyDescent="0.3">
      <c r="A39">
        <v>18</v>
      </c>
      <c r="B39">
        <v>4</v>
      </c>
      <c r="C39" t="s">
        <v>139</v>
      </c>
      <c r="D39" t="s">
        <v>106</v>
      </c>
      <c r="E39">
        <v>0.2</v>
      </c>
      <c r="F39" t="s">
        <v>16</v>
      </c>
      <c r="G39">
        <f>'Precios Tablas'!$E$119 + R71</f>
        <v>2.6</v>
      </c>
    </row>
    <row r="40" spans="1:7" hidden="1" x14ac:dyDescent="0.3">
      <c r="A40">
        <v>18</v>
      </c>
      <c r="B40">
        <v>5</v>
      </c>
      <c r="C40" t="s">
        <v>139</v>
      </c>
      <c r="D40" t="s">
        <v>65</v>
      </c>
      <c r="E40">
        <v>0.3</v>
      </c>
      <c r="F40" t="s">
        <v>9</v>
      </c>
      <c r="G40">
        <f>'Precios Tablas'!$E$119 + R72</f>
        <v>2.6</v>
      </c>
    </row>
    <row r="41" spans="1:7" hidden="1" x14ac:dyDescent="0.3">
      <c r="A41">
        <v>18</v>
      </c>
      <c r="B41">
        <v>6</v>
      </c>
      <c r="C41" t="s">
        <v>139</v>
      </c>
      <c r="D41" t="s">
        <v>253</v>
      </c>
      <c r="E41">
        <v>0.01</v>
      </c>
      <c r="F41" t="s">
        <v>9</v>
      </c>
      <c r="G41">
        <f>'Precios Tablas'!$E$119 + R73</f>
        <v>2.6</v>
      </c>
    </row>
    <row r="42" spans="1:7" hidden="1" x14ac:dyDescent="0.3">
      <c r="A42">
        <v>18</v>
      </c>
      <c r="B42">
        <v>7</v>
      </c>
      <c r="C42" t="s">
        <v>139</v>
      </c>
      <c r="D42" t="s">
        <v>80</v>
      </c>
      <c r="E42">
        <v>5.0000000000000001E-3</v>
      </c>
      <c r="F42" t="s">
        <v>16</v>
      </c>
      <c r="G42">
        <f>'Precios Tablas'!$E$119 + R74</f>
        <v>2.6</v>
      </c>
    </row>
    <row r="43" spans="1:7" hidden="1" x14ac:dyDescent="0.3">
      <c r="A43">
        <v>18</v>
      </c>
      <c r="B43">
        <v>8</v>
      </c>
      <c r="C43" t="s">
        <v>139</v>
      </c>
      <c r="D43" t="s">
        <v>101</v>
      </c>
      <c r="E43">
        <v>0.1</v>
      </c>
      <c r="F43" t="s">
        <v>16</v>
      </c>
      <c r="G43">
        <f>'Precios Tablas'!$E$119 + R75</f>
        <v>2.6</v>
      </c>
    </row>
    <row r="44" spans="1:7" hidden="1" x14ac:dyDescent="0.3">
      <c r="A44">
        <v>18</v>
      </c>
      <c r="B44">
        <v>9</v>
      </c>
      <c r="C44" t="s">
        <v>139</v>
      </c>
      <c r="D44" t="s">
        <v>36</v>
      </c>
      <c r="E44">
        <v>0.03</v>
      </c>
      <c r="F44" t="s">
        <v>16</v>
      </c>
      <c r="G44">
        <f>'Precios Tablas'!$E$119 + R76</f>
        <v>2.6</v>
      </c>
    </row>
    <row r="45" spans="1:7" hidden="1" x14ac:dyDescent="0.3">
      <c r="A45">
        <v>17</v>
      </c>
      <c r="B45">
        <v>1</v>
      </c>
      <c r="C45" t="s">
        <v>171</v>
      </c>
      <c r="D45" t="s">
        <v>58</v>
      </c>
      <c r="E45">
        <v>5</v>
      </c>
      <c r="F45" t="s">
        <v>60</v>
      </c>
      <c r="G45">
        <f>'Precios Tablas'!$E$119 + R77</f>
        <v>2.6</v>
      </c>
    </row>
    <row r="46" spans="1:7" hidden="1" x14ac:dyDescent="0.3">
      <c r="A46">
        <v>17</v>
      </c>
      <c r="B46">
        <v>2</v>
      </c>
      <c r="C46" t="s">
        <v>139</v>
      </c>
      <c r="D46" t="s">
        <v>25</v>
      </c>
      <c r="E46">
        <v>0.35</v>
      </c>
      <c r="F46" t="s">
        <v>16</v>
      </c>
      <c r="G46">
        <f>'Precios Tablas'!$E$119 + R78</f>
        <v>2.6</v>
      </c>
    </row>
    <row r="47" spans="1:7" hidden="1" x14ac:dyDescent="0.3">
      <c r="A47">
        <v>17</v>
      </c>
      <c r="B47">
        <v>3</v>
      </c>
      <c r="C47" t="s">
        <v>139</v>
      </c>
      <c r="D47" t="s">
        <v>201</v>
      </c>
      <c r="E47">
        <v>0.48</v>
      </c>
      <c r="F47" t="s">
        <v>16</v>
      </c>
      <c r="G47">
        <f>'Precios Tablas'!$E$119 + R79</f>
        <v>2.6</v>
      </c>
    </row>
    <row r="48" spans="1:7" hidden="1" x14ac:dyDescent="0.3">
      <c r="A48">
        <v>17</v>
      </c>
      <c r="B48">
        <v>4</v>
      </c>
      <c r="C48" t="s">
        <v>139</v>
      </c>
      <c r="D48" t="s">
        <v>106</v>
      </c>
      <c r="E48">
        <v>0.2</v>
      </c>
      <c r="F48" t="s">
        <v>16</v>
      </c>
      <c r="G48">
        <f>'Precios Tablas'!$E$119 + R80</f>
        <v>2.6</v>
      </c>
    </row>
    <row r="49" spans="1:7" hidden="1" x14ac:dyDescent="0.3">
      <c r="A49">
        <v>17</v>
      </c>
      <c r="B49">
        <v>5</v>
      </c>
      <c r="C49" t="s">
        <v>139</v>
      </c>
      <c r="D49" t="s">
        <v>65</v>
      </c>
      <c r="E49">
        <v>0.3</v>
      </c>
      <c r="F49" t="s">
        <v>9</v>
      </c>
      <c r="G49">
        <f>'Precios Tablas'!$E$119 + R81</f>
        <v>2.6</v>
      </c>
    </row>
    <row r="50" spans="1:7" hidden="1" x14ac:dyDescent="0.3">
      <c r="A50">
        <v>17</v>
      </c>
      <c r="B50">
        <v>6</v>
      </c>
      <c r="C50" t="s">
        <v>139</v>
      </c>
      <c r="D50" t="s">
        <v>253</v>
      </c>
      <c r="E50">
        <v>14</v>
      </c>
      <c r="F50" t="s">
        <v>9</v>
      </c>
      <c r="G50">
        <f>'Precios Tablas'!$E$119 + R82</f>
        <v>2.6</v>
      </c>
    </row>
    <row r="51" spans="1:7" hidden="1" x14ac:dyDescent="0.3">
      <c r="A51">
        <v>17</v>
      </c>
      <c r="B51">
        <v>8</v>
      </c>
      <c r="C51" t="s">
        <v>139</v>
      </c>
      <c r="D51" t="s">
        <v>46</v>
      </c>
      <c r="E51">
        <v>5.0000000000000001E-3</v>
      </c>
      <c r="F51" t="s">
        <v>9</v>
      </c>
      <c r="G51">
        <f>'Precios Tablas'!$E$119 + R83</f>
        <v>2.6</v>
      </c>
    </row>
    <row r="52" spans="1:7" hidden="1" x14ac:dyDescent="0.3">
      <c r="A52">
        <v>16</v>
      </c>
      <c r="B52">
        <v>1</v>
      </c>
      <c r="C52" t="s">
        <v>171</v>
      </c>
      <c r="D52" t="s">
        <v>58</v>
      </c>
      <c r="E52">
        <v>3</v>
      </c>
      <c r="F52" t="s">
        <v>60</v>
      </c>
      <c r="G52">
        <f>'Precios Tablas'!$E$119 + R84</f>
        <v>2.6</v>
      </c>
    </row>
    <row r="53" spans="1:7" hidden="1" x14ac:dyDescent="0.3">
      <c r="A53">
        <v>16</v>
      </c>
      <c r="B53">
        <v>2</v>
      </c>
      <c r="C53" t="s">
        <v>139</v>
      </c>
      <c r="D53" t="s">
        <v>25</v>
      </c>
      <c r="E53">
        <v>0.3</v>
      </c>
      <c r="F53" t="s">
        <v>16</v>
      </c>
      <c r="G53">
        <f>'Precios Tablas'!$E$119 + R85</f>
        <v>2.6</v>
      </c>
    </row>
    <row r="54" spans="1:7" hidden="1" x14ac:dyDescent="0.3">
      <c r="A54">
        <v>16</v>
      </c>
      <c r="B54">
        <v>3</v>
      </c>
      <c r="C54" t="s">
        <v>139</v>
      </c>
      <c r="D54" t="s">
        <v>201</v>
      </c>
      <c r="E54">
        <v>0.75</v>
      </c>
      <c r="F54" t="s">
        <v>16</v>
      </c>
      <c r="G54">
        <f>'Precios Tablas'!$E$119 + R86</f>
        <v>2.6</v>
      </c>
    </row>
    <row r="55" spans="1:7" hidden="1" x14ac:dyDescent="0.3">
      <c r="A55">
        <v>16</v>
      </c>
      <c r="B55">
        <v>4</v>
      </c>
      <c r="C55" t="s">
        <v>139</v>
      </c>
      <c r="D55" t="s">
        <v>106</v>
      </c>
      <c r="E55">
        <v>0.45</v>
      </c>
      <c r="F55" t="s">
        <v>16</v>
      </c>
      <c r="G55">
        <f>'Precios Tablas'!$E$119 + R87</f>
        <v>2.6</v>
      </c>
    </row>
    <row r="56" spans="1:7" hidden="1" x14ac:dyDescent="0.3">
      <c r="A56">
        <v>15</v>
      </c>
      <c r="B56">
        <v>1</v>
      </c>
      <c r="C56" t="s">
        <v>139</v>
      </c>
      <c r="D56" t="s">
        <v>201</v>
      </c>
      <c r="E56">
        <v>1.2</v>
      </c>
      <c r="F56" t="s">
        <v>16</v>
      </c>
      <c r="G56">
        <f>'Precios Tablas'!$E$119 + R88</f>
        <v>2.6</v>
      </c>
    </row>
    <row r="57" spans="1:7" hidden="1" x14ac:dyDescent="0.3">
      <c r="A57">
        <v>15</v>
      </c>
      <c r="B57">
        <v>2</v>
      </c>
      <c r="C57" t="s">
        <v>139</v>
      </c>
      <c r="D57" t="s">
        <v>106</v>
      </c>
      <c r="E57">
        <v>0.9</v>
      </c>
      <c r="F57" t="s">
        <v>16</v>
      </c>
      <c r="G57">
        <f>'Precios Tablas'!$E$119 + R89</f>
        <v>2.6</v>
      </c>
    </row>
    <row r="58" spans="1:7" hidden="1" x14ac:dyDescent="0.3">
      <c r="A58">
        <v>15</v>
      </c>
      <c r="B58">
        <v>3</v>
      </c>
      <c r="C58" t="s">
        <v>139</v>
      </c>
      <c r="D58" t="s">
        <v>11</v>
      </c>
      <c r="E58">
        <v>0.3</v>
      </c>
      <c r="F58" t="s">
        <v>9</v>
      </c>
      <c r="G58">
        <f>'Precios Tablas'!$E$119 + R90</f>
        <v>2.6</v>
      </c>
    </row>
    <row r="59" spans="1:7" hidden="1" x14ac:dyDescent="0.3">
      <c r="A59">
        <v>14</v>
      </c>
      <c r="B59">
        <v>1</v>
      </c>
      <c r="C59" t="s">
        <v>171</v>
      </c>
      <c r="D59" t="s">
        <v>58</v>
      </c>
      <c r="E59">
        <v>5</v>
      </c>
      <c r="F59" t="s">
        <v>60</v>
      </c>
      <c r="G59">
        <f>'Precios Tablas'!$E$119 *TabRecetaIng[[#This Row],[Cantidad]]</f>
        <v>13</v>
      </c>
    </row>
    <row r="60" spans="1:7" hidden="1" x14ac:dyDescent="0.3">
      <c r="A60">
        <v>14</v>
      </c>
      <c r="B60">
        <v>2</v>
      </c>
      <c r="C60" t="s">
        <v>139</v>
      </c>
      <c r="D60" t="s">
        <v>25</v>
      </c>
      <c r="E60">
        <v>0.17499999999999999</v>
      </c>
      <c r="F60" t="s">
        <v>16</v>
      </c>
      <c r="G60">
        <f>'Precios Tablas'!$E$17 *TabRecetaIng[[#This Row],[Cantidad]]</f>
        <v>4.0599999999999996</v>
      </c>
    </row>
    <row r="61" spans="1:7" hidden="1" x14ac:dyDescent="0.3">
      <c r="A61">
        <v>14</v>
      </c>
      <c r="B61">
        <v>3</v>
      </c>
      <c r="C61" t="s">
        <v>139</v>
      </c>
      <c r="D61" t="s">
        <v>201</v>
      </c>
      <c r="E61">
        <v>0.125</v>
      </c>
      <c r="F61" t="s">
        <v>16</v>
      </c>
      <c r="G61">
        <f>'Precios Tablas'!$E$43 *TabRecetaIng[[#This Row],[Cantidad]]</f>
        <v>2.1875</v>
      </c>
    </row>
    <row r="62" spans="1:7" hidden="1" x14ac:dyDescent="0.3">
      <c r="A62">
        <v>14</v>
      </c>
      <c r="B62">
        <v>4</v>
      </c>
      <c r="C62" t="s">
        <v>139</v>
      </c>
      <c r="D62" t="s">
        <v>76</v>
      </c>
      <c r="E62">
        <v>0.02</v>
      </c>
      <c r="F62" t="s">
        <v>16</v>
      </c>
      <c r="G62">
        <f>'Precios Tablas'!$E$61 *TabRecetaIng[[#This Row],[Cantidad]]</f>
        <v>0.54</v>
      </c>
    </row>
    <row r="63" spans="1:7" hidden="1" x14ac:dyDescent="0.3">
      <c r="A63">
        <v>14</v>
      </c>
      <c r="B63">
        <v>5</v>
      </c>
      <c r="C63" t="s">
        <v>139</v>
      </c>
      <c r="D63" t="s">
        <v>46</v>
      </c>
      <c r="E63">
        <v>2.5000000000000001E-2</v>
      </c>
      <c r="F63" t="s">
        <v>9</v>
      </c>
      <c r="G63">
        <f>'Precios Tablas'!$E$38 *TabRecetaIng[[#This Row],[Cantidad]]</f>
        <v>1.4500000000000002</v>
      </c>
    </row>
    <row r="64" spans="1:7" hidden="1" x14ac:dyDescent="0.3">
      <c r="A64">
        <v>13</v>
      </c>
      <c r="B64">
        <v>1</v>
      </c>
      <c r="C64" t="s">
        <v>171</v>
      </c>
      <c r="D64" t="s">
        <v>58</v>
      </c>
      <c r="E64">
        <v>15</v>
      </c>
      <c r="F64" t="s">
        <v>60</v>
      </c>
      <c r="G64">
        <f>'Precios Tablas'!$E$119 *TabRecetaIng[[#This Row],[Cantidad]]</f>
        <v>39</v>
      </c>
    </row>
    <row r="65" spans="1:7" hidden="1" x14ac:dyDescent="0.3">
      <c r="A65">
        <v>13</v>
      </c>
      <c r="B65">
        <v>2</v>
      </c>
      <c r="C65" t="s">
        <v>139</v>
      </c>
      <c r="D65" t="s">
        <v>25</v>
      </c>
      <c r="E65">
        <v>0.3</v>
      </c>
      <c r="F65" t="s">
        <v>16</v>
      </c>
      <c r="G65">
        <f>'Precios Tablas'!$E$17 *TabRecetaIng[[#This Row],[Cantidad]]</f>
        <v>6.96</v>
      </c>
    </row>
    <row r="66" spans="1:7" hidden="1" x14ac:dyDescent="0.3">
      <c r="A66">
        <v>13</v>
      </c>
      <c r="B66">
        <v>3</v>
      </c>
      <c r="C66" t="s">
        <v>139</v>
      </c>
      <c r="D66" t="s">
        <v>201</v>
      </c>
      <c r="E66">
        <v>0.24</v>
      </c>
      <c r="F66" t="s">
        <v>16</v>
      </c>
      <c r="G66">
        <f>'Precios Tablas'!$E$43 *TabRecetaIng[[#This Row],[Cantidad]]</f>
        <v>4.2</v>
      </c>
    </row>
    <row r="67" spans="1:7" hidden="1" x14ac:dyDescent="0.3">
      <c r="A67">
        <v>13</v>
      </c>
      <c r="B67">
        <v>4</v>
      </c>
      <c r="C67" t="s">
        <v>139</v>
      </c>
      <c r="D67" t="s">
        <v>101</v>
      </c>
      <c r="E67">
        <v>0.15</v>
      </c>
      <c r="F67" t="s">
        <v>16</v>
      </c>
      <c r="G67">
        <f>'Precios Tablas'!$E$24 *TabRecetaIng[[#This Row],[Cantidad]]</f>
        <v>25.276499999999999</v>
      </c>
    </row>
    <row r="68" spans="1:7" hidden="1" x14ac:dyDescent="0.3">
      <c r="A68">
        <v>13</v>
      </c>
      <c r="B68">
        <v>5</v>
      </c>
      <c r="C68" t="s">
        <v>139</v>
      </c>
      <c r="D68" t="s">
        <v>80</v>
      </c>
      <c r="E68">
        <v>5.0000000000000001E-3</v>
      </c>
      <c r="F68" t="s">
        <v>16</v>
      </c>
      <c r="G68">
        <f>'Precios Tablas'!$E$67 *TabRecetaIng[[#This Row],[Cantidad]]</f>
        <v>7.2499999999999995E-2</v>
      </c>
    </row>
    <row r="69" spans="1:7" hidden="1" x14ac:dyDescent="0.3">
      <c r="A69">
        <v>13</v>
      </c>
      <c r="B69">
        <v>6</v>
      </c>
      <c r="C69" t="s">
        <v>139</v>
      </c>
      <c r="D69" t="s">
        <v>106</v>
      </c>
      <c r="E69">
        <v>0.24</v>
      </c>
      <c r="F69" t="s">
        <v>16</v>
      </c>
      <c r="G69">
        <f>'Precios Tablas'!$E$52 *TabRecetaIng[[#This Row],[Cantidad]]</f>
        <v>34.97907407407407</v>
      </c>
    </row>
    <row r="70" spans="1:7" hidden="1" x14ac:dyDescent="0.3">
      <c r="A70">
        <v>12</v>
      </c>
      <c r="B70">
        <v>1</v>
      </c>
      <c r="C70" t="s">
        <v>171</v>
      </c>
      <c r="D70" t="s">
        <v>58</v>
      </c>
      <c r="E70">
        <v>9</v>
      </c>
      <c r="F70" t="s">
        <v>60</v>
      </c>
      <c r="G70">
        <f>'Precios Tablas'!$E$119 + R102</f>
        <v>2.6</v>
      </c>
    </row>
    <row r="71" spans="1:7" hidden="1" x14ac:dyDescent="0.3">
      <c r="A71">
        <v>12</v>
      </c>
      <c r="B71">
        <v>2</v>
      </c>
      <c r="C71" t="s">
        <v>139</v>
      </c>
      <c r="D71" t="s">
        <v>25</v>
      </c>
      <c r="E71">
        <v>0.315</v>
      </c>
      <c r="F71" t="s">
        <v>16</v>
      </c>
      <c r="G71">
        <f>'Precios Tablas'!$E$119 + R103</f>
        <v>2.6</v>
      </c>
    </row>
    <row r="72" spans="1:7" hidden="1" x14ac:dyDescent="0.3">
      <c r="A72">
        <v>12</v>
      </c>
      <c r="B72">
        <v>3</v>
      </c>
      <c r="C72" t="s">
        <v>139</v>
      </c>
      <c r="D72" t="s">
        <v>201</v>
      </c>
      <c r="E72">
        <v>1</v>
      </c>
      <c r="F72" t="s">
        <v>16</v>
      </c>
      <c r="G72">
        <f>'Precios Tablas'!$E$119 + R104</f>
        <v>2.6</v>
      </c>
    </row>
    <row r="73" spans="1:7" hidden="1" x14ac:dyDescent="0.3">
      <c r="A73">
        <v>12</v>
      </c>
      <c r="B73">
        <v>4</v>
      </c>
      <c r="C73" t="s">
        <v>139</v>
      </c>
      <c r="D73" t="s">
        <v>106</v>
      </c>
      <c r="E73">
        <v>0.25</v>
      </c>
      <c r="F73" t="s">
        <v>16</v>
      </c>
      <c r="G73">
        <f>'Precios Tablas'!$E$119 + R105</f>
        <v>2.6</v>
      </c>
    </row>
    <row r="74" spans="1:7" hidden="1" x14ac:dyDescent="0.3">
      <c r="A74">
        <v>12</v>
      </c>
      <c r="B74">
        <v>5</v>
      </c>
      <c r="C74" t="s">
        <v>139</v>
      </c>
      <c r="D74" t="s">
        <v>46</v>
      </c>
      <c r="E74">
        <v>0.08</v>
      </c>
      <c r="F74" t="s">
        <v>9</v>
      </c>
      <c r="G74">
        <f>'Precios Tablas'!$E$119 + R106</f>
        <v>2.6</v>
      </c>
    </row>
    <row r="75" spans="1:7" hidden="1" x14ac:dyDescent="0.3">
      <c r="A75">
        <v>12</v>
      </c>
      <c r="B75">
        <v>6</v>
      </c>
      <c r="C75" t="s">
        <v>139</v>
      </c>
      <c r="D75" t="s">
        <v>71</v>
      </c>
      <c r="E75">
        <v>1.2E-2</v>
      </c>
      <c r="F75" t="s">
        <v>16</v>
      </c>
      <c r="G75">
        <f>'Precios Tablas'!$E$119 + R107</f>
        <v>2.6</v>
      </c>
    </row>
    <row r="76" spans="1:7" hidden="1" x14ac:dyDescent="0.3">
      <c r="A76">
        <v>12</v>
      </c>
      <c r="B76">
        <v>7</v>
      </c>
      <c r="C76" t="s">
        <v>139</v>
      </c>
      <c r="D76" t="s">
        <v>80</v>
      </c>
      <c r="E76">
        <v>1.2E-2</v>
      </c>
      <c r="F76" t="s">
        <v>16</v>
      </c>
      <c r="G76">
        <f>'Precios Tablas'!$E$119 + R108</f>
        <v>2.6</v>
      </c>
    </row>
    <row r="77" spans="1:7" hidden="1" x14ac:dyDescent="0.3">
      <c r="A77">
        <v>12</v>
      </c>
      <c r="B77">
        <v>8</v>
      </c>
      <c r="C77" t="s">
        <v>139</v>
      </c>
      <c r="D77" t="s">
        <v>123</v>
      </c>
      <c r="E77">
        <v>3.0000000000000001E-3</v>
      </c>
      <c r="F77" t="s">
        <v>16</v>
      </c>
      <c r="G77">
        <f>'Precios Tablas'!$E$119 + R109</f>
        <v>2.6</v>
      </c>
    </row>
    <row r="78" spans="1:7" hidden="1" x14ac:dyDescent="0.3">
      <c r="A78">
        <v>12</v>
      </c>
      <c r="B78">
        <v>9</v>
      </c>
      <c r="C78" t="s">
        <v>175</v>
      </c>
      <c r="D78" t="s">
        <v>135</v>
      </c>
      <c r="E78">
        <v>1</v>
      </c>
      <c r="F78" t="s">
        <v>16</v>
      </c>
      <c r="G78">
        <f>'Precios Tablas'!$E$119 + R110</f>
        <v>2.6</v>
      </c>
    </row>
    <row r="79" spans="1:7" hidden="1" x14ac:dyDescent="0.3">
      <c r="A79">
        <v>11</v>
      </c>
      <c r="B79">
        <v>1</v>
      </c>
      <c r="C79" t="s">
        <v>171</v>
      </c>
      <c r="D79" t="s">
        <v>251</v>
      </c>
      <c r="E79">
        <v>0.12</v>
      </c>
      <c r="F79" t="s">
        <v>16</v>
      </c>
      <c r="G79">
        <f>'Precios Tablas'!$E$119 + R111</f>
        <v>2.6</v>
      </c>
    </row>
    <row r="80" spans="1:7" hidden="1" x14ac:dyDescent="0.3">
      <c r="A80">
        <v>11</v>
      </c>
      <c r="B80">
        <v>2</v>
      </c>
      <c r="C80" t="s">
        <v>139</v>
      </c>
      <c r="D80" t="s">
        <v>25</v>
      </c>
      <c r="E80">
        <v>0.15</v>
      </c>
      <c r="F80" t="s">
        <v>16</v>
      </c>
      <c r="G80">
        <f>'Precios Tablas'!$E$119 + R112</f>
        <v>2.6</v>
      </c>
    </row>
    <row r="81" spans="1:7" hidden="1" x14ac:dyDescent="0.3">
      <c r="A81">
        <v>11</v>
      </c>
      <c r="B81">
        <v>3</v>
      </c>
      <c r="C81" t="s">
        <v>139</v>
      </c>
      <c r="D81" t="s">
        <v>14</v>
      </c>
      <c r="E81">
        <v>0.125</v>
      </c>
      <c r="F81" t="s">
        <v>16</v>
      </c>
      <c r="G81">
        <f>'Precios Tablas'!$E$119 + R113</f>
        <v>2.6</v>
      </c>
    </row>
    <row r="82" spans="1:7" hidden="1" x14ac:dyDescent="0.3">
      <c r="A82">
        <v>11</v>
      </c>
      <c r="B82">
        <v>4</v>
      </c>
      <c r="C82" t="s">
        <v>139</v>
      </c>
      <c r="D82" t="s">
        <v>21</v>
      </c>
      <c r="E82">
        <v>0.125</v>
      </c>
      <c r="F82" t="s">
        <v>16</v>
      </c>
      <c r="G82">
        <f>'Precios Tablas'!$E$119 + R114</f>
        <v>2.6</v>
      </c>
    </row>
    <row r="83" spans="1:7" hidden="1" x14ac:dyDescent="0.3">
      <c r="A83">
        <v>10</v>
      </c>
      <c r="B83">
        <v>1</v>
      </c>
      <c r="C83" t="s">
        <v>171</v>
      </c>
      <c r="D83" t="s">
        <v>58</v>
      </c>
      <c r="E83">
        <v>3</v>
      </c>
      <c r="F83" t="s">
        <v>60</v>
      </c>
      <c r="G83">
        <f>'Precios Tablas'!$E$119 + R115</f>
        <v>2.6</v>
      </c>
    </row>
    <row r="84" spans="1:7" hidden="1" x14ac:dyDescent="0.3">
      <c r="A84">
        <v>10</v>
      </c>
      <c r="B84">
        <v>2</v>
      </c>
      <c r="C84" t="s">
        <v>139</v>
      </c>
      <c r="D84" t="s">
        <v>25</v>
      </c>
      <c r="E84">
        <v>0.2</v>
      </c>
      <c r="F84" t="s">
        <v>16</v>
      </c>
      <c r="G84">
        <f>'Precios Tablas'!$E$119 + R116</f>
        <v>2.6</v>
      </c>
    </row>
    <row r="85" spans="1:7" hidden="1" x14ac:dyDescent="0.3">
      <c r="A85">
        <v>10</v>
      </c>
      <c r="B85">
        <v>3</v>
      </c>
      <c r="C85" t="s">
        <v>139</v>
      </c>
      <c r="D85" t="s">
        <v>23</v>
      </c>
      <c r="E85">
        <v>0.1</v>
      </c>
      <c r="F85" t="s">
        <v>16</v>
      </c>
      <c r="G85">
        <f>'Precios Tablas'!$E$119 + R117</f>
        <v>2.6</v>
      </c>
    </row>
    <row r="86" spans="1:7" hidden="1" x14ac:dyDescent="0.3">
      <c r="A86">
        <v>10</v>
      </c>
      <c r="B86">
        <v>4</v>
      </c>
      <c r="C86" t="s">
        <v>139</v>
      </c>
      <c r="D86" t="s">
        <v>80</v>
      </c>
      <c r="E86">
        <v>5.0000000000000001E-3</v>
      </c>
      <c r="F86" t="s">
        <v>16</v>
      </c>
      <c r="G86">
        <f>'Precios Tablas'!$E$119 + R118</f>
        <v>2.6</v>
      </c>
    </row>
    <row r="87" spans="1:7" hidden="1" x14ac:dyDescent="0.3">
      <c r="A87">
        <v>10</v>
      </c>
      <c r="B87">
        <v>5</v>
      </c>
      <c r="C87" t="s">
        <v>139</v>
      </c>
      <c r="D87" t="s">
        <v>46</v>
      </c>
      <c r="E87">
        <v>5.0000000000000001E-3</v>
      </c>
      <c r="F87" t="s">
        <v>9</v>
      </c>
      <c r="G87">
        <f>'Precios Tablas'!$E$119 + R119</f>
        <v>2.6</v>
      </c>
    </row>
    <row r="88" spans="1:7" hidden="1" x14ac:dyDescent="0.3">
      <c r="A88">
        <v>10</v>
      </c>
      <c r="B88">
        <v>6</v>
      </c>
      <c r="C88" t="s">
        <v>139</v>
      </c>
      <c r="D88" t="s">
        <v>201</v>
      </c>
      <c r="E88">
        <v>6.5000000000000002E-2</v>
      </c>
      <c r="F88" t="s">
        <v>16</v>
      </c>
      <c r="G88">
        <f>'Precios Tablas'!$E$119 + R120</f>
        <v>2.6</v>
      </c>
    </row>
    <row r="89" spans="1:7" hidden="1" x14ac:dyDescent="0.3">
      <c r="A89">
        <v>10</v>
      </c>
      <c r="B89">
        <v>7</v>
      </c>
      <c r="C89" t="s">
        <v>139</v>
      </c>
      <c r="D89" t="s">
        <v>101</v>
      </c>
      <c r="E89">
        <v>0.2</v>
      </c>
      <c r="F89" t="s">
        <v>16</v>
      </c>
      <c r="G89">
        <f>'Precios Tablas'!$E$119 + R121</f>
        <v>2.6</v>
      </c>
    </row>
    <row r="90" spans="1:7" hidden="1" x14ac:dyDescent="0.3">
      <c r="A90">
        <v>9</v>
      </c>
      <c r="B90">
        <v>1</v>
      </c>
      <c r="C90" t="s">
        <v>171</v>
      </c>
      <c r="D90" t="s">
        <v>58</v>
      </c>
      <c r="E90">
        <v>12</v>
      </c>
      <c r="F90" t="s">
        <v>60</v>
      </c>
      <c r="G90">
        <f>'Precios Tablas'!$E$119 + R122</f>
        <v>2.6</v>
      </c>
    </row>
    <row r="91" spans="1:7" hidden="1" x14ac:dyDescent="0.3">
      <c r="A91">
        <v>9</v>
      </c>
      <c r="B91">
        <v>2</v>
      </c>
      <c r="C91" t="s">
        <v>139</v>
      </c>
      <c r="D91" t="s">
        <v>25</v>
      </c>
      <c r="E91">
        <v>0.125</v>
      </c>
      <c r="F91" t="s">
        <v>16</v>
      </c>
      <c r="G91">
        <f>'Precios Tablas'!$E$119 + R123</f>
        <v>2.6</v>
      </c>
    </row>
    <row r="92" spans="1:7" hidden="1" x14ac:dyDescent="0.3">
      <c r="A92">
        <v>9</v>
      </c>
      <c r="B92">
        <v>3</v>
      </c>
      <c r="C92" t="s">
        <v>139</v>
      </c>
      <c r="D92" t="s">
        <v>201</v>
      </c>
      <c r="E92">
        <v>0.6</v>
      </c>
      <c r="F92" t="s">
        <v>16</v>
      </c>
      <c r="G92">
        <f>'Precios Tablas'!$E$119 + R124</f>
        <v>2.6</v>
      </c>
    </row>
    <row r="93" spans="1:7" hidden="1" x14ac:dyDescent="0.3">
      <c r="A93">
        <v>9</v>
      </c>
      <c r="B93">
        <v>4</v>
      </c>
      <c r="C93" t="s">
        <v>139</v>
      </c>
      <c r="D93" t="s">
        <v>62</v>
      </c>
      <c r="E93">
        <v>0.77400000000000002</v>
      </c>
      <c r="F93" t="s">
        <v>16</v>
      </c>
      <c r="G93">
        <f>'Precios Tablas'!$E$119 + R125</f>
        <v>2.6</v>
      </c>
    </row>
    <row r="94" spans="1:7" hidden="1" x14ac:dyDescent="0.3">
      <c r="A94">
        <v>9</v>
      </c>
      <c r="B94">
        <v>5</v>
      </c>
      <c r="C94" t="s">
        <v>139</v>
      </c>
      <c r="D94" t="s">
        <v>106</v>
      </c>
      <c r="E94">
        <v>0.6</v>
      </c>
      <c r="F94" t="s">
        <v>16</v>
      </c>
      <c r="G94">
        <f>'Precios Tablas'!$E$119 + R126</f>
        <v>2.6</v>
      </c>
    </row>
    <row r="95" spans="1:7" hidden="1" x14ac:dyDescent="0.3">
      <c r="A95">
        <v>9</v>
      </c>
      <c r="B95">
        <v>6</v>
      </c>
      <c r="C95" t="s">
        <v>139</v>
      </c>
      <c r="D95" t="s">
        <v>76</v>
      </c>
      <c r="E95">
        <v>0.06</v>
      </c>
      <c r="F95" t="s">
        <v>16</v>
      </c>
      <c r="G95">
        <f>'Precios Tablas'!$E$119 + R127</f>
        <v>2.6</v>
      </c>
    </row>
    <row r="96" spans="1:7" hidden="1" x14ac:dyDescent="0.3">
      <c r="A96">
        <v>9</v>
      </c>
      <c r="B96">
        <v>7</v>
      </c>
      <c r="C96" t="s">
        <v>139</v>
      </c>
      <c r="D96" t="s">
        <v>46</v>
      </c>
      <c r="E96">
        <v>5.0000000000000001E-3</v>
      </c>
      <c r="F96" t="s">
        <v>9</v>
      </c>
      <c r="G96">
        <f>'Precios Tablas'!$E$119 + R128</f>
        <v>2.6</v>
      </c>
    </row>
    <row r="97" spans="1:7" hidden="1" x14ac:dyDescent="0.3">
      <c r="A97">
        <v>8</v>
      </c>
      <c r="B97">
        <v>1</v>
      </c>
      <c r="C97" t="s">
        <v>139</v>
      </c>
      <c r="D97" t="s">
        <v>201</v>
      </c>
      <c r="E97">
        <v>1</v>
      </c>
      <c r="F97" t="s">
        <v>16</v>
      </c>
      <c r="G97">
        <f>'Precios Tablas'!$E$119 + R129</f>
        <v>2.6</v>
      </c>
    </row>
    <row r="98" spans="1:7" hidden="1" x14ac:dyDescent="0.3">
      <c r="A98">
        <v>8</v>
      </c>
      <c r="B98">
        <v>2</v>
      </c>
      <c r="C98" t="s">
        <v>139</v>
      </c>
      <c r="D98" t="s">
        <v>71</v>
      </c>
      <c r="E98">
        <v>1.0999999999999999E-2</v>
      </c>
      <c r="F98" t="s">
        <v>16</v>
      </c>
      <c r="G98">
        <f>'Precios Tablas'!$E$119 + R130</f>
        <v>2.6</v>
      </c>
    </row>
    <row r="99" spans="1:7" hidden="1" x14ac:dyDescent="0.3">
      <c r="A99">
        <v>8</v>
      </c>
      <c r="B99">
        <v>3</v>
      </c>
      <c r="C99" t="s">
        <v>139</v>
      </c>
      <c r="D99" t="s">
        <v>25</v>
      </c>
      <c r="E99">
        <v>0.32500000000000001</v>
      </c>
      <c r="F99" t="s">
        <v>16</v>
      </c>
      <c r="G99">
        <f>'Precios Tablas'!$E$119 + R131</f>
        <v>2.6</v>
      </c>
    </row>
    <row r="100" spans="1:7" hidden="1" x14ac:dyDescent="0.3">
      <c r="A100">
        <v>8</v>
      </c>
      <c r="B100">
        <v>4</v>
      </c>
      <c r="C100" t="s">
        <v>139</v>
      </c>
      <c r="D100" t="s">
        <v>106</v>
      </c>
      <c r="E100">
        <v>0.2</v>
      </c>
      <c r="F100" t="s">
        <v>16</v>
      </c>
      <c r="G100">
        <f>'Precios Tablas'!$E$119 + R132</f>
        <v>2.6</v>
      </c>
    </row>
    <row r="101" spans="1:7" hidden="1" x14ac:dyDescent="0.3">
      <c r="A101">
        <v>8</v>
      </c>
      <c r="B101">
        <v>5</v>
      </c>
      <c r="C101" t="s">
        <v>171</v>
      </c>
      <c r="D101" t="s">
        <v>58</v>
      </c>
      <c r="E101">
        <v>8</v>
      </c>
      <c r="F101" t="s">
        <v>60</v>
      </c>
      <c r="G101">
        <f>'Precios Tablas'!$E$119 + R133</f>
        <v>2.6</v>
      </c>
    </row>
    <row r="102" spans="1:7" hidden="1" x14ac:dyDescent="0.3">
      <c r="A102">
        <v>8</v>
      </c>
      <c r="B102">
        <v>6</v>
      </c>
      <c r="C102" t="s">
        <v>171</v>
      </c>
      <c r="D102" t="s">
        <v>140</v>
      </c>
      <c r="E102">
        <v>0.1</v>
      </c>
      <c r="F102" t="s">
        <v>16</v>
      </c>
      <c r="G102">
        <f>'Precios Tablas'!$E$119 + R134</f>
        <v>2.6</v>
      </c>
    </row>
    <row r="103" spans="1:7" hidden="1" x14ac:dyDescent="0.3">
      <c r="A103">
        <v>8</v>
      </c>
      <c r="B103">
        <v>7</v>
      </c>
      <c r="C103" t="s">
        <v>139</v>
      </c>
      <c r="D103" t="s">
        <v>80</v>
      </c>
      <c r="E103">
        <v>2E-3</v>
      </c>
      <c r="F103" t="s">
        <v>16</v>
      </c>
      <c r="G103">
        <f>'Precios Tablas'!$E$119 + R135</f>
        <v>2.6</v>
      </c>
    </row>
    <row r="104" spans="1:7" hidden="1" x14ac:dyDescent="0.3">
      <c r="A104">
        <v>8</v>
      </c>
      <c r="B104">
        <v>8</v>
      </c>
      <c r="C104" t="s">
        <v>176</v>
      </c>
      <c r="D104" t="s">
        <v>252</v>
      </c>
      <c r="E104">
        <v>5.0000000000000001E-3</v>
      </c>
      <c r="F104" t="s">
        <v>16</v>
      </c>
      <c r="G104">
        <f>'Precios Tablas'!$E$119 + R136</f>
        <v>2.6</v>
      </c>
    </row>
    <row r="105" spans="1:7" hidden="1" x14ac:dyDescent="0.3">
      <c r="A105">
        <v>8</v>
      </c>
      <c r="B105">
        <v>9</v>
      </c>
      <c r="C105" t="s">
        <v>176</v>
      </c>
      <c r="D105" t="s">
        <v>118</v>
      </c>
      <c r="E105">
        <v>0.13</v>
      </c>
      <c r="G105">
        <f>'Precios Tablas'!$E$119 + R137</f>
        <v>2.6</v>
      </c>
    </row>
    <row r="106" spans="1:7" hidden="1" x14ac:dyDescent="0.3">
      <c r="A106">
        <v>7</v>
      </c>
      <c r="B106">
        <v>1</v>
      </c>
      <c r="C106" t="s">
        <v>139</v>
      </c>
      <c r="D106" t="s">
        <v>201</v>
      </c>
      <c r="E106">
        <v>4.3999999999999997E-2</v>
      </c>
      <c r="F106" t="s">
        <v>16</v>
      </c>
      <c r="G106">
        <f>'Precios Tablas'!$E$43 *TabRecetaIng[[#This Row],[Cantidad]]</f>
        <v>0.76999999999999991</v>
      </c>
    </row>
    <row r="107" spans="1:7" hidden="1" x14ac:dyDescent="0.3">
      <c r="A107">
        <v>7</v>
      </c>
      <c r="B107">
        <v>2</v>
      </c>
      <c r="C107" t="s">
        <v>139</v>
      </c>
      <c r="D107" t="s">
        <v>21</v>
      </c>
      <c r="E107">
        <v>0.2</v>
      </c>
      <c r="F107" t="s">
        <v>16</v>
      </c>
      <c r="G107">
        <f>'Precios Tablas'!$E$15 *TabRecetaIng[[#This Row],[Cantidad]]</f>
        <v>7.4</v>
      </c>
    </row>
    <row r="108" spans="1:7" hidden="1" x14ac:dyDescent="0.3">
      <c r="A108">
        <v>7</v>
      </c>
      <c r="B108">
        <v>3</v>
      </c>
      <c r="C108" t="s">
        <v>139</v>
      </c>
      <c r="D108" t="s">
        <v>106</v>
      </c>
      <c r="E108">
        <v>0.25</v>
      </c>
      <c r="F108" t="s">
        <v>16</v>
      </c>
      <c r="G108">
        <f>'Precios Tablas'!$E$52 *TabRecetaIng[[#This Row],[Cantidad]]</f>
        <v>36.436535493827158</v>
      </c>
    </row>
    <row r="109" spans="1:7" hidden="1" x14ac:dyDescent="0.3">
      <c r="A109">
        <v>7</v>
      </c>
      <c r="B109">
        <v>4</v>
      </c>
      <c r="C109" t="s">
        <v>139</v>
      </c>
      <c r="D109" t="s">
        <v>201</v>
      </c>
      <c r="E109">
        <v>4.3999999999999997E-2</v>
      </c>
      <c r="F109" t="s">
        <v>16</v>
      </c>
      <c r="G109">
        <f>'Precios Tablas'!$E$43 *TabRecetaIng[[#This Row],[Cantidad]]</f>
        <v>0.76999999999999991</v>
      </c>
    </row>
    <row r="110" spans="1:7" hidden="1" x14ac:dyDescent="0.3">
      <c r="A110">
        <v>7</v>
      </c>
      <c r="B110">
        <v>5</v>
      </c>
      <c r="C110" t="s">
        <v>139</v>
      </c>
      <c r="D110" t="s">
        <v>46</v>
      </c>
      <c r="E110">
        <v>5.0000000000000001E-3</v>
      </c>
      <c r="F110" t="s">
        <v>9</v>
      </c>
      <c r="G110">
        <f>'Precios Tablas'!$E$38 *TabRecetaIng[[#This Row],[Cantidad]]</f>
        <v>0.28999999999999998</v>
      </c>
    </row>
    <row r="111" spans="1:7" hidden="1" x14ac:dyDescent="0.3">
      <c r="A111">
        <v>6</v>
      </c>
      <c r="B111">
        <v>1</v>
      </c>
      <c r="C111" t="s">
        <v>171</v>
      </c>
      <c r="D111" t="s">
        <v>251</v>
      </c>
      <c r="E111">
        <v>1.44</v>
      </c>
      <c r="F111" t="s">
        <v>16</v>
      </c>
      <c r="G111">
        <f>'Precios Tablas'!$E$121 *TabRecetaIng[[#This Row],[Cantidad]]</f>
        <v>74.879999999999981</v>
      </c>
    </row>
    <row r="112" spans="1:7" hidden="1" x14ac:dyDescent="0.3">
      <c r="A112">
        <v>6</v>
      </c>
      <c r="B112">
        <v>2</v>
      </c>
      <c r="C112" t="s">
        <v>139</v>
      </c>
      <c r="D112" t="s">
        <v>23</v>
      </c>
      <c r="E112">
        <v>1.6</v>
      </c>
      <c r="F112" t="s">
        <v>16</v>
      </c>
      <c r="G112">
        <f>'Precios Tablas'!$E$16 *TabRecetaIng[[#This Row],[Cantidad]]</f>
        <v>67.2</v>
      </c>
    </row>
    <row r="113" spans="1:7" hidden="1" x14ac:dyDescent="0.3">
      <c r="A113">
        <v>6</v>
      </c>
      <c r="B113">
        <v>3</v>
      </c>
      <c r="C113" t="s">
        <v>139</v>
      </c>
      <c r="D113" t="s">
        <v>51</v>
      </c>
      <c r="E113">
        <v>1.0680000000000001</v>
      </c>
      <c r="F113" t="s">
        <v>16</v>
      </c>
      <c r="G113">
        <f>'Precios Tablas'!$E$41 *TabRecetaIng[[#This Row],[Cantidad]]</f>
        <v>81.168000000000006</v>
      </c>
    </row>
    <row r="114" spans="1:7" hidden="1" x14ac:dyDescent="0.3">
      <c r="A114">
        <v>6</v>
      </c>
      <c r="B114">
        <v>4</v>
      </c>
      <c r="C114" t="s">
        <v>139</v>
      </c>
      <c r="D114" t="s">
        <v>130</v>
      </c>
      <c r="E114">
        <v>0.6</v>
      </c>
      <c r="F114" t="s">
        <v>16</v>
      </c>
      <c r="G114">
        <f>'Precios Tablas'!$E$58 *TabRecetaIng[[#This Row],[Cantidad]]</f>
        <v>551.5859999999999</v>
      </c>
    </row>
    <row r="115" spans="1:7" hidden="1" x14ac:dyDescent="0.3">
      <c r="A115">
        <v>6</v>
      </c>
      <c r="B115">
        <v>5</v>
      </c>
      <c r="C115" t="s">
        <v>139</v>
      </c>
      <c r="D115" t="s">
        <v>46</v>
      </c>
      <c r="E115">
        <v>0.125</v>
      </c>
      <c r="F115" t="s">
        <v>9</v>
      </c>
      <c r="G115">
        <f>'Precios Tablas'!$E$38 *TabRecetaIng[[#This Row],[Cantidad]]</f>
        <v>7.25</v>
      </c>
    </row>
    <row r="116" spans="1:7" hidden="1" x14ac:dyDescent="0.3">
      <c r="A116">
        <v>5</v>
      </c>
      <c r="B116">
        <v>1</v>
      </c>
      <c r="C116" t="s">
        <v>171</v>
      </c>
      <c r="D116" t="s">
        <v>58</v>
      </c>
      <c r="E116">
        <v>18</v>
      </c>
      <c r="F116" t="s">
        <v>60</v>
      </c>
      <c r="G116">
        <f>'Precios Tablas'!$E$119 + R149</f>
        <v>2.6</v>
      </c>
    </row>
    <row r="117" spans="1:7" hidden="1" x14ac:dyDescent="0.3">
      <c r="A117">
        <v>5</v>
      </c>
      <c r="B117">
        <v>2</v>
      </c>
      <c r="C117" t="s">
        <v>139</v>
      </c>
      <c r="D117" t="s">
        <v>101</v>
      </c>
      <c r="E117">
        <v>0.36</v>
      </c>
      <c r="F117" t="s">
        <v>16</v>
      </c>
      <c r="G117">
        <f>'Precios Tablas'!$E$119 + R150</f>
        <v>2.6</v>
      </c>
    </row>
    <row r="118" spans="1:7" hidden="1" x14ac:dyDescent="0.3">
      <c r="A118">
        <v>5</v>
      </c>
      <c r="B118">
        <v>3</v>
      </c>
      <c r="C118" t="s">
        <v>139</v>
      </c>
      <c r="D118" t="s">
        <v>106</v>
      </c>
      <c r="E118">
        <v>0.36</v>
      </c>
      <c r="F118" t="s">
        <v>16</v>
      </c>
      <c r="G118">
        <f>'Precios Tablas'!$E$119 + R151</f>
        <v>2.6</v>
      </c>
    </row>
    <row r="119" spans="1:7" hidden="1" x14ac:dyDescent="0.3">
      <c r="A119">
        <v>5</v>
      </c>
      <c r="B119">
        <v>4</v>
      </c>
      <c r="C119" t="s">
        <v>139</v>
      </c>
      <c r="D119" t="s">
        <v>25</v>
      </c>
      <c r="E119">
        <v>0.48</v>
      </c>
      <c r="F119" t="s">
        <v>16</v>
      </c>
      <c r="G119">
        <f>'Precios Tablas'!$E$119 + R152</f>
        <v>2.6</v>
      </c>
    </row>
    <row r="120" spans="1:7" hidden="1" x14ac:dyDescent="0.3">
      <c r="A120">
        <v>5</v>
      </c>
      <c r="B120">
        <v>5</v>
      </c>
      <c r="C120" t="s">
        <v>139</v>
      </c>
      <c r="D120" t="s">
        <v>21</v>
      </c>
      <c r="E120">
        <v>0.12</v>
      </c>
      <c r="F120" t="s">
        <v>16</v>
      </c>
      <c r="G120">
        <f>'Precios Tablas'!$E$119 + R153</f>
        <v>2.6</v>
      </c>
    </row>
    <row r="121" spans="1:7" hidden="1" x14ac:dyDescent="0.3">
      <c r="A121">
        <v>5</v>
      </c>
      <c r="B121">
        <v>6</v>
      </c>
      <c r="C121" t="s">
        <v>139</v>
      </c>
      <c r="D121" t="s">
        <v>201</v>
      </c>
      <c r="E121">
        <v>0.36</v>
      </c>
      <c r="F121" t="s">
        <v>16</v>
      </c>
      <c r="G121">
        <f>'Precios Tablas'!$E$119 + R154</f>
        <v>2.6</v>
      </c>
    </row>
    <row r="122" spans="1:7" hidden="1" x14ac:dyDescent="0.3">
      <c r="A122">
        <v>4</v>
      </c>
      <c r="B122">
        <v>1</v>
      </c>
      <c r="C122" t="s">
        <v>171</v>
      </c>
      <c r="D122" t="s">
        <v>58</v>
      </c>
      <c r="E122">
        <v>14</v>
      </c>
      <c r="F122" t="s">
        <v>60</v>
      </c>
      <c r="G122">
        <f>'Precios Tablas'!$E$119 + R155</f>
        <v>2.6</v>
      </c>
    </row>
    <row r="123" spans="1:7" hidden="1" x14ac:dyDescent="0.3">
      <c r="A123">
        <v>4</v>
      </c>
      <c r="B123">
        <v>2</v>
      </c>
      <c r="C123" t="s">
        <v>139</v>
      </c>
      <c r="D123" t="s">
        <v>25</v>
      </c>
      <c r="E123">
        <v>0.28000000000000003</v>
      </c>
      <c r="F123" t="s">
        <v>16</v>
      </c>
      <c r="G123">
        <f>'Precios Tablas'!$E$119 + R156</f>
        <v>2.6</v>
      </c>
    </row>
    <row r="124" spans="1:7" hidden="1" x14ac:dyDescent="0.3">
      <c r="A124">
        <v>4</v>
      </c>
      <c r="B124">
        <v>3</v>
      </c>
      <c r="C124" t="s">
        <v>176</v>
      </c>
      <c r="D124" t="s">
        <v>120</v>
      </c>
      <c r="E124">
        <v>0.3</v>
      </c>
      <c r="F124" t="s">
        <v>16</v>
      </c>
      <c r="G124">
        <f>'Precios Tablas'!$E$119 + R157</f>
        <v>2.6</v>
      </c>
    </row>
    <row r="125" spans="1:7" hidden="1" x14ac:dyDescent="0.3">
      <c r="A125">
        <v>4</v>
      </c>
      <c r="B125">
        <v>4</v>
      </c>
      <c r="C125" t="s">
        <v>139</v>
      </c>
      <c r="D125" t="s">
        <v>101</v>
      </c>
      <c r="E125">
        <v>0.16</v>
      </c>
      <c r="F125" t="s">
        <v>16</v>
      </c>
      <c r="G125">
        <f>'Precios Tablas'!$E$119 + R158</f>
        <v>2.6</v>
      </c>
    </row>
    <row r="126" spans="1:7" hidden="1" x14ac:dyDescent="0.3">
      <c r="A126">
        <v>4</v>
      </c>
      <c r="B126">
        <v>5</v>
      </c>
      <c r="C126" t="s">
        <v>139</v>
      </c>
      <c r="D126" t="s">
        <v>46</v>
      </c>
      <c r="E126">
        <v>0.03</v>
      </c>
      <c r="F126" t="s">
        <v>9</v>
      </c>
      <c r="G126">
        <f>'Precios Tablas'!$E$119 + R159</f>
        <v>2.6</v>
      </c>
    </row>
    <row r="127" spans="1:7" hidden="1" x14ac:dyDescent="0.3">
      <c r="A127">
        <v>4</v>
      </c>
      <c r="B127">
        <v>6</v>
      </c>
      <c r="C127" t="s">
        <v>139</v>
      </c>
      <c r="D127" t="s">
        <v>80</v>
      </c>
      <c r="E127">
        <v>5.0000000000000001E-3</v>
      </c>
      <c r="F127" t="s">
        <v>16</v>
      </c>
      <c r="G127">
        <f>'Precios Tablas'!$E$119 + R160</f>
        <v>2.6</v>
      </c>
    </row>
    <row r="128" spans="1:7" hidden="1" x14ac:dyDescent="0.3">
      <c r="A128">
        <v>3</v>
      </c>
      <c r="B128">
        <v>1</v>
      </c>
      <c r="C128" t="s">
        <v>139</v>
      </c>
      <c r="D128" t="s">
        <v>21</v>
      </c>
      <c r="E128">
        <v>0.25</v>
      </c>
      <c r="F128" t="s">
        <v>16</v>
      </c>
      <c r="G128">
        <f>'Precios Tablas'!$E$119 + R161</f>
        <v>2.6</v>
      </c>
    </row>
    <row r="129" spans="1:7" hidden="1" x14ac:dyDescent="0.3">
      <c r="A129">
        <v>3</v>
      </c>
      <c r="B129">
        <v>2</v>
      </c>
      <c r="C129" t="s">
        <v>139</v>
      </c>
      <c r="D129" t="s">
        <v>14</v>
      </c>
      <c r="E129">
        <v>0.4</v>
      </c>
      <c r="F129" t="s">
        <v>16</v>
      </c>
      <c r="G129">
        <f>'Precios Tablas'!$E$119 + R162</f>
        <v>2.6</v>
      </c>
    </row>
    <row r="130" spans="1:7" hidden="1" x14ac:dyDescent="0.3">
      <c r="A130">
        <v>3</v>
      </c>
      <c r="B130">
        <v>3</v>
      </c>
      <c r="C130" t="s">
        <v>171</v>
      </c>
      <c r="D130" t="s">
        <v>58</v>
      </c>
      <c r="E130">
        <v>20</v>
      </c>
      <c r="F130" t="s">
        <v>60</v>
      </c>
      <c r="G130">
        <f>'Precios Tablas'!$E$119 + R163</f>
        <v>2.6</v>
      </c>
    </row>
    <row r="131" spans="1:7" hidden="1" x14ac:dyDescent="0.3">
      <c r="A131">
        <v>3</v>
      </c>
      <c r="B131">
        <v>4</v>
      </c>
      <c r="C131" t="s">
        <v>139</v>
      </c>
      <c r="D131" t="s">
        <v>25</v>
      </c>
      <c r="E131">
        <v>0.2</v>
      </c>
      <c r="F131" t="s">
        <v>16</v>
      </c>
      <c r="G131">
        <f>'Precios Tablas'!$E$119 + R164</f>
        <v>2.6</v>
      </c>
    </row>
    <row r="132" spans="1:7" hidden="1" x14ac:dyDescent="0.3">
      <c r="A132">
        <v>3</v>
      </c>
      <c r="B132">
        <v>5</v>
      </c>
      <c r="C132" t="s">
        <v>139</v>
      </c>
      <c r="D132" t="s">
        <v>201</v>
      </c>
      <c r="E132">
        <v>0.45</v>
      </c>
      <c r="F132" t="s">
        <v>16</v>
      </c>
      <c r="G132">
        <f>'Precios Tablas'!$E$119 + R165</f>
        <v>2.6</v>
      </c>
    </row>
    <row r="133" spans="1:7" hidden="1" x14ac:dyDescent="0.3">
      <c r="A133">
        <v>3</v>
      </c>
      <c r="B133">
        <v>6</v>
      </c>
      <c r="C133" t="s">
        <v>139</v>
      </c>
      <c r="D133" t="s">
        <v>48</v>
      </c>
      <c r="E133">
        <v>0.05</v>
      </c>
      <c r="F133" t="s">
        <v>16</v>
      </c>
      <c r="G133">
        <f>'Precios Tablas'!$E$119 + R166</f>
        <v>2.6</v>
      </c>
    </row>
    <row r="134" spans="1:7" hidden="1" x14ac:dyDescent="0.3">
      <c r="A134">
        <v>3</v>
      </c>
      <c r="B134">
        <v>7</v>
      </c>
      <c r="C134" t="s">
        <v>139</v>
      </c>
      <c r="D134" t="s">
        <v>106</v>
      </c>
      <c r="E134">
        <v>0.18</v>
      </c>
      <c r="F134" t="s">
        <v>16</v>
      </c>
      <c r="G134">
        <f>'Precios Tablas'!$E$119 + R167</f>
        <v>2.6</v>
      </c>
    </row>
    <row r="135" spans="1:7" hidden="1" x14ac:dyDescent="0.3">
      <c r="A135">
        <v>2</v>
      </c>
      <c r="B135">
        <v>1</v>
      </c>
      <c r="C135" t="s">
        <v>171</v>
      </c>
      <c r="D135" t="s">
        <v>58</v>
      </c>
      <c r="E135">
        <v>18</v>
      </c>
      <c r="F135" t="s">
        <v>60</v>
      </c>
      <c r="G135">
        <f>'Precios Tablas'!$E$119 + R168</f>
        <v>2.6</v>
      </c>
    </row>
    <row r="136" spans="1:7" hidden="1" x14ac:dyDescent="0.3">
      <c r="A136">
        <v>2</v>
      </c>
      <c r="B136">
        <v>2</v>
      </c>
      <c r="C136" t="s">
        <v>139</v>
      </c>
      <c r="D136" t="s">
        <v>25</v>
      </c>
      <c r="E136">
        <v>0.51</v>
      </c>
      <c r="F136" t="s">
        <v>16</v>
      </c>
      <c r="G136">
        <f>'Precios Tablas'!$E$119 + R169</f>
        <v>2.6</v>
      </c>
    </row>
    <row r="137" spans="1:7" hidden="1" x14ac:dyDescent="0.3">
      <c r="A137">
        <v>2</v>
      </c>
      <c r="B137">
        <v>3</v>
      </c>
      <c r="C137" t="s">
        <v>139</v>
      </c>
      <c r="D137" t="s">
        <v>201</v>
      </c>
      <c r="E137">
        <v>0.39</v>
      </c>
      <c r="F137" t="s">
        <v>16</v>
      </c>
      <c r="G137">
        <f>'Precios Tablas'!$E$119 + R170</f>
        <v>2.6</v>
      </c>
    </row>
    <row r="138" spans="1:7" hidden="1" x14ac:dyDescent="0.3">
      <c r="A138">
        <v>2</v>
      </c>
      <c r="B138">
        <v>4</v>
      </c>
      <c r="C138" t="s">
        <v>139</v>
      </c>
      <c r="D138" t="s">
        <v>65</v>
      </c>
      <c r="E138">
        <v>0.15</v>
      </c>
      <c r="F138" t="s">
        <v>9</v>
      </c>
      <c r="G138">
        <f>'Precios Tablas'!$E$119 + R171</f>
        <v>2.6</v>
      </c>
    </row>
    <row r="139" spans="1:7" hidden="1" x14ac:dyDescent="0.3">
      <c r="A139">
        <v>2</v>
      </c>
      <c r="B139">
        <v>5</v>
      </c>
      <c r="C139" t="s">
        <v>139</v>
      </c>
      <c r="D139" t="s">
        <v>7</v>
      </c>
      <c r="E139">
        <v>0.15</v>
      </c>
      <c r="F139" t="s">
        <v>9</v>
      </c>
      <c r="G139">
        <f>'Precios Tablas'!$E$119 + R172</f>
        <v>2.6</v>
      </c>
    </row>
    <row r="140" spans="1:7" hidden="1" x14ac:dyDescent="0.3">
      <c r="A140">
        <v>2</v>
      </c>
      <c r="B140">
        <v>6</v>
      </c>
      <c r="C140" t="s">
        <v>139</v>
      </c>
      <c r="D140" t="s">
        <v>46</v>
      </c>
      <c r="E140">
        <v>5.0000000000000001E-3</v>
      </c>
      <c r="F140" t="s">
        <v>9</v>
      </c>
      <c r="G140">
        <f>'Precios Tablas'!$E$119 + R173</f>
        <v>2.6</v>
      </c>
    </row>
    <row r="141" spans="1:7" hidden="1" x14ac:dyDescent="0.3">
      <c r="A141">
        <v>1</v>
      </c>
      <c r="B141">
        <v>1</v>
      </c>
      <c r="C141" t="s">
        <v>171</v>
      </c>
      <c r="D141" t="s">
        <v>58</v>
      </c>
      <c r="E141">
        <v>18</v>
      </c>
      <c r="F141" t="s">
        <v>60</v>
      </c>
      <c r="G141">
        <f>'Precios Tablas'!$E$119 + R174</f>
        <v>2.6</v>
      </c>
    </row>
    <row r="142" spans="1:7" hidden="1" x14ac:dyDescent="0.3">
      <c r="A142">
        <v>1</v>
      </c>
      <c r="B142">
        <v>2</v>
      </c>
      <c r="C142" t="s">
        <v>139</v>
      </c>
      <c r="D142" t="s">
        <v>25</v>
      </c>
      <c r="E142">
        <v>0.51</v>
      </c>
      <c r="F142" t="s">
        <v>16</v>
      </c>
      <c r="G142">
        <f>'Precios Tablas'!$E$119 + R175</f>
        <v>2.6</v>
      </c>
    </row>
    <row r="143" spans="1:7" hidden="1" x14ac:dyDescent="0.3">
      <c r="A143">
        <v>1</v>
      </c>
      <c r="B143">
        <v>3</v>
      </c>
      <c r="C143" t="s">
        <v>139</v>
      </c>
      <c r="D143" t="s">
        <v>201</v>
      </c>
      <c r="E143">
        <v>0.39</v>
      </c>
      <c r="F143" t="s">
        <v>16</v>
      </c>
      <c r="G143">
        <f>'Precios Tablas'!$E$119 + R176</f>
        <v>2.6</v>
      </c>
    </row>
    <row r="144" spans="1:7" hidden="1" x14ac:dyDescent="0.3">
      <c r="A144">
        <v>1</v>
      </c>
      <c r="B144">
        <v>4</v>
      </c>
      <c r="C144" t="s">
        <v>139</v>
      </c>
      <c r="D144" t="s">
        <v>48</v>
      </c>
      <c r="E144">
        <v>0.09</v>
      </c>
      <c r="F144" t="s">
        <v>16</v>
      </c>
      <c r="G144">
        <f>'Precios Tablas'!$E$119 + R177</f>
        <v>2.6</v>
      </c>
    </row>
    <row r="145" spans="1:7" hidden="1" x14ac:dyDescent="0.3">
      <c r="A145">
        <v>1</v>
      </c>
      <c r="B145">
        <v>5</v>
      </c>
      <c r="C145" t="s">
        <v>139</v>
      </c>
      <c r="D145" t="s">
        <v>65</v>
      </c>
      <c r="E145">
        <v>0.15</v>
      </c>
      <c r="F145" t="s">
        <v>9</v>
      </c>
      <c r="G145">
        <f>'Precios Tablas'!$E$119 + R178</f>
        <v>2.6</v>
      </c>
    </row>
    <row r="146" spans="1:7" hidden="1" x14ac:dyDescent="0.3">
      <c r="A146">
        <v>1</v>
      </c>
      <c r="B146">
        <v>6</v>
      </c>
      <c r="C146" t="s">
        <v>139</v>
      </c>
      <c r="D146" t="s">
        <v>7</v>
      </c>
      <c r="E146">
        <v>0.15</v>
      </c>
      <c r="F146" t="s">
        <v>9</v>
      </c>
      <c r="G146">
        <f>'Precios Tablas'!$E$119 + R179</f>
        <v>2.6</v>
      </c>
    </row>
    <row r="147" spans="1:7" hidden="1" x14ac:dyDescent="0.3">
      <c r="A147">
        <v>1</v>
      </c>
      <c r="B147">
        <v>7</v>
      </c>
      <c r="C147" t="s">
        <v>139</v>
      </c>
      <c r="D147" t="s">
        <v>46</v>
      </c>
      <c r="E147">
        <v>5.0000000000000001E-3</v>
      </c>
      <c r="F147" t="s">
        <v>9</v>
      </c>
      <c r="G147">
        <f>'Precios Tablas'!$E$119 + R180</f>
        <v>2.6</v>
      </c>
    </row>
  </sheetData>
  <sortState xmlns:xlrd2="http://schemas.microsoft.com/office/spreadsheetml/2017/richdata2" ref="A5:G9">
    <sortCondition ref="B1"/>
    <sortCondition ref="C1"/>
  </sortState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9C53E-CDAC-4F17-B2A1-88D864B5B55E}">
  <sheetPr codeName="Hoja6"/>
  <dimension ref="A1:H101"/>
  <sheetViews>
    <sheetView workbookViewId="0">
      <selection activeCell="G7" sqref="G7"/>
    </sheetView>
  </sheetViews>
  <sheetFormatPr baseColWidth="10" defaultRowHeight="14.4" x14ac:dyDescent="0.3"/>
  <cols>
    <col min="1" max="1" width="4.6640625" style="46" bestFit="1" customWidth="1"/>
    <col min="2" max="2" width="35.33203125" bestFit="1" customWidth="1"/>
    <col min="3" max="3" width="21.33203125" style="16" bestFit="1" customWidth="1"/>
    <col min="4" max="4" width="24.88671875" style="16" bestFit="1" customWidth="1"/>
    <col min="5" max="6" width="13.109375" style="16" bestFit="1" customWidth="1"/>
    <col min="7" max="7" width="13.33203125" style="47" bestFit="1" customWidth="1"/>
    <col min="8" max="8" width="14.6640625" style="16" bestFit="1" customWidth="1"/>
  </cols>
  <sheetData>
    <row r="1" spans="1:8" x14ac:dyDescent="0.3">
      <c r="A1" s="46" t="s">
        <v>177</v>
      </c>
      <c r="B1" t="s">
        <v>269</v>
      </c>
      <c r="C1" s="16" t="s">
        <v>270</v>
      </c>
      <c r="D1" s="16" t="s">
        <v>271</v>
      </c>
      <c r="E1" s="16" t="s">
        <v>272</v>
      </c>
      <c r="F1" s="16" t="s">
        <v>273</v>
      </c>
      <c r="G1" s="47" t="s">
        <v>274</v>
      </c>
      <c r="H1" s="16" t="s">
        <v>275</v>
      </c>
    </row>
    <row r="2" spans="1:8" x14ac:dyDescent="0.3">
      <c r="A2" s="46">
        <v>1</v>
      </c>
      <c r="B2" t="str">
        <f>VLOOKUP(Tabla5[[#This Row],[id]],TabRecetas[],2,FALSE)</f>
        <v>Genoise de Vainilla</v>
      </c>
      <c r="C2" s="16">
        <f>VLOOKUP(Tabla5[[#This Row],[id]],TabRecetas[],8,FALSE)</f>
        <v>21.84</v>
      </c>
      <c r="D2" s="16">
        <f>Tabla5[[#This Row],[Precio de elavoracion]]+Informacion!$O$4</f>
        <v>41.84</v>
      </c>
      <c r="E2" s="16">
        <f>Tabla5[[#This Row],[Precio de elavoracion]]+(Tabla5[[#This Row],[Precio de elavoracion]]*30%)+Informacion!$O$4</f>
        <v>48.391999999999996</v>
      </c>
      <c r="F2" s="16">
        <f>Tabla5[[#This Row],[Precio de elavoracion]]+(Tabla5[[#This Row],[Precio de elavoracion]]*60%)+Informacion!$O$4</f>
        <v>54.944000000000003</v>
      </c>
      <c r="H2" s="16">
        <f>Tabla5[[#This Row],[Precio de elavoracion]]+(Tabla5[[#This Row],[Precio de elavoracion]]*Tabla5[[#This Row],[% + editable]])+Informacion!$O$4</f>
        <v>41.84</v>
      </c>
    </row>
    <row r="3" spans="1:8" x14ac:dyDescent="0.3">
      <c r="A3" s="46">
        <v>2</v>
      </c>
      <c r="B3" t="str">
        <f>VLOOKUP(Tabla5[[#This Row],[id]],TabRecetas[],2,FALSE)</f>
        <v>Genoise de Chocolate</v>
      </c>
      <c r="C3" s="16">
        <f>VLOOKUP(Tabla5[[#This Row],[id]],TabRecetas[],8,FALSE)</f>
        <v>18.72</v>
      </c>
      <c r="D3" s="16">
        <f>Tabla5[[#This Row],[Precio de elavoracion]]+Informacion!$O$4</f>
        <v>38.72</v>
      </c>
      <c r="E3" s="16">
        <f>Tabla5[[#This Row],[Precio de elavoracion]]+(Tabla5[[#This Row],[Precio de elavoracion]]*30%)+Informacion!$O$4</f>
        <v>44.335999999999999</v>
      </c>
      <c r="F3" s="16">
        <f>Tabla5[[#This Row],[Precio de elavoracion]]+(Tabla5[[#This Row],[Precio de elavoracion]]*60%)+Informacion!$O$4</f>
        <v>49.951999999999998</v>
      </c>
      <c r="H3" s="16">
        <f>Tabla5[[#This Row],[Precio de elavoracion]]+(Tabla5[[#This Row],[Precio de elavoracion]]*Tabla5[[#This Row],[% + editable]])+Informacion!$O$4</f>
        <v>38.72</v>
      </c>
    </row>
    <row r="4" spans="1:8" x14ac:dyDescent="0.3">
      <c r="A4" s="46">
        <v>3</v>
      </c>
      <c r="B4" t="str">
        <f>VLOOKUP(Tabla5[[#This Row],[id]],TabRecetas[],2,FALSE)</f>
        <v>Bizcocho Genoves</v>
      </c>
      <c r="C4" s="16">
        <f>VLOOKUP(Tabla5[[#This Row],[id]],TabRecetas[],8,FALSE)</f>
        <v>21.84</v>
      </c>
      <c r="D4" s="16">
        <f>Tabla5[[#This Row],[Precio de elavoracion]]+Informacion!$O$4</f>
        <v>41.84</v>
      </c>
      <c r="E4" s="16">
        <f>Tabla5[[#This Row],[Precio de elavoracion]]+(Tabla5[[#This Row],[Precio de elavoracion]]*30%)+Informacion!$O$4</f>
        <v>48.391999999999996</v>
      </c>
      <c r="F4" s="16">
        <f>Tabla5[[#This Row],[Precio de elavoracion]]+(Tabla5[[#This Row],[Precio de elavoracion]]*60%)+Informacion!$O$4</f>
        <v>54.944000000000003</v>
      </c>
      <c r="H4" s="16">
        <f>Tabla5[[#This Row],[Precio de elavoracion]]+(Tabla5[[#This Row],[Precio de elavoracion]]*Tabla5[[#This Row],[% + editable]])+Informacion!$O$4</f>
        <v>41.84</v>
      </c>
    </row>
    <row r="5" spans="1:8" x14ac:dyDescent="0.3">
      <c r="A5" s="46">
        <v>4</v>
      </c>
      <c r="B5" t="str">
        <f>VLOOKUP(Tabla5[[#This Row],[id]],TabRecetas[],2,FALSE)</f>
        <v>Bizcocho de Almendra sin Gluten</v>
      </c>
      <c r="C5" s="16">
        <f>VLOOKUP(Tabla5[[#This Row],[id]],TabRecetas[],8,FALSE)</f>
        <v>18.72</v>
      </c>
      <c r="D5" s="16">
        <f>Tabla5[[#This Row],[Precio de elavoracion]]+Informacion!$O$4</f>
        <v>38.72</v>
      </c>
      <c r="E5" s="16">
        <f>Tabla5[[#This Row],[Precio de elavoracion]]+(Tabla5[[#This Row],[Precio de elavoracion]]*30%)+Informacion!$O$4</f>
        <v>44.335999999999999</v>
      </c>
      <c r="F5" s="16">
        <f>Tabla5[[#This Row],[Precio de elavoracion]]+(Tabla5[[#This Row],[Precio de elavoracion]]*60%)+Informacion!$O$4</f>
        <v>49.951999999999998</v>
      </c>
      <c r="H5" s="16">
        <f>Tabla5[[#This Row],[Precio de elavoracion]]+(Tabla5[[#This Row],[Precio de elavoracion]]*Tabla5[[#This Row],[% + editable]])+Informacion!$O$4</f>
        <v>38.72</v>
      </c>
    </row>
    <row r="6" spans="1:8" x14ac:dyDescent="0.3">
      <c r="A6" s="46">
        <v>5</v>
      </c>
      <c r="B6" t="str">
        <f>VLOOKUP(Tabla5[[#This Row],[id]],TabRecetas[],2,FALSE)</f>
        <v>Bizcocho Sacherthorte</v>
      </c>
      <c r="C6" s="16">
        <f>VLOOKUP(Tabla5[[#This Row],[id]],TabRecetas[],8,FALSE)</f>
        <v>18.72</v>
      </c>
      <c r="D6" s="16">
        <f>Tabla5[[#This Row],[Precio de elavoracion]]+Informacion!$O$4</f>
        <v>38.72</v>
      </c>
      <c r="E6" s="16">
        <f>Tabla5[[#This Row],[Precio de elavoracion]]+(Tabla5[[#This Row],[Precio de elavoracion]]*30%)+Informacion!$O$4</f>
        <v>44.335999999999999</v>
      </c>
      <c r="F6" s="16">
        <f>Tabla5[[#This Row],[Precio de elavoracion]]+(Tabla5[[#This Row],[Precio de elavoracion]]*60%)+Informacion!$O$4</f>
        <v>49.951999999999998</v>
      </c>
      <c r="H6" s="16">
        <f>Tabla5[[#This Row],[Precio de elavoracion]]+(Tabla5[[#This Row],[Precio de elavoracion]]*Tabla5[[#This Row],[% + editable]])+Informacion!$O$4</f>
        <v>38.72</v>
      </c>
    </row>
    <row r="7" spans="1:8" x14ac:dyDescent="0.3">
      <c r="A7" s="46">
        <v>6</v>
      </c>
      <c r="B7" t="str">
        <f>VLOOKUP(Tabla5[[#This Row],[id]],TabRecetas[],2,FALSE)</f>
        <v>Base de Mostachon</v>
      </c>
      <c r="C7" s="16">
        <f>VLOOKUP(Tabla5[[#This Row],[id]],TabRecetas[],8,FALSE)</f>
        <v>938.5007999999998</v>
      </c>
      <c r="D7" s="16">
        <f>Tabla5[[#This Row],[Precio de elavoracion]]+Informacion!$O$4</f>
        <v>958.5007999999998</v>
      </c>
      <c r="E7" s="16">
        <f>Tabla5[[#This Row],[Precio de elavoracion]]+(Tabla5[[#This Row],[Precio de elavoracion]]*30%)+Informacion!$O$4</f>
        <v>1240.0510399999998</v>
      </c>
      <c r="F7" s="16">
        <f>Tabla5[[#This Row],[Precio de elavoracion]]+(Tabla5[[#This Row],[Precio de elavoracion]]*60%)+Informacion!$O$4</f>
        <v>1521.6012799999996</v>
      </c>
      <c r="H7" s="16">
        <f>Tabla5[[#This Row],[Precio de elavoracion]]+(Tabla5[[#This Row],[Precio de elavoracion]]*Tabla5[[#This Row],[% + editable]])+Informacion!$O$4</f>
        <v>958.5007999999998</v>
      </c>
    </row>
    <row r="8" spans="1:8" x14ac:dyDescent="0.3">
      <c r="A8" s="46">
        <v>7</v>
      </c>
      <c r="B8" t="str">
        <f>VLOOKUP(Tabla5[[#This Row],[id]],TabRecetas[],2,FALSE)</f>
        <v>Base de Gardencake</v>
      </c>
      <c r="C8" s="16">
        <f>VLOOKUP(Tabla5[[#This Row],[id]],TabRecetas[],8,FALSE)</f>
        <v>54.799842592592597</v>
      </c>
      <c r="D8" s="16">
        <f>Tabla5[[#This Row],[Precio de elavoracion]]+Informacion!$O$4</f>
        <v>74.799842592592597</v>
      </c>
      <c r="E8" s="16">
        <f>Tabla5[[#This Row],[Precio de elavoracion]]+(Tabla5[[#This Row],[Precio de elavoracion]]*30%)+Informacion!$O$4</f>
        <v>91.239795370370373</v>
      </c>
      <c r="F8" s="16">
        <f>Tabla5[[#This Row],[Precio de elavoracion]]+(Tabla5[[#This Row],[Precio de elavoracion]]*60%)+Informacion!$O$4</f>
        <v>107.67974814814815</v>
      </c>
      <c r="H8" s="16">
        <f>Tabla5[[#This Row],[Precio de elavoracion]]+(Tabla5[[#This Row],[Precio de elavoracion]]*Tabla5[[#This Row],[% + editable]])+Informacion!$O$4</f>
        <v>74.799842592592597</v>
      </c>
    </row>
    <row r="9" spans="1:8" x14ac:dyDescent="0.3">
      <c r="A9" s="46">
        <v>8</v>
      </c>
      <c r="B9" t="str">
        <f>VLOOKUP(Tabla5[[#This Row],[id]],TabRecetas[],2,FALSE)</f>
        <v>Pan de Yema</v>
      </c>
      <c r="C9" s="16">
        <f>VLOOKUP(Tabla5[[#This Row],[id]],TabRecetas[],8,FALSE)</f>
        <v>28.080000000000002</v>
      </c>
      <c r="D9" s="16">
        <f>Tabla5[[#This Row],[Precio de elavoracion]]+Informacion!$O$4</f>
        <v>48.08</v>
      </c>
      <c r="E9" s="16">
        <f>Tabla5[[#This Row],[Precio de elavoracion]]+(Tabla5[[#This Row],[Precio de elavoracion]]*30%)+Informacion!$O$4</f>
        <v>56.504000000000005</v>
      </c>
      <c r="F9" s="16">
        <f>Tabla5[[#This Row],[Precio de elavoracion]]+(Tabla5[[#This Row],[Precio de elavoracion]]*60%)+Informacion!$O$4</f>
        <v>64.927999999999997</v>
      </c>
      <c r="H9" s="16">
        <f>Tabla5[[#This Row],[Precio de elavoracion]]+(Tabla5[[#This Row],[Precio de elavoracion]]*Tabla5[[#This Row],[% + editable]])+Informacion!$O$4</f>
        <v>48.08</v>
      </c>
    </row>
    <row r="10" spans="1:8" x14ac:dyDescent="0.3">
      <c r="A10" s="46">
        <v>9</v>
      </c>
      <c r="B10" t="str">
        <f>VLOOKUP(Tabla5[[#This Row],[id]],TabRecetas[],2,FALSE)</f>
        <v>Panque para Pastel Fondant</v>
      </c>
      <c r="C10" s="16">
        <f>VLOOKUP(Tabla5[[#This Row],[id]],TabRecetas[],8,FALSE)</f>
        <v>21.84</v>
      </c>
      <c r="D10" s="16">
        <f>Tabla5[[#This Row],[Precio de elavoracion]]+Informacion!$O$4</f>
        <v>41.84</v>
      </c>
      <c r="E10" s="16">
        <f>Tabla5[[#This Row],[Precio de elavoracion]]+(Tabla5[[#This Row],[Precio de elavoracion]]*30%)+Informacion!$O$4</f>
        <v>48.391999999999996</v>
      </c>
      <c r="F10" s="16">
        <f>Tabla5[[#This Row],[Precio de elavoracion]]+(Tabla5[[#This Row],[Precio de elavoracion]]*60%)+Informacion!$O$4</f>
        <v>54.944000000000003</v>
      </c>
      <c r="H10" s="16">
        <f>Tabla5[[#This Row],[Precio de elavoracion]]+(Tabla5[[#This Row],[Precio de elavoracion]]*Tabla5[[#This Row],[% + editable]])+Informacion!$O$4</f>
        <v>41.84</v>
      </c>
    </row>
    <row r="11" spans="1:8" x14ac:dyDescent="0.3">
      <c r="A11" s="46">
        <v>10</v>
      </c>
      <c r="B11" t="str">
        <f>VLOOKUP(Tabla5[[#This Row],[id]],TabRecetas[],2,FALSE)</f>
        <v>Brownie</v>
      </c>
      <c r="C11" s="16">
        <f>VLOOKUP(Tabla5[[#This Row],[id]],TabRecetas[],8,FALSE)</f>
        <v>21.84</v>
      </c>
      <c r="D11" s="16">
        <f>Tabla5[[#This Row],[Precio de elavoracion]]+Informacion!$O$4</f>
        <v>41.84</v>
      </c>
      <c r="E11" s="16">
        <f>Tabla5[[#This Row],[Precio de elavoracion]]+(Tabla5[[#This Row],[Precio de elavoracion]]*30%)+Informacion!$O$4</f>
        <v>48.391999999999996</v>
      </c>
      <c r="F11" s="16">
        <f>Tabla5[[#This Row],[Precio de elavoracion]]+(Tabla5[[#This Row],[Precio de elavoracion]]*60%)+Informacion!$O$4</f>
        <v>54.944000000000003</v>
      </c>
      <c r="H11" s="16">
        <f>Tabla5[[#This Row],[Precio de elavoracion]]+(Tabla5[[#This Row],[Precio de elavoracion]]*Tabla5[[#This Row],[% + editable]])+Informacion!$O$4</f>
        <v>41.84</v>
      </c>
    </row>
    <row r="12" spans="1:8" x14ac:dyDescent="0.3">
      <c r="A12" s="46">
        <v>11</v>
      </c>
      <c r="B12" t="str">
        <f>VLOOKUP(Tabla5[[#This Row],[id]],TabRecetas[],2,FALSE)</f>
        <v>Macarrones</v>
      </c>
      <c r="C12" s="16">
        <f>VLOOKUP(Tabla5[[#This Row],[id]],TabRecetas[],8,FALSE)</f>
        <v>12.48</v>
      </c>
      <c r="D12" s="16">
        <f>Tabla5[[#This Row],[Precio de elavoracion]]+Informacion!$O$4</f>
        <v>32.480000000000004</v>
      </c>
      <c r="E12" s="16">
        <f>Tabla5[[#This Row],[Precio de elavoracion]]+(Tabla5[[#This Row],[Precio de elavoracion]]*30%)+Informacion!$O$4</f>
        <v>36.224000000000004</v>
      </c>
      <c r="F12" s="16">
        <f>Tabla5[[#This Row],[Precio de elavoracion]]+(Tabla5[[#This Row],[Precio de elavoracion]]*60%)+Informacion!$O$4</f>
        <v>39.968000000000004</v>
      </c>
      <c r="H12" s="16">
        <f>Tabla5[[#This Row],[Precio de elavoracion]]+(Tabla5[[#This Row],[Precio de elavoracion]]*Tabla5[[#This Row],[% + editable]])+Informacion!$O$4</f>
        <v>32.480000000000004</v>
      </c>
    </row>
    <row r="13" spans="1:8" x14ac:dyDescent="0.3">
      <c r="A13" s="46">
        <v>12</v>
      </c>
      <c r="B13" t="str">
        <f>VLOOKUP(Tabla5[[#This Row],[id]],TabRecetas[],2,FALSE)</f>
        <v>Rosca de Reyes</v>
      </c>
      <c r="C13" s="16">
        <f>VLOOKUP(Tabla5[[#This Row],[id]],TabRecetas[],8,FALSE)</f>
        <v>28.080000000000002</v>
      </c>
      <c r="D13" s="16">
        <f>Tabla5[[#This Row],[Precio de elavoracion]]+Informacion!$O$4</f>
        <v>48.08</v>
      </c>
      <c r="E13" s="16">
        <f>Tabla5[[#This Row],[Precio de elavoracion]]+(Tabla5[[#This Row],[Precio de elavoracion]]*30%)+Informacion!$O$4</f>
        <v>56.504000000000005</v>
      </c>
      <c r="F13" s="16">
        <f>Tabla5[[#This Row],[Precio de elavoracion]]+(Tabla5[[#This Row],[Precio de elavoracion]]*60%)+Informacion!$O$4</f>
        <v>64.927999999999997</v>
      </c>
      <c r="H13" s="16">
        <f>Tabla5[[#This Row],[Precio de elavoracion]]+(Tabla5[[#This Row],[Precio de elavoracion]]*Tabla5[[#This Row],[% + editable]])+Informacion!$O$4</f>
        <v>48.08</v>
      </c>
    </row>
    <row r="14" spans="1:8" x14ac:dyDescent="0.3">
      <c r="A14" s="46">
        <v>13</v>
      </c>
      <c r="B14" t="str">
        <f>VLOOKUP(Tabla5[[#This Row],[id]],TabRecetas[],2,FALSE)</f>
        <v>Base Pastel Rectangular Chocozarzamora</v>
      </c>
      <c r="C14" s="16">
        <f>VLOOKUP(Tabla5[[#This Row],[id]],TabRecetas[],8,FALSE)</f>
        <v>132.58568888888888</v>
      </c>
      <c r="D14" s="16">
        <f>Tabla5[[#This Row],[Precio de elavoracion]]+Informacion!$O$4</f>
        <v>152.58568888888888</v>
      </c>
      <c r="E14" s="16">
        <f>Tabla5[[#This Row],[Precio de elavoracion]]+(Tabla5[[#This Row],[Precio de elavoracion]]*30%)+Informacion!$O$4</f>
        <v>192.36139555555553</v>
      </c>
      <c r="F14" s="16">
        <f>Tabla5[[#This Row],[Precio de elavoracion]]+(Tabla5[[#This Row],[Precio de elavoracion]]*60%)+Informacion!$O$4</f>
        <v>232.13710222222221</v>
      </c>
      <c r="H14" s="16">
        <f>Tabla5[[#This Row],[Precio de elavoracion]]+(Tabla5[[#This Row],[Precio de elavoracion]]*Tabla5[[#This Row],[% + editable]])+Informacion!$O$4</f>
        <v>152.58568888888888</v>
      </c>
    </row>
    <row r="15" spans="1:8" x14ac:dyDescent="0.3">
      <c r="A15" s="46">
        <v>14</v>
      </c>
      <c r="B15" t="str">
        <f>VLOOKUP(Tabla5[[#This Row],[id]],TabRecetas[],2,FALSE)</f>
        <v>Base de Niño Envuelto</v>
      </c>
      <c r="C15" s="16">
        <f>VLOOKUP(Tabla5[[#This Row],[id]],TabRecetas[],8,FALSE)</f>
        <v>25.484999999999996</v>
      </c>
      <c r="D15" s="16">
        <f>Tabla5[[#This Row],[Precio de elavoracion]]+Informacion!$O$4</f>
        <v>45.484999999999999</v>
      </c>
      <c r="E15" s="16">
        <f>Tabla5[[#This Row],[Precio de elavoracion]]+(Tabla5[[#This Row],[Precio de elavoracion]]*30%)+Informacion!$O$4</f>
        <v>53.130499999999998</v>
      </c>
      <c r="F15" s="16">
        <f>Tabla5[[#This Row],[Precio de elavoracion]]+(Tabla5[[#This Row],[Precio de elavoracion]]*60%)+Informacion!$O$4</f>
        <v>60.775999999999996</v>
      </c>
      <c r="H15" s="16">
        <f>Tabla5[[#This Row],[Precio de elavoracion]]+(Tabla5[[#This Row],[Precio de elavoracion]]*Tabla5[[#This Row],[% + editable]])+Informacion!$O$4</f>
        <v>45.484999999999999</v>
      </c>
    </row>
    <row r="16" spans="1:8" x14ac:dyDescent="0.3">
      <c r="A16" s="46">
        <v>15</v>
      </c>
      <c r="B16" t="str">
        <f>VLOOKUP(Tabla5[[#This Row],[id]],TabRecetas[],2,FALSE)</f>
        <v>Masa de Tartas</v>
      </c>
      <c r="C16" s="16">
        <f>VLOOKUP(Tabla5[[#This Row],[id]],TabRecetas[],8,FALSE)</f>
        <v>9.3600000000000012</v>
      </c>
      <c r="D16" s="16">
        <f>Tabla5[[#This Row],[Precio de elavoracion]]+Informacion!$O$4</f>
        <v>29.36</v>
      </c>
      <c r="E16" s="16">
        <f>Tabla5[[#This Row],[Precio de elavoracion]]+(Tabla5[[#This Row],[Precio de elavoracion]]*30%)+Informacion!$O$4</f>
        <v>32.167999999999999</v>
      </c>
      <c r="F16" s="16">
        <f>Tabla5[[#This Row],[Precio de elavoracion]]+(Tabla5[[#This Row],[Precio de elavoracion]]*60%)+Informacion!$O$4</f>
        <v>34.975999999999999</v>
      </c>
      <c r="H16" s="16">
        <f>Tabla5[[#This Row],[Precio de elavoracion]]+(Tabla5[[#This Row],[Precio de elavoracion]]*Tabla5[[#This Row],[% + editable]])+Informacion!$O$4</f>
        <v>29.36</v>
      </c>
    </row>
    <row r="17" spans="1:8" x14ac:dyDescent="0.3">
      <c r="A17" s="46">
        <v>16</v>
      </c>
      <c r="B17" t="str">
        <f>VLOOKUP(Tabla5[[#This Row],[id]],TabRecetas[],2,FALSE)</f>
        <v>Masa Sucre</v>
      </c>
      <c r="C17" s="16">
        <f>VLOOKUP(Tabla5[[#This Row],[id]],TabRecetas[],8,FALSE)</f>
        <v>12.48</v>
      </c>
      <c r="D17" s="16">
        <f>Tabla5[[#This Row],[Precio de elavoracion]]+Informacion!$O$4</f>
        <v>32.480000000000004</v>
      </c>
      <c r="E17" s="16">
        <f>Tabla5[[#This Row],[Precio de elavoracion]]+(Tabla5[[#This Row],[Precio de elavoracion]]*30%)+Informacion!$O$4</f>
        <v>36.224000000000004</v>
      </c>
      <c r="F17" s="16">
        <f>Tabla5[[#This Row],[Precio de elavoracion]]+(Tabla5[[#This Row],[Precio de elavoracion]]*60%)+Informacion!$O$4</f>
        <v>39.968000000000004</v>
      </c>
      <c r="H17" s="16">
        <f>Tabla5[[#This Row],[Precio de elavoracion]]+(Tabla5[[#This Row],[Precio de elavoracion]]*Tabla5[[#This Row],[% + editable]])+Informacion!$O$4</f>
        <v>32.480000000000004</v>
      </c>
    </row>
    <row r="18" spans="1:8" x14ac:dyDescent="0.3">
      <c r="A18" s="46">
        <v>17</v>
      </c>
      <c r="B18" t="str">
        <f>VLOOKUP(Tabla5[[#This Row],[id]],TabRecetas[],2,FALSE)</f>
        <v>Panque para Pastel (Vainilla)</v>
      </c>
      <c r="C18" s="16">
        <f>VLOOKUP(Tabla5[[#This Row],[id]],TabRecetas[],8,FALSE)</f>
        <v>21.84</v>
      </c>
      <c r="D18" s="16">
        <f>Tabla5[[#This Row],[Precio de elavoracion]]+Informacion!$O$4</f>
        <v>41.84</v>
      </c>
      <c r="E18" s="16">
        <f>Tabla5[[#This Row],[Precio de elavoracion]]+(Tabla5[[#This Row],[Precio de elavoracion]]*30%)+Informacion!$O$4</f>
        <v>48.391999999999996</v>
      </c>
      <c r="F18" s="16">
        <f>Tabla5[[#This Row],[Precio de elavoracion]]+(Tabla5[[#This Row],[Precio de elavoracion]]*60%)+Informacion!$O$4</f>
        <v>54.944000000000003</v>
      </c>
      <c r="H18" s="16">
        <f>Tabla5[[#This Row],[Precio de elavoracion]]+(Tabla5[[#This Row],[Precio de elavoracion]]*Tabla5[[#This Row],[% + editable]])+Informacion!$O$4</f>
        <v>41.84</v>
      </c>
    </row>
    <row r="19" spans="1:8" x14ac:dyDescent="0.3">
      <c r="A19" s="46">
        <v>18</v>
      </c>
      <c r="B19" t="str">
        <f>VLOOKUP(Tabla5[[#This Row],[id]],TabRecetas[],2,FALSE)</f>
        <v>Panque para Pastel (Chocolate)</v>
      </c>
      <c r="C19" s="16">
        <f>VLOOKUP(Tabla5[[#This Row],[id]],TabRecetas[],8,FALSE)</f>
        <v>28.080000000000002</v>
      </c>
      <c r="D19" s="16">
        <f>Tabla5[[#This Row],[Precio de elavoracion]]+Informacion!$O$4</f>
        <v>48.08</v>
      </c>
      <c r="E19" s="16">
        <f>Tabla5[[#This Row],[Precio de elavoracion]]+(Tabla5[[#This Row],[Precio de elavoracion]]*30%)+Informacion!$O$4</f>
        <v>56.504000000000005</v>
      </c>
      <c r="F19" s="16">
        <f>Tabla5[[#This Row],[Precio de elavoracion]]+(Tabla5[[#This Row],[Precio de elavoracion]]*60%)+Informacion!$O$4</f>
        <v>64.927999999999997</v>
      </c>
      <c r="H19" s="16">
        <f>Tabla5[[#This Row],[Precio de elavoracion]]+(Tabla5[[#This Row],[Precio de elavoracion]]*Tabla5[[#This Row],[% + editable]])+Informacion!$O$4</f>
        <v>48.08</v>
      </c>
    </row>
    <row r="20" spans="1:8" x14ac:dyDescent="0.3">
      <c r="A20" s="46">
        <v>19</v>
      </c>
      <c r="B20" t="str">
        <f>VLOOKUP(Tabla5[[#This Row],[id]],TabRecetas[],2,FALSE)</f>
        <v>Bizcoocho 4x4 Panque</v>
      </c>
      <c r="C20" s="16">
        <f>VLOOKUP(Tabla5[[#This Row],[id]],TabRecetas[],8,FALSE)</f>
        <v>18.72</v>
      </c>
      <c r="D20" s="16">
        <f>Tabla5[[#This Row],[Precio de elavoracion]]+Informacion!$O$4</f>
        <v>38.72</v>
      </c>
      <c r="E20" s="16">
        <f>Tabla5[[#This Row],[Precio de elavoracion]]+(Tabla5[[#This Row],[Precio de elavoracion]]*30%)+Informacion!$O$4</f>
        <v>44.335999999999999</v>
      </c>
      <c r="F20" s="16">
        <f>Tabla5[[#This Row],[Precio de elavoracion]]+(Tabla5[[#This Row],[Precio de elavoracion]]*60%)+Informacion!$O$4</f>
        <v>49.951999999999998</v>
      </c>
      <c r="H20" s="16">
        <f>Tabla5[[#This Row],[Precio de elavoracion]]+(Tabla5[[#This Row],[Precio de elavoracion]]*Tabla5[[#This Row],[% + editable]])+Informacion!$O$4</f>
        <v>38.72</v>
      </c>
    </row>
    <row r="21" spans="1:8" x14ac:dyDescent="0.3">
      <c r="A21" s="46">
        <v>20</v>
      </c>
      <c r="B21" t="str">
        <f>VLOOKUP(Tabla5[[#This Row],[id]],TabRecetas[],2,FALSE)</f>
        <v>Biscocho de Almendras (Citricos)</v>
      </c>
      <c r="C21" s="16">
        <f>VLOOKUP(Tabla5[[#This Row],[id]],TabRecetas[],8,FALSE)</f>
        <v>24.96</v>
      </c>
      <c r="D21" s="16">
        <f>Tabla5[[#This Row],[Precio de elavoracion]]+Informacion!$O$4</f>
        <v>44.96</v>
      </c>
      <c r="E21" s="16">
        <f>Tabla5[[#This Row],[Precio de elavoracion]]+(Tabla5[[#This Row],[Precio de elavoracion]]*30%)+Informacion!$O$4</f>
        <v>52.448</v>
      </c>
      <c r="F21" s="16">
        <f>Tabla5[[#This Row],[Precio de elavoracion]]+(Tabla5[[#This Row],[Precio de elavoracion]]*60%)+Informacion!$O$4</f>
        <v>59.936</v>
      </c>
      <c r="H21" s="16">
        <f>Tabla5[[#This Row],[Precio de elavoracion]]+(Tabla5[[#This Row],[Precio de elavoracion]]*Tabla5[[#This Row],[% + editable]])+Informacion!$O$4</f>
        <v>44.96</v>
      </c>
    </row>
    <row r="22" spans="1:8" x14ac:dyDescent="0.3">
      <c r="A22" s="46">
        <v>21</v>
      </c>
      <c r="B22" t="str">
        <f>VLOOKUP(Tabla5[[#This Row],[id]],TabRecetas[],2,FALSE)</f>
        <v>Biscocho Choco Rollo Navideño</v>
      </c>
      <c r="C22" s="16">
        <f>VLOOKUP(Tabla5[[#This Row],[id]],TabRecetas[],8,FALSE)</f>
        <v>24.57</v>
      </c>
      <c r="D22" s="16">
        <f>Tabla5[[#This Row],[Precio de elavoracion]]+Informacion!$O$4</f>
        <v>44.57</v>
      </c>
      <c r="E22" s="16">
        <f>Tabla5[[#This Row],[Precio de elavoracion]]+(Tabla5[[#This Row],[Precio de elavoracion]]*30%)+Informacion!$O$4</f>
        <v>51.941000000000003</v>
      </c>
      <c r="F22" s="16">
        <f>Tabla5[[#This Row],[Precio de elavoracion]]+(Tabla5[[#This Row],[Precio de elavoracion]]*60%)+Informacion!$O$4</f>
        <v>59.311999999999998</v>
      </c>
      <c r="H22" s="16">
        <f>Tabla5[[#This Row],[Precio de elavoracion]]+(Tabla5[[#This Row],[Precio de elavoracion]]*Tabla5[[#This Row],[% + editable]])+Informacion!$O$4</f>
        <v>44.57</v>
      </c>
    </row>
    <row r="23" spans="1:8" x14ac:dyDescent="0.3">
      <c r="A23" s="46">
        <v>22</v>
      </c>
      <c r="B23" t="str">
        <f>VLOOKUP(Tabla5[[#This Row],[id]],TabRecetas[],2,FALSE)</f>
        <v>Base de Galleta P/ Tarta de Platano</v>
      </c>
      <c r="C23" s="16">
        <f>VLOOKUP(Tabla5[[#This Row],[id]],TabRecetas[],8,FALSE)</f>
        <v>78.778800000000004</v>
      </c>
      <c r="D23" s="16">
        <f>Tabla5[[#This Row],[Precio de elavoracion]]+Informacion!$O$4</f>
        <v>98.778800000000004</v>
      </c>
      <c r="E23" s="16">
        <f>Tabla5[[#This Row],[Precio de elavoracion]]+(Tabla5[[#This Row],[Precio de elavoracion]]*30%)+Informacion!$O$4</f>
        <v>122.41244</v>
      </c>
      <c r="F23" s="16">
        <f>Tabla5[[#This Row],[Precio de elavoracion]]+(Tabla5[[#This Row],[Precio de elavoracion]]*60%)+Informacion!$O$4</f>
        <v>146.04608000000002</v>
      </c>
      <c r="H23" s="16">
        <f>Tabla5[[#This Row],[Precio de elavoracion]]+(Tabla5[[#This Row],[Precio de elavoracion]]*Tabla5[[#This Row],[% + editable]])+Informacion!$O$4</f>
        <v>98.778800000000004</v>
      </c>
    </row>
    <row r="24" spans="1:8" x14ac:dyDescent="0.3">
      <c r="A24" s="46">
        <v>23</v>
      </c>
      <c r="B24" t="str">
        <f>VLOOKUP(Tabla5[[#This Row],[id]],TabRecetas[],2,FALSE)</f>
        <v>Base de Galleta P/ Cheescake de Guayaba</v>
      </c>
      <c r="C24" s="16">
        <f>VLOOKUP(Tabla5[[#This Row],[id]],TabRecetas[],8,FALSE)</f>
        <v>2010.2114722222223</v>
      </c>
      <c r="D24" s="16">
        <f>Tabla5[[#This Row],[Precio de elavoracion]]+Informacion!$O$4</f>
        <v>2030.2114722222223</v>
      </c>
      <c r="E24" s="16">
        <f>Tabla5[[#This Row],[Precio de elavoracion]]+(Tabla5[[#This Row],[Precio de elavoracion]]*30%)+Informacion!$O$4</f>
        <v>2633.2749138888889</v>
      </c>
      <c r="F24" s="16">
        <f>Tabla5[[#This Row],[Precio de elavoracion]]+(Tabla5[[#This Row],[Precio de elavoracion]]*60%)+Informacion!$O$4</f>
        <v>3236.3383555555556</v>
      </c>
      <c r="H24" s="16">
        <f>Tabla5[[#This Row],[Precio de elavoracion]]+(Tabla5[[#This Row],[Precio de elavoracion]]*Tabla5[[#This Row],[% + editable]])+Informacion!$O$4</f>
        <v>2030.2114722222223</v>
      </c>
    </row>
    <row r="25" spans="1:8" x14ac:dyDescent="0.3">
      <c r="A25" s="46">
        <v>24</v>
      </c>
      <c r="B25" t="e">
        <f>VLOOKUP(Tabla5[[#This Row],[id]],TabRecetas[],2,FALSE)</f>
        <v>#N/A</v>
      </c>
      <c r="C25" s="16" t="e">
        <f>VLOOKUP(Tabla5[[#This Row],[id]],TabRecetas[],8,FALSE)</f>
        <v>#N/A</v>
      </c>
      <c r="D25" s="16" t="e">
        <f>Tabla5[[#This Row],[Precio de elavoracion]]+Informacion!$O$4</f>
        <v>#N/A</v>
      </c>
      <c r="E25" s="16" t="e">
        <f>Tabla5[[#This Row],[Precio de elavoracion]]+(Tabla5[[#This Row],[Precio de elavoracion]]*30%)+Informacion!$O$4</f>
        <v>#N/A</v>
      </c>
      <c r="F25" s="16" t="e">
        <f>Tabla5[[#This Row],[Precio de elavoracion]]+(Tabla5[[#This Row],[Precio de elavoracion]]*60%)+Informacion!$O$4</f>
        <v>#N/A</v>
      </c>
      <c r="H25" s="16" t="e">
        <f>Tabla5[[#This Row],[Precio de elavoracion]]+(Tabla5[[#This Row],[Precio de elavoracion]]*Tabla5[[#This Row],[% + editable]])+Informacion!$O$4</f>
        <v>#N/A</v>
      </c>
    </row>
    <row r="26" spans="1:8" x14ac:dyDescent="0.3">
      <c r="A26" s="46">
        <v>25</v>
      </c>
      <c r="B26" t="e">
        <f>VLOOKUP(Tabla5[[#This Row],[id]],TabRecetas[],2,FALSE)</f>
        <v>#N/A</v>
      </c>
      <c r="C26" s="16" t="e">
        <f>VLOOKUP(Tabla5[[#This Row],[id]],TabRecetas[],8,FALSE)</f>
        <v>#N/A</v>
      </c>
      <c r="D26" s="16" t="e">
        <f>Tabla5[[#This Row],[Precio de elavoracion]]+Informacion!$O$4</f>
        <v>#N/A</v>
      </c>
      <c r="E26" s="16" t="e">
        <f>Tabla5[[#This Row],[Precio de elavoracion]]+(Tabla5[[#This Row],[Precio de elavoracion]]*30%)+Informacion!$O$4</f>
        <v>#N/A</v>
      </c>
      <c r="F26" s="16" t="e">
        <f>Tabla5[[#This Row],[Precio de elavoracion]]+(Tabla5[[#This Row],[Precio de elavoracion]]*60%)+Informacion!$O$4</f>
        <v>#N/A</v>
      </c>
      <c r="H26" s="16" t="e">
        <f>Tabla5[[#This Row],[Precio de elavoracion]]+(Tabla5[[#This Row],[Precio de elavoracion]]*Tabla5[[#This Row],[% + editable]])+Informacion!$O$4</f>
        <v>#N/A</v>
      </c>
    </row>
    <row r="27" spans="1:8" x14ac:dyDescent="0.3">
      <c r="A27" s="46">
        <v>26</v>
      </c>
      <c r="B27" t="str">
        <f>VLOOKUP(Tabla5[[#This Row],[id]],TabRecetas[],2,FALSE)</f>
        <v>prueba tercera</v>
      </c>
      <c r="C27" s="16">
        <f>VLOOKUP(Tabla5[[#This Row],[id]],TabRecetas[],8,FALSE)</f>
        <v>46.8</v>
      </c>
      <c r="D27" s="16">
        <f>Tabla5[[#This Row],[Precio de elavoracion]]+Informacion!$O$4</f>
        <v>66.8</v>
      </c>
      <c r="E27" s="16">
        <f>Tabla5[[#This Row],[Precio de elavoracion]]+(Tabla5[[#This Row],[Precio de elavoracion]]*30%)+Informacion!$O$4</f>
        <v>80.84</v>
      </c>
      <c r="F27" s="16">
        <f>Tabla5[[#This Row],[Precio de elavoracion]]+(Tabla5[[#This Row],[Precio de elavoracion]]*60%)+Informacion!$O$4</f>
        <v>94.88</v>
      </c>
      <c r="H27" s="16">
        <f>Tabla5[[#This Row],[Precio de elavoracion]]+(Tabla5[[#This Row],[Precio de elavoracion]]*Tabla5[[#This Row],[% + editable]])+Informacion!$O$4</f>
        <v>66.8</v>
      </c>
    </row>
    <row r="28" spans="1:8" x14ac:dyDescent="0.3">
      <c r="A28" s="46">
        <v>27</v>
      </c>
      <c r="B28" t="str">
        <f>VLOOKUP(Tabla5[[#This Row],[id]],TabRecetas[],2,FALSE)</f>
        <v>Galletas prueba</v>
      </c>
      <c r="C28" s="16">
        <f>VLOOKUP(Tabla5[[#This Row],[id]],TabRecetas[],8,FALSE)</f>
        <v>133.32</v>
      </c>
      <c r="D28" s="16">
        <f>Tabla5[[#This Row],[Precio de elavoracion]]+Informacion!$O$4</f>
        <v>153.32</v>
      </c>
      <c r="E28" s="16">
        <f>Tabla5[[#This Row],[Precio de elavoracion]]+(Tabla5[[#This Row],[Precio de elavoracion]]*30%)+Informacion!$O$4</f>
        <v>193.31599999999997</v>
      </c>
      <c r="F28" s="16">
        <f>Tabla5[[#This Row],[Precio de elavoracion]]+(Tabla5[[#This Row],[Precio de elavoracion]]*60%)+Informacion!$O$4</f>
        <v>233.31199999999998</v>
      </c>
      <c r="H28" s="16">
        <f>Tabla5[[#This Row],[Precio de elavoracion]]+(Tabla5[[#This Row],[Precio de elavoracion]]*Tabla5[[#This Row],[% + editable]])+Informacion!$O$4</f>
        <v>153.32</v>
      </c>
    </row>
    <row r="29" spans="1:8" x14ac:dyDescent="0.3">
      <c r="A29" s="46">
        <v>28</v>
      </c>
      <c r="B29" t="e">
        <f>VLOOKUP(Tabla5[[#This Row],[id]],TabRecetas[],2,FALSE)</f>
        <v>#N/A</v>
      </c>
      <c r="C29" s="37" t="e">
        <f>VLOOKUP(Tabla5[[#This Row],[id]],TabRecetas[],8,FALSE)</f>
        <v>#N/A</v>
      </c>
      <c r="D29" s="37" t="e">
        <f>Tabla5[[#This Row],[Precio de elavoracion]]+Informacion!$O$4</f>
        <v>#N/A</v>
      </c>
      <c r="E29" s="37" t="e">
        <f>Tabla5[[#This Row],[Precio de elavoracion]]+(Tabla5[[#This Row],[Precio de elavoracion]]*30%)+Informacion!$O$4</f>
        <v>#N/A</v>
      </c>
      <c r="F29" s="37" t="e">
        <f>Tabla5[[#This Row],[Precio de elavoracion]]+(Tabla5[[#This Row],[Precio de elavoracion]]*60%)+Informacion!$O$4</f>
        <v>#N/A</v>
      </c>
      <c r="G29" s="48"/>
      <c r="H29" s="37" t="e">
        <f>Tabla5[[#This Row],[Precio de elavoracion]]+(Tabla5[[#This Row],[Precio de elavoracion]]*Tabla5[[#This Row],[% + editable]])+Informacion!$O$4</f>
        <v>#N/A</v>
      </c>
    </row>
    <row r="30" spans="1:8" x14ac:dyDescent="0.3">
      <c r="A30" s="46">
        <v>29</v>
      </c>
      <c r="B30" t="e">
        <f>VLOOKUP(Tabla5[[#This Row],[id]],TabRecetas[],2,FALSE)</f>
        <v>#N/A</v>
      </c>
      <c r="C30" s="16" t="e">
        <f>VLOOKUP(Tabla5[[#This Row],[id]],TabRecetas[],8,FALSE)</f>
        <v>#N/A</v>
      </c>
      <c r="D30" s="16" t="e">
        <f>Tabla5[[#This Row],[Precio de elavoracion]]+Informacion!$O$4</f>
        <v>#N/A</v>
      </c>
      <c r="E30" s="16" t="e">
        <f>Tabla5[[#This Row],[Precio de elavoracion]]+(Tabla5[[#This Row],[Precio de elavoracion]]*30%)+Informacion!$O$4</f>
        <v>#N/A</v>
      </c>
      <c r="F30" s="16" t="e">
        <f>Tabla5[[#This Row],[Precio de elavoracion]]+(Tabla5[[#This Row],[Precio de elavoracion]]*60%)+Informacion!$O$4</f>
        <v>#N/A</v>
      </c>
      <c r="H30" s="16" t="e">
        <f>Tabla5[[#This Row],[Precio de elavoracion]]+(Tabla5[[#This Row],[Precio de elavoracion]]*Tabla5[[#This Row],[% + editable]])+Informacion!$O$4</f>
        <v>#N/A</v>
      </c>
    </row>
    <row r="31" spans="1:8" x14ac:dyDescent="0.3">
      <c r="A31" s="46">
        <v>30</v>
      </c>
      <c r="B31" t="e">
        <f>VLOOKUP(Tabla5[[#This Row],[id]],TabRecetas[],2,FALSE)</f>
        <v>#N/A</v>
      </c>
      <c r="C31" s="16" t="e">
        <f>VLOOKUP(Tabla5[[#This Row],[id]],TabRecetas[],8,FALSE)</f>
        <v>#N/A</v>
      </c>
      <c r="D31" s="16" t="e">
        <f>Tabla5[[#This Row],[Precio de elavoracion]]+Informacion!$O$4</f>
        <v>#N/A</v>
      </c>
      <c r="E31" s="16" t="e">
        <f>Tabla5[[#This Row],[Precio de elavoracion]]+(Tabla5[[#This Row],[Precio de elavoracion]]*30%)+Informacion!$O$4</f>
        <v>#N/A</v>
      </c>
      <c r="F31" s="16" t="e">
        <f>Tabla5[[#This Row],[Precio de elavoracion]]+(Tabla5[[#This Row],[Precio de elavoracion]]*60%)+Informacion!$O$4</f>
        <v>#N/A</v>
      </c>
      <c r="H31" s="16" t="e">
        <f>Tabla5[[#This Row],[Precio de elavoracion]]+(Tabla5[[#This Row],[Precio de elavoracion]]*Tabla5[[#This Row],[% + editable]])+Informacion!$O$4</f>
        <v>#N/A</v>
      </c>
    </row>
    <row r="32" spans="1:8" x14ac:dyDescent="0.3">
      <c r="A32" s="46">
        <v>31</v>
      </c>
      <c r="B32" t="e">
        <f>VLOOKUP(Tabla5[[#This Row],[id]],TabRecetas[],2,FALSE)</f>
        <v>#N/A</v>
      </c>
      <c r="C32" s="16" t="e">
        <f>VLOOKUP(Tabla5[[#This Row],[id]],TabRecetas[],8,FALSE)</f>
        <v>#N/A</v>
      </c>
      <c r="D32" s="16" t="e">
        <f>Tabla5[[#This Row],[Precio de elavoracion]]+Informacion!$O$4</f>
        <v>#N/A</v>
      </c>
      <c r="E32" s="16" t="e">
        <f>Tabla5[[#This Row],[Precio de elavoracion]]+(Tabla5[[#This Row],[Precio de elavoracion]]*30%)+Informacion!$O$4</f>
        <v>#N/A</v>
      </c>
      <c r="F32" s="16" t="e">
        <f>Tabla5[[#This Row],[Precio de elavoracion]]+(Tabla5[[#This Row],[Precio de elavoracion]]*60%)+Informacion!$O$4</f>
        <v>#N/A</v>
      </c>
      <c r="H32" s="16" t="e">
        <f>Tabla5[[#This Row],[Precio de elavoracion]]+(Tabla5[[#This Row],[Precio de elavoracion]]*Tabla5[[#This Row],[% + editable]])+Informacion!$O$4</f>
        <v>#N/A</v>
      </c>
    </row>
    <row r="33" spans="1:8" x14ac:dyDescent="0.3">
      <c r="A33" s="46">
        <v>32</v>
      </c>
      <c r="B33" t="e">
        <f>VLOOKUP(Tabla5[[#This Row],[id]],TabRecetas[],2,FALSE)</f>
        <v>#N/A</v>
      </c>
      <c r="C33" s="16" t="e">
        <f>VLOOKUP(Tabla5[[#This Row],[id]],TabRecetas[],8,FALSE)</f>
        <v>#N/A</v>
      </c>
      <c r="D33" s="16" t="e">
        <f>Tabla5[[#This Row],[Precio de elavoracion]]+Informacion!$O$4</f>
        <v>#N/A</v>
      </c>
      <c r="E33" s="16" t="e">
        <f>Tabla5[[#This Row],[Precio de elavoracion]]+(Tabla5[[#This Row],[Precio de elavoracion]]*30%)+Informacion!$O$4</f>
        <v>#N/A</v>
      </c>
      <c r="F33" s="16" t="e">
        <f>Tabla5[[#This Row],[Precio de elavoracion]]+(Tabla5[[#This Row],[Precio de elavoracion]]*60%)+Informacion!$O$4</f>
        <v>#N/A</v>
      </c>
      <c r="H33" s="16" t="e">
        <f>Tabla5[[#This Row],[Precio de elavoracion]]+(Tabla5[[#This Row],[Precio de elavoracion]]*Tabla5[[#This Row],[% + editable]])+Informacion!$O$4</f>
        <v>#N/A</v>
      </c>
    </row>
    <row r="34" spans="1:8" x14ac:dyDescent="0.3">
      <c r="A34" s="46">
        <v>33</v>
      </c>
      <c r="B34" t="e">
        <f>VLOOKUP(Tabla5[[#This Row],[id]],TabRecetas[],2,FALSE)</f>
        <v>#N/A</v>
      </c>
      <c r="C34" s="16" t="e">
        <f>VLOOKUP(Tabla5[[#This Row],[id]],TabRecetas[],8,FALSE)</f>
        <v>#N/A</v>
      </c>
      <c r="D34" s="16" t="e">
        <f>Tabla5[[#This Row],[Precio de elavoracion]]+Informacion!$O$4</f>
        <v>#N/A</v>
      </c>
      <c r="E34" s="16" t="e">
        <f>Tabla5[[#This Row],[Precio de elavoracion]]+(Tabla5[[#This Row],[Precio de elavoracion]]*30%)+Informacion!$O$4</f>
        <v>#N/A</v>
      </c>
      <c r="F34" s="16" t="e">
        <f>Tabla5[[#This Row],[Precio de elavoracion]]+(Tabla5[[#This Row],[Precio de elavoracion]]*60%)+Informacion!$O$4</f>
        <v>#N/A</v>
      </c>
      <c r="H34" s="16" t="e">
        <f>Tabla5[[#This Row],[Precio de elavoracion]]+(Tabla5[[#This Row],[Precio de elavoracion]]*Tabla5[[#This Row],[% + editable]])+Informacion!$O$4</f>
        <v>#N/A</v>
      </c>
    </row>
    <row r="35" spans="1:8" x14ac:dyDescent="0.3">
      <c r="A35" s="46">
        <v>34</v>
      </c>
      <c r="B35" t="e">
        <f>VLOOKUP(Tabla5[[#This Row],[id]],TabRecetas[],2,FALSE)</f>
        <v>#N/A</v>
      </c>
      <c r="C35" s="16" t="e">
        <f>VLOOKUP(Tabla5[[#This Row],[id]],TabRecetas[],8,FALSE)</f>
        <v>#N/A</v>
      </c>
      <c r="D35" s="16" t="e">
        <f>Tabla5[[#This Row],[Precio de elavoracion]]+Informacion!$O$4</f>
        <v>#N/A</v>
      </c>
      <c r="E35" s="16" t="e">
        <f>Tabla5[[#This Row],[Precio de elavoracion]]+(Tabla5[[#This Row],[Precio de elavoracion]]*30%)+Informacion!$O$4</f>
        <v>#N/A</v>
      </c>
      <c r="F35" s="16" t="e">
        <f>Tabla5[[#This Row],[Precio de elavoracion]]+(Tabla5[[#This Row],[Precio de elavoracion]]*60%)+Informacion!$O$4</f>
        <v>#N/A</v>
      </c>
      <c r="H35" s="16" t="e">
        <f>Tabla5[[#This Row],[Precio de elavoracion]]+(Tabla5[[#This Row],[Precio de elavoracion]]*Tabla5[[#This Row],[% + editable]])+Informacion!$O$4</f>
        <v>#N/A</v>
      </c>
    </row>
    <row r="36" spans="1:8" x14ac:dyDescent="0.3">
      <c r="A36" s="46">
        <v>35</v>
      </c>
      <c r="B36" t="e">
        <f>VLOOKUP(Tabla5[[#This Row],[id]],TabRecetas[],2,FALSE)</f>
        <v>#N/A</v>
      </c>
      <c r="C36" s="16" t="e">
        <f>VLOOKUP(Tabla5[[#This Row],[id]],TabRecetas[],8,FALSE)</f>
        <v>#N/A</v>
      </c>
      <c r="D36" s="16" t="e">
        <f>Tabla5[[#This Row],[Precio de elavoracion]]+Informacion!$O$4</f>
        <v>#N/A</v>
      </c>
      <c r="E36" s="16" t="e">
        <f>Tabla5[[#This Row],[Precio de elavoracion]]+(Tabla5[[#This Row],[Precio de elavoracion]]*30%)+Informacion!$O$4</f>
        <v>#N/A</v>
      </c>
      <c r="F36" s="16" t="e">
        <f>Tabla5[[#This Row],[Precio de elavoracion]]+(Tabla5[[#This Row],[Precio de elavoracion]]*60%)+Informacion!$O$4</f>
        <v>#N/A</v>
      </c>
      <c r="H36" s="16" t="e">
        <f>Tabla5[[#This Row],[Precio de elavoracion]]+(Tabla5[[#This Row],[Precio de elavoracion]]*Tabla5[[#This Row],[% + editable]])+Informacion!$O$4</f>
        <v>#N/A</v>
      </c>
    </row>
    <row r="37" spans="1:8" x14ac:dyDescent="0.3">
      <c r="A37" s="46">
        <v>36</v>
      </c>
      <c r="B37" t="e">
        <f>VLOOKUP(Tabla5[[#This Row],[id]],TabRecetas[],2,FALSE)</f>
        <v>#N/A</v>
      </c>
      <c r="C37" s="16" t="e">
        <f>VLOOKUP(Tabla5[[#This Row],[id]],TabRecetas[],8,FALSE)</f>
        <v>#N/A</v>
      </c>
      <c r="D37" s="16" t="e">
        <f>Tabla5[[#This Row],[Precio de elavoracion]]+Informacion!$O$4</f>
        <v>#N/A</v>
      </c>
      <c r="E37" s="16" t="e">
        <f>Tabla5[[#This Row],[Precio de elavoracion]]+(Tabla5[[#This Row],[Precio de elavoracion]]*30%)+Informacion!$O$4</f>
        <v>#N/A</v>
      </c>
      <c r="F37" s="16" t="e">
        <f>Tabla5[[#This Row],[Precio de elavoracion]]+(Tabla5[[#This Row],[Precio de elavoracion]]*60%)+Informacion!$O$4</f>
        <v>#N/A</v>
      </c>
      <c r="H37" s="16" t="e">
        <f>Tabla5[[#This Row],[Precio de elavoracion]]+(Tabla5[[#This Row],[Precio de elavoracion]]*Tabla5[[#This Row],[% + editable]])+Informacion!$O$4</f>
        <v>#N/A</v>
      </c>
    </row>
    <row r="38" spans="1:8" x14ac:dyDescent="0.3">
      <c r="A38" s="46">
        <v>37</v>
      </c>
      <c r="B38" t="e">
        <f>VLOOKUP(Tabla5[[#This Row],[id]],TabRecetas[],2,FALSE)</f>
        <v>#N/A</v>
      </c>
      <c r="C38" s="16" t="e">
        <f>VLOOKUP(Tabla5[[#This Row],[id]],TabRecetas[],8,FALSE)</f>
        <v>#N/A</v>
      </c>
      <c r="D38" s="16" t="e">
        <f>Tabla5[[#This Row],[Precio de elavoracion]]+Informacion!$O$4</f>
        <v>#N/A</v>
      </c>
      <c r="E38" s="16" t="e">
        <f>Tabla5[[#This Row],[Precio de elavoracion]]+(Tabla5[[#This Row],[Precio de elavoracion]]*30%)+Informacion!$O$4</f>
        <v>#N/A</v>
      </c>
      <c r="F38" s="16" t="e">
        <f>Tabla5[[#This Row],[Precio de elavoracion]]+(Tabla5[[#This Row],[Precio de elavoracion]]*60%)+Informacion!$O$4</f>
        <v>#N/A</v>
      </c>
      <c r="H38" s="16" t="e">
        <f>Tabla5[[#This Row],[Precio de elavoracion]]+(Tabla5[[#This Row],[Precio de elavoracion]]*Tabla5[[#This Row],[% + editable]])+Informacion!$O$4</f>
        <v>#N/A</v>
      </c>
    </row>
    <row r="39" spans="1:8" x14ac:dyDescent="0.3">
      <c r="A39" s="46">
        <v>38</v>
      </c>
      <c r="B39" t="e">
        <f>VLOOKUP(Tabla5[[#This Row],[id]],TabRecetas[],2,FALSE)</f>
        <v>#N/A</v>
      </c>
      <c r="C39" s="16" t="e">
        <f>VLOOKUP(Tabla5[[#This Row],[id]],TabRecetas[],8,FALSE)</f>
        <v>#N/A</v>
      </c>
      <c r="D39" s="16" t="e">
        <f>Tabla5[[#This Row],[Precio de elavoracion]]+Informacion!$O$4</f>
        <v>#N/A</v>
      </c>
      <c r="E39" s="16" t="e">
        <f>Tabla5[[#This Row],[Precio de elavoracion]]+(Tabla5[[#This Row],[Precio de elavoracion]]*30%)+Informacion!$O$4</f>
        <v>#N/A</v>
      </c>
      <c r="F39" s="16" t="e">
        <f>Tabla5[[#This Row],[Precio de elavoracion]]+(Tabla5[[#This Row],[Precio de elavoracion]]*60%)+Informacion!$O$4</f>
        <v>#N/A</v>
      </c>
      <c r="H39" s="16" t="e">
        <f>Tabla5[[#This Row],[Precio de elavoracion]]+(Tabla5[[#This Row],[Precio de elavoracion]]*Tabla5[[#This Row],[% + editable]])+Informacion!$O$4</f>
        <v>#N/A</v>
      </c>
    </row>
    <row r="40" spans="1:8" x14ac:dyDescent="0.3">
      <c r="A40" s="46">
        <v>39</v>
      </c>
      <c r="B40" t="e">
        <f>VLOOKUP(Tabla5[[#This Row],[id]],TabRecetas[],2,FALSE)</f>
        <v>#N/A</v>
      </c>
      <c r="C40" s="16" t="e">
        <f>VLOOKUP(Tabla5[[#This Row],[id]],TabRecetas[],8,FALSE)</f>
        <v>#N/A</v>
      </c>
      <c r="D40" s="16" t="e">
        <f>Tabla5[[#This Row],[Precio de elavoracion]]+Informacion!$O$4</f>
        <v>#N/A</v>
      </c>
      <c r="E40" s="16" t="e">
        <f>Tabla5[[#This Row],[Precio de elavoracion]]+(Tabla5[[#This Row],[Precio de elavoracion]]*30%)+Informacion!$O$4</f>
        <v>#N/A</v>
      </c>
      <c r="F40" s="16" t="e">
        <f>Tabla5[[#This Row],[Precio de elavoracion]]+(Tabla5[[#This Row],[Precio de elavoracion]]*60%)+Informacion!$O$4</f>
        <v>#N/A</v>
      </c>
      <c r="H40" s="16" t="e">
        <f>Tabla5[[#This Row],[Precio de elavoracion]]+(Tabla5[[#This Row],[Precio de elavoracion]]*Tabla5[[#This Row],[% + editable]])+Informacion!$O$4</f>
        <v>#N/A</v>
      </c>
    </row>
    <row r="41" spans="1:8" x14ac:dyDescent="0.3">
      <c r="A41" s="46">
        <v>40</v>
      </c>
      <c r="B41" t="e">
        <f>VLOOKUP(Tabla5[[#This Row],[id]],TabRecetas[],2,FALSE)</f>
        <v>#N/A</v>
      </c>
      <c r="C41" s="16" t="e">
        <f>VLOOKUP(Tabla5[[#This Row],[id]],TabRecetas[],8,FALSE)</f>
        <v>#N/A</v>
      </c>
      <c r="D41" s="16" t="e">
        <f>Tabla5[[#This Row],[Precio de elavoracion]]+Informacion!$O$4</f>
        <v>#N/A</v>
      </c>
      <c r="E41" s="16" t="e">
        <f>Tabla5[[#This Row],[Precio de elavoracion]]+(Tabla5[[#This Row],[Precio de elavoracion]]*30%)+Informacion!$O$4</f>
        <v>#N/A</v>
      </c>
      <c r="F41" s="16" t="e">
        <f>Tabla5[[#This Row],[Precio de elavoracion]]+(Tabla5[[#This Row],[Precio de elavoracion]]*60%)+Informacion!$O$4</f>
        <v>#N/A</v>
      </c>
      <c r="H41" s="16" t="e">
        <f>Tabla5[[#This Row],[Precio de elavoracion]]+(Tabla5[[#This Row],[Precio de elavoracion]]*Tabla5[[#This Row],[% + editable]])+Informacion!$O$4</f>
        <v>#N/A</v>
      </c>
    </row>
    <row r="42" spans="1:8" x14ac:dyDescent="0.3">
      <c r="A42" s="46">
        <v>41</v>
      </c>
      <c r="B42" t="e">
        <f>VLOOKUP(Tabla5[[#This Row],[id]],TabRecetas[],2,FALSE)</f>
        <v>#N/A</v>
      </c>
      <c r="C42" s="16" t="e">
        <f>VLOOKUP(Tabla5[[#This Row],[id]],TabRecetas[],8,FALSE)</f>
        <v>#N/A</v>
      </c>
      <c r="D42" s="16" t="e">
        <f>Tabla5[[#This Row],[Precio de elavoracion]]+Informacion!$O$4</f>
        <v>#N/A</v>
      </c>
      <c r="E42" s="16" t="e">
        <f>Tabla5[[#This Row],[Precio de elavoracion]]+(Tabla5[[#This Row],[Precio de elavoracion]]*30%)+Informacion!$O$4</f>
        <v>#N/A</v>
      </c>
      <c r="F42" s="16" t="e">
        <f>Tabla5[[#This Row],[Precio de elavoracion]]+(Tabla5[[#This Row],[Precio de elavoracion]]*60%)+Informacion!$O$4</f>
        <v>#N/A</v>
      </c>
      <c r="H42" s="16" t="e">
        <f>Tabla5[[#This Row],[Precio de elavoracion]]+(Tabla5[[#This Row],[Precio de elavoracion]]*Tabla5[[#This Row],[% + editable]])+Informacion!$O$4</f>
        <v>#N/A</v>
      </c>
    </row>
    <row r="43" spans="1:8" x14ac:dyDescent="0.3">
      <c r="A43" s="46">
        <v>42</v>
      </c>
      <c r="B43" t="e">
        <f>VLOOKUP(Tabla5[[#This Row],[id]],TabRecetas[],2,FALSE)</f>
        <v>#N/A</v>
      </c>
      <c r="C43" s="16" t="e">
        <f>VLOOKUP(Tabla5[[#This Row],[id]],TabRecetas[],8,FALSE)</f>
        <v>#N/A</v>
      </c>
      <c r="D43" s="16" t="e">
        <f>Tabla5[[#This Row],[Precio de elavoracion]]+Informacion!$O$4</f>
        <v>#N/A</v>
      </c>
      <c r="E43" s="16" t="e">
        <f>Tabla5[[#This Row],[Precio de elavoracion]]+(Tabla5[[#This Row],[Precio de elavoracion]]*30%)+Informacion!$O$4</f>
        <v>#N/A</v>
      </c>
      <c r="F43" s="16" t="e">
        <f>Tabla5[[#This Row],[Precio de elavoracion]]+(Tabla5[[#This Row],[Precio de elavoracion]]*60%)+Informacion!$O$4</f>
        <v>#N/A</v>
      </c>
      <c r="H43" s="16" t="e">
        <f>Tabla5[[#This Row],[Precio de elavoracion]]+(Tabla5[[#This Row],[Precio de elavoracion]]*Tabla5[[#This Row],[% + editable]])+Informacion!$O$4</f>
        <v>#N/A</v>
      </c>
    </row>
    <row r="44" spans="1:8" x14ac:dyDescent="0.3">
      <c r="A44" s="46">
        <v>43</v>
      </c>
      <c r="B44" t="e">
        <f>VLOOKUP(Tabla5[[#This Row],[id]],TabRecetas[],2,FALSE)</f>
        <v>#N/A</v>
      </c>
      <c r="C44" s="16" t="e">
        <f>VLOOKUP(Tabla5[[#This Row],[id]],TabRecetas[],8,FALSE)</f>
        <v>#N/A</v>
      </c>
      <c r="D44" s="16" t="e">
        <f>Tabla5[[#This Row],[Precio de elavoracion]]+Informacion!$O$4</f>
        <v>#N/A</v>
      </c>
      <c r="E44" s="16" t="e">
        <f>Tabla5[[#This Row],[Precio de elavoracion]]+(Tabla5[[#This Row],[Precio de elavoracion]]*30%)+Informacion!$O$4</f>
        <v>#N/A</v>
      </c>
      <c r="F44" s="16" t="e">
        <f>Tabla5[[#This Row],[Precio de elavoracion]]+(Tabla5[[#This Row],[Precio de elavoracion]]*60%)+Informacion!$O$4</f>
        <v>#N/A</v>
      </c>
      <c r="H44" s="16" t="e">
        <f>Tabla5[[#This Row],[Precio de elavoracion]]+(Tabla5[[#This Row],[Precio de elavoracion]]*Tabla5[[#This Row],[% + editable]])+Informacion!$O$4</f>
        <v>#N/A</v>
      </c>
    </row>
    <row r="45" spans="1:8" x14ac:dyDescent="0.3">
      <c r="A45" s="46">
        <v>44</v>
      </c>
      <c r="B45" t="e">
        <f>VLOOKUP(Tabla5[[#This Row],[id]],TabRecetas[],2,FALSE)</f>
        <v>#N/A</v>
      </c>
      <c r="C45" s="16" t="e">
        <f>VLOOKUP(Tabla5[[#This Row],[id]],TabRecetas[],8,FALSE)</f>
        <v>#N/A</v>
      </c>
      <c r="D45" s="16" t="e">
        <f>Tabla5[[#This Row],[Precio de elavoracion]]+Informacion!$O$4</f>
        <v>#N/A</v>
      </c>
      <c r="E45" s="16" t="e">
        <f>Tabla5[[#This Row],[Precio de elavoracion]]+(Tabla5[[#This Row],[Precio de elavoracion]]*30%)+Informacion!$O$4</f>
        <v>#N/A</v>
      </c>
      <c r="F45" s="16" t="e">
        <f>Tabla5[[#This Row],[Precio de elavoracion]]+(Tabla5[[#This Row],[Precio de elavoracion]]*60%)+Informacion!$O$4</f>
        <v>#N/A</v>
      </c>
      <c r="H45" s="16" t="e">
        <f>Tabla5[[#This Row],[Precio de elavoracion]]+(Tabla5[[#This Row],[Precio de elavoracion]]*Tabla5[[#This Row],[% + editable]])+Informacion!$O$4</f>
        <v>#N/A</v>
      </c>
    </row>
    <row r="46" spans="1:8" x14ac:dyDescent="0.3">
      <c r="A46" s="46">
        <v>45</v>
      </c>
      <c r="B46" t="e">
        <f>VLOOKUP(Tabla5[[#This Row],[id]],TabRecetas[],2,FALSE)</f>
        <v>#N/A</v>
      </c>
      <c r="C46" s="16" t="e">
        <f>VLOOKUP(Tabla5[[#This Row],[id]],TabRecetas[],8,FALSE)</f>
        <v>#N/A</v>
      </c>
      <c r="D46" s="16" t="e">
        <f>Tabla5[[#This Row],[Precio de elavoracion]]+Informacion!$O$4</f>
        <v>#N/A</v>
      </c>
      <c r="E46" s="16" t="e">
        <f>Tabla5[[#This Row],[Precio de elavoracion]]+(Tabla5[[#This Row],[Precio de elavoracion]]*30%)+Informacion!$O$4</f>
        <v>#N/A</v>
      </c>
      <c r="F46" s="16" t="e">
        <f>Tabla5[[#This Row],[Precio de elavoracion]]+(Tabla5[[#This Row],[Precio de elavoracion]]*60%)+Informacion!$O$4</f>
        <v>#N/A</v>
      </c>
      <c r="H46" s="16" t="e">
        <f>Tabla5[[#This Row],[Precio de elavoracion]]+(Tabla5[[#This Row],[Precio de elavoracion]]*Tabla5[[#This Row],[% + editable]])+Informacion!$O$4</f>
        <v>#N/A</v>
      </c>
    </row>
    <row r="47" spans="1:8" x14ac:dyDescent="0.3">
      <c r="A47" s="46">
        <v>46</v>
      </c>
      <c r="B47" t="e">
        <f>VLOOKUP(Tabla5[[#This Row],[id]],TabRecetas[],2,FALSE)</f>
        <v>#N/A</v>
      </c>
      <c r="C47" s="16" t="e">
        <f>VLOOKUP(Tabla5[[#This Row],[id]],TabRecetas[],8,FALSE)</f>
        <v>#N/A</v>
      </c>
      <c r="D47" s="16" t="e">
        <f>Tabla5[[#This Row],[Precio de elavoracion]]+Informacion!$O$4</f>
        <v>#N/A</v>
      </c>
      <c r="E47" s="16" t="e">
        <f>Tabla5[[#This Row],[Precio de elavoracion]]+(Tabla5[[#This Row],[Precio de elavoracion]]*30%)+Informacion!$O$4</f>
        <v>#N/A</v>
      </c>
      <c r="F47" s="16" t="e">
        <f>Tabla5[[#This Row],[Precio de elavoracion]]+(Tabla5[[#This Row],[Precio de elavoracion]]*60%)+Informacion!$O$4</f>
        <v>#N/A</v>
      </c>
      <c r="H47" s="16" t="e">
        <f>Tabla5[[#This Row],[Precio de elavoracion]]+(Tabla5[[#This Row],[Precio de elavoracion]]*Tabla5[[#This Row],[% + editable]])+Informacion!$O$4</f>
        <v>#N/A</v>
      </c>
    </row>
    <row r="48" spans="1:8" x14ac:dyDescent="0.3">
      <c r="A48" s="46">
        <v>47</v>
      </c>
      <c r="B48" t="e">
        <f>VLOOKUP(Tabla5[[#This Row],[id]],TabRecetas[],2,FALSE)</f>
        <v>#N/A</v>
      </c>
      <c r="C48" s="16" t="e">
        <f>VLOOKUP(Tabla5[[#This Row],[id]],TabRecetas[],8,FALSE)</f>
        <v>#N/A</v>
      </c>
      <c r="D48" s="16" t="e">
        <f>Tabla5[[#This Row],[Precio de elavoracion]]+Informacion!$O$4</f>
        <v>#N/A</v>
      </c>
      <c r="E48" s="16" t="e">
        <f>Tabla5[[#This Row],[Precio de elavoracion]]+(Tabla5[[#This Row],[Precio de elavoracion]]*30%)+Informacion!$O$4</f>
        <v>#N/A</v>
      </c>
      <c r="F48" s="16" t="e">
        <f>Tabla5[[#This Row],[Precio de elavoracion]]+(Tabla5[[#This Row],[Precio de elavoracion]]*60%)+Informacion!$O$4</f>
        <v>#N/A</v>
      </c>
      <c r="H48" s="16" t="e">
        <f>Tabla5[[#This Row],[Precio de elavoracion]]+(Tabla5[[#This Row],[Precio de elavoracion]]*Tabla5[[#This Row],[% + editable]])+Informacion!$O$4</f>
        <v>#N/A</v>
      </c>
    </row>
    <row r="49" spans="1:8" x14ac:dyDescent="0.3">
      <c r="A49" s="46">
        <v>48</v>
      </c>
      <c r="B49" t="e">
        <f>VLOOKUP(Tabla5[[#This Row],[id]],TabRecetas[],2,FALSE)</f>
        <v>#N/A</v>
      </c>
      <c r="C49" s="16" t="e">
        <f>VLOOKUP(Tabla5[[#This Row],[id]],TabRecetas[],8,FALSE)</f>
        <v>#N/A</v>
      </c>
      <c r="D49" s="16" t="e">
        <f>Tabla5[[#This Row],[Precio de elavoracion]]+Informacion!$O$4</f>
        <v>#N/A</v>
      </c>
      <c r="E49" s="16" t="e">
        <f>Tabla5[[#This Row],[Precio de elavoracion]]+(Tabla5[[#This Row],[Precio de elavoracion]]*30%)+Informacion!$O$4</f>
        <v>#N/A</v>
      </c>
      <c r="F49" s="16" t="e">
        <f>Tabla5[[#This Row],[Precio de elavoracion]]+(Tabla5[[#This Row],[Precio de elavoracion]]*60%)+Informacion!$O$4</f>
        <v>#N/A</v>
      </c>
      <c r="H49" s="16" t="e">
        <f>Tabla5[[#This Row],[Precio de elavoracion]]+(Tabla5[[#This Row],[Precio de elavoracion]]*Tabla5[[#This Row],[% + editable]])+Informacion!$O$4</f>
        <v>#N/A</v>
      </c>
    </row>
    <row r="50" spans="1:8" x14ac:dyDescent="0.3">
      <c r="A50" s="46">
        <v>49</v>
      </c>
      <c r="B50" t="e">
        <f>VLOOKUP(Tabla5[[#This Row],[id]],TabRecetas[],2,FALSE)</f>
        <v>#N/A</v>
      </c>
      <c r="C50" s="16" t="e">
        <f>VLOOKUP(Tabla5[[#This Row],[id]],TabRecetas[],8,FALSE)</f>
        <v>#N/A</v>
      </c>
      <c r="D50" s="16" t="e">
        <f>Tabla5[[#This Row],[Precio de elavoracion]]+Informacion!$O$4</f>
        <v>#N/A</v>
      </c>
      <c r="E50" s="16" t="e">
        <f>Tabla5[[#This Row],[Precio de elavoracion]]+(Tabla5[[#This Row],[Precio de elavoracion]]*30%)+Informacion!$O$4</f>
        <v>#N/A</v>
      </c>
      <c r="F50" s="16" t="e">
        <f>Tabla5[[#This Row],[Precio de elavoracion]]+(Tabla5[[#This Row],[Precio de elavoracion]]*60%)+Informacion!$O$4</f>
        <v>#N/A</v>
      </c>
      <c r="H50" s="16" t="e">
        <f>Tabla5[[#This Row],[Precio de elavoracion]]+(Tabla5[[#This Row],[Precio de elavoracion]]*Tabla5[[#This Row],[% + editable]])+Informacion!$O$4</f>
        <v>#N/A</v>
      </c>
    </row>
    <row r="51" spans="1:8" x14ac:dyDescent="0.3">
      <c r="A51" s="46">
        <v>50</v>
      </c>
      <c r="B51" t="e">
        <f>VLOOKUP(Tabla5[[#This Row],[id]],TabRecetas[],2,FALSE)</f>
        <v>#N/A</v>
      </c>
      <c r="C51" s="16" t="e">
        <f>VLOOKUP(Tabla5[[#This Row],[id]],TabRecetas[],8,FALSE)</f>
        <v>#N/A</v>
      </c>
      <c r="D51" s="16" t="e">
        <f>Tabla5[[#This Row],[Precio de elavoracion]]+Informacion!$O$4</f>
        <v>#N/A</v>
      </c>
      <c r="E51" s="16" t="e">
        <f>Tabla5[[#This Row],[Precio de elavoracion]]+(Tabla5[[#This Row],[Precio de elavoracion]]*30%)+Informacion!$O$4</f>
        <v>#N/A</v>
      </c>
      <c r="F51" s="16" t="e">
        <f>Tabla5[[#This Row],[Precio de elavoracion]]+(Tabla5[[#This Row],[Precio de elavoracion]]*60%)+Informacion!$O$4</f>
        <v>#N/A</v>
      </c>
      <c r="H51" s="16" t="e">
        <f>Tabla5[[#This Row],[Precio de elavoracion]]+(Tabla5[[#This Row],[Precio de elavoracion]]*Tabla5[[#This Row],[% + editable]])+Informacion!$O$4</f>
        <v>#N/A</v>
      </c>
    </row>
    <row r="52" spans="1:8" x14ac:dyDescent="0.3">
      <c r="A52" s="46">
        <v>51</v>
      </c>
      <c r="B52" t="e">
        <f>VLOOKUP(Tabla5[[#This Row],[id]],TabRecetas[],2,FALSE)</f>
        <v>#N/A</v>
      </c>
      <c r="C52" s="16" t="e">
        <f>VLOOKUP(Tabla5[[#This Row],[id]],TabRecetas[],8,FALSE)</f>
        <v>#N/A</v>
      </c>
      <c r="D52" s="16" t="e">
        <f>Tabla5[[#This Row],[Precio de elavoracion]]+Informacion!$O$4</f>
        <v>#N/A</v>
      </c>
      <c r="E52" s="16" t="e">
        <f>Tabla5[[#This Row],[Precio de elavoracion]]+(Tabla5[[#This Row],[Precio de elavoracion]]*30%)+Informacion!$O$4</f>
        <v>#N/A</v>
      </c>
      <c r="F52" s="16" t="e">
        <f>Tabla5[[#This Row],[Precio de elavoracion]]+(Tabla5[[#This Row],[Precio de elavoracion]]*60%)+Informacion!$O$4</f>
        <v>#N/A</v>
      </c>
      <c r="H52" s="16" t="e">
        <f>Tabla5[[#This Row],[Precio de elavoracion]]+(Tabla5[[#This Row],[Precio de elavoracion]]*Tabla5[[#This Row],[% + editable]])+Informacion!$O$4</f>
        <v>#N/A</v>
      </c>
    </row>
    <row r="53" spans="1:8" x14ac:dyDescent="0.3">
      <c r="A53" s="46">
        <v>52</v>
      </c>
      <c r="B53" t="e">
        <f>VLOOKUP(Tabla5[[#This Row],[id]],TabRecetas[],2,FALSE)</f>
        <v>#N/A</v>
      </c>
      <c r="C53" s="16" t="e">
        <f>VLOOKUP(Tabla5[[#This Row],[id]],TabRecetas[],8,FALSE)</f>
        <v>#N/A</v>
      </c>
      <c r="D53" s="16" t="e">
        <f>Tabla5[[#This Row],[Precio de elavoracion]]+Informacion!$O$4</f>
        <v>#N/A</v>
      </c>
      <c r="E53" s="16" t="e">
        <f>Tabla5[[#This Row],[Precio de elavoracion]]+(Tabla5[[#This Row],[Precio de elavoracion]]*30%)+Informacion!$O$4</f>
        <v>#N/A</v>
      </c>
      <c r="F53" s="16" t="e">
        <f>Tabla5[[#This Row],[Precio de elavoracion]]+(Tabla5[[#This Row],[Precio de elavoracion]]*60%)+Informacion!$O$4</f>
        <v>#N/A</v>
      </c>
      <c r="H53" s="16" t="e">
        <f>Tabla5[[#This Row],[Precio de elavoracion]]+(Tabla5[[#This Row],[Precio de elavoracion]]*Tabla5[[#This Row],[% + editable]])+Informacion!$O$4</f>
        <v>#N/A</v>
      </c>
    </row>
    <row r="54" spans="1:8" x14ac:dyDescent="0.3">
      <c r="A54" s="46">
        <v>53</v>
      </c>
      <c r="B54" t="e">
        <f>VLOOKUP(Tabla5[[#This Row],[id]],TabRecetas[],2,FALSE)</f>
        <v>#N/A</v>
      </c>
      <c r="C54" s="16" t="e">
        <f>VLOOKUP(Tabla5[[#This Row],[id]],TabRecetas[],8,FALSE)</f>
        <v>#N/A</v>
      </c>
      <c r="D54" s="16" t="e">
        <f>Tabla5[[#This Row],[Precio de elavoracion]]+Informacion!$O$4</f>
        <v>#N/A</v>
      </c>
      <c r="E54" s="16" t="e">
        <f>Tabla5[[#This Row],[Precio de elavoracion]]+(Tabla5[[#This Row],[Precio de elavoracion]]*30%)+Informacion!$O$4</f>
        <v>#N/A</v>
      </c>
      <c r="F54" s="16" t="e">
        <f>Tabla5[[#This Row],[Precio de elavoracion]]+(Tabla5[[#This Row],[Precio de elavoracion]]*60%)+Informacion!$O$4</f>
        <v>#N/A</v>
      </c>
      <c r="H54" s="16" t="e">
        <f>Tabla5[[#This Row],[Precio de elavoracion]]+(Tabla5[[#This Row],[Precio de elavoracion]]*Tabla5[[#This Row],[% + editable]])+Informacion!$O$4</f>
        <v>#N/A</v>
      </c>
    </row>
    <row r="55" spans="1:8" x14ac:dyDescent="0.3">
      <c r="A55" s="46">
        <v>54</v>
      </c>
      <c r="B55" t="e">
        <f>VLOOKUP(Tabla5[[#This Row],[id]],TabRecetas[],2,FALSE)</f>
        <v>#N/A</v>
      </c>
      <c r="C55" s="16" t="e">
        <f>VLOOKUP(Tabla5[[#This Row],[id]],TabRecetas[],8,FALSE)</f>
        <v>#N/A</v>
      </c>
      <c r="D55" s="16" t="e">
        <f>Tabla5[[#This Row],[Precio de elavoracion]]+Informacion!$O$4</f>
        <v>#N/A</v>
      </c>
      <c r="E55" s="16" t="e">
        <f>Tabla5[[#This Row],[Precio de elavoracion]]+(Tabla5[[#This Row],[Precio de elavoracion]]*30%)+Informacion!$O$4</f>
        <v>#N/A</v>
      </c>
      <c r="F55" s="16" t="e">
        <f>Tabla5[[#This Row],[Precio de elavoracion]]+(Tabla5[[#This Row],[Precio de elavoracion]]*60%)+Informacion!$O$4</f>
        <v>#N/A</v>
      </c>
      <c r="H55" s="16" t="e">
        <f>Tabla5[[#This Row],[Precio de elavoracion]]+(Tabla5[[#This Row],[Precio de elavoracion]]*Tabla5[[#This Row],[% + editable]])+Informacion!$O$4</f>
        <v>#N/A</v>
      </c>
    </row>
    <row r="56" spans="1:8" x14ac:dyDescent="0.3">
      <c r="A56" s="46">
        <v>55</v>
      </c>
      <c r="B56" t="e">
        <f>VLOOKUP(Tabla5[[#This Row],[id]],TabRecetas[],2,FALSE)</f>
        <v>#N/A</v>
      </c>
      <c r="C56" s="16" t="e">
        <f>VLOOKUP(Tabla5[[#This Row],[id]],TabRecetas[],8,FALSE)</f>
        <v>#N/A</v>
      </c>
      <c r="D56" s="16" t="e">
        <f>Tabla5[[#This Row],[Precio de elavoracion]]+Informacion!$O$4</f>
        <v>#N/A</v>
      </c>
      <c r="E56" s="16" t="e">
        <f>Tabla5[[#This Row],[Precio de elavoracion]]+(Tabla5[[#This Row],[Precio de elavoracion]]*30%)+Informacion!$O$4</f>
        <v>#N/A</v>
      </c>
      <c r="F56" s="16" t="e">
        <f>Tabla5[[#This Row],[Precio de elavoracion]]+(Tabla5[[#This Row],[Precio de elavoracion]]*60%)+Informacion!$O$4</f>
        <v>#N/A</v>
      </c>
      <c r="H56" s="16" t="e">
        <f>Tabla5[[#This Row],[Precio de elavoracion]]+(Tabla5[[#This Row],[Precio de elavoracion]]*Tabla5[[#This Row],[% + editable]])+Informacion!$O$4</f>
        <v>#N/A</v>
      </c>
    </row>
    <row r="57" spans="1:8" x14ac:dyDescent="0.3">
      <c r="A57" s="46">
        <v>56</v>
      </c>
      <c r="B57" t="e">
        <f>VLOOKUP(Tabla5[[#This Row],[id]],TabRecetas[],2,FALSE)</f>
        <v>#N/A</v>
      </c>
      <c r="C57" s="16" t="e">
        <f>VLOOKUP(Tabla5[[#This Row],[id]],TabRecetas[],8,FALSE)</f>
        <v>#N/A</v>
      </c>
      <c r="D57" s="16" t="e">
        <f>Tabla5[[#This Row],[Precio de elavoracion]]+Informacion!$O$4</f>
        <v>#N/A</v>
      </c>
      <c r="E57" s="16" t="e">
        <f>Tabla5[[#This Row],[Precio de elavoracion]]+(Tabla5[[#This Row],[Precio de elavoracion]]*30%)+Informacion!$O$4</f>
        <v>#N/A</v>
      </c>
      <c r="F57" s="16" t="e">
        <f>Tabla5[[#This Row],[Precio de elavoracion]]+(Tabla5[[#This Row],[Precio de elavoracion]]*60%)+Informacion!$O$4</f>
        <v>#N/A</v>
      </c>
      <c r="H57" s="16" t="e">
        <f>Tabla5[[#This Row],[Precio de elavoracion]]+(Tabla5[[#This Row],[Precio de elavoracion]]*Tabla5[[#This Row],[% + editable]])+Informacion!$O$4</f>
        <v>#N/A</v>
      </c>
    </row>
    <row r="58" spans="1:8" x14ac:dyDescent="0.3">
      <c r="A58" s="46">
        <v>57</v>
      </c>
      <c r="B58" t="e">
        <f>VLOOKUP(Tabla5[[#This Row],[id]],TabRecetas[],2,FALSE)</f>
        <v>#N/A</v>
      </c>
      <c r="C58" s="16" t="e">
        <f>VLOOKUP(Tabla5[[#This Row],[id]],TabRecetas[],8,FALSE)</f>
        <v>#N/A</v>
      </c>
      <c r="D58" s="16" t="e">
        <f>Tabla5[[#This Row],[Precio de elavoracion]]+Informacion!$O$4</f>
        <v>#N/A</v>
      </c>
      <c r="E58" s="16" t="e">
        <f>Tabla5[[#This Row],[Precio de elavoracion]]+(Tabla5[[#This Row],[Precio de elavoracion]]*30%)+Informacion!$O$4</f>
        <v>#N/A</v>
      </c>
      <c r="F58" s="16" t="e">
        <f>Tabla5[[#This Row],[Precio de elavoracion]]+(Tabla5[[#This Row],[Precio de elavoracion]]*60%)+Informacion!$O$4</f>
        <v>#N/A</v>
      </c>
      <c r="H58" s="16" t="e">
        <f>Tabla5[[#This Row],[Precio de elavoracion]]+(Tabla5[[#This Row],[Precio de elavoracion]]*Tabla5[[#This Row],[% + editable]])+Informacion!$O$4</f>
        <v>#N/A</v>
      </c>
    </row>
    <row r="59" spans="1:8" x14ac:dyDescent="0.3">
      <c r="A59" s="46">
        <v>58</v>
      </c>
      <c r="B59" t="e">
        <f>VLOOKUP(Tabla5[[#This Row],[id]],TabRecetas[],2,FALSE)</f>
        <v>#N/A</v>
      </c>
      <c r="C59" s="16" t="e">
        <f>VLOOKUP(Tabla5[[#This Row],[id]],TabRecetas[],8,FALSE)</f>
        <v>#N/A</v>
      </c>
      <c r="D59" s="16" t="e">
        <f>Tabla5[[#This Row],[Precio de elavoracion]]+Informacion!$O$4</f>
        <v>#N/A</v>
      </c>
      <c r="E59" s="16" t="e">
        <f>Tabla5[[#This Row],[Precio de elavoracion]]+(Tabla5[[#This Row],[Precio de elavoracion]]*30%)+Informacion!$O$4</f>
        <v>#N/A</v>
      </c>
      <c r="F59" s="16" t="e">
        <f>Tabla5[[#This Row],[Precio de elavoracion]]+(Tabla5[[#This Row],[Precio de elavoracion]]*60%)+Informacion!$O$4</f>
        <v>#N/A</v>
      </c>
      <c r="H59" s="16" t="e">
        <f>Tabla5[[#This Row],[Precio de elavoracion]]+(Tabla5[[#This Row],[Precio de elavoracion]]*Tabla5[[#This Row],[% + editable]])+Informacion!$O$4</f>
        <v>#N/A</v>
      </c>
    </row>
    <row r="60" spans="1:8" x14ac:dyDescent="0.3">
      <c r="A60" s="46">
        <v>59</v>
      </c>
      <c r="B60" t="e">
        <f>VLOOKUP(Tabla5[[#This Row],[id]],TabRecetas[],2,FALSE)</f>
        <v>#N/A</v>
      </c>
      <c r="C60" s="16" t="e">
        <f>VLOOKUP(Tabla5[[#This Row],[id]],TabRecetas[],8,FALSE)</f>
        <v>#N/A</v>
      </c>
      <c r="D60" s="16" t="e">
        <f>Tabla5[[#This Row],[Precio de elavoracion]]+Informacion!$O$4</f>
        <v>#N/A</v>
      </c>
      <c r="E60" s="16" t="e">
        <f>Tabla5[[#This Row],[Precio de elavoracion]]+(Tabla5[[#This Row],[Precio de elavoracion]]*30%)+Informacion!$O$4</f>
        <v>#N/A</v>
      </c>
      <c r="F60" s="16" t="e">
        <f>Tabla5[[#This Row],[Precio de elavoracion]]+(Tabla5[[#This Row],[Precio de elavoracion]]*60%)+Informacion!$O$4</f>
        <v>#N/A</v>
      </c>
      <c r="H60" s="16" t="e">
        <f>Tabla5[[#This Row],[Precio de elavoracion]]+(Tabla5[[#This Row],[Precio de elavoracion]]*Tabla5[[#This Row],[% + editable]])+Informacion!$O$4</f>
        <v>#N/A</v>
      </c>
    </row>
    <row r="61" spans="1:8" x14ac:dyDescent="0.3">
      <c r="A61" s="46">
        <v>60</v>
      </c>
      <c r="B61" t="e">
        <f>VLOOKUP(Tabla5[[#This Row],[id]],TabRecetas[],2,FALSE)</f>
        <v>#N/A</v>
      </c>
      <c r="C61" s="16" t="e">
        <f>VLOOKUP(Tabla5[[#This Row],[id]],TabRecetas[],8,FALSE)</f>
        <v>#N/A</v>
      </c>
      <c r="D61" s="16" t="e">
        <f>Tabla5[[#This Row],[Precio de elavoracion]]+Informacion!$O$4</f>
        <v>#N/A</v>
      </c>
      <c r="E61" s="16" t="e">
        <f>Tabla5[[#This Row],[Precio de elavoracion]]+(Tabla5[[#This Row],[Precio de elavoracion]]*30%)+Informacion!$O$4</f>
        <v>#N/A</v>
      </c>
      <c r="F61" s="16" t="e">
        <f>Tabla5[[#This Row],[Precio de elavoracion]]+(Tabla5[[#This Row],[Precio de elavoracion]]*60%)+Informacion!$O$4</f>
        <v>#N/A</v>
      </c>
      <c r="H61" s="16" t="e">
        <f>Tabla5[[#This Row],[Precio de elavoracion]]+(Tabla5[[#This Row],[Precio de elavoracion]]*Tabla5[[#This Row],[% + editable]])+Informacion!$O$4</f>
        <v>#N/A</v>
      </c>
    </row>
    <row r="62" spans="1:8" x14ac:dyDescent="0.3">
      <c r="A62" s="46">
        <v>61</v>
      </c>
      <c r="B62" t="e">
        <f>VLOOKUP(Tabla5[[#This Row],[id]],TabRecetas[],2,FALSE)</f>
        <v>#N/A</v>
      </c>
      <c r="C62" s="16" t="e">
        <f>VLOOKUP(Tabla5[[#This Row],[id]],TabRecetas[],8,FALSE)</f>
        <v>#N/A</v>
      </c>
      <c r="D62" s="16" t="e">
        <f>Tabla5[[#This Row],[Precio de elavoracion]]+Informacion!$O$4</f>
        <v>#N/A</v>
      </c>
      <c r="E62" s="16" t="e">
        <f>Tabla5[[#This Row],[Precio de elavoracion]]+(Tabla5[[#This Row],[Precio de elavoracion]]*30%)+Informacion!$O$4</f>
        <v>#N/A</v>
      </c>
      <c r="F62" s="16" t="e">
        <f>Tabla5[[#This Row],[Precio de elavoracion]]+(Tabla5[[#This Row],[Precio de elavoracion]]*60%)+Informacion!$O$4</f>
        <v>#N/A</v>
      </c>
      <c r="H62" s="16" t="e">
        <f>Tabla5[[#This Row],[Precio de elavoracion]]+(Tabla5[[#This Row],[Precio de elavoracion]]*Tabla5[[#This Row],[% + editable]])+Informacion!$O$4</f>
        <v>#N/A</v>
      </c>
    </row>
    <row r="63" spans="1:8" x14ac:dyDescent="0.3">
      <c r="A63" s="46">
        <v>62</v>
      </c>
      <c r="B63" t="e">
        <f>VLOOKUP(Tabla5[[#This Row],[id]],TabRecetas[],2,FALSE)</f>
        <v>#N/A</v>
      </c>
      <c r="C63" s="16" t="e">
        <f>VLOOKUP(Tabla5[[#This Row],[id]],TabRecetas[],8,FALSE)</f>
        <v>#N/A</v>
      </c>
      <c r="D63" s="16" t="e">
        <f>Tabla5[[#This Row],[Precio de elavoracion]]+Informacion!$O$4</f>
        <v>#N/A</v>
      </c>
      <c r="E63" s="16" t="e">
        <f>Tabla5[[#This Row],[Precio de elavoracion]]+(Tabla5[[#This Row],[Precio de elavoracion]]*30%)+Informacion!$O$4</f>
        <v>#N/A</v>
      </c>
      <c r="F63" s="16" t="e">
        <f>Tabla5[[#This Row],[Precio de elavoracion]]+(Tabla5[[#This Row],[Precio de elavoracion]]*60%)+Informacion!$O$4</f>
        <v>#N/A</v>
      </c>
      <c r="H63" s="16" t="e">
        <f>Tabla5[[#This Row],[Precio de elavoracion]]+(Tabla5[[#This Row],[Precio de elavoracion]]*Tabla5[[#This Row],[% + editable]])+Informacion!$O$4</f>
        <v>#N/A</v>
      </c>
    </row>
    <row r="64" spans="1:8" x14ac:dyDescent="0.3">
      <c r="A64" s="46">
        <v>63</v>
      </c>
      <c r="B64" t="e">
        <f>VLOOKUP(Tabla5[[#This Row],[id]],TabRecetas[],2,FALSE)</f>
        <v>#N/A</v>
      </c>
      <c r="C64" s="16" t="e">
        <f>VLOOKUP(Tabla5[[#This Row],[id]],TabRecetas[],8,FALSE)</f>
        <v>#N/A</v>
      </c>
      <c r="D64" s="16" t="e">
        <f>Tabla5[[#This Row],[Precio de elavoracion]]+Informacion!$O$4</f>
        <v>#N/A</v>
      </c>
      <c r="E64" s="16" t="e">
        <f>Tabla5[[#This Row],[Precio de elavoracion]]+(Tabla5[[#This Row],[Precio de elavoracion]]*30%)+Informacion!$O$4</f>
        <v>#N/A</v>
      </c>
      <c r="F64" s="16" t="e">
        <f>Tabla5[[#This Row],[Precio de elavoracion]]+(Tabla5[[#This Row],[Precio de elavoracion]]*60%)+Informacion!$O$4</f>
        <v>#N/A</v>
      </c>
      <c r="H64" s="16" t="e">
        <f>Tabla5[[#This Row],[Precio de elavoracion]]+(Tabla5[[#This Row],[Precio de elavoracion]]*Tabla5[[#This Row],[% + editable]])+Informacion!$O$4</f>
        <v>#N/A</v>
      </c>
    </row>
    <row r="65" spans="1:8" x14ac:dyDescent="0.3">
      <c r="A65" s="46">
        <v>64</v>
      </c>
      <c r="B65" t="e">
        <f>VLOOKUP(Tabla5[[#This Row],[id]],TabRecetas[],2,FALSE)</f>
        <v>#N/A</v>
      </c>
      <c r="C65" s="16" t="e">
        <f>VLOOKUP(Tabla5[[#This Row],[id]],TabRecetas[],8,FALSE)</f>
        <v>#N/A</v>
      </c>
      <c r="D65" s="16" t="e">
        <f>Tabla5[[#This Row],[Precio de elavoracion]]+Informacion!$O$4</f>
        <v>#N/A</v>
      </c>
      <c r="E65" s="16" t="e">
        <f>Tabla5[[#This Row],[Precio de elavoracion]]+(Tabla5[[#This Row],[Precio de elavoracion]]*30%)+Informacion!$O$4</f>
        <v>#N/A</v>
      </c>
      <c r="F65" s="16" t="e">
        <f>Tabla5[[#This Row],[Precio de elavoracion]]+(Tabla5[[#This Row],[Precio de elavoracion]]*60%)+Informacion!$O$4</f>
        <v>#N/A</v>
      </c>
      <c r="H65" s="16" t="e">
        <f>Tabla5[[#This Row],[Precio de elavoracion]]+(Tabla5[[#This Row],[Precio de elavoracion]]*Tabla5[[#This Row],[% + editable]])+Informacion!$O$4</f>
        <v>#N/A</v>
      </c>
    </row>
    <row r="66" spans="1:8" x14ac:dyDescent="0.3">
      <c r="A66" s="46">
        <v>65</v>
      </c>
      <c r="B66" t="e">
        <f>VLOOKUP(Tabla5[[#This Row],[id]],TabRecetas[],2,FALSE)</f>
        <v>#N/A</v>
      </c>
      <c r="C66" s="16" t="e">
        <f>VLOOKUP(Tabla5[[#This Row],[id]],TabRecetas[],8,FALSE)</f>
        <v>#N/A</v>
      </c>
      <c r="D66" s="16" t="e">
        <f>Tabla5[[#This Row],[Precio de elavoracion]]+Informacion!$O$4</f>
        <v>#N/A</v>
      </c>
      <c r="E66" s="16" t="e">
        <f>Tabla5[[#This Row],[Precio de elavoracion]]+(Tabla5[[#This Row],[Precio de elavoracion]]*30%)+Informacion!$O$4</f>
        <v>#N/A</v>
      </c>
      <c r="F66" s="16" t="e">
        <f>Tabla5[[#This Row],[Precio de elavoracion]]+(Tabla5[[#This Row],[Precio de elavoracion]]*60%)+Informacion!$O$4</f>
        <v>#N/A</v>
      </c>
      <c r="H66" s="16" t="e">
        <f>Tabla5[[#This Row],[Precio de elavoracion]]+(Tabla5[[#This Row],[Precio de elavoracion]]*Tabla5[[#This Row],[% + editable]])+Informacion!$O$4</f>
        <v>#N/A</v>
      </c>
    </row>
    <row r="67" spans="1:8" x14ac:dyDescent="0.3">
      <c r="A67" s="46">
        <v>66</v>
      </c>
      <c r="B67" t="e">
        <f>VLOOKUP(Tabla5[[#This Row],[id]],TabRecetas[],2,FALSE)</f>
        <v>#N/A</v>
      </c>
      <c r="C67" s="16" t="e">
        <f>VLOOKUP(Tabla5[[#This Row],[id]],TabRecetas[],8,FALSE)</f>
        <v>#N/A</v>
      </c>
      <c r="D67" s="16" t="e">
        <f>Tabla5[[#This Row],[Precio de elavoracion]]+Informacion!$O$4</f>
        <v>#N/A</v>
      </c>
      <c r="E67" s="16" t="e">
        <f>Tabla5[[#This Row],[Precio de elavoracion]]+(Tabla5[[#This Row],[Precio de elavoracion]]*30%)+Informacion!$O$4</f>
        <v>#N/A</v>
      </c>
      <c r="F67" s="16" t="e">
        <f>Tabla5[[#This Row],[Precio de elavoracion]]+(Tabla5[[#This Row],[Precio de elavoracion]]*60%)+Informacion!$O$4</f>
        <v>#N/A</v>
      </c>
      <c r="H67" s="16" t="e">
        <f>Tabla5[[#This Row],[Precio de elavoracion]]+(Tabla5[[#This Row],[Precio de elavoracion]]*Tabla5[[#This Row],[% + editable]])+Informacion!$O$4</f>
        <v>#N/A</v>
      </c>
    </row>
    <row r="68" spans="1:8" x14ac:dyDescent="0.3">
      <c r="A68" s="46">
        <v>67</v>
      </c>
      <c r="B68" t="e">
        <f>VLOOKUP(Tabla5[[#This Row],[id]],TabRecetas[],2,FALSE)</f>
        <v>#N/A</v>
      </c>
      <c r="C68" s="16" t="e">
        <f>VLOOKUP(Tabla5[[#This Row],[id]],TabRecetas[],8,FALSE)</f>
        <v>#N/A</v>
      </c>
      <c r="D68" s="16" t="e">
        <f>Tabla5[[#This Row],[Precio de elavoracion]]+Informacion!$O$4</f>
        <v>#N/A</v>
      </c>
      <c r="E68" s="16" t="e">
        <f>Tabla5[[#This Row],[Precio de elavoracion]]+(Tabla5[[#This Row],[Precio de elavoracion]]*30%)+Informacion!$O$4</f>
        <v>#N/A</v>
      </c>
      <c r="F68" s="16" t="e">
        <f>Tabla5[[#This Row],[Precio de elavoracion]]+(Tabla5[[#This Row],[Precio de elavoracion]]*60%)+Informacion!$O$4</f>
        <v>#N/A</v>
      </c>
      <c r="H68" s="16" t="e">
        <f>Tabla5[[#This Row],[Precio de elavoracion]]+(Tabla5[[#This Row],[Precio de elavoracion]]*Tabla5[[#This Row],[% + editable]])+Informacion!$O$4</f>
        <v>#N/A</v>
      </c>
    </row>
    <row r="69" spans="1:8" x14ac:dyDescent="0.3">
      <c r="A69" s="46">
        <v>68</v>
      </c>
      <c r="B69" t="e">
        <f>VLOOKUP(Tabla5[[#This Row],[id]],TabRecetas[],2,FALSE)</f>
        <v>#N/A</v>
      </c>
      <c r="C69" s="16" t="e">
        <f>VLOOKUP(Tabla5[[#This Row],[id]],TabRecetas[],8,FALSE)</f>
        <v>#N/A</v>
      </c>
      <c r="D69" s="16" t="e">
        <f>Tabla5[[#This Row],[Precio de elavoracion]]+Informacion!$O$4</f>
        <v>#N/A</v>
      </c>
      <c r="E69" s="16" t="e">
        <f>Tabla5[[#This Row],[Precio de elavoracion]]+(Tabla5[[#This Row],[Precio de elavoracion]]*30%)+Informacion!$O$4</f>
        <v>#N/A</v>
      </c>
      <c r="F69" s="16" t="e">
        <f>Tabla5[[#This Row],[Precio de elavoracion]]+(Tabla5[[#This Row],[Precio de elavoracion]]*60%)+Informacion!$O$4</f>
        <v>#N/A</v>
      </c>
      <c r="H69" s="16" t="e">
        <f>Tabla5[[#This Row],[Precio de elavoracion]]+(Tabla5[[#This Row],[Precio de elavoracion]]*Tabla5[[#This Row],[% + editable]])+Informacion!$O$4</f>
        <v>#N/A</v>
      </c>
    </row>
    <row r="70" spans="1:8" x14ac:dyDescent="0.3">
      <c r="A70" s="46">
        <v>69</v>
      </c>
      <c r="B70" t="e">
        <f>VLOOKUP(Tabla5[[#This Row],[id]],TabRecetas[],2,FALSE)</f>
        <v>#N/A</v>
      </c>
      <c r="C70" s="16" t="e">
        <f>VLOOKUP(Tabla5[[#This Row],[id]],TabRecetas[],8,FALSE)</f>
        <v>#N/A</v>
      </c>
      <c r="D70" s="16" t="e">
        <f>Tabla5[[#This Row],[Precio de elavoracion]]+Informacion!$O$4</f>
        <v>#N/A</v>
      </c>
      <c r="E70" s="16" t="e">
        <f>Tabla5[[#This Row],[Precio de elavoracion]]+(Tabla5[[#This Row],[Precio de elavoracion]]*30%)+Informacion!$O$4</f>
        <v>#N/A</v>
      </c>
      <c r="F70" s="16" t="e">
        <f>Tabla5[[#This Row],[Precio de elavoracion]]+(Tabla5[[#This Row],[Precio de elavoracion]]*60%)+Informacion!$O$4</f>
        <v>#N/A</v>
      </c>
      <c r="H70" s="16" t="e">
        <f>Tabla5[[#This Row],[Precio de elavoracion]]+(Tabla5[[#This Row],[Precio de elavoracion]]*Tabla5[[#This Row],[% + editable]])+Informacion!$O$4</f>
        <v>#N/A</v>
      </c>
    </row>
    <row r="71" spans="1:8" x14ac:dyDescent="0.3">
      <c r="A71" s="46">
        <v>70</v>
      </c>
      <c r="B71" t="e">
        <f>VLOOKUP(Tabla5[[#This Row],[id]],TabRecetas[],2,FALSE)</f>
        <v>#N/A</v>
      </c>
      <c r="C71" s="16" t="e">
        <f>VLOOKUP(Tabla5[[#This Row],[id]],TabRecetas[],8,FALSE)</f>
        <v>#N/A</v>
      </c>
      <c r="D71" s="16" t="e">
        <f>Tabla5[[#This Row],[Precio de elavoracion]]+Informacion!$O$4</f>
        <v>#N/A</v>
      </c>
      <c r="E71" s="16" t="e">
        <f>Tabla5[[#This Row],[Precio de elavoracion]]+(Tabla5[[#This Row],[Precio de elavoracion]]*30%)+Informacion!$O$4</f>
        <v>#N/A</v>
      </c>
      <c r="F71" s="16" t="e">
        <f>Tabla5[[#This Row],[Precio de elavoracion]]+(Tabla5[[#This Row],[Precio de elavoracion]]*60%)+Informacion!$O$4</f>
        <v>#N/A</v>
      </c>
      <c r="H71" s="16" t="e">
        <f>Tabla5[[#This Row],[Precio de elavoracion]]+(Tabla5[[#This Row],[Precio de elavoracion]]*Tabla5[[#This Row],[% + editable]])+Informacion!$O$4</f>
        <v>#N/A</v>
      </c>
    </row>
    <row r="72" spans="1:8" x14ac:dyDescent="0.3">
      <c r="A72" s="46">
        <v>71</v>
      </c>
      <c r="B72" t="e">
        <f>VLOOKUP(Tabla5[[#This Row],[id]],TabRecetas[],2,FALSE)</f>
        <v>#N/A</v>
      </c>
      <c r="C72" s="16" t="e">
        <f>VLOOKUP(Tabla5[[#This Row],[id]],TabRecetas[],8,FALSE)</f>
        <v>#N/A</v>
      </c>
      <c r="D72" s="16" t="e">
        <f>Tabla5[[#This Row],[Precio de elavoracion]]+Informacion!$O$4</f>
        <v>#N/A</v>
      </c>
      <c r="E72" s="16" t="e">
        <f>Tabla5[[#This Row],[Precio de elavoracion]]+(Tabla5[[#This Row],[Precio de elavoracion]]*30%)+Informacion!$O$4</f>
        <v>#N/A</v>
      </c>
      <c r="F72" s="16" t="e">
        <f>Tabla5[[#This Row],[Precio de elavoracion]]+(Tabla5[[#This Row],[Precio de elavoracion]]*60%)+Informacion!$O$4</f>
        <v>#N/A</v>
      </c>
      <c r="H72" s="16" t="e">
        <f>Tabla5[[#This Row],[Precio de elavoracion]]+(Tabla5[[#This Row],[Precio de elavoracion]]*Tabla5[[#This Row],[% + editable]])+Informacion!$O$4</f>
        <v>#N/A</v>
      </c>
    </row>
    <row r="73" spans="1:8" x14ac:dyDescent="0.3">
      <c r="A73" s="46">
        <v>72</v>
      </c>
      <c r="B73" t="e">
        <f>VLOOKUP(Tabla5[[#This Row],[id]],TabRecetas[],2,FALSE)</f>
        <v>#N/A</v>
      </c>
      <c r="C73" s="16" t="e">
        <f>VLOOKUP(Tabla5[[#This Row],[id]],TabRecetas[],8,FALSE)</f>
        <v>#N/A</v>
      </c>
      <c r="D73" s="16" t="e">
        <f>Tabla5[[#This Row],[Precio de elavoracion]]+Informacion!$O$4</f>
        <v>#N/A</v>
      </c>
      <c r="E73" s="16" t="e">
        <f>Tabla5[[#This Row],[Precio de elavoracion]]+(Tabla5[[#This Row],[Precio de elavoracion]]*30%)+Informacion!$O$4</f>
        <v>#N/A</v>
      </c>
      <c r="F73" s="16" t="e">
        <f>Tabla5[[#This Row],[Precio de elavoracion]]+(Tabla5[[#This Row],[Precio de elavoracion]]*60%)+Informacion!$O$4</f>
        <v>#N/A</v>
      </c>
      <c r="H73" s="16" t="e">
        <f>Tabla5[[#This Row],[Precio de elavoracion]]+(Tabla5[[#This Row],[Precio de elavoracion]]*Tabla5[[#This Row],[% + editable]])+Informacion!$O$4</f>
        <v>#N/A</v>
      </c>
    </row>
    <row r="74" spans="1:8" x14ac:dyDescent="0.3">
      <c r="A74" s="46">
        <v>73</v>
      </c>
      <c r="B74" t="e">
        <f>VLOOKUP(Tabla5[[#This Row],[id]],TabRecetas[],2,FALSE)</f>
        <v>#N/A</v>
      </c>
      <c r="C74" s="16" t="e">
        <f>VLOOKUP(Tabla5[[#This Row],[id]],TabRecetas[],8,FALSE)</f>
        <v>#N/A</v>
      </c>
      <c r="D74" s="16" t="e">
        <f>Tabla5[[#This Row],[Precio de elavoracion]]+Informacion!$O$4</f>
        <v>#N/A</v>
      </c>
      <c r="E74" s="16" t="e">
        <f>Tabla5[[#This Row],[Precio de elavoracion]]+(Tabla5[[#This Row],[Precio de elavoracion]]*30%)+Informacion!$O$4</f>
        <v>#N/A</v>
      </c>
      <c r="F74" s="16" t="e">
        <f>Tabla5[[#This Row],[Precio de elavoracion]]+(Tabla5[[#This Row],[Precio de elavoracion]]*60%)+Informacion!$O$4</f>
        <v>#N/A</v>
      </c>
      <c r="H74" s="16" t="e">
        <f>Tabla5[[#This Row],[Precio de elavoracion]]+(Tabla5[[#This Row],[Precio de elavoracion]]*Tabla5[[#This Row],[% + editable]])+Informacion!$O$4</f>
        <v>#N/A</v>
      </c>
    </row>
    <row r="75" spans="1:8" x14ac:dyDescent="0.3">
      <c r="A75" s="46">
        <v>74</v>
      </c>
      <c r="B75" t="e">
        <f>VLOOKUP(Tabla5[[#This Row],[id]],TabRecetas[],2,FALSE)</f>
        <v>#N/A</v>
      </c>
      <c r="C75" s="16" t="e">
        <f>VLOOKUP(Tabla5[[#This Row],[id]],TabRecetas[],8,FALSE)</f>
        <v>#N/A</v>
      </c>
      <c r="D75" s="16" t="e">
        <f>Tabla5[[#This Row],[Precio de elavoracion]]+Informacion!$O$4</f>
        <v>#N/A</v>
      </c>
      <c r="E75" s="16" t="e">
        <f>Tabla5[[#This Row],[Precio de elavoracion]]+(Tabla5[[#This Row],[Precio de elavoracion]]*30%)+Informacion!$O$4</f>
        <v>#N/A</v>
      </c>
      <c r="F75" s="16" t="e">
        <f>Tabla5[[#This Row],[Precio de elavoracion]]+(Tabla5[[#This Row],[Precio de elavoracion]]*60%)+Informacion!$O$4</f>
        <v>#N/A</v>
      </c>
      <c r="H75" s="16" t="e">
        <f>Tabla5[[#This Row],[Precio de elavoracion]]+(Tabla5[[#This Row],[Precio de elavoracion]]*Tabla5[[#This Row],[% + editable]])+Informacion!$O$4</f>
        <v>#N/A</v>
      </c>
    </row>
    <row r="76" spans="1:8" x14ac:dyDescent="0.3">
      <c r="A76" s="46">
        <v>75</v>
      </c>
      <c r="B76" t="e">
        <f>VLOOKUP(Tabla5[[#This Row],[id]],TabRecetas[],2,FALSE)</f>
        <v>#N/A</v>
      </c>
      <c r="C76" s="16" t="e">
        <f>VLOOKUP(Tabla5[[#This Row],[id]],TabRecetas[],8,FALSE)</f>
        <v>#N/A</v>
      </c>
      <c r="D76" s="16" t="e">
        <f>Tabla5[[#This Row],[Precio de elavoracion]]+Informacion!$O$4</f>
        <v>#N/A</v>
      </c>
      <c r="E76" s="16" t="e">
        <f>Tabla5[[#This Row],[Precio de elavoracion]]+(Tabla5[[#This Row],[Precio de elavoracion]]*30%)+Informacion!$O$4</f>
        <v>#N/A</v>
      </c>
      <c r="F76" s="16" t="e">
        <f>Tabla5[[#This Row],[Precio de elavoracion]]+(Tabla5[[#This Row],[Precio de elavoracion]]*60%)+Informacion!$O$4</f>
        <v>#N/A</v>
      </c>
      <c r="H76" s="16" t="e">
        <f>Tabla5[[#This Row],[Precio de elavoracion]]+(Tabla5[[#This Row],[Precio de elavoracion]]*Tabla5[[#This Row],[% + editable]])+Informacion!$O$4</f>
        <v>#N/A</v>
      </c>
    </row>
    <row r="77" spans="1:8" x14ac:dyDescent="0.3">
      <c r="A77" s="46">
        <v>76</v>
      </c>
      <c r="B77" t="e">
        <f>VLOOKUP(Tabla5[[#This Row],[id]],TabRecetas[],2,FALSE)</f>
        <v>#N/A</v>
      </c>
      <c r="C77" s="16" t="e">
        <f>VLOOKUP(Tabla5[[#This Row],[id]],TabRecetas[],8,FALSE)</f>
        <v>#N/A</v>
      </c>
      <c r="D77" s="16" t="e">
        <f>Tabla5[[#This Row],[Precio de elavoracion]]+Informacion!$O$4</f>
        <v>#N/A</v>
      </c>
      <c r="E77" s="16" t="e">
        <f>Tabla5[[#This Row],[Precio de elavoracion]]+(Tabla5[[#This Row],[Precio de elavoracion]]*30%)+Informacion!$O$4</f>
        <v>#N/A</v>
      </c>
      <c r="F77" s="16" t="e">
        <f>Tabla5[[#This Row],[Precio de elavoracion]]+(Tabla5[[#This Row],[Precio de elavoracion]]*60%)+Informacion!$O$4</f>
        <v>#N/A</v>
      </c>
      <c r="H77" s="16" t="e">
        <f>Tabla5[[#This Row],[Precio de elavoracion]]+(Tabla5[[#This Row],[Precio de elavoracion]]*Tabla5[[#This Row],[% + editable]])+Informacion!$O$4</f>
        <v>#N/A</v>
      </c>
    </row>
    <row r="78" spans="1:8" x14ac:dyDescent="0.3">
      <c r="A78" s="46">
        <v>77</v>
      </c>
      <c r="B78" t="e">
        <f>VLOOKUP(Tabla5[[#This Row],[id]],TabRecetas[],2,FALSE)</f>
        <v>#N/A</v>
      </c>
      <c r="C78" s="16" t="e">
        <f>VLOOKUP(Tabla5[[#This Row],[id]],TabRecetas[],8,FALSE)</f>
        <v>#N/A</v>
      </c>
      <c r="D78" s="16" t="e">
        <f>Tabla5[[#This Row],[Precio de elavoracion]]+Informacion!$O$4</f>
        <v>#N/A</v>
      </c>
      <c r="E78" s="16" t="e">
        <f>Tabla5[[#This Row],[Precio de elavoracion]]+(Tabla5[[#This Row],[Precio de elavoracion]]*30%)+Informacion!$O$4</f>
        <v>#N/A</v>
      </c>
      <c r="F78" s="16" t="e">
        <f>Tabla5[[#This Row],[Precio de elavoracion]]+(Tabla5[[#This Row],[Precio de elavoracion]]*60%)+Informacion!$O$4</f>
        <v>#N/A</v>
      </c>
      <c r="H78" s="16" t="e">
        <f>Tabla5[[#This Row],[Precio de elavoracion]]+(Tabla5[[#This Row],[Precio de elavoracion]]*Tabla5[[#This Row],[% + editable]])+Informacion!$O$4</f>
        <v>#N/A</v>
      </c>
    </row>
    <row r="79" spans="1:8" x14ac:dyDescent="0.3">
      <c r="A79" s="46">
        <v>78</v>
      </c>
      <c r="B79" t="e">
        <f>VLOOKUP(Tabla5[[#This Row],[id]],TabRecetas[],2,FALSE)</f>
        <v>#N/A</v>
      </c>
      <c r="C79" s="16" t="e">
        <f>VLOOKUP(Tabla5[[#This Row],[id]],TabRecetas[],8,FALSE)</f>
        <v>#N/A</v>
      </c>
      <c r="D79" s="16" t="e">
        <f>Tabla5[[#This Row],[Precio de elavoracion]]+Informacion!$O$4</f>
        <v>#N/A</v>
      </c>
      <c r="E79" s="16" t="e">
        <f>Tabla5[[#This Row],[Precio de elavoracion]]+(Tabla5[[#This Row],[Precio de elavoracion]]*30%)+Informacion!$O$4</f>
        <v>#N/A</v>
      </c>
      <c r="F79" s="16" t="e">
        <f>Tabla5[[#This Row],[Precio de elavoracion]]+(Tabla5[[#This Row],[Precio de elavoracion]]*60%)+Informacion!$O$4</f>
        <v>#N/A</v>
      </c>
      <c r="H79" s="16" t="e">
        <f>Tabla5[[#This Row],[Precio de elavoracion]]+(Tabla5[[#This Row],[Precio de elavoracion]]*Tabla5[[#This Row],[% + editable]])+Informacion!$O$4</f>
        <v>#N/A</v>
      </c>
    </row>
    <row r="80" spans="1:8" x14ac:dyDescent="0.3">
      <c r="A80" s="46">
        <v>79</v>
      </c>
      <c r="B80" t="e">
        <f>VLOOKUP(Tabla5[[#This Row],[id]],TabRecetas[],2,FALSE)</f>
        <v>#N/A</v>
      </c>
      <c r="C80" s="16" t="e">
        <f>VLOOKUP(Tabla5[[#This Row],[id]],TabRecetas[],8,FALSE)</f>
        <v>#N/A</v>
      </c>
      <c r="D80" s="16" t="e">
        <f>Tabla5[[#This Row],[Precio de elavoracion]]+Informacion!$O$4</f>
        <v>#N/A</v>
      </c>
      <c r="E80" s="16" t="e">
        <f>Tabla5[[#This Row],[Precio de elavoracion]]+(Tabla5[[#This Row],[Precio de elavoracion]]*30%)+Informacion!$O$4</f>
        <v>#N/A</v>
      </c>
      <c r="F80" s="16" t="e">
        <f>Tabla5[[#This Row],[Precio de elavoracion]]+(Tabla5[[#This Row],[Precio de elavoracion]]*60%)+Informacion!$O$4</f>
        <v>#N/A</v>
      </c>
      <c r="H80" s="16" t="e">
        <f>Tabla5[[#This Row],[Precio de elavoracion]]+(Tabla5[[#This Row],[Precio de elavoracion]]*Tabla5[[#This Row],[% + editable]])+Informacion!$O$4</f>
        <v>#N/A</v>
      </c>
    </row>
    <row r="81" spans="1:8" x14ac:dyDescent="0.3">
      <c r="A81" s="46">
        <v>80</v>
      </c>
      <c r="B81" t="e">
        <f>VLOOKUP(Tabla5[[#This Row],[id]],TabRecetas[],2,FALSE)</f>
        <v>#N/A</v>
      </c>
      <c r="C81" s="16" t="e">
        <f>VLOOKUP(Tabla5[[#This Row],[id]],TabRecetas[],8,FALSE)</f>
        <v>#N/A</v>
      </c>
      <c r="D81" s="16" t="e">
        <f>Tabla5[[#This Row],[Precio de elavoracion]]+Informacion!$O$4</f>
        <v>#N/A</v>
      </c>
      <c r="E81" s="16" t="e">
        <f>Tabla5[[#This Row],[Precio de elavoracion]]+(Tabla5[[#This Row],[Precio de elavoracion]]*30%)+Informacion!$O$4</f>
        <v>#N/A</v>
      </c>
      <c r="F81" s="16" t="e">
        <f>Tabla5[[#This Row],[Precio de elavoracion]]+(Tabla5[[#This Row],[Precio de elavoracion]]*60%)+Informacion!$O$4</f>
        <v>#N/A</v>
      </c>
      <c r="H81" s="16" t="e">
        <f>Tabla5[[#This Row],[Precio de elavoracion]]+(Tabla5[[#This Row],[Precio de elavoracion]]*Tabla5[[#This Row],[% + editable]])+Informacion!$O$4</f>
        <v>#N/A</v>
      </c>
    </row>
    <row r="82" spans="1:8" x14ac:dyDescent="0.3">
      <c r="A82" s="46">
        <v>81</v>
      </c>
      <c r="B82" t="e">
        <f>VLOOKUP(Tabla5[[#This Row],[id]],TabRecetas[],2,FALSE)</f>
        <v>#N/A</v>
      </c>
      <c r="C82" s="16" t="e">
        <f>VLOOKUP(Tabla5[[#This Row],[id]],TabRecetas[],8,FALSE)</f>
        <v>#N/A</v>
      </c>
      <c r="D82" s="16" t="e">
        <f>Tabla5[[#This Row],[Precio de elavoracion]]+Informacion!$O$4</f>
        <v>#N/A</v>
      </c>
      <c r="E82" s="16" t="e">
        <f>Tabla5[[#This Row],[Precio de elavoracion]]+(Tabla5[[#This Row],[Precio de elavoracion]]*30%)+Informacion!$O$4</f>
        <v>#N/A</v>
      </c>
      <c r="F82" s="16" t="e">
        <f>Tabla5[[#This Row],[Precio de elavoracion]]+(Tabla5[[#This Row],[Precio de elavoracion]]*60%)+Informacion!$O$4</f>
        <v>#N/A</v>
      </c>
      <c r="H82" s="16" t="e">
        <f>Tabla5[[#This Row],[Precio de elavoracion]]+(Tabla5[[#This Row],[Precio de elavoracion]]*Tabla5[[#This Row],[% + editable]])+Informacion!$O$4</f>
        <v>#N/A</v>
      </c>
    </row>
    <row r="83" spans="1:8" x14ac:dyDescent="0.3">
      <c r="A83" s="46">
        <v>82</v>
      </c>
      <c r="B83" t="e">
        <f>VLOOKUP(Tabla5[[#This Row],[id]],TabRecetas[],2,FALSE)</f>
        <v>#N/A</v>
      </c>
      <c r="C83" s="16" t="e">
        <f>VLOOKUP(Tabla5[[#This Row],[id]],TabRecetas[],8,FALSE)</f>
        <v>#N/A</v>
      </c>
      <c r="D83" s="16" t="e">
        <f>Tabla5[[#This Row],[Precio de elavoracion]]+Informacion!$O$4</f>
        <v>#N/A</v>
      </c>
      <c r="E83" s="16" t="e">
        <f>Tabla5[[#This Row],[Precio de elavoracion]]+(Tabla5[[#This Row],[Precio de elavoracion]]*30%)+Informacion!$O$4</f>
        <v>#N/A</v>
      </c>
      <c r="F83" s="16" t="e">
        <f>Tabla5[[#This Row],[Precio de elavoracion]]+(Tabla5[[#This Row],[Precio de elavoracion]]*60%)+Informacion!$O$4</f>
        <v>#N/A</v>
      </c>
      <c r="H83" s="16" t="e">
        <f>Tabla5[[#This Row],[Precio de elavoracion]]+(Tabla5[[#This Row],[Precio de elavoracion]]*Tabla5[[#This Row],[% + editable]])+Informacion!$O$4</f>
        <v>#N/A</v>
      </c>
    </row>
    <row r="84" spans="1:8" x14ac:dyDescent="0.3">
      <c r="A84" s="46">
        <v>83</v>
      </c>
      <c r="B84" t="e">
        <f>VLOOKUP(Tabla5[[#This Row],[id]],TabRecetas[],2,FALSE)</f>
        <v>#N/A</v>
      </c>
      <c r="C84" s="16" t="e">
        <f>VLOOKUP(Tabla5[[#This Row],[id]],TabRecetas[],8,FALSE)</f>
        <v>#N/A</v>
      </c>
      <c r="D84" s="16" t="e">
        <f>Tabla5[[#This Row],[Precio de elavoracion]]+Informacion!$O$4</f>
        <v>#N/A</v>
      </c>
      <c r="E84" s="16" t="e">
        <f>Tabla5[[#This Row],[Precio de elavoracion]]+(Tabla5[[#This Row],[Precio de elavoracion]]*30%)+Informacion!$O$4</f>
        <v>#N/A</v>
      </c>
      <c r="F84" s="16" t="e">
        <f>Tabla5[[#This Row],[Precio de elavoracion]]+(Tabla5[[#This Row],[Precio de elavoracion]]*60%)+Informacion!$O$4</f>
        <v>#N/A</v>
      </c>
      <c r="H84" s="16" t="e">
        <f>Tabla5[[#This Row],[Precio de elavoracion]]+(Tabla5[[#This Row],[Precio de elavoracion]]*Tabla5[[#This Row],[% + editable]])+Informacion!$O$4</f>
        <v>#N/A</v>
      </c>
    </row>
    <row r="85" spans="1:8" x14ac:dyDescent="0.3">
      <c r="A85" s="46">
        <v>84</v>
      </c>
      <c r="B85" t="e">
        <f>VLOOKUP(Tabla5[[#This Row],[id]],TabRecetas[],2,FALSE)</f>
        <v>#N/A</v>
      </c>
      <c r="C85" s="16" t="e">
        <f>VLOOKUP(Tabla5[[#This Row],[id]],TabRecetas[],8,FALSE)</f>
        <v>#N/A</v>
      </c>
      <c r="D85" s="16" t="e">
        <f>Tabla5[[#This Row],[Precio de elavoracion]]+Informacion!$O$4</f>
        <v>#N/A</v>
      </c>
      <c r="E85" s="16" t="e">
        <f>Tabla5[[#This Row],[Precio de elavoracion]]+(Tabla5[[#This Row],[Precio de elavoracion]]*30%)+Informacion!$O$4</f>
        <v>#N/A</v>
      </c>
      <c r="F85" s="16" t="e">
        <f>Tabla5[[#This Row],[Precio de elavoracion]]+(Tabla5[[#This Row],[Precio de elavoracion]]*60%)+Informacion!$O$4</f>
        <v>#N/A</v>
      </c>
      <c r="H85" s="16" t="e">
        <f>Tabla5[[#This Row],[Precio de elavoracion]]+(Tabla5[[#This Row],[Precio de elavoracion]]*Tabla5[[#This Row],[% + editable]])+Informacion!$O$4</f>
        <v>#N/A</v>
      </c>
    </row>
    <row r="86" spans="1:8" x14ac:dyDescent="0.3">
      <c r="A86" s="46">
        <v>85</v>
      </c>
      <c r="B86" t="e">
        <f>VLOOKUP(Tabla5[[#This Row],[id]],TabRecetas[],2,FALSE)</f>
        <v>#N/A</v>
      </c>
      <c r="C86" s="16" t="e">
        <f>VLOOKUP(Tabla5[[#This Row],[id]],TabRecetas[],8,FALSE)</f>
        <v>#N/A</v>
      </c>
      <c r="D86" s="16" t="e">
        <f>Tabla5[[#This Row],[Precio de elavoracion]]+Informacion!$O$4</f>
        <v>#N/A</v>
      </c>
      <c r="E86" s="16" t="e">
        <f>Tabla5[[#This Row],[Precio de elavoracion]]+(Tabla5[[#This Row],[Precio de elavoracion]]*30%)+Informacion!$O$4</f>
        <v>#N/A</v>
      </c>
      <c r="F86" s="16" t="e">
        <f>Tabla5[[#This Row],[Precio de elavoracion]]+(Tabla5[[#This Row],[Precio de elavoracion]]*60%)+Informacion!$O$4</f>
        <v>#N/A</v>
      </c>
      <c r="H86" s="16" t="e">
        <f>Tabla5[[#This Row],[Precio de elavoracion]]+(Tabla5[[#This Row],[Precio de elavoracion]]*Tabla5[[#This Row],[% + editable]])+Informacion!$O$4</f>
        <v>#N/A</v>
      </c>
    </row>
    <row r="87" spans="1:8" x14ac:dyDescent="0.3">
      <c r="A87" s="46">
        <v>86</v>
      </c>
      <c r="B87" t="e">
        <f>VLOOKUP(Tabla5[[#This Row],[id]],TabRecetas[],2,FALSE)</f>
        <v>#N/A</v>
      </c>
      <c r="C87" s="16" t="e">
        <f>VLOOKUP(Tabla5[[#This Row],[id]],TabRecetas[],8,FALSE)</f>
        <v>#N/A</v>
      </c>
      <c r="D87" s="16" t="e">
        <f>Tabla5[[#This Row],[Precio de elavoracion]]+Informacion!$O$4</f>
        <v>#N/A</v>
      </c>
      <c r="E87" s="16" t="e">
        <f>Tabla5[[#This Row],[Precio de elavoracion]]+(Tabla5[[#This Row],[Precio de elavoracion]]*30%)+Informacion!$O$4</f>
        <v>#N/A</v>
      </c>
      <c r="F87" s="16" t="e">
        <f>Tabla5[[#This Row],[Precio de elavoracion]]+(Tabla5[[#This Row],[Precio de elavoracion]]*60%)+Informacion!$O$4</f>
        <v>#N/A</v>
      </c>
      <c r="H87" s="16" t="e">
        <f>Tabla5[[#This Row],[Precio de elavoracion]]+(Tabla5[[#This Row],[Precio de elavoracion]]*Tabla5[[#This Row],[% + editable]])+Informacion!$O$4</f>
        <v>#N/A</v>
      </c>
    </row>
    <row r="88" spans="1:8" x14ac:dyDescent="0.3">
      <c r="A88" s="46">
        <v>87</v>
      </c>
      <c r="B88" t="e">
        <f>VLOOKUP(Tabla5[[#This Row],[id]],TabRecetas[],2,FALSE)</f>
        <v>#N/A</v>
      </c>
      <c r="C88" s="16" t="e">
        <f>VLOOKUP(Tabla5[[#This Row],[id]],TabRecetas[],8,FALSE)</f>
        <v>#N/A</v>
      </c>
      <c r="D88" s="16" t="e">
        <f>Tabla5[[#This Row],[Precio de elavoracion]]+Informacion!$O$4</f>
        <v>#N/A</v>
      </c>
      <c r="E88" s="16" t="e">
        <f>Tabla5[[#This Row],[Precio de elavoracion]]+(Tabla5[[#This Row],[Precio de elavoracion]]*30%)+Informacion!$O$4</f>
        <v>#N/A</v>
      </c>
      <c r="F88" s="16" t="e">
        <f>Tabla5[[#This Row],[Precio de elavoracion]]+(Tabla5[[#This Row],[Precio de elavoracion]]*60%)+Informacion!$O$4</f>
        <v>#N/A</v>
      </c>
      <c r="H88" s="16" t="e">
        <f>Tabla5[[#This Row],[Precio de elavoracion]]+(Tabla5[[#This Row],[Precio de elavoracion]]*Tabla5[[#This Row],[% + editable]])+Informacion!$O$4</f>
        <v>#N/A</v>
      </c>
    </row>
    <row r="89" spans="1:8" x14ac:dyDescent="0.3">
      <c r="A89" s="46">
        <v>88</v>
      </c>
      <c r="B89" t="e">
        <f>VLOOKUP(Tabla5[[#This Row],[id]],TabRecetas[],2,FALSE)</f>
        <v>#N/A</v>
      </c>
      <c r="C89" s="16" t="e">
        <f>VLOOKUP(Tabla5[[#This Row],[id]],TabRecetas[],8,FALSE)</f>
        <v>#N/A</v>
      </c>
      <c r="D89" s="16" t="e">
        <f>Tabla5[[#This Row],[Precio de elavoracion]]+Informacion!$O$4</f>
        <v>#N/A</v>
      </c>
      <c r="E89" s="16" t="e">
        <f>Tabla5[[#This Row],[Precio de elavoracion]]+(Tabla5[[#This Row],[Precio de elavoracion]]*30%)+Informacion!$O$4</f>
        <v>#N/A</v>
      </c>
      <c r="F89" s="16" t="e">
        <f>Tabla5[[#This Row],[Precio de elavoracion]]+(Tabla5[[#This Row],[Precio de elavoracion]]*60%)+Informacion!$O$4</f>
        <v>#N/A</v>
      </c>
      <c r="H89" s="16" t="e">
        <f>Tabla5[[#This Row],[Precio de elavoracion]]+(Tabla5[[#This Row],[Precio de elavoracion]]*Tabla5[[#This Row],[% + editable]])+Informacion!$O$4</f>
        <v>#N/A</v>
      </c>
    </row>
    <row r="90" spans="1:8" x14ac:dyDescent="0.3">
      <c r="A90" s="46">
        <v>89</v>
      </c>
      <c r="B90" t="e">
        <f>VLOOKUP(Tabla5[[#This Row],[id]],TabRecetas[],2,FALSE)</f>
        <v>#N/A</v>
      </c>
      <c r="C90" s="16" t="e">
        <f>VLOOKUP(Tabla5[[#This Row],[id]],TabRecetas[],8,FALSE)</f>
        <v>#N/A</v>
      </c>
      <c r="D90" s="16" t="e">
        <f>Tabla5[[#This Row],[Precio de elavoracion]]+Informacion!$O$4</f>
        <v>#N/A</v>
      </c>
      <c r="E90" s="16" t="e">
        <f>Tabla5[[#This Row],[Precio de elavoracion]]+(Tabla5[[#This Row],[Precio de elavoracion]]*30%)+Informacion!$O$4</f>
        <v>#N/A</v>
      </c>
      <c r="F90" s="16" t="e">
        <f>Tabla5[[#This Row],[Precio de elavoracion]]+(Tabla5[[#This Row],[Precio de elavoracion]]*60%)+Informacion!$O$4</f>
        <v>#N/A</v>
      </c>
      <c r="H90" s="16" t="e">
        <f>Tabla5[[#This Row],[Precio de elavoracion]]+(Tabla5[[#This Row],[Precio de elavoracion]]*Tabla5[[#This Row],[% + editable]])+Informacion!$O$4</f>
        <v>#N/A</v>
      </c>
    </row>
    <row r="91" spans="1:8" x14ac:dyDescent="0.3">
      <c r="A91" s="46">
        <v>90</v>
      </c>
      <c r="B91" t="e">
        <f>VLOOKUP(Tabla5[[#This Row],[id]],TabRecetas[],2,FALSE)</f>
        <v>#N/A</v>
      </c>
      <c r="C91" s="16" t="e">
        <f>VLOOKUP(Tabla5[[#This Row],[id]],TabRecetas[],8,FALSE)</f>
        <v>#N/A</v>
      </c>
      <c r="D91" s="16" t="e">
        <f>Tabla5[[#This Row],[Precio de elavoracion]]+Informacion!$O$4</f>
        <v>#N/A</v>
      </c>
      <c r="E91" s="16" t="e">
        <f>Tabla5[[#This Row],[Precio de elavoracion]]+(Tabla5[[#This Row],[Precio de elavoracion]]*30%)+Informacion!$O$4</f>
        <v>#N/A</v>
      </c>
      <c r="F91" s="16" t="e">
        <f>Tabla5[[#This Row],[Precio de elavoracion]]+(Tabla5[[#This Row],[Precio de elavoracion]]*60%)+Informacion!$O$4</f>
        <v>#N/A</v>
      </c>
      <c r="H91" s="16" t="e">
        <f>Tabla5[[#This Row],[Precio de elavoracion]]+(Tabla5[[#This Row],[Precio de elavoracion]]*Tabla5[[#This Row],[% + editable]])+Informacion!$O$4</f>
        <v>#N/A</v>
      </c>
    </row>
    <row r="92" spans="1:8" x14ac:dyDescent="0.3">
      <c r="A92" s="46">
        <v>91</v>
      </c>
      <c r="B92" t="e">
        <f>VLOOKUP(Tabla5[[#This Row],[id]],TabRecetas[],2,FALSE)</f>
        <v>#N/A</v>
      </c>
      <c r="C92" s="16" t="e">
        <f>VLOOKUP(Tabla5[[#This Row],[id]],TabRecetas[],8,FALSE)</f>
        <v>#N/A</v>
      </c>
      <c r="D92" s="16" t="e">
        <f>Tabla5[[#This Row],[Precio de elavoracion]]+Informacion!$O$4</f>
        <v>#N/A</v>
      </c>
      <c r="E92" s="16" t="e">
        <f>Tabla5[[#This Row],[Precio de elavoracion]]+(Tabla5[[#This Row],[Precio de elavoracion]]*30%)+Informacion!$O$4</f>
        <v>#N/A</v>
      </c>
      <c r="F92" s="16" t="e">
        <f>Tabla5[[#This Row],[Precio de elavoracion]]+(Tabla5[[#This Row],[Precio de elavoracion]]*60%)+Informacion!$O$4</f>
        <v>#N/A</v>
      </c>
      <c r="H92" s="16" t="e">
        <f>Tabla5[[#This Row],[Precio de elavoracion]]+(Tabla5[[#This Row],[Precio de elavoracion]]*Tabla5[[#This Row],[% + editable]])+Informacion!$O$4</f>
        <v>#N/A</v>
      </c>
    </row>
    <row r="93" spans="1:8" x14ac:dyDescent="0.3">
      <c r="A93" s="46">
        <v>92</v>
      </c>
      <c r="B93" t="e">
        <f>VLOOKUP(Tabla5[[#This Row],[id]],TabRecetas[],2,FALSE)</f>
        <v>#N/A</v>
      </c>
      <c r="C93" s="16" t="e">
        <f>VLOOKUP(Tabla5[[#This Row],[id]],TabRecetas[],8,FALSE)</f>
        <v>#N/A</v>
      </c>
      <c r="D93" s="16" t="e">
        <f>Tabla5[[#This Row],[Precio de elavoracion]]+Informacion!$O$4</f>
        <v>#N/A</v>
      </c>
      <c r="E93" s="16" t="e">
        <f>Tabla5[[#This Row],[Precio de elavoracion]]+(Tabla5[[#This Row],[Precio de elavoracion]]*30%)+Informacion!$O$4</f>
        <v>#N/A</v>
      </c>
      <c r="F93" s="16" t="e">
        <f>Tabla5[[#This Row],[Precio de elavoracion]]+(Tabla5[[#This Row],[Precio de elavoracion]]*60%)+Informacion!$O$4</f>
        <v>#N/A</v>
      </c>
      <c r="H93" s="16" t="e">
        <f>Tabla5[[#This Row],[Precio de elavoracion]]+(Tabla5[[#This Row],[Precio de elavoracion]]*Tabla5[[#This Row],[% + editable]])+Informacion!$O$4</f>
        <v>#N/A</v>
      </c>
    </row>
    <row r="94" spans="1:8" x14ac:dyDescent="0.3">
      <c r="A94" s="46">
        <v>93</v>
      </c>
      <c r="B94" t="e">
        <f>VLOOKUP(Tabla5[[#This Row],[id]],TabRecetas[],2,FALSE)</f>
        <v>#N/A</v>
      </c>
      <c r="C94" s="16" t="e">
        <f>VLOOKUP(Tabla5[[#This Row],[id]],TabRecetas[],8,FALSE)</f>
        <v>#N/A</v>
      </c>
      <c r="D94" s="16" t="e">
        <f>Tabla5[[#This Row],[Precio de elavoracion]]+Informacion!$O$4</f>
        <v>#N/A</v>
      </c>
      <c r="E94" s="16" t="e">
        <f>Tabla5[[#This Row],[Precio de elavoracion]]+(Tabla5[[#This Row],[Precio de elavoracion]]*30%)+Informacion!$O$4</f>
        <v>#N/A</v>
      </c>
      <c r="F94" s="16" t="e">
        <f>Tabla5[[#This Row],[Precio de elavoracion]]+(Tabla5[[#This Row],[Precio de elavoracion]]*60%)+Informacion!$O$4</f>
        <v>#N/A</v>
      </c>
      <c r="H94" s="16" t="e">
        <f>Tabla5[[#This Row],[Precio de elavoracion]]+(Tabla5[[#This Row],[Precio de elavoracion]]*Tabla5[[#This Row],[% + editable]])+Informacion!$O$4</f>
        <v>#N/A</v>
      </c>
    </row>
    <row r="95" spans="1:8" x14ac:dyDescent="0.3">
      <c r="A95" s="46">
        <v>94</v>
      </c>
      <c r="B95" t="e">
        <f>VLOOKUP(Tabla5[[#This Row],[id]],TabRecetas[],2,FALSE)</f>
        <v>#N/A</v>
      </c>
      <c r="C95" s="16" t="e">
        <f>VLOOKUP(Tabla5[[#This Row],[id]],TabRecetas[],8,FALSE)</f>
        <v>#N/A</v>
      </c>
      <c r="D95" s="16" t="e">
        <f>Tabla5[[#This Row],[Precio de elavoracion]]+Informacion!$O$4</f>
        <v>#N/A</v>
      </c>
      <c r="E95" s="16" t="e">
        <f>Tabla5[[#This Row],[Precio de elavoracion]]+(Tabla5[[#This Row],[Precio de elavoracion]]*30%)+Informacion!$O$4</f>
        <v>#N/A</v>
      </c>
      <c r="F95" s="16" t="e">
        <f>Tabla5[[#This Row],[Precio de elavoracion]]+(Tabla5[[#This Row],[Precio de elavoracion]]*60%)+Informacion!$O$4</f>
        <v>#N/A</v>
      </c>
      <c r="H95" s="16" t="e">
        <f>Tabla5[[#This Row],[Precio de elavoracion]]+(Tabla5[[#This Row],[Precio de elavoracion]]*Tabla5[[#This Row],[% + editable]])+Informacion!$O$4</f>
        <v>#N/A</v>
      </c>
    </row>
    <row r="96" spans="1:8" x14ac:dyDescent="0.3">
      <c r="A96" s="46">
        <v>95</v>
      </c>
      <c r="B96" t="e">
        <f>VLOOKUP(Tabla5[[#This Row],[id]],TabRecetas[],2,FALSE)</f>
        <v>#N/A</v>
      </c>
      <c r="C96" s="16" t="e">
        <f>VLOOKUP(Tabla5[[#This Row],[id]],TabRecetas[],8,FALSE)</f>
        <v>#N/A</v>
      </c>
      <c r="D96" s="16" t="e">
        <f>Tabla5[[#This Row],[Precio de elavoracion]]+Informacion!$O$4</f>
        <v>#N/A</v>
      </c>
      <c r="E96" s="16" t="e">
        <f>Tabla5[[#This Row],[Precio de elavoracion]]+(Tabla5[[#This Row],[Precio de elavoracion]]*30%)+Informacion!$O$4</f>
        <v>#N/A</v>
      </c>
      <c r="F96" s="16" t="e">
        <f>Tabla5[[#This Row],[Precio de elavoracion]]+(Tabla5[[#This Row],[Precio de elavoracion]]*60%)+Informacion!$O$4</f>
        <v>#N/A</v>
      </c>
      <c r="H96" s="16" t="e">
        <f>Tabla5[[#This Row],[Precio de elavoracion]]+(Tabla5[[#This Row],[Precio de elavoracion]]*Tabla5[[#This Row],[% + editable]])+Informacion!$O$4</f>
        <v>#N/A</v>
      </c>
    </row>
    <row r="97" spans="1:8" x14ac:dyDescent="0.3">
      <c r="A97" s="46">
        <v>96</v>
      </c>
      <c r="B97" t="e">
        <f>VLOOKUP(Tabla5[[#This Row],[id]],TabRecetas[],2,FALSE)</f>
        <v>#N/A</v>
      </c>
      <c r="C97" s="16" t="e">
        <f>VLOOKUP(Tabla5[[#This Row],[id]],TabRecetas[],8,FALSE)</f>
        <v>#N/A</v>
      </c>
      <c r="D97" s="16" t="e">
        <f>Tabla5[[#This Row],[Precio de elavoracion]]+Informacion!$O$4</f>
        <v>#N/A</v>
      </c>
      <c r="E97" s="16" t="e">
        <f>Tabla5[[#This Row],[Precio de elavoracion]]+(Tabla5[[#This Row],[Precio de elavoracion]]*30%)+Informacion!$O$4</f>
        <v>#N/A</v>
      </c>
      <c r="F97" s="16" t="e">
        <f>Tabla5[[#This Row],[Precio de elavoracion]]+(Tabla5[[#This Row],[Precio de elavoracion]]*60%)+Informacion!$O$4</f>
        <v>#N/A</v>
      </c>
      <c r="H97" s="16" t="e">
        <f>Tabla5[[#This Row],[Precio de elavoracion]]+(Tabla5[[#This Row],[Precio de elavoracion]]*Tabla5[[#This Row],[% + editable]])+Informacion!$O$4</f>
        <v>#N/A</v>
      </c>
    </row>
    <row r="98" spans="1:8" x14ac:dyDescent="0.3">
      <c r="A98" s="46">
        <v>97</v>
      </c>
      <c r="B98" t="e">
        <f>VLOOKUP(Tabla5[[#This Row],[id]],TabRecetas[],2,FALSE)</f>
        <v>#N/A</v>
      </c>
      <c r="C98" s="16" t="e">
        <f>VLOOKUP(Tabla5[[#This Row],[id]],TabRecetas[],8,FALSE)</f>
        <v>#N/A</v>
      </c>
      <c r="D98" s="16" t="e">
        <f>Tabla5[[#This Row],[Precio de elavoracion]]+Informacion!$O$4</f>
        <v>#N/A</v>
      </c>
      <c r="E98" s="16" t="e">
        <f>Tabla5[[#This Row],[Precio de elavoracion]]+(Tabla5[[#This Row],[Precio de elavoracion]]*30%)+Informacion!$O$4</f>
        <v>#N/A</v>
      </c>
      <c r="F98" s="16" t="e">
        <f>Tabla5[[#This Row],[Precio de elavoracion]]+(Tabla5[[#This Row],[Precio de elavoracion]]*60%)+Informacion!$O$4</f>
        <v>#N/A</v>
      </c>
      <c r="H98" s="16" t="e">
        <f>Tabla5[[#This Row],[Precio de elavoracion]]+(Tabla5[[#This Row],[Precio de elavoracion]]*Tabla5[[#This Row],[% + editable]])+Informacion!$O$4</f>
        <v>#N/A</v>
      </c>
    </row>
    <row r="99" spans="1:8" x14ac:dyDescent="0.3">
      <c r="A99" s="46">
        <v>98</v>
      </c>
      <c r="B99" t="e">
        <f>VLOOKUP(Tabla5[[#This Row],[id]],TabRecetas[],2,FALSE)</f>
        <v>#N/A</v>
      </c>
      <c r="C99" s="16" t="e">
        <f>VLOOKUP(Tabla5[[#This Row],[id]],TabRecetas[],8,FALSE)</f>
        <v>#N/A</v>
      </c>
      <c r="D99" s="16" t="e">
        <f>Tabla5[[#This Row],[Precio de elavoracion]]+Informacion!$O$4</f>
        <v>#N/A</v>
      </c>
      <c r="E99" s="16" t="e">
        <f>Tabla5[[#This Row],[Precio de elavoracion]]+(Tabla5[[#This Row],[Precio de elavoracion]]*30%)+Informacion!$O$4</f>
        <v>#N/A</v>
      </c>
      <c r="F99" s="16" t="e">
        <f>Tabla5[[#This Row],[Precio de elavoracion]]+(Tabla5[[#This Row],[Precio de elavoracion]]*60%)+Informacion!$O$4</f>
        <v>#N/A</v>
      </c>
      <c r="H99" s="16" t="e">
        <f>Tabla5[[#This Row],[Precio de elavoracion]]+(Tabla5[[#This Row],[Precio de elavoracion]]*Tabla5[[#This Row],[% + editable]])+Informacion!$O$4</f>
        <v>#N/A</v>
      </c>
    </row>
    <row r="100" spans="1:8" x14ac:dyDescent="0.3">
      <c r="A100" s="46">
        <v>99</v>
      </c>
      <c r="B100" t="e">
        <f>VLOOKUP(Tabla5[[#This Row],[id]],TabRecetas[],2,FALSE)</f>
        <v>#N/A</v>
      </c>
      <c r="C100" s="16" t="e">
        <f>VLOOKUP(Tabla5[[#This Row],[id]],TabRecetas[],8,FALSE)</f>
        <v>#N/A</v>
      </c>
      <c r="D100" s="16" t="e">
        <f>Tabla5[[#This Row],[Precio de elavoracion]]+Informacion!$O$4</f>
        <v>#N/A</v>
      </c>
      <c r="E100" s="16" t="e">
        <f>Tabla5[[#This Row],[Precio de elavoracion]]+(Tabla5[[#This Row],[Precio de elavoracion]]*30%)+Informacion!$O$4</f>
        <v>#N/A</v>
      </c>
      <c r="F100" s="16" t="e">
        <f>Tabla5[[#This Row],[Precio de elavoracion]]+(Tabla5[[#This Row],[Precio de elavoracion]]*60%)+Informacion!$O$4</f>
        <v>#N/A</v>
      </c>
      <c r="H100" s="16" t="e">
        <f>Tabla5[[#This Row],[Precio de elavoracion]]+(Tabla5[[#This Row],[Precio de elavoracion]]*Tabla5[[#This Row],[% + editable]])+Informacion!$O$4</f>
        <v>#N/A</v>
      </c>
    </row>
    <row r="101" spans="1:8" x14ac:dyDescent="0.3">
      <c r="A101" s="46">
        <v>100</v>
      </c>
      <c r="B101" t="e">
        <f>VLOOKUP(Tabla5[[#This Row],[id]],TabRecetas[],2,FALSE)</f>
        <v>#N/A</v>
      </c>
      <c r="C101" s="16" t="e">
        <f>VLOOKUP(Tabla5[[#This Row],[id]],TabRecetas[],8,FALSE)</f>
        <v>#N/A</v>
      </c>
      <c r="D101" s="16" t="e">
        <f>Tabla5[[#This Row],[Precio de elavoracion]]+Informacion!$O$4</f>
        <v>#N/A</v>
      </c>
      <c r="E101" s="16" t="e">
        <f>Tabla5[[#This Row],[Precio de elavoracion]]+(Tabla5[[#This Row],[Precio de elavoracion]]*30%)+Informacion!$O$4</f>
        <v>#N/A</v>
      </c>
      <c r="F101" s="16" t="e">
        <f>Tabla5[[#This Row],[Precio de elavoracion]]+(Tabla5[[#This Row],[Precio de elavoracion]]*60%)+Informacion!$O$4</f>
        <v>#N/A</v>
      </c>
      <c r="H101" s="16" t="e">
        <f>Tabla5[[#This Row],[Precio de elavoracion]]+(Tabla5[[#This Row],[Precio de elavoracion]]*Tabla5[[#This Row],[% + editable]])+Informacion!$O$4</f>
        <v>#N/A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Ejecutar</vt:lpstr>
      <vt:lpstr>Precios Tablas</vt:lpstr>
      <vt:lpstr>Informacion</vt:lpstr>
      <vt:lpstr>Recetas</vt:lpstr>
      <vt:lpstr>Receta-Ingredientes</vt:lpstr>
      <vt:lpstr>Tabla de precios</vt:lpstr>
      <vt:lpstr>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100043227</dc:creator>
  <cp:lastModifiedBy>Francisco Javier Velasco Cruz</cp:lastModifiedBy>
  <dcterms:created xsi:type="dcterms:W3CDTF">2022-11-29T18:03:04Z</dcterms:created>
  <dcterms:modified xsi:type="dcterms:W3CDTF">2023-12-01T19:30:49Z</dcterms:modified>
</cp:coreProperties>
</file>