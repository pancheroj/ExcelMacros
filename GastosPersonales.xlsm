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por\iCloudDrive\Programacion\Macros\Gastos Personales\"/>
    </mc:Choice>
  </mc:AlternateContent>
  <xr:revisionPtr revIDLastSave="0" documentId="13_ncr:1_{6CED5A14-4F6D-489E-8B98-B26E42B8DB2B}" xr6:coauthVersionLast="47" xr6:coauthVersionMax="47" xr10:uidLastSave="{00000000-0000-0000-0000-000000000000}"/>
  <bookViews>
    <workbookView xWindow="-108" yWindow="-108" windowWidth="19416" windowHeight="10296" activeTab="4" xr2:uid="{E9CA8850-601D-40DC-A736-84A5ADB147EC}"/>
  </bookViews>
  <sheets>
    <sheet name="Ejecutar" sheetId="1" r:id="rId1"/>
    <sheet name="Informacion" sheetId="2" r:id="rId2"/>
    <sheet name="Tcredito" sheetId="3" r:id="rId3"/>
    <sheet name="Tdebito" sheetId="4" r:id="rId4"/>
    <sheet name="Resumenes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" i="3" l="1"/>
  <c r="L1" i="3"/>
  <c r="L1" i="4"/>
  <c r="J1" i="4"/>
</calcChain>
</file>

<file path=xl/sharedStrings.xml><?xml version="1.0" encoding="utf-8"?>
<sst xmlns="http://schemas.openxmlformats.org/spreadsheetml/2006/main" count="192" uniqueCount="99">
  <si>
    <t>Tarjetas Debito</t>
  </si>
  <si>
    <t>Tipo de gasto</t>
  </si>
  <si>
    <t>Alimento</t>
  </si>
  <si>
    <t>Transporte</t>
  </si>
  <si>
    <t>Diversion</t>
  </si>
  <si>
    <t>Otros</t>
  </si>
  <si>
    <t>Casa articulos</t>
  </si>
  <si>
    <t>Casa personal</t>
  </si>
  <si>
    <t>Gastos</t>
  </si>
  <si>
    <t>Abarrotes</t>
  </si>
  <si>
    <t>Restaurant</t>
  </si>
  <si>
    <t>Didi viajes</t>
  </si>
  <si>
    <t>Autobus</t>
  </si>
  <si>
    <t>Taxi</t>
  </si>
  <si>
    <t>Gasolina</t>
  </si>
  <si>
    <t>Avion</t>
  </si>
  <si>
    <t>Carnes y embutidos</t>
  </si>
  <si>
    <t>Frutas y verduras</t>
  </si>
  <si>
    <t>Dulces y golosinas</t>
  </si>
  <si>
    <t>Vinos, licores y cervezas</t>
  </si>
  <si>
    <t>Postes y antojitos</t>
  </si>
  <si>
    <t>Linea telefonica</t>
  </si>
  <si>
    <t>Servicio de internet</t>
  </si>
  <si>
    <t>Nuevo equipo telefonico</t>
  </si>
  <si>
    <t>Accesorios</t>
  </si>
  <si>
    <t>Muebles</t>
  </si>
  <si>
    <t>Electrodomesticos</t>
  </si>
  <si>
    <t>Articulos de limpieza</t>
  </si>
  <si>
    <t>Uniformes</t>
  </si>
  <si>
    <t>Ropa</t>
  </si>
  <si>
    <t>Artuculos de bellesa</t>
  </si>
  <si>
    <t>Renta</t>
  </si>
  <si>
    <t>Gas LP</t>
  </si>
  <si>
    <t>Software</t>
  </si>
  <si>
    <t>Suscriciones</t>
  </si>
  <si>
    <t>Luz electrica</t>
  </si>
  <si>
    <t>Agua potable</t>
  </si>
  <si>
    <t>Basura</t>
  </si>
  <si>
    <t>Medicamentos</t>
  </si>
  <si>
    <t>Mantenimiento</t>
  </si>
  <si>
    <t>Gimnasio</t>
  </si>
  <si>
    <t>id</t>
  </si>
  <si>
    <t>Nombre</t>
  </si>
  <si>
    <t>Monto</t>
  </si>
  <si>
    <t>Tipo</t>
  </si>
  <si>
    <t>Descripcion</t>
  </si>
  <si>
    <t>Detalle</t>
  </si>
  <si>
    <t>Total</t>
  </si>
  <si>
    <t>Tipo de ingreso</t>
  </si>
  <si>
    <t>Fecha</t>
  </si>
  <si>
    <t>Entrada $</t>
  </si>
  <si>
    <t>Salida $</t>
  </si>
  <si>
    <t>Prestamo</t>
  </si>
  <si>
    <t>Cine o actividad</t>
  </si>
  <si>
    <t>Quincena</t>
  </si>
  <si>
    <t>Aguinaldo</t>
  </si>
  <si>
    <t>Pago</t>
  </si>
  <si>
    <t>Medicos y especialista</t>
  </si>
  <si>
    <t>Pago Tarjetas</t>
  </si>
  <si>
    <t>Honorarios</t>
  </si>
  <si>
    <t>Inversion</t>
  </si>
  <si>
    <t>Banorte</t>
  </si>
  <si>
    <t>Rappi</t>
  </si>
  <si>
    <t>NU</t>
  </si>
  <si>
    <t>Stori</t>
  </si>
  <si>
    <t>Nano</t>
  </si>
  <si>
    <t>Citibanamex</t>
  </si>
  <si>
    <t>Klar</t>
  </si>
  <si>
    <t>Albo</t>
  </si>
  <si>
    <t>Santander</t>
  </si>
  <si>
    <t>DINN</t>
  </si>
  <si>
    <t>Telefonia Internet</t>
  </si>
  <si>
    <t>Ingresos</t>
  </si>
  <si>
    <t>Tarjetas Credito</t>
  </si>
  <si>
    <t>Didi food</t>
  </si>
  <si>
    <t>15/01/2023</t>
  </si>
  <si>
    <t>Retiros de inversion</t>
  </si>
  <si>
    <t>Doopla</t>
  </si>
  <si>
    <t>Briq</t>
  </si>
  <si>
    <t>HomeBroker</t>
  </si>
  <si>
    <t>GBM Smart</t>
  </si>
  <si>
    <t>Propeler</t>
  </si>
  <si>
    <t>Dominos pizza</t>
  </si>
  <si>
    <t>15/02/2023</t>
  </si>
  <si>
    <t>20/01/2023</t>
  </si>
  <si>
    <t>viaje</t>
  </si>
  <si>
    <t>24/02/2023</t>
  </si>
  <si>
    <t>Denisse</t>
  </si>
  <si>
    <t>25/01/2023</t>
  </si>
  <si>
    <t>26/01/2023</t>
  </si>
  <si>
    <t>att denisse</t>
  </si>
  <si>
    <t>30/01/2023</t>
  </si>
  <si>
    <t>Barbacoas agua</t>
  </si>
  <si>
    <t>Oxxo</t>
  </si>
  <si>
    <t>Barbacoas</t>
  </si>
  <si>
    <t>Filipina denisse</t>
  </si>
  <si>
    <t>Gas</t>
  </si>
  <si>
    <t>Curso</t>
  </si>
  <si>
    <t>Mariscos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</si>
</sst>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44" formatCode="_-&quot;$&quot;* #,##0.00_-;\-&quot;$&quot;* #,##0.00_-;_-&quot;$&quot;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7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">
    <xf numFmtId="0" fontId="0" fillId="0" borderId="0" xfId="0"/>
    <xf numFmtId="0" fontId="0" fillId="2" borderId="0" xfId="0" applyFill="1"/>
    <xf numFmtId="0" fontId="0" fillId="2" borderId="1" xfId="0" applyFill="1" applyBorder="1"/>
    <xf numFmtId="0" fontId="2" fillId="0" borderId="2" xfId="0" applyFont="1" applyBorder="1"/>
    <xf numFmtId="0" fontId="0" fillId="2" borderId="2" xfId="0" applyFill="1" applyBorder="1"/>
    <xf numFmtId="8" fontId="0" fillId="0" borderId="0" xfId="0" applyNumberFormat="1"/>
    <xf numFmtId="14" fontId="0" fillId="0" borderId="0" xfId="0" applyNumberFormat="1"/>
    <xf numFmtId="44" fontId="0" fillId="0" borderId="0" xfId="1" applyFont="1"/>
    <xf numFmtId="44" fontId="0" fillId="0" borderId="0" xfId="0" applyNumberFormat="1"/>
  </cellXfs>
  <cellStyles count="2">
    <cellStyle name="Moneda" xfId="1" builtinId="4"/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2</xdr:row>
          <xdr:rowOff>45720</xdr:rowOff>
        </xdr:from>
        <xdr:to>
          <xdr:col>8</xdr:col>
          <xdr:colOff>441960</xdr:colOff>
          <xdr:row>17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55448" tIns="155448" rIns="155448" bIns="155448" anchor="ctr" upright="1"/>
            <a:lstStyle/>
            <a:p>
              <a:pPr algn="ctr" rtl="0">
                <a:defRPr sz="1000"/>
              </a:pPr>
              <a:r>
                <a:rPr lang="es-MX" sz="7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Iniciar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AE1987-1ACF-488A-B787-DCF8B801BC35}" name="TabTipoGasto" displayName="TabTipoGasto" ref="E1:E10" totalsRowShown="0">
  <autoFilter ref="E1:E10" xr:uid="{20AE1987-1ACF-488A-B787-DCF8B801BC35}"/>
  <tableColumns count="1">
    <tableColumn id="1" xr3:uid="{97672D56-E524-40A4-B21A-3B3423D53D18}" name="Tipo de gasto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CFE0647-B9F2-4176-A601-951D473568B1}" name="TabGastoDetalle" displayName="TabGastoDetalle" ref="E12:L23" totalsRowShown="0">
  <autoFilter ref="E12:L23" xr:uid="{4CFE0647-B9F2-4176-A601-951D473568B1}"/>
  <sortState xmlns:xlrd2="http://schemas.microsoft.com/office/spreadsheetml/2017/richdata2" ref="E13:E16">
    <sortCondition ref="E12:E16"/>
  </sortState>
  <tableColumns count="8">
    <tableColumn id="1" xr3:uid="{5BB009CC-7C81-43A9-BC7E-F71E75923680}" name="Alimento"/>
    <tableColumn id="2" xr3:uid="{54E05A12-3384-4F40-AEED-AA9FF0BDEBA6}" name="Transporte"/>
    <tableColumn id="3" xr3:uid="{73E029E8-28CB-4E5F-AA47-173889C3854E}" name="Diversion"/>
    <tableColumn id="4" xr3:uid="{F92E0E11-02E6-4D70-94F8-CA1300A6E291}" name="Telefonia Internet"/>
    <tableColumn id="5" xr3:uid="{6D94E216-7B81-4528-9FA7-97A7E2578300}" name="Casa articulos" dataDxfId="0"/>
    <tableColumn id="6" xr3:uid="{8B887E14-8135-427B-8D78-BDC66F6FA091}" name="Casa personal"/>
    <tableColumn id="7" xr3:uid="{D47B251B-468C-4359-BC76-27B6B4025C18}" name="Otros"/>
    <tableColumn id="8" xr3:uid="{80D3C317-EE87-4185-A2F0-274A94836C43}" name="Inversion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D75D21B-9BCB-48AF-AF0F-4AA4ACBBED71}" name="TabTarjetasC" displayName="TabTarjetasC" ref="A1:A6" totalsRowShown="0">
  <autoFilter ref="A1:A6" xr:uid="{BD75D21B-9BCB-48AF-AF0F-4AA4ACBBED71}"/>
  <tableColumns count="1">
    <tableColumn id="1" xr3:uid="{D78E6F23-8ED4-4C21-B398-27F546471501}" name="Tarjetas Credito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93D9480-E03F-4E1A-841B-4FADF29E2882}" name="TabTarjetasD" displayName="TabTarjetasD" ref="C1:C7" totalsRowShown="0">
  <autoFilter ref="C1:C7" xr:uid="{293D9480-E03F-4E1A-841B-4FADF29E2882}"/>
  <tableColumns count="1">
    <tableColumn id="1" xr3:uid="{9373A30B-7521-4BB9-8084-647393EA5129}" name="Tarjetas Debito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7FE35F9-CEF3-45F7-99D8-4FC42E02F008}" name="TabTipoIngreso" displayName="TabTipoIngreso" ref="G1:G7" totalsRowShown="0">
  <autoFilter ref="G1:G7" xr:uid="{D7FE35F9-CEF3-45F7-99D8-4FC42E02F008}"/>
  <tableColumns count="1">
    <tableColumn id="1" xr3:uid="{679BA497-6C27-47CE-BC72-ECDE84B2D989}" name="Tipo de ingreso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35BD317-E3A9-4796-9672-49A6C9C0D0C2}" name="TabCredito" displayName="TabCredito" ref="A1:G20" totalsRowShown="0">
  <autoFilter ref="A1:G20" xr:uid="{835BD317-E3A9-4796-9672-49A6C9C0D0C2}"/>
  <tableColumns count="7">
    <tableColumn id="1" xr3:uid="{3B87A382-328A-449E-97B3-83EFE2863D60}" name="id"/>
    <tableColumn id="2" xr3:uid="{039BF9B9-D0DC-4F42-A466-7BBB90C40384}" name="Nombre"/>
    <tableColumn id="3" xr3:uid="{3063864F-1A6E-426B-A13C-71E3ED2F77FA}" name="Fecha"/>
    <tableColumn id="4" xr3:uid="{B029082D-F00C-47F5-B549-3728FD3B9EE1}" name="Monto"/>
    <tableColumn id="5" xr3:uid="{8C9EE636-16BC-4ADD-8C57-FBB2367055FA}" name="Tipo de gasto"/>
    <tableColumn id="6" xr3:uid="{7D8309E7-28E5-4AB9-A1E7-66A78EA060E9}" name="Descripcion"/>
    <tableColumn id="7" xr3:uid="{EAE1946E-4829-43DD-8CA1-1D1274B0E049}" name="Detalle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65D3EDF-2D20-46C0-9992-6A34D96FB53E}" name="TabDebito" displayName="TabDebito" ref="A1:H2" insertRow="1" totalsRowShown="0">
  <autoFilter ref="A1:H2" xr:uid="{565D3EDF-2D20-46C0-9992-6A34D96FB53E}"/>
  <tableColumns count="8">
    <tableColumn id="1" xr3:uid="{C2571592-D139-48F3-9F76-DA8B9A1A5804}" name="id"/>
    <tableColumn id="2" xr3:uid="{A974F2A2-15C0-408A-9B8E-8DC01ACABD49}" name="Nombre"/>
    <tableColumn id="3" xr3:uid="{72B5325E-1624-4D57-B3D3-620D6C224891}" name="Fecha"/>
    <tableColumn id="4" xr3:uid="{1DA85C15-BA0A-4651-B41B-49D47EB30447}" name="Tipo"/>
    <tableColumn id="5" xr3:uid="{648D5EE6-1FDC-4036-8127-031FB8C5CB02}" name="Descripcion"/>
    <tableColumn id="10" xr3:uid="{7ACB86BA-7489-4BBF-9A08-DC1A456CCA68}" name="Detalle"/>
    <tableColumn id="6" xr3:uid="{A80ED766-8691-43C9-8A5D-D2970EB71B22}" name="Entrada $"/>
    <tableColumn id="7" xr3:uid="{37172652-2EA4-408D-881D-A52E04AEA54C}" name="Salida $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4634B-CFE6-4FA4-B17D-9E9E32E36C5A}">
  <sheetPr codeName="Hoja1"/>
  <dimension ref="A1"/>
  <sheetViews>
    <sheetView workbookViewId="0">
      <selection activeCell="D18" sqref="D18"/>
    </sheetView>
  </sheetViews>
  <sheetFormatPr baseColWidth="10" defaultRowHeight="14.4" x14ac:dyDescent="0.3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ciar">
                <anchor moveWithCells="1" sizeWithCells="1">
                  <from>
                    <xdr:col>1</xdr:col>
                    <xdr:colOff>495300</xdr:colOff>
                    <xdr:row>2</xdr:row>
                    <xdr:rowOff>45720</xdr:rowOff>
                  </from>
                  <to>
                    <xdr:col>8</xdr:col>
                    <xdr:colOff>441960</xdr:colOff>
                    <xdr:row>17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914F3-D826-4E78-860B-89436F6AC595}">
  <sheetPr codeName="Hoja2"/>
  <dimension ref="A1:L23"/>
  <sheetViews>
    <sheetView topLeftCell="B1" workbookViewId="0">
      <selection activeCell="D23" sqref="D23"/>
    </sheetView>
  </sheetViews>
  <sheetFormatPr baseColWidth="10" defaultRowHeight="14.4" x14ac:dyDescent="0.3"/>
  <cols>
    <col min="1" max="1" width="15.88671875" customWidth="1"/>
    <col min="3" max="3" width="16" customWidth="1"/>
    <col min="5" max="5" width="14.33203125" customWidth="1"/>
    <col min="7" max="7" width="16.109375" customWidth="1"/>
    <col min="9" max="9" width="12.21875" customWidth="1"/>
    <col min="13" max="13" width="19" customWidth="1"/>
    <col min="15" max="15" width="14.5546875" customWidth="1"/>
    <col min="17" max="17" width="14.77734375" customWidth="1"/>
  </cols>
  <sheetData>
    <row r="1" spans="1:12" x14ac:dyDescent="0.3">
      <c r="A1" t="s">
        <v>73</v>
      </c>
      <c r="C1" t="s">
        <v>0</v>
      </c>
      <c r="E1" t="s">
        <v>1</v>
      </c>
      <c r="G1" t="s">
        <v>48</v>
      </c>
    </row>
    <row r="2" spans="1:12" x14ac:dyDescent="0.3">
      <c r="A2" t="s">
        <v>61</v>
      </c>
      <c r="C2" t="s">
        <v>66</v>
      </c>
      <c r="E2" t="s">
        <v>2</v>
      </c>
      <c r="G2" t="s">
        <v>54</v>
      </c>
    </row>
    <row r="3" spans="1:12" x14ac:dyDescent="0.3">
      <c r="A3" t="s">
        <v>62</v>
      </c>
      <c r="C3" t="s">
        <v>67</v>
      </c>
      <c r="E3" t="s">
        <v>3</v>
      </c>
      <c r="G3" t="s">
        <v>52</v>
      </c>
    </row>
    <row r="4" spans="1:12" x14ac:dyDescent="0.3">
      <c r="A4" t="s">
        <v>63</v>
      </c>
      <c r="C4" t="s">
        <v>61</v>
      </c>
      <c r="E4" t="s">
        <v>4</v>
      </c>
      <c r="G4" t="s">
        <v>55</v>
      </c>
    </row>
    <row r="5" spans="1:12" x14ac:dyDescent="0.3">
      <c r="A5" t="s">
        <v>64</v>
      </c>
      <c r="C5" t="s">
        <v>68</v>
      </c>
      <c r="E5" t="s">
        <v>71</v>
      </c>
      <c r="G5" t="s">
        <v>56</v>
      </c>
    </row>
    <row r="6" spans="1:12" x14ac:dyDescent="0.3">
      <c r="A6" t="s">
        <v>65</v>
      </c>
      <c r="C6" t="s">
        <v>69</v>
      </c>
      <c r="E6" t="s">
        <v>6</v>
      </c>
      <c r="G6" t="s">
        <v>59</v>
      </c>
    </row>
    <row r="7" spans="1:12" x14ac:dyDescent="0.3">
      <c r="C7" t="s">
        <v>70</v>
      </c>
      <c r="E7" t="s">
        <v>7</v>
      </c>
      <c r="G7" t="s">
        <v>76</v>
      </c>
    </row>
    <row r="8" spans="1:12" x14ac:dyDescent="0.3">
      <c r="E8" t="s">
        <v>5</v>
      </c>
    </row>
    <row r="9" spans="1:12" x14ac:dyDescent="0.3">
      <c r="E9" t="s">
        <v>58</v>
      </c>
    </row>
    <row r="10" spans="1:12" x14ac:dyDescent="0.3">
      <c r="E10" t="s">
        <v>60</v>
      </c>
    </row>
    <row r="12" spans="1:12" x14ac:dyDescent="0.3">
      <c r="E12" t="s">
        <v>2</v>
      </c>
      <c r="F12" s="3" t="s">
        <v>3</v>
      </c>
      <c r="G12" s="3" t="s">
        <v>4</v>
      </c>
      <c r="H12" s="3" t="s">
        <v>71</v>
      </c>
      <c r="I12" s="3" t="s">
        <v>6</v>
      </c>
      <c r="J12" s="3" t="s">
        <v>7</v>
      </c>
      <c r="K12" t="s">
        <v>5</v>
      </c>
      <c r="L12" t="s">
        <v>60</v>
      </c>
    </row>
    <row r="13" spans="1:12" x14ac:dyDescent="0.3">
      <c r="E13" t="s">
        <v>9</v>
      </c>
      <c r="F13" s="4" t="s">
        <v>12</v>
      </c>
      <c r="G13" s="4" t="s">
        <v>53</v>
      </c>
      <c r="H13" s="4" t="s">
        <v>24</v>
      </c>
      <c r="I13" s="4" t="s">
        <v>36</v>
      </c>
      <c r="J13" s="4" t="s">
        <v>30</v>
      </c>
      <c r="K13" t="s">
        <v>5</v>
      </c>
      <c r="L13" t="s">
        <v>77</v>
      </c>
    </row>
    <row r="14" spans="1:12" x14ac:dyDescent="0.3">
      <c r="E14" t="s">
        <v>16</v>
      </c>
      <c r="F14" t="s">
        <v>15</v>
      </c>
      <c r="G14" t="s">
        <v>18</v>
      </c>
      <c r="H14" t="s">
        <v>21</v>
      </c>
      <c r="I14" t="s">
        <v>27</v>
      </c>
      <c r="J14" t="s">
        <v>40</v>
      </c>
      <c r="L14" t="s">
        <v>78</v>
      </c>
    </row>
    <row r="15" spans="1:12" x14ac:dyDescent="0.3">
      <c r="E15" t="s">
        <v>17</v>
      </c>
      <c r="F15" s="1" t="s">
        <v>11</v>
      </c>
      <c r="G15" s="1" t="s">
        <v>20</v>
      </c>
      <c r="H15" s="1" t="s">
        <v>23</v>
      </c>
      <c r="I15" s="1" t="s">
        <v>37</v>
      </c>
      <c r="J15" s="1" t="s">
        <v>38</v>
      </c>
      <c r="L15" t="s">
        <v>79</v>
      </c>
    </row>
    <row r="16" spans="1:12" x14ac:dyDescent="0.3">
      <c r="E16" t="s">
        <v>10</v>
      </c>
      <c r="F16" t="s">
        <v>14</v>
      </c>
      <c r="G16" t="s">
        <v>34</v>
      </c>
      <c r="H16" t="s">
        <v>22</v>
      </c>
      <c r="I16" t="s">
        <v>26</v>
      </c>
      <c r="J16" t="s">
        <v>5</v>
      </c>
      <c r="L16" t="s">
        <v>80</v>
      </c>
    </row>
    <row r="17" spans="5:12" x14ac:dyDescent="0.3">
      <c r="E17" t="s">
        <v>74</v>
      </c>
      <c r="F17" s="2" t="s">
        <v>13</v>
      </c>
      <c r="G17" s="2" t="s">
        <v>19</v>
      </c>
      <c r="H17" s="2" t="s">
        <v>33</v>
      </c>
      <c r="I17" s="1" t="s">
        <v>32</v>
      </c>
      <c r="J17" s="1" t="s">
        <v>29</v>
      </c>
      <c r="L17" t="s">
        <v>81</v>
      </c>
    </row>
    <row r="18" spans="5:12" x14ac:dyDescent="0.3">
      <c r="I18" t="s">
        <v>14</v>
      </c>
      <c r="J18" t="s">
        <v>28</v>
      </c>
    </row>
    <row r="19" spans="5:12" x14ac:dyDescent="0.3">
      <c r="I19" s="1" t="s">
        <v>35</v>
      </c>
      <c r="J19" s="2" t="s">
        <v>57</v>
      </c>
    </row>
    <row r="20" spans="5:12" x14ac:dyDescent="0.3">
      <c r="I20" t="s">
        <v>39</v>
      </c>
    </row>
    <row r="21" spans="5:12" x14ac:dyDescent="0.3">
      <c r="I21" s="1" t="s">
        <v>25</v>
      </c>
    </row>
    <row r="22" spans="5:12" x14ac:dyDescent="0.3">
      <c r="I22" t="s">
        <v>5</v>
      </c>
    </row>
    <row r="23" spans="5:12" x14ac:dyDescent="0.3">
      <c r="I23" s="2" t="s">
        <v>31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2A17B-C770-49B7-BDF8-2A9ADCF380EF}">
  <sheetPr codeName="Hoja3"/>
  <dimension ref="A1:L21"/>
  <sheetViews>
    <sheetView workbookViewId="0">
      <selection activeCell="M16" sqref="J5:M16"/>
    </sheetView>
  </sheetViews>
  <sheetFormatPr baseColWidth="10" defaultRowHeight="14.4" x14ac:dyDescent="0.3"/>
  <cols>
    <col min="5" max="5" width="14.33203125" customWidth="1"/>
    <col min="6" max="6" width="12.88671875" customWidth="1"/>
  </cols>
  <sheetData>
    <row r="1" spans="1:12" x14ac:dyDescent="0.3">
      <c r="A1" t="s">
        <v>41</v>
      </c>
      <c r="B1" t="s">
        <v>42</v>
      </c>
      <c r="C1" t="s">
        <v>49</v>
      </c>
      <c r="D1" t="s">
        <v>43</v>
      </c>
      <c r="E1" t="s">
        <v>1</v>
      </c>
      <c r="F1" t="s">
        <v>45</v>
      </c>
      <c r="G1" t="s">
        <v>46</v>
      </c>
      <c r="I1" t="s">
        <v>47</v>
      </c>
      <c r="J1" s="5">
        <f>SUM(TabCredito[Monto])-SUMIF(TabDebito[Descripcion],Informacion!A2,TabDebito[Salida $])-SUMIF(TabDebito[Descripcion],Informacion!A3,TabDebito[Salida $])-SUMIF(TabDebito[Descripcion],Informacion!A4,TabDebito[Salida $])-SUMIF(TabDebito[Descripcion],Informacion!A5,TabDebito[Salida $])-SUMIF(TabDebito[Descripcion],Informacion!A6,TabDebito[Salida $])</f>
        <v>4737.26</v>
      </c>
      <c r="K1" t="s">
        <v>61</v>
      </c>
      <c r="L1" s="7">
        <f>SUMIF(TabCredito[Nombre],$K$1,TabCredito[Monto])-SUMIFS(TabDebito[Salida $],TabDebito[Tipo],Informacion!$E$9,TabDebito[Nombre],$K$1)</f>
        <v>4737.26</v>
      </c>
    </row>
    <row r="2" spans="1:12" x14ac:dyDescent="0.3">
      <c r="A2">
        <v>19</v>
      </c>
      <c r="B2" t="s">
        <v>61</v>
      </c>
      <c r="C2" s="6">
        <v>45109</v>
      </c>
      <c r="D2" s="5">
        <v>565.4</v>
      </c>
      <c r="E2" t="s">
        <v>2</v>
      </c>
      <c r="F2" t="s">
        <v>10</v>
      </c>
      <c r="G2" t="s">
        <v>98</v>
      </c>
      <c r="J2" s="5"/>
      <c r="L2" s="7"/>
    </row>
    <row r="3" spans="1:12" x14ac:dyDescent="0.3">
      <c r="A3">
        <v>18</v>
      </c>
      <c r="B3" t="s">
        <v>61</v>
      </c>
      <c r="C3" s="6">
        <v>45079</v>
      </c>
      <c r="D3" s="5">
        <v>348</v>
      </c>
      <c r="E3" t="s">
        <v>5</v>
      </c>
      <c r="F3" t="s">
        <v>5</v>
      </c>
      <c r="G3" t="s">
        <v>97</v>
      </c>
      <c r="J3" s="5"/>
      <c r="L3" s="7"/>
    </row>
    <row r="4" spans="1:12" x14ac:dyDescent="0.3">
      <c r="A4">
        <v>17</v>
      </c>
      <c r="B4" t="s">
        <v>61</v>
      </c>
      <c r="C4" s="6">
        <v>45079</v>
      </c>
      <c r="D4" s="5">
        <v>79.48</v>
      </c>
      <c r="E4" t="s">
        <v>3</v>
      </c>
      <c r="F4" t="s">
        <v>11</v>
      </c>
      <c r="G4" t="s">
        <v>85</v>
      </c>
      <c r="J4" s="5"/>
      <c r="L4" s="7"/>
    </row>
    <row r="5" spans="1:12" x14ac:dyDescent="0.3">
      <c r="A5">
        <v>16</v>
      </c>
      <c r="B5" t="s">
        <v>61</v>
      </c>
      <c r="C5" s="6">
        <v>45079</v>
      </c>
      <c r="D5" s="5">
        <v>625.54</v>
      </c>
      <c r="E5" t="s">
        <v>7</v>
      </c>
      <c r="F5" t="s">
        <v>28</v>
      </c>
      <c r="G5" t="s">
        <v>95</v>
      </c>
      <c r="J5" s="5"/>
      <c r="K5" s="8"/>
      <c r="L5" s="7"/>
    </row>
    <row r="6" spans="1:12" x14ac:dyDescent="0.3">
      <c r="A6">
        <v>15</v>
      </c>
      <c r="B6" t="s">
        <v>61</v>
      </c>
      <c r="C6" s="6">
        <v>45048</v>
      </c>
      <c r="D6" s="5">
        <v>200</v>
      </c>
      <c r="E6" t="s">
        <v>6</v>
      </c>
      <c r="F6" t="s">
        <v>14</v>
      </c>
      <c r="G6" t="s">
        <v>96</v>
      </c>
      <c r="J6" s="5"/>
      <c r="K6" s="8"/>
      <c r="L6" s="7"/>
    </row>
    <row r="7" spans="1:12" x14ac:dyDescent="0.3">
      <c r="A7">
        <v>14</v>
      </c>
      <c r="B7" t="s">
        <v>61</v>
      </c>
      <c r="C7" s="6">
        <v>45018</v>
      </c>
      <c r="D7" s="5">
        <v>70.52</v>
      </c>
      <c r="E7" t="s">
        <v>3</v>
      </c>
      <c r="F7" t="s">
        <v>11</v>
      </c>
      <c r="G7" t="s">
        <v>85</v>
      </c>
      <c r="J7" s="5"/>
      <c r="L7" s="7"/>
    </row>
    <row r="8" spans="1:12" x14ac:dyDescent="0.3">
      <c r="A8">
        <v>13</v>
      </c>
      <c r="B8" t="s">
        <v>61</v>
      </c>
      <c r="C8" s="6">
        <v>44959</v>
      </c>
      <c r="D8" s="5">
        <v>76.12</v>
      </c>
      <c r="E8" t="s">
        <v>3</v>
      </c>
      <c r="F8" t="s">
        <v>11</v>
      </c>
      <c r="G8" t="s">
        <v>85</v>
      </c>
      <c r="J8" s="5"/>
      <c r="L8" s="7"/>
    </row>
    <row r="9" spans="1:12" x14ac:dyDescent="0.3">
      <c r="A9">
        <v>12</v>
      </c>
      <c r="B9" t="s">
        <v>61</v>
      </c>
      <c r="C9" s="6">
        <v>44959</v>
      </c>
      <c r="D9" s="5">
        <v>95.02</v>
      </c>
      <c r="E9" t="s">
        <v>3</v>
      </c>
      <c r="F9" t="s">
        <v>11</v>
      </c>
      <c r="G9" t="s">
        <v>85</v>
      </c>
      <c r="J9" s="5"/>
      <c r="L9" s="7"/>
    </row>
    <row r="10" spans="1:12" x14ac:dyDescent="0.3">
      <c r="A10">
        <v>11</v>
      </c>
      <c r="B10" t="s">
        <v>61</v>
      </c>
      <c r="C10" t="s">
        <v>91</v>
      </c>
      <c r="D10" s="5">
        <v>367.4</v>
      </c>
      <c r="E10" t="s">
        <v>2</v>
      </c>
      <c r="F10" t="s">
        <v>10</v>
      </c>
      <c r="G10" t="s">
        <v>94</v>
      </c>
      <c r="J10" s="5"/>
      <c r="L10" s="7"/>
    </row>
    <row r="11" spans="1:12" x14ac:dyDescent="0.3">
      <c r="A11">
        <v>10</v>
      </c>
      <c r="B11" t="s">
        <v>61</v>
      </c>
      <c r="C11" t="s">
        <v>91</v>
      </c>
      <c r="D11" s="5">
        <v>73.5</v>
      </c>
      <c r="E11" t="s">
        <v>4</v>
      </c>
      <c r="F11" t="s">
        <v>18</v>
      </c>
      <c r="G11" t="s">
        <v>93</v>
      </c>
      <c r="J11" s="5"/>
      <c r="L11" s="7"/>
    </row>
    <row r="12" spans="1:12" x14ac:dyDescent="0.3">
      <c r="A12">
        <v>9</v>
      </c>
      <c r="B12" t="s">
        <v>61</v>
      </c>
      <c r="C12" t="s">
        <v>91</v>
      </c>
      <c r="D12" s="5">
        <v>84.42</v>
      </c>
      <c r="E12" t="s">
        <v>3</v>
      </c>
      <c r="F12" t="s">
        <v>11</v>
      </c>
      <c r="G12" t="s">
        <v>85</v>
      </c>
      <c r="J12" s="5"/>
      <c r="L12" s="7"/>
    </row>
    <row r="13" spans="1:12" x14ac:dyDescent="0.3">
      <c r="A13">
        <v>8</v>
      </c>
      <c r="B13" t="s">
        <v>61</v>
      </c>
      <c r="C13" t="s">
        <v>91</v>
      </c>
      <c r="D13" s="5">
        <v>89</v>
      </c>
      <c r="E13" t="s">
        <v>2</v>
      </c>
      <c r="F13" t="s">
        <v>10</v>
      </c>
      <c r="G13" t="s">
        <v>92</v>
      </c>
      <c r="J13" s="5"/>
      <c r="L13" s="7"/>
    </row>
    <row r="14" spans="1:12" x14ac:dyDescent="0.3">
      <c r="A14">
        <v>7</v>
      </c>
      <c r="B14" t="s">
        <v>61</v>
      </c>
      <c r="C14" t="s">
        <v>89</v>
      </c>
      <c r="D14" s="5">
        <v>71.290000000000006</v>
      </c>
      <c r="E14" t="s">
        <v>3</v>
      </c>
      <c r="F14" t="s">
        <v>11</v>
      </c>
      <c r="G14" t="s">
        <v>85</v>
      </c>
      <c r="J14" s="5"/>
      <c r="L14" s="7"/>
    </row>
    <row r="15" spans="1:12" x14ac:dyDescent="0.3">
      <c r="A15">
        <v>6</v>
      </c>
      <c r="B15" t="s">
        <v>61</v>
      </c>
      <c r="C15" t="s">
        <v>89</v>
      </c>
      <c r="D15" s="5">
        <v>283.95</v>
      </c>
      <c r="E15" t="s">
        <v>71</v>
      </c>
      <c r="F15" t="s">
        <v>21</v>
      </c>
      <c r="G15" t="s">
        <v>90</v>
      </c>
      <c r="J15" s="5"/>
      <c r="L15" s="7"/>
    </row>
    <row r="16" spans="1:12" x14ac:dyDescent="0.3">
      <c r="A16">
        <v>5</v>
      </c>
      <c r="B16" t="s">
        <v>61</v>
      </c>
      <c r="C16" t="s">
        <v>88</v>
      </c>
      <c r="D16" s="5">
        <v>78.55</v>
      </c>
      <c r="E16" t="s">
        <v>3</v>
      </c>
      <c r="F16" t="s">
        <v>11</v>
      </c>
      <c r="G16" t="s">
        <v>85</v>
      </c>
      <c r="J16" s="5"/>
      <c r="L16" s="7"/>
    </row>
    <row r="17" spans="1:12" x14ac:dyDescent="0.3">
      <c r="A17">
        <v>4</v>
      </c>
      <c r="B17" t="s">
        <v>61</v>
      </c>
      <c r="C17" t="s">
        <v>86</v>
      </c>
      <c r="D17" s="5">
        <v>829.01</v>
      </c>
      <c r="E17" t="s">
        <v>71</v>
      </c>
      <c r="F17" t="s">
        <v>21</v>
      </c>
      <c r="G17" t="s">
        <v>87</v>
      </c>
      <c r="J17" s="5"/>
      <c r="L17" s="7"/>
    </row>
    <row r="18" spans="1:12" x14ac:dyDescent="0.3">
      <c r="A18">
        <v>3</v>
      </c>
      <c r="B18" t="s">
        <v>61</v>
      </c>
      <c r="C18" t="s">
        <v>84</v>
      </c>
      <c r="D18" s="5">
        <v>69.56</v>
      </c>
      <c r="E18" t="s">
        <v>3</v>
      </c>
      <c r="F18" t="s">
        <v>11</v>
      </c>
      <c r="G18" t="s">
        <v>85</v>
      </c>
      <c r="J18" s="5"/>
      <c r="L18" s="7"/>
    </row>
    <row r="19" spans="1:12" x14ac:dyDescent="0.3">
      <c r="A19">
        <v>2</v>
      </c>
      <c r="B19" t="s">
        <v>61</v>
      </c>
      <c r="C19" t="s">
        <v>83</v>
      </c>
      <c r="D19" s="5">
        <v>376.5</v>
      </c>
      <c r="E19" t="s">
        <v>7</v>
      </c>
      <c r="F19" t="s">
        <v>5</v>
      </c>
      <c r="G19" t="s">
        <v>5</v>
      </c>
      <c r="J19" s="5"/>
      <c r="L19" s="7"/>
    </row>
    <row r="20" spans="1:12" x14ac:dyDescent="0.3">
      <c r="A20">
        <v>1</v>
      </c>
      <c r="B20" t="s">
        <v>61</v>
      </c>
      <c r="C20" t="s">
        <v>75</v>
      </c>
      <c r="D20" s="5">
        <v>354</v>
      </c>
      <c r="E20" t="s">
        <v>2</v>
      </c>
      <c r="F20" t="s">
        <v>10</v>
      </c>
      <c r="G20" t="s">
        <v>82</v>
      </c>
      <c r="J20" s="5"/>
      <c r="L20" s="7"/>
    </row>
    <row r="21" spans="1:12" x14ac:dyDescent="0.3">
      <c r="L21" s="8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1ADE7-781F-433C-B29E-856A118747B8}">
  <sheetPr codeName="Hoja4"/>
  <dimension ref="A1:L2"/>
  <sheetViews>
    <sheetView workbookViewId="0">
      <selection activeCell="H11" sqref="H11"/>
    </sheetView>
  </sheetViews>
  <sheetFormatPr baseColWidth="10" defaultRowHeight="14.4" x14ac:dyDescent="0.3"/>
  <cols>
    <col min="3" max="3" width="12.44140625" customWidth="1"/>
    <col min="4" max="4" width="12.6640625" customWidth="1"/>
    <col min="5" max="6" width="12.88671875" customWidth="1"/>
    <col min="7" max="7" width="12.21875" customWidth="1"/>
  </cols>
  <sheetData>
    <row r="1" spans="1:12" x14ac:dyDescent="0.3">
      <c r="A1" t="s">
        <v>41</v>
      </c>
      <c r="B1" t="s">
        <v>42</v>
      </c>
      <c r="C1" t="s">
        <v>49</v>
      </c>
      <c r="D1" t="s">
        <v>44</v>
      </c>
      <c r="E1" t="s">
        <v>45</v>
      </c>
      <c r="F1" t="s">
        <v>46</v>
      </c>
      <c r="G1" t="s">
        <v>50</v>
      </c>
      <c r="H1" t="s">
        <v>51</v>
      </c>
      <c r="J1" s="5">
        <f>SUM(TabDebito[Entrada $])-SUM(TabDebito[Salida $])</f>
        <v>0</v>
      </c>
      <c r="K1" t="s">
        <v>70</v>
      </c>
      <c r="L1" s="7">
        <f>SUMIF(TabDebito[Nombre],K1,TabDebito[Entrada $])-SUMIF(TabDebito[Nombre],K1,TabDebito[Salida $])</f>
        <v>0</v>
      </c>
    </row>
    <row r="2" spans="1:12" x14ac:dyDescent="0.3">
      <c r="C2" s="6"/>
      <c r="G2" s="5"/>
      <c r="J2" s="5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B1686-C89D-42D1-8A6A-6E7ADCFD9D99}">
  <sheetPr codeName="Hoja5"/>
  <dimension ref="A1:F1"/>
  <sheetViews>
    <sheetView tabSelected="1" workbookViewId="0">
      <selection activeCell="D17" sqref="D17"/>
    </sheetView>
  </sheetViews>
  <sheetFormatPr baseColWidth="10" defaultRowHeight="14.4" x14ac:dyDescent="0.3"/>
  <sheetData>
    <row r="1" spans="1:6" x14ac:dyDescent="0.3">
      <c r="A1" t="s">
        <v>8</v>
      </c>
      <c r="B1" t="s">
        <v>45</v>
      </c>
      <c r="C1" t="s">
        <v>47</v>
      </c>
      <c r="E1" t="s">
        <v>72</v>
      </c>
      <c r="F1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Ejecutar</vt:lpstr>
      <vt:lpstr>Informacion</vt:lpstr>
      <vt:lpstr>Tcredito</vt:lpstr>
      <vt:lpstr>Tdebito</vt:lpstr>
      <vt:lpstr>Resumenes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100043227</dc:creator>
  <cp:lastModifiedBy>Francisco Javier Velasco Cruz</cp:lastModifiedBy>
  <dcterms:created xsi:type="dcterms:W3CDTF">2023-02-10T03:08:56Z</dcterms:created>
  <dcterms:modified xsi:type="dcterms:W3CDTF">2023-12-29T16:32:33Z</dcterms:modified>
</cp:coreProperties>
</file>