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tables/table8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9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10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tables/table11.xml" ContentType="application/vnd.openxmlformats-officedocument.spreadsheetml.table+xml"/>
  <Override PartName="/xl/drawings/drawing4.xml" ContentType="application/vnd.openxmlformats-officedocument.drawing+xml"/>
  <Override PartName="/xl/ctrlProps/ctrlProp4.xml" ContentType="application/vnd.ms-excel.controlproperties+xml"/>
  <Override PartName="/xl/tables/table12.xml" ContentType="application/vnd.openxmlformats-officedocument.spreadsheetml.table+xml"/>
  <Override PartName="/xl/drawings/drawing5.xml" ContentType="application/vnd.openxmlformats-officedocument.drawing+xml"/>
  <Override PartName="/xl/ctrlProps/ctrlProp5.xml" ContentType="application/vnd.ms-excel.controlproperties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tables/table15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comments6.xml" ContentType="application/vnd.openxmlformats-officedocument.spreadsheetml.comments+xml"/>
  <Override PartName="/xl/threadedComments/threadedComment6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fd1f659a22996235/Ing. Pancho/Programacion/Macros Excel/Nómina/NominasArchivos/"/>
    </mc:Choice>
  </mc:AlternateContent>
  <xr:revisionPtr revIDLastSave="2066" documentId="8_{113D4C1A-1BA3-4118-BC3B-80D570CA94F3}" xr6:coauthVersionLast="47" xr6:coauthVersionMax="47" xr10:uidLastSave="{3CD1D645-12A5-44A8-B91F-257F88A61172}"/>
  <bookViews>
    <workbookView xWindow="-120" yWindow="-120" windowWidth="29040" windowHeight="15720" tabRatio="767" xr2:uid="{89BAD63B-1796-4F03-BE96-9A74D3B0E7E2}"/>
  </bookViews>
  <sheets>
    <sheet name="Tablas de informacion" sheetId="3" r:id="rId1"/>
    <sheet name="Empleados" sheetId="1" r:id="rId2"/>
    <sheet name="Asistencias" sheetId="2" r:id="rId3"/>
    <sheet name="Descuentos" sheetId="5" r:id="rId4"/>
    <sheet name="Descuentos-Pagos" sheetId="10" r:id="rId5"/>
    <sheet name="DescuentosFiscal" sheetId="13" r:id="rId6"/>
    <sheet name="Descuentos-PagosFiscal" sheetId="12" r:id="rId7"/>
    <sheet name="Desglose Salarios Fiscal" sheetId="11" r:id="rId8"/>
    <sheet name="Desglose de Salarios" sheetId="6" r:id="rId9"/>
    <sheet name="Cuotas IMSS" sheetId="4" state="hidden" r:id="rId10"/>
    <sheet name="ISR" sheetId="9" state="hidden" r:id="rId11"/>
  </sheets>
  <functionGroups builtInGroupCount="19"/>
  <definedNames>
    <definedName name="_xlnm._FilterDatabase" localSheetId="2" hidden="1">Asistencias!$A$30:$PN$30</definedName>
    <definedName name="AñoActual">Asistencias!$B$1</definedName>
    <definedName name="AporteComision" localSheetId="5">TabOtros[Concepto]</definedName>
    <definedName name="AporteComision" localSheetId="6">TabOtros[Concepto]</definedName>
    <definedName name="AporteComision">TabOtros[Concepto]</definedName>
    <definedName name="Banco1">'Tablas de informacion'!$R$10</definedName>
    <definedName name="Banco2">'Tablas de informacion'!$R$11</definedName>
    <definedName name="Banco3">'Tablas de informacion'!$R$12</definedName>
    <definedName name="Banco4">'Tablas de informacion'!$R$13</definedName>
    <definedName name="Bono">'Tablas de informacion'!$N$21</definedName>
    <definedName name="CF">'Tablas de informacion'!$L$6</definedName>
    <definedName name="CFO">'Tablas de informacion'!$L$8</definedName>
    <definedName name="CFP">'Tablas de informacion'!$L$7</definedName>
    <definedName name="CV">'Tablas de informacion'!$L$19</definedName>
    <definedName name="CVO">'Tablas de informacion'!$L$21</definedName>
    <definedName name="CVP">'Tablas de informacion'!$L$20</definedName>
    <definedName name="DominicalFiscal">'Tablas de informacion'!$N$20</definedName>
    <definedName name="EFE">'Tablas de informacion'!$R$9</definedName>
    <definedName name="GMP">'Tablas de informacion'!$L$12</definedName>
    <definedName name="GMPO">'Tablas de informacion'!$L$14</definedName>
    <definedName name="GMPP">'Tablas de informacion'!$L$13</definedName>
    <definedName name="GPS">'Tablas de informacion'!$L$18</definedName>
    <definedName name="I">'Tablas de informacion'!$L$23</definedName>
    <definedName name="IV">'Tablas de informacion'!$L$15</definedName>
    <definedName name="IVO">'Tablas de informacion'!$L$17</definedName>
    <definedName name="IVP">'Tablas de informacion'!$L$16</definedName>
    <definedName name="ListaEmpleados">TabEmpleados[Nombre]</definedName>
    <definedName name="NUMDescuento">TabDescuentos[NUM]</definedName>
    <definedName name="NUMDescuentoFiscal">TabDescuentosFiscal[NUM]</definedName>
    <definedName name="PD">'Tablas de informacion'!$L$9</definedName>
    <definedName name="PDO">'Tablas de informacion'!$L$11</definedName>
    <definedName name="PDP">'Tablas de informacion'!$L$10</definedName>
    <definedName name="PRTO">'Tablas de informacion'!$N$4</definedName>
    <definedName name="PRTP">'Tablas de informacion'!$N$3</definedName>
    <definedName name="PuestoS">TabPuestos[PUESTO]</definedName>
    <definedName name="R_">'Tablas de informacion'!$L$22</definedName>
    <definedName name="SaldoMaximo">'Tablas de informacion'!$N$22</definedName>
    <definedName name="SMDF">'Tablas de informacion'!$L$4</definedName>
    <definedName name="SMDF3">'Tablas de informacion'!$L$5</definedName>
    <definedName name="SMGI">'Tablas de informacion'!$L$3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F31" i="2" l="1"/>
  <c r="QT33" i="2"/>
  <c r="PW33" i="2"/>
  <c r="QK34" i="2" a="1"/>
  <c r="QK34" i="2" s="1"/>
  <c r="QK31" i="2" a="1"/>
  <c r="QK31" i="2" s="1"/>
  <c r="QK32" i="2" a="1"/>
  <c r="QK32" i="2" s="1"/>
  <c r="QK33" i="2" a="1"/>
  <c r="QK33" i="2" s="1"/>
  <c r="QK35" i="2" a="1"/>
  <c r="QK35" i="2" s="1"/>
  <c r="QK36" i="2" a="1"/>
  <c r="QK36" i="2" s="1"/>
  <c r="QK37" i="2" a="1"/>
  <c r="QK37" i="2" s="1"/>
  <c r="QK38" i="2" a="1"/>
  <c r="QK38" i="2" s="1"/>
  <c r="QK39" i="2" a="1"/>
  <c r="QK39" i="2" s="1"/>
  <c r="QK40" i="2" a="1"/>
  <c r="QK40" i="2" s="1"/>
  <c r="QK41" i="2" a="1"/>
  <c r="QK41" i="2" s="1"/>
  <c r="QK42" i="2" a="1"/>
  <c r="QK42" i="2" s="1"/>
  <c r="QK43" i="2" a="1"/>
  <c r="QK43" i="2" s="1"/>
  <c r="QK44" i="2" a="1"/>
  <c r="QK44" i="2" s="1"/>
  <c r="QK45" i="2" a="1"/>
  <c r="QK45" i="2" s="1"/>
  <c r="QK46" i="2" a="1"/>
  <c r="QK46" i="2" s="1"/>
  <c r="QK47" i="2" a="1"/>
  <c r="QK47" i="2" s="1"/>
  <c r="QK48" i="2" a="1"/>
  <c r="QK48" i="2" s="1"/>
  <c r="QK49" i="2" a="1"/>
  <c r="QK49" i="2" s="1"/>
  <c r="QK50" i="2" a="1"/>
  <c r="QK50" i="2" s="1"/>
  <c r="QK51" i="2" a="1"/>
  <c r="QK51" i="2" s="1"/>
  <c r="QK52" i="2" a="1"/>
  <c r="QK52" i="2" s="1"/>
  <c r="QK53" i="2" a="1"/>
  <c r="QK53" i="2" s="1"/>
  <c r="QK54" i="2" a="1"/>
  <c r="QK54" i="2" s="1"/>
  <c r="QK55" i="2" a="1"/>
  <c r="QK55" i="2" s="1"/>
  <c r="QK56" i="2" a="1"/>
  <c r="QK56" i="2" s="1"/>
  <c r="QK57" i="2" a="1"/>
  <c r="QK57" i="2" s="1"/>
  <c r="QK58" i="2" a="1"/>
  <c r="QK58" i="2" s="1"/>
  <c r="QK59" i="2" a="1"/>
  <c r="QK59" i="2" s="1"/>
  <c r="QK60" i="2" a="1"/>
  <c r="QK60" i="2" s="1"/>
  <c r="QK61" i="2" a="1"/>
  <c r="QK61" i="2" s="1"/>
  <c r="QK62" i="2" a="1"/>
  <c r="QK62" i="2" s="1"/>
  <c r="QK63" i="2" a="1"/>
  <c r="QK63" i="2" s="1"/>
  <c r="QK64" i="2" a="1"/>
  <c r="QK64" i="2" s="1"/>
  <c r="QK65" i="2" a="1"/>
  <c r="QK65" i="2" s="1"/>
  <c r="QK66" i="2" a="1"/>
  <c r="QK66" i="2" s="1"/>
  <c r="QK67" i="2" a="1"/>
  <c r="QK67" i="2" s="1"/>
  <c r="QK68" i="2" a="1"/>
  <c r="QK68" i="2" s="1"/>
  <c r="QK69" i="2" a="1"/>
  <c r="QK69" i="2" s="1"/>
  <c r="QK70" i="2" a="1"/>
  <c r="QK70" i="2" s="1"/>
  <c r="QK71" i="2" a="1"/>
  <c r="QK71" i="2" s="1"/>
  <c r="QK72" i="2" a="1"/>
  <c r="QK72" i="2" s="1"/>
  <c r="QK73" i="2" a="1"/>
  <c r="QK73" i="2" s="1"/>
  <c r="QK74" i="2" a="1"/>
  <c r="QK74" i="2" s="1"/>
  <c r="QK75" i="2" a="1"/>
  <c r="QK75" i="2" s="1"/>
  <c r="QK76" i="2" a="1"/>
  <c r="QK76" i="2" s="1"/>
  <c r="QK77" i="2" a="1"/>
  <c r="QK77" i="2" s="1"/>
  <c r="QK78" i="2" a="1"/>
  <c r="QK78" i="2" s="1"/>
  <c r="QK79" i="2" a="1"/>
  <c r="QK79" i="2" s="1"/>
  <c r="QK80" i="2" a="1"/>
  <c r="QK80" i="2" s="1"/>
  <c r="QK81" i="2" a="1"/>
  <c r="QK81" i="2" s="1"/>
  <c r="QK82" i="2" a="1"/>
  <c r="QK82" i="2" s="1"/>
  <c r="QK83" i="2" a="1"/>
  <c r="QK83" i="2" s="1"/>
  <c r="QK84" i="2" a="1"/>
  <c r="QK84" i="2" s="1"/>
  <c r="QK85" i="2" a="1"/>
  <c r="QK85" i="2" s="1"/>
  <c r="QK86" i="2" a="1"/>
  <c r="QK86" i="2" s="1"/>
  <c r="QK87" i="2" a="1"/>
  <c r="QK87" i="2" s="1"/>
  <c r="QK88" i="2" a="1"/>
  <c r="QK88" i="2" s="1"/>
  <c r="QK89" i="2" a="1"/>
  <c r="QK89" i="2" s="1"/>
  <c r="QK90" i="2" a="1"/>
  <c r="QK90" i="2" s="1"/>
  <c r="QK91" i="2" a="1"/>
  <c r="QK91" i="2" s="1"/>
  <c r="QK92" i="2" a="1"/>
  <c r="QK92" i="2" s="1"/>
  <c r="QK93" i="2" a="1"/>
  <c r="QK93" i="2" s="1"/>
  <c r="QK94" i="2" a="1"/>
  <c r="QK94" i="2" s="1"/>
  <c r="QK95" i="2" a="1"/>
  <c r="QK95" i="2" s="1"/>
  <c r="QK96" i="2" a="1"/>
  <c r="QK96" i="2" s="1"/>
  <c r="QK97" i="2" a="1"/>
  <c r="QK97" i="2" s="1"/>
  <c r="QK98" i="2" a="1"/>
  <c r="QK98" i="2" s="1"/>
  <c r="QK99" i="2" a="1"/>
  <c r="QK99" i="2" s="1"/>
  <c r="QK100" i="2" a="1"/>
  <c r="QK100" i="2" s="1"/>
  <c r="QK101" i="2" a="1"/>
  <c r="QK101" i="2" s="1"/>
  <c r="QK102" i="2" a="1"/>
  <c r="QK102" i="2" s="1"/>
  <c r="QK103" i="2" a="1"/>
  <c r="QK103" i="2" s="1"/>
  <c r="QK104" i="2" a="1"/>
  <c r="QK104" i="2" s="1"/>
  <c r="QK105" i="2" a="1"/>
  <c r="QK105" i="2" s="1"/>
  <c r="E12" i="12"/>
  <c r="C12" i="12"/>
  <c r="B12" i="12"/>
  <c r="RG39" i="2" a="1"/>
  <c r="RG39" i="2" s="1"/>
  <c r="A19" i="2" l="1"/>
  <c r="D17" i="4" a="1"/>
  <c r="D17" i="4" s="1"/>
  <c r="B4" i="11" a="1"/>
  <c r="B4" i="11" s="1"/>
  <c r="B5" i="11" a="1"/>
  <c r="B5" i="11" s="1"/>
  <c r="B6" i="11" a="1"/>
  <c r="B6" i="11" s="1"/>
  <c r="B7" i="11" a="1"/>
  <c r="B7" i="11" s="1"/>
  <c r="B8" i="11" a="1"/>
  <c r="B8" i="11" s="1"/>
  <c r="B9" i="11" a="1"/>
  <c r="B9" i="11" s="1"/>
  <c r="B10" i="11" a="1"/>
  <c r="B10" i="11" s="1"/>
  <c r="B11" i="11" a="1"/>
  <c r="B11" i="11" s="1"/>
  <c r="C11" i="11" a="1"/>
  <c r="C11" i="11" s="1"/>
  <c r="E11" i="11" a="1"/>
  <c r="E11" i="11" s="1"/>
  <c r="B12" i="11" a="1"/>
  <c r="B12" i="11" s="1"/>
  <c r="B13" i="11" a="1"/>
  <c r="B13" i="11" s="1"/>
  <c r="B14" i="11" a="1"/>
  <c r="B14" i="11" s="1"/>
  <c r="B15" i="11" a="1"/>
  <c r="B15" i="11" s="1"/>
  <c r="B16" i="11" a="1"/>
  <c r="B16" i="11" s="1"/>
  <c r="B17" i="11" a="1"/>
  <c r="B17" i="11" s="1"/>
  <c r="B18" i="11" a="1"/>
  <c r="B18" i="11" s="1"/>
  <c r="B19" i="11" a="1"/>
  <c r="B19" i="11" s="1"/>
  <c r="B20" i="11" a="1"/>
  <c r="B20" i="11" s="1"/>
  <c r="B21" i="11" a="1"/>
  <c r="B21" i="11" s="1"/>
  <c r="B22" i="11" a="1"/>
  <c r="B22" i="11" s="1"/>
  <c r="B23" i="11" a="1"/>
  <c r="B23" i="11" s="1"/>
  <c r="B24" i="11" a="1"/>
  <c r="B24" i="11" s="1"/>
  <c r="B25" i="11" a="1"/>
  <c r="B25" i="11" s="1"/>
  <c r="B26" i="11" a="1"/>
  <c r="B26" i="11" s="1"/>
  <c r="B27" i="11" a="1"/>
  <c r="B27" i="11" s="1"/>
  <c r="B28" i="11" a="1"/>
  <c r="B28" i="11" s="1"/>
  <c r="B29" i="11" a="1"/>
  <c r="B29" i="11" s="1"/>
  <c r="B30" i="11" a="1"/>
  <c r="B30" i="11" s="1"/>
  <c r="B31" i="11" a="1"/>
  <c r="B31" i="11" s="1"/>
  <c r="B32" i="11" a="1"/>
  <c r="B32" i="11" s="1"/>
  <c r="B33" i="11" a="1"/>
  <c r="B33" i="11" s="1"/>
  <c r="B34" i="11" a="1"/>
  <c r="B34" i="11" s="1"/>
  <c r="B35" i="11" a="1"/>
  <c r="B35" i="11" s="1"/>
  <c r="B36" i="11" a="1"/>
  <c r="B36" i="11" s="1"/>
  <c r="B37" i="11" a="1"/>
  <c r="B37" i="11" s="1"/>
  <c r="B38" i="11" a="1"/>
  <c r="B38" i="11" s="1"/>
  <c r="B39" i="11" a="1"/>
  <c r="B39" i="11" s="1"/>
  <c r="B40" i="11" a="1"/>
  <c r="B40" i="11" s="1"/>
  <c r="B41" i="11" a="1"/>
  <c r="B41" i="11" s="1"/>
  <c r="B42" i="11" a="1"/>
  <c r="B42" i="11" s="1"/>
  <c r="B43" i="11" a="1"/>
  <c r="B43" i="11" s="1"/>
  <c r="B44" i="11" a="1"/>
  <c r="B44" i="11" s="1"/>
  <c r="B45" i="11" a="1"/>
  <c r="B45" i="11" s="1"/>
  <c r="B46" i="11" a="1"/>
  <c r="B46" i="11" s="1"/>
  <c r="B47" i="11" a="1"/>
  <c r="B47" i="11" s="1"/>
  <c r="B48" i="11" a="1"/>
  <c r="B48" i="11" s="1"/>
  <c r="B49" i="11" a="1"/>
  <c r="B49" i="11" s="1"/>
  <c r="B50" i="11" a="1"/>
  <c r="B50" i="11" s="1"/>
  <c r="B51" i="11" a="1"/>
  <c r="B51" i="11" s="1"/>
  <c r="B52" i="11" a="1"/>
  <c r="B52" i="11" s="1"/>
  <c r="B53" i="11" a="1"/>
  <c r="B53" i="11" s="1"/>
  <c r="B54" i="11" a="1"/>
  <c r="B54" i="11" s="1"/>
  <c r="B55" i="11" a="1"/>
  <c r="B55" i="11" s="1"/>
  <c r="B56" i="11" a="1"/>
  <c r="B56" i="11" s="1"/>
  <c r="B57" i="11" a="1"/>
  <c r="B57" i="11" s="1"/>
  <c r="B58" i="11" a="1"/>
  <c r="B58" i="11" s="1"/>
  <c r="B59" i="11" a="1"/>
  <c r="B59" i="11" s="1"/>
  <c r="B60" i="11" a="1"/>
  <c r="B60" i="11" s="1"/>
  <c r="B61" i="11" a="1"/>
  <c r="B61" i="11" s="1"/>
  <c r="B62" i="11" a="1"/>
  <c r="B62" i="11" s="1"/>
  <c r="B63" i="11" a="1"/>
  <c r="B63" i="11" s="1"/>
  <c r="B64" i="11" a="1"/>
  <c r="B64" i="11" s="1"/>
  <c r="B65" i="11" a="1"/>
  <c r="B65" i="11" s="1"/>
  <c r="B66" i="11" a="1"/>
  <c r="B66" i="11" s="1"/>
  <c r="B67" i="11" a="1"/>
  <c r="B67" i="11" s="1"/>
  <c r="B68" i="11" a="1"/>
  <c r="B68" i="11" s="1"/>
  <c r="B69" i="11" a="1"/>
  <c r="B69" i="11" s="1"/>
  <c r="B70" i="11" a="1"/>
  <c r="B70" i="11" s="1"/>
  <c r="B71" i="11" a="1"/>
  <c r="B71" i="11" s="1"/>
  <c r="B72" i="11" a="1"/>
  <c r="B72" i="11" s="1"/>
  <c r="B73" i="11" a="1"/>
  <c r="B73" i="11" s="1"/>
  <c r="B74" i="11" a="1"/>
  <c r="B74" i="11" s="1"/>
  <c r="B75" i="11" a="1"/>
  <c r="B75" i="11" s="1"/>
  <c r="B76" i="11" a="1"/>
  <c r="B76" i="11" s="1"/>
  <c r="B77" i="11" a="1"/>
  <c r="B77" i="11" s="1"/>
  <c r="M61" i="11" a="1"/>
  <c r="M16" i="6" a="1"/>
  <c r="M55" i="11" a="1"/>
  <c r="M54" i="11" a="1"/>
  <c r="M50" i="11" a="1"/>
  <c r="M40" i="11" a="1"/>
  <c r="M73" i="11" a="1"/>
  <c r="M54" i="6" a="1"/>
  <c r="M48" i="11" a="1"/>
  <c r="M66" i="11" a="1"/>
  <c r="M21" i="11" a="1"/>
  <c r="M62" i="6" a="1"/>
  <c r="M7" i="6" a="1"/>
  <c r="M24" i="6" a="1"/>
  <c r="M20" i="6" a="1"/>
  <c r="M73" i="6" a="1"/>
  <c r="M56" i="11" a="1"/>
  <c r="M49" i="6" a="1"/>
  <c r="M15" i="6" a="1"/>
  <c r="M44" i="11" a="1"/>
  <c r="M35" i="6" a="1"/>
  <c r="M36" i="11" a="1"/>
  <c r="M10" i="11" a="1"/>
  <c r="M59" i="11" a="1"/>
  <c r="M72" i="11" a="1"/>
  <c r="M5" i="11" a="1"/>
  <c r="M34" i="6" a="1"/>
  <c r="M17" i="6" a="1"/>
  <c r="M30" i="6" a="1"/>
  <c r="M29" i="6" a="1"/>
  <c r="M60" i="11" a="1"/>
  <c r="M68" i="6" a="1"/>
  <c r="M41" i="6" a="1"/>
  <c r="M17" i="11" a="1"/>
  <c r="M30" i="11" a="1"/>
  <c r="M57" i="11" a="1"/>
  <c r="M76" i="6" a="1"/>
  <c r="M19" i="6" a="1"/>
  <c r="M32" i="11" a="1"/>
  <c r="M34" i="11" a="1"/>
  <c r="M13" i="11" a="1"/>
  <c r="M13" i="6" a="1"/>
  <c r="M65" i="6" a="1"/>
  <c r="M12" i="11" a="1"/>
  <c r="M77" i="11" a="1"/>
  <c r="M14" i="6" a="1"/>
  <c r="M25" i="6" a="1"/>
  <c r="M19" i="11" a="1"/>
  <c r="M74" i="11" a="1"/>
  <c r="M62" i="11" a="1"/>
  <c r="M6" i="11" a="1"/>
  <c r="M26" i="11" a="1"/>
  <c r="M28" i="11" a="1"/>
  <c r="M56" i="6" a="1"/>
  <c r="M60" i="6" a="1"/>
  <c r="M5" i="6" a="1"/>
  <c r="M25" i="11" a="1"/>
  <c r="M58" i="11" a="1"/>
  <c r="M50" i="6" a="1"/>
  <c r="M18" i="6" a="1"/>
  <c r="M53" i="11" a="1"/>
  <c r="M67" i="6" a="1"/>
  <c r="M47" i="6" a="1"/>
  <c r="M64" i="11" a="1"/>
  <c r="M68" i="11" a="1"/>
  <c r="M11" i="11" a="1"/>
  <c r="M52" i="6" a="1"/>
  <c r="M8" i="11" a="1"/>
  <c r="M23" i="6" a="1"/>
  <c r="M35" i="11" a="1"/>
  <c r="M4" i="11" a="1"/>
  <c r="M4" i="6" a="1"/>
  <c r="M72" i="6" a="1"/>
  <c r="M45" i="6" a="1"/>
  <c r="M9" i="6" a="1"/>
  <c r="M71" i="11" a="1"/>
  <c r="M37" i="6" a="1"/>
  <c r="M43" i="6" a="1"/>
  <c r="M16" i="11" a="1"/>
  <c r="M53" i="6" a="1"/>
  <c r="M39" i="11" a="1"/>
  <c r="M46" i="6" a="1"/>
  <c r="M49" i="11" a="1"/>
  <c r="M27" i="6" a="1"/>
  <c r="M63" i="11" a="1"/>
  <c r="M70" i="11" a="1"/>
  <c r="M47" i="11" a="1"/>
  <c r="M36" i="6" a="1"/>
  <c r="M37" i="11" a="1"/>
  <c r="M3" i="11" a="1"/>
  <c r="M69" i="11" a="1"/>
  <c r="M39" i="6" a="1"/>
  <c r="M58" i="6" a="1"/>
  <c r="M29" i="11" a="1"/>
  <c r="M21" i="6" a="1"/>
  <c r="M67" i="11" a="1"/>
  <c r="M22" i="6" a="1"/>
  <c r="M42" i="11" a="1"/>
  <c r="M26" i="6" a="1"/>
  <c r="M57" i="6" a="1"/>
  <c r="M38" i="6" a="1"/>
  <c r="M15" i="11" a="1"/>
  <c r="M69" i="6" a="1"/>
  <c r="M11" i="6" a="1"/>
  <c r="M32" i="6" a="1"/>
  <c r="M59" i="6" a="1"/>
  <c r="M61" i="6" a="1"/>
  <c r="M24" i="11" a="1"/>
  <c r="M28" i="6" a="1"/>
  <c r="M75" i="11" a="1"/>
  <c r="M76" i="11" a="1"/>
  <c r="M14" i="11" a="1"/>
  <c r="M27" i="11" a="1"/>
  <c r="M18" i="11" a="1"/>
  <c r="M31" i="11" a="1"/>
  <c r="M63" i="6" a="1"/>
  <c r="M33" i="11" a="1"/>
  <c r="M12" i="6" a="1"/>
  <c r="M10" i="6" a="1"/>
  <c r="M43" i="11" a="1"/>
  <c r="M64" i="6" a="1"/>
  <c r="M3" i="6" a="1"/>
  <c r="M51" i="6" a="1"/>
  <c r="M23" i="11" a="1"/>
  <c r="M46" i="11" a="1"/>
  <c r="M75" i="6" a="1"/>
  <c r="M74" i="6" a="1"/>
  <c r="M51" i="11" a="1"/>
  <c r="M20" i="11" a="1"/>
  <c r="M77" i="6" a="1"/>
  <c r="M42" i="6" a="1"/>
  <c r="M40" i="6" a="1"/>
  <c r="M66" i="6" a="1"/>
  <c r="M41" i="11" a="1"/>
  <c r="M71" i="6" a="1"/>
  <c r="M33" i="6" a="1"/>
  <c r="M52" i="11" a="1"/>
  <c r="M65" i="11" a="1"/>
  <c r="M8" i="6" a="1"/>
  <c r="M38" i="11" a="1"/>
  <c r="M70" i="6" a="1"/>
  <c r="M31" i="6" a="1"/>
  <c r="M44" i="6" a="1"/>
  <c r="M55" i="6" a="1"/>
  <c r="M22" i="11" a="1"/>
  <c r="M45" i="11" a="1"/>
  <c r="M48" i="6" a="1"/>
  <c r="M5" i="6" l="1"/>
  <c r="M3" i="6"/>
  <c r="M63" i="6"/>
  <c r="M21" i="6"/>
  <c r="M15" i="6"/>
  <c r="M9" i="6"/>
  <c r="M75" i="6"/>
  <c r="M39" i="6"/>
  <c r="M68" i="6"/>
  <c r="M62" i="6"/>
  <c r="M50" i="6"/>
  <c r="M38" i="6"/>
  <c r="M32" i="6"/>
  <c r="M26" i="6"/>
  <c r="M20" i="6"/>
  <c r="M8" i="6"/>
  <c r="M27" i="6"/>
  <c r="M74" i="6"/>
  <c r="M56" i="6"/>
  <c r="M44" i="6"/>
  <c r="M14" i="6"/>
  <c r="M45" i="6"/>
  <c r="M73" i="6"/>
  <c r="M67" i="6"/>
  <c r="M61" i="6"/>
  <c r="M55" i="6"/>
  <c r="M49" i="6"/>
  <c r="M43" i="6"/>
  <c r="M37" i="6"/>
  <c r="M31" i="6"/>
  <c r="M25" i="6"/>
  <c r="M19" i="6"/>
  <c r="M13" i="6"/>
  <c r="M7" i="6"/>
  <c r="M12" i="6"/>
  <c r="M57" i="6"/>
  <c r="M60" i="6"/>
  <c r="M42" i="6"/>
  <c r="M24" i="6"/>
  <c r="M33" i="6"/>
  <c r="M66" i="6"/>
  <c r="M48" i="6"/>
  <c r="M30" i="6"/>
  <c r="M18" i="6"/>
  <c r="M77" i="6"/>
  <c r="M65" i="6"/>
  <c r="M59" i="6"/>
  <c r="M53" i="6"/>
  <c r="M47" i="6"/>
  <c r="M41" i="6"/>
  <c r="M35" i="6"/>
  <c r="M29" i="6"/>
  <c r="M23" i="6"/>
  <c r="M17" i="6"/>
  <c r="M11" i="6"/>
  <c r="M69" i="6"/>
  <c r="M51" i="6"/>
  <c r="M72" i="6"/>
  <c r="M54" i="6"/>
  <c r="M36" i="6"/>
  <c r="M71" i="6"/>
  <c r="M76" i="6"/>
  <c r="M70" i="6"/>
  <c r="M64" i="6"/>
  <c r="M58" i="6"/>
  <c r="M52" i="6"/>
  <c r="M46" i="6"/>
  <c r="M40" i="6"/>
  <c r="M34" i="6"/>
  <c r="M28" i="6"/>
  <c r="M22" i="6"/>
  <c r="M16" i="6"/>
  <c r="M10" i="6"/>
  <c r="M4" i="6"/>
  <c r="M15" i="11"/>
  <c r="M63" i="11"/>
  <c r="M39" i="11"/>
  <c r="M74" i="11"/>
  <c r="M62" i="11"/>
  <c r="M56" i="11"/>
  <c r="M50" i="11"/>
  <c r="M44" i="11"/>
  <c r="M38" i="11"/>
  <c r="M32" i="11"/>
  <c r="M26" i="11"/>
  <c r="M14" i="11"/>
  <c r="M8" i="11"/>
  <c r="M69" i="11"/>
  <c r="M33" i="11"/>
  <c r="M68" i="11"/>
  <c r="M20" i="11"/>
  <c r="M75" i="11"/>
  <c r="M45" i="11"/>
  <c r="M73" i="11"/>
  <c r="M67" i="11"/>
  <c r="M61" i="11"/>
  <c r="M55" i="11"/>
  <c r="M49" i="11"/>
  <c r="M43" i="11"/>
  <c r="M37" i="11"/>
  <c r="M31" i="11"/>
  <c r="M25" i="11"/>
  <c r="M19" i="11"/>
  <c r="M13" i="11"/>
  <c r="M48" i="11"/>
  <c r="M36" i="11"/>
  <c r="M24" i="11"/>
  <c r="M6" i="11"/>
  <c r="M27" i="11"/>
  <c r="M66" i="11"/>
  <c r="M54" i="11"/>
  <c r="M42" i="11"/>
  <c r="M30" i="11"/>
  <c r="M18" i="11"/>
  <c r="M12" i="11"/>
  <c r="M51" i="11"/>
  <c r="M72" i="11"/>
  <c r="M77" i="11"/>
  <c r="M71" i="11"/>
  <c r="M65" i="11"/>
  <c r="M59" i="11"/>
  <c r="M53" i="11"/>
  <c r="M47" i="11"/>
  <c r="M41" i="11"/>
  <c r="M35" i="11"/>
  <c r="M23" i="11"/>
  <c r="M17" i="11"/>
  <c r="M11" i="11"/>
  <c r="M5" i="11"/>
  <c r="M57" i="11"/>
  <c r="M21" i="11"/>
  <c r="M60" i="11"/>
  <c r="M29" i="11"/>
  <c r="M76" i="11"/>
  <c r="M70" i="11"/>
  <c r="M64" i="11"/>
  <c r="M58" i="11"/>
  <c r="M52" i="11"/>
  <c r="M46" i="11"/>
  <c r="M40" i="11"/>
  <c r="M34" i="11"/>
  <c r="M28" i="11"/>
  <c r="M22" i="11"/>
  <c r="M16" i="11"/>
  <c r="M10" i="11"/>
  <c r="M4" i="11"/>
  <c r="M3" i="11"/>
  <c r="D11" i="11" a="1"/>
  <c r="D11" i="11" s="1"/>
  <c r="AH27" i="2"/>
  <c r="AG27" i="2" s="1"/>
  <c r="K9" i="1"/>
  <c r="RG38" i="2" s="1" a="1"/>
  <c r="RG38" i="2" s="1"/>
  <c r="H9" i="1"/>
  <c r="B3" i="10" a="1"/>
  <c r="B3" i="10" s="1"/>
  <c r="C3" i="10" a="1"/>
  <c r="C3" i="10" s="1"/>
  <c r="B4" i="10" a="1"/>
  <c r="B4" i="10" s="1"/>
  <c r="C4" i="10" a="1"/>
  <c r="C4" i="10" s="1"/>
  <c r="B5" i="10" a="1"/>
  <c r="B5" i="10" s="1"/>
  <c r="C5" i="10" a="1"/>
  <c r="C5" i="10" s="1"/>
  <c r="B6" i="10" a="1"/>
  <c r="B6" i="10" s="1"/>
  <c r="C6" i="10" a="1"/>
  <c r="C6" i="10" s="1"/>
  <c r="B7" i="10" a="1"/>
  <c r="B7" i="10" s="1"/>
  <c r="C7" i="10" a="1"/>
  <c r="C7" i="10" s="1"/>
  <c r="B8" i="10" a="1"/>
  <c r="B8" i="10" s="1"/>
  <c r="C8" i="10" a="1"/>
  <c r="C8" i="10" s="1"/>
  <c r="B9" i="10" a="1"/>
  <c r="B9" i="10" s="1"/>
  <c r="C9" i="10" a="1"/>
  <c r="C9" i="10" s="1"/>
  <c r="E9" i="10"/>
  <c r="C10" i="4" a="1"/>
  <c r="C10" i="4" s="1"/>
  <c r="F10" i="4" a="1"/>
  <c r="F10" i="4" s="1"/>
  <c r="C11" i="4" a="1"/>
  <c r="C11" i="4" s="1"/>
  <c r="F11" i="4" a="1"/>
  <c r="F11" i="4" s="1"/>
  <c r="C12" i="4" a="1"/>
  <c r="C12" i="4" s="1"/>
  <c r="F12" i="4" a="1"/>
  <c r="F12" i="4" s="1"/>
  <c r="C13" i="4" a="1"/>
  <c r="C13" i="4" s="1"/>
  <c r="F13" i="4" a="1"/>
  <c r="F13" i="4" s="1"/>
  <c r="C14" i="4" a="1"/>
  <c r="C14" i="4" s="1"/>
  <c r="F14" i="4" a="1"/>
  <c r="F14" i="4" s="1"/>
  <c r="C15" i="4" a="1"/>
  <c r="C15" i="4" s="1"/>
  <c r="B16" i="4" a="1"/>
  <c r="B16" i="4" s="1"/>
  <c r="C16" i="4" a="1"/>
  <c r="C16" i="4" s="1"/>
  <c r="F16" i="4" a="1"/>
  <c r="F16" i="4" s="1"/>
  <c r="B17" i="4" a="1"/>
  <c r="B17" i="4" s="1"/>
  <c r="C17" i="4" a="1"/>
  <c r="C17" i="4" s="1"/>
  <c r="E17" i="4" a="1"/>
  <c r="E17" i="4" s="1"/>
  <c r="F17" i="4" a="1"/>
  <c r="F17" i="4" s="1"/>
  <c r="C18" i="4" a="1"/>
  <c r="C18" i="4" s="1"/>
  <c r="C19" i="4" a="1"/>
  <c r="C19" i="4" s="1"/>
  <c r="C20" i="4" a="1"/>
  <c r="C20" i="4" s="1"/>
  <c r="C21" i="4" a="1"/>
  <c r="C21" i="4" s="1"/>
  <c r="C22" i="4" a="1"/>
  <c r="C22" i="4" s="1"/>
  <c r="C23" i="4" a="1"/>
  <c r="C23" i="4" s="1"/>
  <c r="C24" i="4" a="1"/>
  <c r="C24" i="4" s="1"/>
  <c r="C25" i="4" a="1"/>
  <c r="C25" i="4" s="1"/>
  <c r="F25" i="4" a="1"/>
  <c r="F25" i="4" s="1"/>
  <c r="C26" i="4" a="1"/>
  <c r="C26" i="4" s="1"/>
  <c r="C27" i="4" a="1"/>
  <c r="C27" i="4" s="1"/>
  <c r="C28" i="4" a="1"/>
  <c r="C28" i="4" s="1"/>
  <c r="C29" i="4" a="1"/>
  <c r="C29" i="4" s="1"/>
  <c r="C30" i="4" a="1"/>
  <c r="C30" i="4" s="1"/>
  <c r="C31" i="4" a="1"/>
  <c r="C31" i="4" s="1"/>
  <c r="C32" i="4" a="1"/>
  <c r="C32" i="4" s="1"/>
  <c r="F32" i="4" a="1"/>
  <c r="F32" i="4" s="1"/>
  <c r="C33" i="4" a="1"/>
  <c r="C33" i="4" s="1"/>
  <c r="C34" i="4" a="1"/>
  <c r="C34" i="4" s="1"/>
  <c r="C35" i="4" a="1"/>
  <c r="C35" i="4" s="1"/>
  <c r="C36" i="4" a="1"/>
  <c r="C36" i="4" s="1"/>
  <c r="C37" i="4" a="1"/>
  <c r="C37" i="4" s="1"/>
  <c r="C38" i="4" a="1"/>
  <c r="C38" i="4" s="1"/>
  <c r="C39" i="4" a="1"/>
  <c r="C39" i="4" s="1"/>
  <c r="F39" i="4" a="1"/>
  <c r="F39" i="4" s="1"/>
  <c r="C40" i="4" a="1"/>
  <c r="C40" i="4" s="1"/>
  <c r="C41" i="4" a="1"/>
  <c r="C41" i="4" s="1"/>
  <c r="C42" i="4" a="1"/>
  <c r="C42" i="4" s="1"/>
  <c r="C43" i="4" a="1"/>
  <c r="C43" i="4" s="1"/>
  <c r="C44" i="4" a="1"/>
  <c r="C44" i="4" s="1"/>
  <c r="C45" i="4" a="1"/>
  <c r="C45" i="4" s="1"/>
  <c r="C46" i="4" a="1"/>
  <c r="C46" i="4" s="1"/>
  <c r="C47" i="4" a="1"/>
  <c r="C47" i="4" s="1"/>
  <c r="C48" i="4" a="1"/>
  <c r="C48" i="4" s="1"/>
  <c r="C49" i="4" a="1"/>
  <c r="C49" i="4" s="1"/>
  <c r="C50" i="4" a="1"/>
  <c r="C50" i="4" s="1"/>
  <c r="F50" i="4" a="1"/>
  <c r="F50" i="4" s="1"/>
  <c r="C51" i="4" a="1"/>
  <c r="C51" i="4" s="1"/>
  <c r="C52" i="4" a="1"/>
  <c r="C52" i="4" s="1"/>
  <c r="C53" i="4" a="1"/>
  <c r="C53" i="4" s="1"/>
  <c r="F53" i="4" a="1"/>
  <c r="F53" i="4" s="1"/>
  <c r="C54" i="4" a="1"/>
  <c r="C54" i="4" s="1"/>
  <c r="C55" i="4" a="1"/>
  <c r="C55" i="4" s="1"/>
  <c r="C56" i="4" a="1"/>
  <c r="C56" i="4" s="1"/>
  <c r="C57" i="4" a="1"/>
  <c r="C57" i="4" s="1"/>
  <c r="C58" i="4" a="1"/>
  <c r="C58" i="4" s="1"/>
  <c r="C59" i="4" a="1"/>
  <c r="C59" i="4" s="1"/>
  <c r="C60" i="4" a="1"/>
  <c r="C60" i="4" s="1"/>
  <c r="C61" i="4" a="1"/>
  <c r="C61" i="4" s="1"/>
  <c r="C62" i="4" a="1"/>
  <c r="C62" i="4" s="1"/>
  <c r="C63" i="4" a="1"/>
  <c r="C63" i="4" s="1"/>
  <c r="C64" i="4" a="1"/>
  <c r="C64" i="4" s="1"/>
  <c r="C65" i="4" a="1"/>
  <c r="C65" i="4" s="1"/>
  <c r="C66" i="4" a="1"/>
  <c r="C66" i="4" s="1"/>
  <c r="C67" i="4" a="1"/>
  <c r="C67" i="4" s="1"/>
  <c r="C68" i="4" a="1"/>
  <c r="C68" i="4" s="1"/>
  <c r="C69" i="4" a="1"/>
  <c r="C69" i="4" s="1"/>
  <c r="C70" i="4" a="1"/>
  <c r="C70" i="4" s="1"/>
  <c r="C71" i="4" a="1"/>
  <c r="C71" i="4" s="1"/>
  <c r="C72" i="4" a="1"/>
  <c r="C72" i="4" s="1"/>
  <c r="C73" i="4" a="1"/>
  <c r="C73" i="4" s="1"/>
  <c r="C74" i="4" a="1"/>
  <c r="C74" i="4" s="1"/>
  <c r="C75" i="4" a="1"/>
  <c r="C75" i="4" s="1"/>
  <c r="C76" i="4" a="1"/>
  <c r="C76" i="4" s="1"/>
  <c r="C77" i="4" a="1"/>
  <c r="C77" i="4" s="1"/>
  <c r="C78" i="4" a="1"/>
  <c r="C78" i="4" s="1"/>
  <c r="C79" i="4" a="1"/>
  <c r="C79" i="4" s="1"/>
  <c r="C80" i="4" a="1"/>
  <c r="C80" i="4" s="1"/>
  <c r="C81" i="4" a="1"/>
  <c r="C81" i="4" s="1"/>
  <c r="C82" i="4" a="1"/>
  <c r="C82" i="4" s="1"/>
  <c r="C83" i="4" a="1"/>
  <c r="C83" i="4" s="1"/>
  <c r="F83" i="4" a="1"/>
  <c r="F83" i="4" s="1"/>
  <c r="F9" i="4" a="1"/>
  <c r="F9" i="4" s="1"/>
  <c r="C9" i="4" a="1"/>
  <c r="C9" i="4" s="1"/>
  <c r="T3" i="9" a="1"/>
  <c r="T3" i="9" s="1"/>
  <c r="B3" i="9" a="1"/>
  <c r="B3" i="9" s="1"/>
  <c r="B4" i="6" a="1"/>
  <c r="B4" i="6" s="1"/>
  <c r="E4" i="6" a="1"/>
  <c r="E4" i="6" s="1"/>
  <c r="P4" i="6" a="1"/>
  <c r="P4" i="6" s="1"/>
  <c r="B5" i="6" a="1"/>
  <c r="B5" i="6" s="1"/>
  <c r="E5" i="6" a="1"/>
  <c r="E5" i="6" s="1"/>
  <c r="P5" i="6" a="1"/>
  <c r="P5" i="6" s="1"/>
  <c r="B6" i="6" a="1"/>
  <c r="B6" i="6" s="1"/>
  <c r="E6" i="6" a="1"/>
  <c r="E6" i="6" s="1"/>
  <c r="P6" i="6" a="1"/>
  <c r="P6" i="6" s="1"/>
  <c r="B7" i="6" a="1"/>
  <c r="B7" i="6" s="1"/>
  <c r="E7" i="6" a="1"/>
  <c r="E7" i="6" s="1"/>
  <c r="P7" i="6" a="1"/>
  <c r="P7" i="6" s="1"/>
  <c r="B8" i="6" a="1"/>
  <c r="B8" i="6" s="1"/>
  <c r="E8" i="6" a="1"/>
  <c r="E8" i="6" s="1"/>
  <c r="P8" i="6" a="1"/>
  <c r="P8" i="6" s="1"/>
  <c r="B9" i="6" a="1"/>
  <c r="B9" i="6" s="1"/>
  <c r="E9" i="6" a="1"/>
  <c r="E9" i="6" s="1"/>
  <c r="P9" i="6" a="1"/>
  <c r="P9" i="6" s="1"/>
  <c r="B10" i="6" a="1"/>
  <c r="B10" i="6" s="1"/>
  <c r="E10" i="6" a="1"/>
  <c r="E10" i="6" s="1"/>
  <c r="P10" i="6" a="1"/>
  <c r="P10" i="6" s="1"/>
  <c r="B11" i="6" a="1"/>
  <c r="B11" i="6" s="1"/>
  <c r="E11" i="6" a="1"/>
  <c r="E11" i="6" s="1"/>
  <c r="P11" i="6" a="1"/>
  <c r="P11" i="6" s="1"/>
  <c r="B12" i="6" a="1"/>
  <c r="B12" i="6" s="1"/>
  <c r="E12" i="6" a="1"/>
  <c r="E12" i="6" s="1"/>
  <c r="P12" i="6" a="1"/>
  <c r="P12" i="6" s="1"/>
  <c r="B13" i="6" a="1"/>
  <c r="B13" i="6" s="1"/>
  <c r="E13" i="6" a="1"/>
  <c r="E13" i="6" s="1"/>
  <c r="P13" i="6" a="1"/>
  <c r="P13" i="6" s="1"/>
  <c r="B14" i="6" a="1"/>
  <c r="B14" i="6" s="1"/>
  <c r="E14" i="6" a="1"/>
  <c r="E14" i="6" s="1"/>
  <c r="P14" i="6" a="1"/>
  <c r="P14" i="6" s="1"/>
  <c r="B15" i="6" a="1"/>
  <c r="B15" i="6" s="1"/>
  <c r="E15" i="6" a="1"/>
  <c r="E15" i="6" s="1"/>
  <c r="P15" i="6" a="1"/>
  <c r="P15" i="6" s="1"/>
  <c r="B16" i="6" a="1"/>
  <c r="B16" i="6" s="1"/>
  <c r="E16" i="6" a="1"/>
  <c r="E16" i="6" s="1"/>
  <c r="P16" i="6" a="1"/>
  <c r="P16" i="6" s="1"/>
  <c r="B17" i="6" a="1"/>
  <c r="B17" i="6" s="1"/>
  <c r="E17" i="6" a="1"/>
  <c r="E17" i="6" s="1"/>
  <c r="P17" i="6" a="1"/>
  <c r="P17" i="6" s="1"/>
  <c r="B18" i="6" a="1"/>
  <c r="B18" i="6" s="1"/>
  <c r="E18" i="6" a="1"/>
  <c r="E18" i="6" s="1"/>
  <c r="P18" i="6" a="1"/>
  <c r="P18" i="6" s="1"/>
  <c r="B19" i="6" a="1"/>
  <c r="B19" i="6" s="1"/>
  <c r="E19" i="6" a="1"/>
  <c r="E19" i="6" s="1"/>
  <c r="P19" i="6" a="1"/>
  <c r="P19" i="6" s="1"/>
  <c r="B20" i="6" a="1"/>
  <c r="B20" i="6" s="1"/>
  <c r="E20" i="6" a="1"/>
  <c r="E20" i="6" s="1"/>
  <c r="P20" i="6" a="1"/>
  <c r="P20" i="6" s="1"/>
  <c r="B21" i="6" a="1"/>
  <c r="B21" i="6" s="1"/>
  <c r="E21" i="6" a="1"/>
  <c r="E21" i="6" s="1"/>
  <c r="P21" i="6" a="1"/>
  <c r="P21" i="6" s="1"/>
  <c r="B22" i="6" a="1"/>
  <c r="B22" i="6" s="1"/>
  <c r="E22" i="6" a="1"/>
  <c r="E22" i="6" s="1"/>
  <c r="P22" i="6" a="1"/>
  <c r="P22" i="6" s="1"/>
  <c r="B23" i="6" a="1"/>
  <c r="B23" i="6" s="1"/>
  <c r="E23" i="6" a="1"/>
  <c r="E23" i="6" s="1"/>
  <c r="P23" i="6" a="1"/>
  <c r="P23" i="6" s="1"/>
  <c r="B24" i="6" a="1"/>
  <c r="B24" i="6" s="1"/>
  <c r="E24" i="6" a="1"/>
  <c r="E24" i="6" s="1"/>
  <c r="P24" i="6" a="1"/>
  <c r="P24" i="6" s="1"/>
  <c r="B25" i="6" a="1"/>
  <c r="B25" i="6" s="1"/>
  <c r="E25" i="6" a="1"/>
  <c r="E25" i="6" s="1"/>
  <c r="P25" i="6" a="1"/>
  <c r="P25" i="6" s="1"/>
  <c r="B26" i="6" a="1"/>
  <c r="B26" i="6" s="1"/>
  <c r="E26" i="6" a="1"/>
  <c r="E26" i="6" s="1"/>
  <c r="P26" i="6" a="1"/>
  <c r="P26" i="6" s="1"/>
  <c r="B27" i="6" a="1"/>
  <c r="B27" i="6" s="1"/>
  <c r="E27" i="6" a="1"/>
  <c r="E27" i="6" s="1"/>
  <c r="P27" i="6" a="1"/>
  <c r="P27" i="6" s="1"/>
  <c r="B28" i="6" a="1"/>
  <c r="B28" i="6" s="1"/>
  <c r="E28" i="6" a="1"/>
  <c r="E28" i="6" s="1"/>
  <c r="P28" i="6" a="1"/>
  <c r="P28" i="6" s="1"/>
  <c r="B29" i="6" a="1"/>
  <c r="B29" i="6" s="1"/>
  <c r="E29" i="6" a="1"/>
  <c r="E29" i="6" s="1"/>
  <c r="P29" i="6" a="1"/>
  <c r="P29" i="6" s="1"/>
  <c r="B30" i="6" a="1"/>
  <c r="B30" i="6" s="1"/>
  <c r="E30" i="6" a="1"/>
  <c r="E30" i="6" s="1"/>
  <c r="P30" i="6" a="1"/>
  <c r="P30" i="6" s="1"/>
  <c r="B31" i="6" a="1"/>
  <c r="B31" i="6" s="1"/>
  <c r="E31" i="6" a="1"/>
  <c r="E31" i="6" s="1"/>
  <c r="P31" i="6" a="1"/>
  <c r="P31" i="6" s="1"/>
  <c r="B32" i="6" a="1"/>
  <c r="B32" i="6" s="1"/>
  <c r="E32" i="6" a="1"/>
  <c r="E32" i="6" s="1"/>
  <c r="P32" i="6" a="1"/>
  <c r="P32" i="6" s="1"/>
  <c r="B33" i="6" a="1"/>
  <c r="B33" i="6" s="1"/>
  <c r="E33" i="6" a="1"/>
  <c r="E33" i="6" s="1"/>
  <c r="P33" i="6" a="1"/>
  <c r="P33" i="6" s="1"/>
  <c r="B34" i="6" a="1"/>
  <c r="B34" i="6" s="1"/>
  <c r="E34" i="6" a="1"/>
  <c r="E34" i="6" s="1"/>
  <c r="P34" i="6" a="1"/>
  <c r="P34" i="6" s="1"/>
  <c r="B35" i="6" a="1"/>
  <c r="B35" i="6" s="1"/>
  <c r="E35" i="6" a="1"/>
  <c r="E35" i="6" s="1"/>
  <c r="P35" i="6" a="1"/>
  <c r="P35" i="6" s="1"/>
  <c r="B36" i="6" a="1"/>
  <c r="B36" i="6" s="1"/>
  <c r="E36" i="6" a="1"/>
  <c r="E36" i="6" s="1"/>
  <c r="P36" i="6" a="1"/>
  <c r="P36" i="6" s="1"/>
  <c r="B37" i="6" a="1"/>
  <c r="B37" i="6" s="1"/>
  <c r="E37" i="6" a="1"/>
  <c r="E37" i="6" s="1"/>
  <c r="P37" i="6" a="1"/>
  <c r="P37" i="6" s="1"/>
  <c r="B38" i="6" a="1"/>
  <c r="B38" i="6" s="1"/>
  <c r="E38" i="6" a="1"/>
  <c r="E38" i="6" s="1"/>
  <c r="P38" i="6" a="1"/>
  <c r="P38" i="6" s="1"/>
  <c r="B39" i="6" a="1"/>
  <c r="B39" i="6" s="1"/>
  <c r="E39" i="6" a="1"/>
  <c r="E39" i="6" s="1"/>
  <c r="P39" i="6" a="1"/>
  <c r="P39" i="6" s="1"/>
  <c r="B40" i="6" a="1"/>
  <c r="B40" i="6" s="1"/>
  <c r="E40" i="6" a="1"/>
  <c r="E40" i="6" s="1"/>
  <c r="P40" i="6" a="1"/>
  <c r="P40" i="6" s="1"/>
  <c r="B41" i="6" a="1"/>
  <c r="B41" i="6" s="1"/>
  <c r="E41" i="6" a="1"/>
  <c r="E41" i="6" s="1"/>
  <c r="P41" i="6" a="1"/>
  <c r="P41" i="6" s="1"/>
  <c r="B42" i="6" a="1"/>
  <c r="B42" i="6" s="1"/>
  <c r="E42" i="6" a="1"/>
  <c r="E42" i="6" s="1"/>
  <c r="P42" i="6" a="1"/>
  <c r="P42" i="6" s="1"/>
  <c r="B43" i="6" a="1"/>
  <c r="B43" i="6" s="1"/>
  <c r="E43" i="6" a="1"/>
  <c r="E43" i="6" s="1"/>
  <c r="P43" i="6" a="1"/>
  <c r="P43" i="6" s="1"/>
  <c r="B44" i="6" a="1"/>
  <c r="B44" i="6" s="1"/>
  <c r="E44" i="6" a="1"/>
  <c r="E44" i="6" s="1"/>
  <c r="P44" i="6" a="1"/>
  <c r="P44" i="6" s="1"/>
  <c r="B45" i="6" a="1"/>
  <c r="B45" i="6" s="1"/>
  <c r="E45" i="6" a="1"/>
  <c r="E45" i="6" s="1"/>
  <c r="P45" i="6" a="1"/>
  <c r="P45" i="6" s="1"/>
  <c r="B46" i="6" a="1"/>
  <c r="B46" i="6" s="1"/>
  <c r="E46" i="6" a="1"/>
  <c r="E46" i="6" s="1"/>
  <c r="P46" i="6" a="1"/>
  <c r="P46" i="6" s="1"/>
  <c r="B47" i="6" a="1"/>
  <c r="B47" i="6" s="1"/>
  <c r="E47" i="6" a="1"/>
  <c r="E47" i="6" s="1"/>
  <c r="P47" i="6" a="1"/>
  <c r="P47" i="6" s="1"/>
  <c r="B48" i="6" a="1"/>
  <c r="B48" i="6"/>
  <c r="E48" i="6" a="1"/>
  <c r="E48" i="6" s="1"/>
  <c r="P48" i="6" a="1"/>
  <c r="P48" i="6" s="1"/>
  <c r="B49" i="6" a="1"/>
  <c r="B49" i="6" s="1"/>
  <c r="E49" i="6" a="1"/>
  <c r="E49" i="6" s="1"/>
  <c r="P49" i="6" a="1"/>
  <c r="P49" i="6" s="1"/>
  <c r="B50" i="6" a="1"/>
  <c r="B50" i="6" s="1"/>
  <c r="E50" i="6" a="1"/>
  <c r="E50" i="6" s="1"/>
  <c r="P50" i="6" a="1"/>
  <c r="P50" i="6" s="1"/>
  <c r="B51" i="6" a="1"/>
  <c r="B51" i="6" s="1"/>
  <c r="E51" i="6" a="1"/>
  <c r="E51" i="6" s="1"/>
  <c r="P51" i="6" a="1"/>
  <c r="P51" i="6" s="1"/>
  <c r="B52" i="6" a="1"/>
  <c r="B52" i="6" s="1"/>
  <c r="E52" i="6" a="1"/>
  <c r="E52" i="6" s="1"/>
  <c r="P52" i="6" a="1"/>
  <c r="P52" i="6" s="1"/>
  <c r="B53" i="6" a="1"/>
  <c r="B53" i="6" s="1"/>
  <c r="E53" i="6" a="1"/>
  <c r="E53" i="6" s="1"/>
  <c r="P53" i="6" a="1"/>
  <c r="P53" i="6" s="1"/>
  <c r="B54" i="6" a="1"/>
  <c r="B54" i="6" s="1"/>
  <c r="E54" i="6" a="1"/>
  <c r="E54" i="6" s="1"/>
  <c r="P54" i="6" a="1"/>
  <c r="P54" i="6" s="1"/>
  <c r="B55" i="6" a="1"/>
  <c r="B55" i="6" s="1"/>
  <c r="E55" i="6" a="1"/>
  <c r="E55" i="6" s="1"/>
  <c r="P55" i="6" a="1"/>
  <c r="P55" i="6" s="1"/>
  <c r="B56" i="6" a="1"/>
  <c r="B56" i="6" s="1"/>
  <c r="E56" i="6" a="1"/>
  <c r="E56" i="6" s="1"/>
  <c r="P56" i="6" a="1"/>
  <c r="P56" i="6" s="1"/>
  <c r="B57" i="6" a="1"/>
  <c r="B57" i="6" s="1"/>
  <c r="E57" i="6" a="1"/>
  <c r="E57" i="6" s="1"/>
  <c r="P57" i="6" a="1"/>
  <c r="P57" i="6" s="1"/>
  <c r="B58" i="6" a="1"/>
  <c r="B58" i="6" s="1"/>
  <c r="E58" i="6" a="1"/>
  <c r="E58" i="6" s="1"/>
  <c r="P58" i="6" a="1"/>
  <c r="P58" i="6" s="1"/>
  <c r="B59" i="6" a="1"/>
  <c r="B59" i="6" s="1"/>
  <c r="E59" i="6" a="1"/>
  <c r="E59" i="6" s="1"/>
  <c r="P59" i="6" a="1"/>
  <c r="P59" i="6"/>
  <c r="B60" i="6" a="1"/>
  <c r="B60" i="6" s="1"/>
  <c r="E60" i="6" a="1"/>
  <c r="E60" i="6" s="1"/>
  <c r="P60" i="6" a="1"/>
  <c r="P60" i="6" s="1"/>
  <c r="B61" i="6" a="1"/>
  <c r="B61" i="6" s="1"/>
  <c r="E61" i="6" a="1"/>
  <c r="E61" i="6" s="1"/>
  <c r="P61" i="6" a="1"/>
  <c r="P61" i="6" s="1"/>
  <c r="B62" i="6" a="1"/>
  <c r="B62" i="6" s="1"/>
  <c r="E62" i="6" a="1"/>
  <c r="E62" i="6" s="1"/>
  <c r="P62" i="6" a="1"/>
  <c r="P62" i="6" s="1"/>
  <c r="B63" i="6" a="1"/>
  <c r="B63" i="6" s="1"/>
  <c r="E63" i="6" a="1"/>
  <c r="E63" i="6" s="1"/>
  <c r="P63" i="6" a="1"/>
  <c r="P63" i="6" s="1"/>
  <c r="B64" i="6" a="1"/>
  <c r="B64" i="6" s="1"/>
  <c r="E64" i="6" a="1"/>
  <c r="E64" i="6" s="1"/>
  <c r="P64" i="6" a="1"/>
  <c r="P64" i="6" s="1"/>
  <c r="B65" i="6" a="1"/>
  <c r="B65" i="6" s="1"/>
  <c r="E65" i="6" a="1"/>
  <c r="E65" i="6" s="1"/>
  <c r="P65" i="6" a="1"/>
  <c r="P65" i="6" s="1"/>
  <c r="B66" i="6" a="1"/>
  <c r="B66" i="6" s="1"/>
  <c r="E66" i="6" a="1"/>
  <c r="E66" i="6" s="1"/>
  <c r="P66" i="6" a="1"/>
  <c r="P66" i="6" s="1"/>
  <c r="B67" i="6" a="1"/>
  <c r="B67" i="6" s="1"/>
  <c r="E67" i="6" a="1"/>
  <c r="E67" i="6" s="1"/>
  <c r="P67" i="6" a="1"/>
  <c r="P67" i="6" s="1"/>
  <c r="B68" i="6" a="1"/>
  <c r="B68" i="6" s="1"/>
  <c r="E68" i="6" a="1"/>
  <c r="E68" i="6" s="1"/>
  <c r="P68" i="6" a="1"/>
  <c r="P68" i="6" s="1"/>
  <c r="B69" i="6" a="1"/>
  <c r="B69" i="6" s="1"/>
  <c r="E69" i="6" a="1"/>
  <c r="E69" i="6" s="1"/>
  <c r="P69" i="6" a="1"/>
  <c r="P69" i="6" s="1"/>
  <c r="B70" i="6" a="1"/>
  <c r="B70" i="6" s="1"/>
  <c r="E70" i="6" a="1"/>
  <c r="E70" i="6" s="1"/>
  <c r="P70" i="6" a="1"/>
  <c r="P70" i="6" s="1"/>
  <c r="B71" i="6" a="1"/>
  <c r="B71" i="6" s="1"/>
  <c r="E71" i="6" a="1"/>
  <c r="E71" i="6" s="1"/>
  <c r="P71" i="6" a="1"/>
  <c r="P71" i="6" s="1"/>
  <c r="B72" i="6" a="1"/>
  <c r="B72" i="6" s="1"/>
  <c r="E72" i="6" a="1"/>
  <c r="E72" i="6" s="1"/>
  <c r="P72" i="6" a="1"/>
  <c r="P72" i="6" s="1"/>
  <c r="B73" i="6" a="1"/>
  <c r="B73" i="6" s="1"/>
  <c r="E73" i="6" a="1"/>
  <c r="E73" i="6" s="1"/>
  <c r="P73" i="6" a="1"/>
  <c r="P73" i="6" s="1"/>
  <c r="B74" i="6" a="1"/>
  <c r="B74" i="6" s="1"/>
  <c r="E74" i="6" a="1"/>
  <c r="E74" i="6" s="1"/>
  <c r="P74" i="6" a="1"/>
  <c r="P74" i="6" s="1"/>
  <c r="B75" i="6" a="1"/>
  <c r="B75" i="6" s="1"/>
  <c r="E75" i="6" a="1"/>
  <c r="E75" i="6" s="1"/>
  <c r="P75" i="6" a="1"/>
  <c r="P75" i="6" s="1"/>
  <c r="B76" i="6" a="1"/>
  <c r="B76" i="6" s="1"/>
  <c r="E76" i="6" a="1"/>
  <c r="E76" i="6" s="1"/>
  <c r="P76" i="6" a="1"/>
  <c r="P76" i="6" s="1"/>
  <c r="B77" i="6" a="1"/>
  <c r="B77" i="6" s="1"/>
  <c r="E77" i="6" a="1"/>
  <c r="E77" i="6" s="1"/>
  <c r="P77" i="6" a="1"/>
  <c r="P77" i="6" s="1"/>
  <c r="P3" i="6" a="1"/>
  <c r="P3" i="6" s="1"/>
  <c r="E3" i="6" a="1"/>
  <c r="E3" i="6" s="1"/>
  <c r="B3" i="6" a="1"/>
  <c r="B3" i="6" s="1"/>
  <c r="AF27" i="2" l="1"/>
  <c r="AG28" i="2"/>
  <c r="AG29" i="2" s="1"/>
  <c r="AH28" i="2"/>
  <c r="AH29" i="2" s="1"/>
  <c r="AI27" i="2"/>
  <c r="AI28" i="2" s="1"/>
  <c r="AI29" i="2" s="1"/>
  <c r="AF28" i="2"/>
  <c r="AF29" i="2" s="1"/>
  <c r="AE27" i="2"/>
  <c r="I17" i="4" a="1"/>
  <c r="I17" i="4" s="1"/>
  <c r="G17" i="4" a="1"/>
  <c r="G17" i="4" s="1"/>
  <c r="H17" i="4" a="1"/>
  <c r="H17" i="4" s="1"/>
  <c r="AD27" i="2" l="1"/>
  <c r="AE28" i="2"/>
  <c r="AE29" i="2" s="1"/>
  <c r="J17" i="4"/>
  <c r="V17" i="4" l="1"/>
  <c r="H11" i="11" a="1"/>
  <c r="H11" i="11" s="1"/>
  <c r="AD28" i="2"/>
  <c r="AD29" i="2" s="1"/>
  <c r="AC27" i="2"/>
  <c r="S17" i="4"/>
  <c r="P17" i="4"/>
  <c r="O17" i="4"/>
  <c r="Z17" i="4"/>
  <c r="M17" i="4"/>
  <c r="AC17" i="4" s="1"/>
  <c r="AJ17" i="4"/>
  <c r="I11" i="11" l="1"/>
  <c r="J11" i="11"/>
  <c r="AC28" i="2"/>
  <c r="AC29" i="2" s="1"/>
  <c r="AB27" i="2"/>
  <c r="Q17" i="4"/>
  <c r="AF17" i="4"/>
  <c r="AN17" i="4" s="1"/>
  <c r="AB28" i="2" l="1"/>
  <c r="AB29" i="2" s="1"/>
  <c r="AA27" i="2"/>
  <c r="AA28" i="2" l="1"/>
  <c r="AA29" i="2" s="1"/>
  <c r="Z27" i="2"/>
  <c r="Z28" i="2" l="1"/>
  <c r="Z29" i="2" s="1"/>
  <c r="Y27" i="2"/>
  <c r="Y28" i="2" l="1"/>
  <c r="Y29" i="2" s="1"/>
  <c r="X27" i="2"/>
  <c r="X28" i="2" l="1"/>
  <c r="X29" i="2" s="1"/>
  <c r="W27" i="2"/>
  <c r="W28" i="2" l="1"/>
  <c r="W29" i="2" s="1"/>
  <c r="V27" i="2"/>
  <c r="V28" i="2" l="1"/>
  <c r="V29" i="2" s="1"/>
  <c r="U27" i="2"/>
  <c r="T27" i="2" l="1"/>
  <c r="U28" i="2"/>
  <c r="U29" i="2" s="1"/>
  <c r="S27" i="2" l="1"/>
  <c r="T28" i="2"/>
  <c r="T29" i="2" s="1"/>
  <c r="R27" i="2" l="1"/>
  <c r="S28" i="2"/>
  <c r="S29" i="2" s="1"/>
  <c r="Q27" i="2" l="1"/>
  <c r="R28" i="2"/>
  <c r="R29" i="2" s="1"/>
  <c r="P27" i="2" l="1"/>
  <c r="Q28" i="2"/>
  <c r="Q29" i="2" s="1"/>
  <c r="O27" i="2" l="1"/>
  <c r="P28" i="2"/>
  <c r="P29" i="2" s="1"/>
  <c r="N27" i="2" l="1"/>
  <c r="O28" i="2"/>
  <c r="O29" i="2" s="1"/>
  <c r="M27" i="2" l="1"/>
  <c r="N28" i="2"/>
  <c r="N29" i="2" s="1"/>
  <c r="L27" i="2" l="1"/>
  <c r="M28" i="2"/>
  <c r="M29" i="2" s="1"/>
  <c r="K27" i="2" l="1"/>
  <c r="L28" i="2"/>
  <c r="L29" i="2" s="1"/>
  <c r="J27" i="2" l="1"/>
  <c r="K28" i="2"/>
  <c r="K29" i="2" s="1"/>
  <c r="I27" i="2" l="1"/>
  <c r="J28" i="2"/>
  <c r="J29" i="2" s="1"/>
  <c r="H27" i="2" l="1"/>
  <c r="I28" i="2"/>
  <c r="I29" i="2" s="1"/>
  <c r="G27" i="2" l="1"/>
  <c r="H28" i="2"/>
  <c r="H29" i="2" s="1"/>
  <c r="F27" i="2" l="1"/>
  <c r="G28" i="2"/>
  <c r="G29" i="2" s="1"/>
  <c r="E27" i="2" l="1"/>
  <c r="F28" i="2"/>
  <c r="F29" i="2" s="1"/>
  <c r="D27" i="2" l="1"/>
  <c r="E28" i="2"/>
  <c r="E29" i="2" s="1"/>
  <c r="C27" i="2" l="1"/>
  <c r="D28" i="2"/>
  <c r="D29" i="2" s="1"/>
  <c r="C28" i="2" l="1"/>
  <c r="C29" i="2" s="1"/>
  <c r="B3" i="11" l="1" a="1"/>
  <c r="B3" i="11" s="1"/>
  <c r="C72" i="3"/>
  <c r="C73" i="3" s="1"/>
  <c r="C74" i="3" s="1"/>
  <c r="C75" i="3" s="1"/>
  <c r="C76" i="3" s="1"/>
  <c r="C77" i="3" s="1"/>
  <c r="C78" i="3" s="1"/>
  <c r="C79" i="3" s="1"/>
  <c r="C80" i="3" s="1"/>
  <c r="C81" i="3" s="1"/>
  <c r="D72" i="3"/>
  <c r="D73" i="3" s="1"/>
  <c r="D74" i="3" s="1"/>
  <c r="D75" i="3" s="1"/>
  <c r="D76" i="3" s="1"/>
  <c r="D77" i="3" s="1"/>
  <c r="D78" i="3" s="1"/>
  <c r="D79" i="3" s="1"/>
  <c r="D80" i="3" s="1"/>
  <c r="D81" i="3" s="1"/>
  <c r="E11" i="12"/>
  <c r="C11" i="12"/>
  <c r="B11" i="12"/>
  <c r="B3" i="12" a="1"/>
  <c r="B3" i="12" s="1"/>
  <c r="C3" i="12" a="1"/>
  <c r="C3" i="12" s="1"/>
  <c r="B4" i="12" a="1"/>
  <c r="B4" i="12" s="1"/>
  <c r="C4" i="12" a="1"/>
  <c r="C4" i="12" s="1"/>
  <c r="B5" i="12" a="1"/>
  <c r="B5" i="12" s="1"/>
  <c r="C5" i="12" a="1"/>
  <c r="C5" i="12" s="1"/>
  <c r="B6" i="12" a="1"/>
  <c r="B6" i="12" s="1"/>
  <c r="C6" i="12" a="1"/>
  <c r="C6" i="12" s="1"/>
  <c r="B7" i="12" a="1"/>
  <c r="B7" i="12" s="1"/>
  <c r="C7" i="12" a="1"/>
  <c r="C7" i="12" s="1"/>
  <c r="B8" i="12" a="1"/>
  <c r="B8" i="12" s="1"/>
  <c r="C8" i="12" a="1"/>
  <c r="C8" i="12" s="1"/>
  <c r="B9" i="12" a="1"/>
  <c r="B9" i="12" s="1"/>
  <c r="C9" i="12" a="1"/>
  <c r="C9" i="12" s="1"/>
  <c r="B10" i="12" a="1"/>
  <c r="B10" i="12" s="1"/>
  <c r="C10" i="12" a="1"/>
  <c r="C10" i="12" s="1"/>
  <c r="C2" i="12" a="1"/>
  <c r="C2" i="12" s="1"/>
  <c r="B2" i="12" a="1"/>
  <c r="B2" i="12" s="1"/>
  <c r="C2" i="10" a="1"/>
  <c r="C2" i="10" s="1"/>
  <c r="B2" i="10" a="1"/>
  <c r="B2" i="10" s="1"/>
  <c r="B31" i="2" a="1"/>
  <c r="B31" i="2" s="1"/>
  <c r="B2" i="5"/>
  <c r="A24" i="2"/>
  <c r="Q86" i="6" l="1"/>
  <c r="Q85" i="6"/>
  <c r="Q84" i="6"/>
  <c r="Q83" i="6"/>
  <c r="N83" i="6"/>
  <c r="K5" i="1"/>
  <c r="N13" i="3"/>
  <c r="H11" i="1"/>
  <c r="F18" i="4" s="1" a="1"/>
  <c r="F18" i="4" s="1"/>
  <c r="B3" i="4"/>
  <c r="K11" i="1"/>
  <c r="K13" i="1"/>
  <c r="F71" i="3"/>
  <c r="I2" i="5"/>
  <c r="RG42" i="2" l="1" a="1"/>
  <c r="RG42" i="2" s="1"/>
  <c r="B20" i="4" a="1"/>
  <c r="B20" i="4" s="1"/>
  <c r="RG40" i="2" a="1"/>
  <c r="RG40" i="2" s="1"/>
  <c r="B18" i="4" a="1"/>
  <c r="B18" i="4" s="1"/>
  <c r="B12" i="4" a="1"/>
  <c r="B12" i="4" s="1"/>
  <c r="RG34" i="2" a="1"/>
  <c r="RG34" i="2" s="1"/>
  <c r="V4" i="6" a="1"/>
  <c r="V4" i="6" s="1"/>
  <c r="W4" i="6" s="1" a="1"/>
  <c r="W4" i="6" s="1"/>
  <c r="U4" i="6" s="1" a="1"/>
  <c r="U4" i="6" s="1"/>
  <c r="V37" i="6" a="1"/>
  <c r="V37" i="6" s="1"/>
  <c r="W37" i="6" s="1" a="1"/>
  <c r="W37" i="6" s="1"/>
  <c r="U37" i="6" s="1" a="1"/>
  <c r="U37" i="6" s="1"/>
  <c r="V39" i="6" a="1"/>
  <c r="V39" i="6" s="1"/>
  <c r="W39" i="6" s="1" a="1"/>
  <c r="W39" i="6" s="1"/>
  <c r="U39" i="6" s="1" a="1"/>
  <c r="U39" i="6" s="1"/>
  <c r="V41" i="6" a="1"/>
  <c r="V41" i="6" s="1"/>
  <c r="W41" i="6" s="1" a="1"/>
  <c r="W41" i="6" s="1"/>
  <c r="U41" i="6" s="1" a="1"/>
  <c r="U41" i="6" s="1"/>
  <c r="V43" i="6" a="1"/>
  <c r="V43" i="6" s="1"/>
  <c r="W43" i="6" s="1" a="1"/>
  <c r="W43" i="6" s="1"/>
  <c r="U43" i="6" s="1" a="1"/>
  <c r="U43" i="6" s="1"/>
  <c r="V45" i="6" a="1"/>
  <c r="V45" i="6" s="1"/>
  <c r="W45" i="6" s="1" a="1"/>
  <c r="W45" i="6" s="1"/>
  <c r="U45" i="6" s="1" a="1"/>
  <c r="U45" i="6" s="1"/>
  <c r="V47" i="6" a="1"/>
  <c r="V47" i="6" s="1"/>
  <c r="W47" i="6" s="1" a="1"/>
  <c r="W47" i="6" s="1"/>
  <c r="U47" i="6" s="1" a="1"/>
  <c r="U47" i="6" s="1"/>
  <c r="V72" i="6" a="1"/>
  <c r="V72" i="6" s="1"/>
  <c r="W72" i="6" s="1" a="1"/>
  <c r="W72" i="6" s="1"/>
  <c r="U72" i="6" s="1" a="1"/>
  <c r="U72" i="6" s="1"/>
  <c r="V74" i="6" a="1"/>
  <c r="V74" i="6" s="1"/>
  <c r="W74" i="6" s="1" a="1"/>
  <c r="W74" i="6" s="1"/>
  <c r="U74" i="6" s="1" a="1"/>
  <c r="U74" i="6" s="1"/>
  <c r="V76" i="6" a="1"/>
  <c r="V76" i="6" s="1"/>
  <c r="W76" i="6" s="1" a="1"/>
  <c r="W76" i="6" s="1"/>
  <c r="U76" i="6" s="1" a="1"/>
  <c r="U76" i="6" s="1"/>
  <c r="V6" i="6" a="1"/>
  <c r="V6" i="6" s="1"/>
  <c r="W6" i="6" s="1" a="1"/>
  <c r="W6" i="6" s="1"/>
  <c r="U6" i="6" s="1" a="1"/>
  <c r="U6" i="6" s="1"/>
  <c r="V8" i="6" a="1"/>
  <c r="V8" i="6" s="1"/>
  <c r="W8" i="6" s="1" a="1"/>
  <c r="W8" i="6" s="1"/>
  <c r="U8" i="6" s="1" a="1"/>
  <c r="U8" i="6" s="1"/>
  <c r="V10" i="6" a="1"/>
  <c r="V10" i="6" s="1"/>
  <c r="W10" i="6" s="1" a="1"/>
  <c r="W10" i="6" s="1"/>
  <c r="U10" i="6" s="1" a="1"/>
  <c r="U10" i="6" s="1"/>
  <c r="V12" i="6" a="1"/>
  <c r="V12" i="6" s="1"/>
  <c r="W12" i="6" s="1" a="1"/>
  <c r="W12" i="6" s="1"/>
  <c r="U12" i="6" s="1" a="1"/>
  <c r="U12" i="6" s="1"/>
  <c r="V14" i="6" a="1"/>
  <c r="V14" i="6" s="1"/>
  <c r="W14" i="6" s="1" a="1"/>
  <c r="W14" i="6" s="1"/>
  <c r="U14" i="6" s="1" a="1"/>
  <c r="U14" i="6" s="1"/>
  <c r="V16" i="6" a="1"/>
  <c r="V16" i="6" s="1"/>
  <c r="W16" i="6" s="1" a="1"/>
  <c r="W16" i="6" s="1"/>
  <c r="U16" i="6" s="1" a="1"/>
  <c r="U16" i="6" s="1"/>
  <c r="V49" i="6" a="1"/>
  <c r="V49" i="6" s="1"/>
  <c r="W49" i="6" s="1" a="1"/>
  <c r="W49" i="6" s="1"/>
  <c r="U49" i="6" s="1" a="1"/>
  <c r="U49" i="6" s="1"/>
  <c r="V51" i="6" a="1"/>
  <c r="V51" i="6" s="1"/>
  <c r="W51" i="6" s="1" a="1"/>
  <c r="W51" i="6" s="1"/>
  <c r="U51" i="6" s="1" a="1"/>
  <c r="U51" i="6" s="1"/>
  <c r="V53" i="6" a="1"/>
  <c r="V53" i="6" s="1"/>
  <c r="W53" i="6" s="1" a="1"/>
  <c r="W53" i="6" s="1"/>
  <c r="U53" i="6" s="1" a="1"/>
  <c r="U53" i="6" s="1"/>
  <c r="V55" i="6" a="1"/>
  <c r="V55" i="6" s="1"/>
  <c r="W55" i="6" s="1" a="1"/>
  <c r="W55" i="6" s="1"/>
  <c r="U55" i="6" s="1" a="1"/>
  <c r="U55" i="6" s="1"/>
  <c r="V57" i="6" a="1"/>
  <c r="V57" i="6" s="1"/>
  <c r="W57" i="6" s="1" a="1"/>
  <c r="W57" i="6" s="1"/>
  <c r="U57" i="6" s="1" a="1"/>
  <c r="U57" i="6" s="1"/>
  <c r="V18" i="6" a="1"/>
  <c r="V18" i="6" s="1"/>
  <c r="W18" i="6" s="1" a="1"/>
  <c r="W18" i="6" s="1"/>
  <c r="U18" i="6" s="1" a="1"/>
  <c r="U18" i="6" s="1"/>
  <c r="V20" i="6" a="1"/>
  <c r="V20" i="6" s="1"/>
  <c r="W20" i="6" s="1" a="1"/>
  <c r="W20" i="6" s="1"/>
  <c r="U20" i="6" s="1" a="1"/>
  <c r="U20" i="6" s="1"/>
  <c r="V22" i="6" a="1"/>
  <c r="V22" i="6" s="1"/>
  <c r="W22" i="6" s="1" a="1"/>
  <c r="W22" i="6" s="1"/>
  <c r="U22" i="6" s="1" a="1"/>
  <c r="U22" i="6" s="1"/>
  <c r="V24" i="6" a="1"/>
  <c r="V24" i="6" s="1"/>
  <c r="W24" i="6" s="1" a="1"/>
  <c r="W24" i="6" s="1"/>
  <c r="U24" i="6" s="1" a="1"/>
  <c r="U24" i="6" s="1"/>
  <c r="V26" i="6" a="1"/>
  <c r="V26" i="6" s="1"/>
  <c r="W26" i="6" s="1" a="1"/>
  <c r="W26" i="6" s="1"/>
  <c r="U26" i="6" s="1" a="1"/>
  <c r="U26" i="6" s="1"/>
  <c r="V59" i="6" a="1"/>
  <c r="V59" i="6" s="1"/>
  <c r="W59" i="6" s="1" a="1"/>
  <c r="W59" i="6" s="1"/>
  <c r="U59" i="6" s="1" a="1"/>
  <c r="U59" i="6" s="1"/>
  <c r="V61" i="6" a="1"/>
  <c r="V61" i="6" s="1"/>
  <c r="W61" i="6" s="1" a="1"/>
  <c r="W61" i="6" s="1"/>
  <c r="U61" i="6" s="1" a="1"/>
  <c r="U61" i="6" s="1"/>
  <c r="V28" i="6" a="1"/>
  <c r="V28" i="6" s="1"/>
  <c r="W28" i="6" s="1" a="1"/>
  <c r="W28" i="6" s="1"/>
  <c r="U28" i="6" s="1" a="1"/>
  <c r="U28" i="6" s="1"/>
  <c r="V30" i="6" a="1"/>
  <c r="V30" i="6" s="1"/>
  <c r="W30" i="6" s="1" a="1"/>
  <c r="W30" i="6" s="1"/>
  <c r="U30" i="6" s="1" a="1"/>
  <c r="U30" i="6" s="1"/>
  <c r="V32" i="6" a="1"/>
  <c r="V32" i="6" s="1"/>
  <c r="W32" i="6" s="1" a="1"/>
  <c r="W32" i="6" s="1"/>
  <c r="U32" i="6" s="1" a="1"/>
  <c r="U32" i="6" s="1"/>
  <c r="V63" i="6" a="1"/>
  <c r="V63" i="6" s="1"/>
  <c r="W63" i="6" s="1" a="1"/>
  <c r="W63" i="6" s="1"/>
  <c r="U63" i="6" s="1" a="1"/>
  <c r="U63" i="6" s="1"/>
  <c r="V65" i="6" a="1"/>
  <c r="V65" i="6" s="1"/>
  <c r="W65" i="6" s="1" a="1"/>
  <c r="W65" i="6" s="1"/>
  <c r="U65" i="6" s="1" a="1"/>
  <c r="U65" i="6" s="1"/>
  <c r="V67" i="6" a="1"/>
  <c r="V67" i="6" s="1"/>
  <c r="W67" i="6" s="1" a="1"/>
  <c r="W67" i="6" s="1"/>
  <c r="U67" i="6" s="1" a="1"/>
  <c r="U67" i="6" s="1"/>
  <c r="V69" i="6" a="1"/>
  <c r="V69" i="6" s="1"/>
  <c r="W69" i="6" s="1" a="1"/>
  <c r="W69" i="6" s="1"/>
  <c r="U69" i="6" s="1" a="1"/>
  <c r="U69" i="6" s="1"/>
  <c r="V77" i="6" a="1"/>
  <c r="V77" i="6" s="1"/>
  <c r="W77" i="6" s="1" a="1"/>
  <c r="W77" i="6" s="1"/>
  <c r="U77" i="6" s="1" a="1"/>
  <c r="U77" i="6" s="1"/>
  <c r="V33" i="6" a="1"/>
  <c r="V33" i="6" s="1"/>
  <c r="W33" i="6" s="1" a="1"/>
  <c r="W33" i="6" s="1"/>
  <c r="U33" i="6" s="1" a="1"/>
  <c r="U33" i="6" s="1"/>
  <c r="V66" i="6" a="1"/>
  <c r="V66" i="6" s="1"/>
  <c r="W66" i="6" s="1" a="1"/>
  <c r="W66" i="6" s="1"/>
  <c r="U66" i="6" s="1" a="1"/>
  <c r="U66" i="6" s="1"/>
  <c r="V34" i="6" a="1"/>
  <c r="V34" i="6" s="1"/>
  <c r="W34" i="6" s="1" a="1"/>
  <c r="W34" i="6" s="1"/>
  <c r="U34" i="6" s="1" a="1"/>
  <c r="U34" i="6" s="1"/>
  <c r="V5" i="6" a="1"/>
  <c r="V5" i="6" s="1"/>
  <c r="W5" i="6" s="1" a="1"/>
  <c r="W5" i="6" s="1"/>
  <c r="U5" i="6" s="1" a="1"/>
  <c r="U5" i="6" s="1"/>
  <c r="V36" i="6" a="1"/>
  <c r="V36" i="6" s="1"/>
  <c r="W36" i="6" s="1" a="1"/>
  <c r="W36" i="6" s="1"/>
  <c r="U36" i="6" s="1" a="1"/>
  <c r="U36" i="6" s="1"/>
  <c r="V38" i="6" a="1"/>
  <c r="V38" i="6" s="1"/>
  <c r="W38" i="6" s="1" a="1"/>
  <c r="W38" i="6" s="1"/>
  <c r="U38" i="6" s="1" a="1"/>
  <c r="U38" i="6" s="1"/>
  <c r="V40" i="6" a="1"/>
  <c r="V40" i="6" s="1"/>
  <c r="W40" i="6" s="1" a="1"/>
  <c r="W40" i="6" s="1"/>
  <c r="U40" i="6" s="1" a="1"/>
  <c r="U40" i="6" s="1"/>
  <c r="V42" i="6" a="1"/>
  <c r="V42" i="6" s="1"/>
  <c r="W42" i="6" s="1" a="1"/>
  <c r="W42" i="6" s="1"/>
  <c r="U42" i="6" s="1" a="1"/>
  <c r="U42" i="6" s="1"/>
  <c r="V44" i="6" a="1"/>
  <c r="V44" i="6" s="1"/>
  <c r="W44" i="6" s="1" a="1"/>
  <c r="W44" i="6" s="1"/>
  <c r="U44" i="6" s="1" a="1"/>
  <c r="U44" i="6" s="1"/>
  <c r="V46" i="6" a="1"/>
  <c r="V46" i="6" s="1"/>
  <c r="W46" i="6" s="1" a="1"/>
  <c r="W46" i="6" s="1"/>
  <c r="U46" i="6" s="1" a="1"/>
  <c r="U46" i="6" s="1"/>
  <c r="V71" i="6" a="1"/>
  <c r="V71" i="6" s="1"/>
  <c r="W71" i="6" s="1" a="1"/>
  <c r="W71" i="6" s="1"/>
  <c r="U71" i="6" s="1" a="1"/>
  <c r="U71" i="6" s="1"/>
  <c r="V73" i="6" a="1"/>
  <c r="V73" i="6" s="1"/>
  <c r="W73" i="6" s="1" a="1"/>
  <c r="W73" i="6" s="1"/>
  <c r="U73" i="6" s="1" a="1"/>
  <c r="U73" i="6" s="1"/>
  <c r="V75" i="6" a="1"/>
  <c r="V75" i="6" s="1"/>
  <c r="W75" i="6" s="1" a="1"/>
  <c r="W75" i="6" s="1"/>
  <c r="U75" i="6" s="1" a="1"/>
  <c r="U75" i="6" s="1"/>
  <c r="V3" i="6" a="1"/>
  <c r="V3" i="6" s="1"/>
  <c r="W3" i="6" s="1" a="1"/>
  <c r="W3" i="6" s="1"/>
  <c r="U3" i="6" s="1" a="1"/>
  <c r="U3" i="6" s="1"/>
  <c r="V7" i="6" a="1"/>
  <c r="V7" i="6" s="1"/>
  <c r="W7" i="6" s="1" a="1"/>
  <c r="W7" i="6" s="1"/>
  <c r="U7" i="6" s="1" a="1"/>
  <c r="U7" i="6" s="1"/>
  <c r="V9" i="6" a="1"/>
  <c r="V9" i="6" s="1"/>
  <c r="W9" i="6" s="1" a="1"/>
  <c r="W9" i="6" s="1"/>
  <c r="U9" i="6" s="1" a="1"/>
  <c r="U9" i="6" s="1"/>
  <c r="V11" i="6" a="1"/>
  <c r="V11" i="6" s="1"/>
  <c r="W11" i="6" s="1" a="1"/>
  <c r="W11" i="6" s="1"/>
  <c r="U11" i="6" s="1" a="1"/>
  <c r="U11" i="6" s="1"/>
  <c r="V13" i="6" a="1"/>
  <c r="V13" i="6" s="1"/>
  <c r="W13" i="6" s="1" a="1"/>
  <c r="W13" i="6" s="1"/>
  <c r="U13" i="6" s="1" a="1"/>
  <c r="U13" i="6" s="1"/>
  <c r="V15" i="6" a="1"/>
  <c r="V15" i="6" s="1"/>
  <c r="W15" i="6" s="1" a="1"/>
  <c r="W15" i="6" s="1"/>
  <c r="U15" i="6" s="1" a="1"/>
  <c r="U15" i="6" s="1"/>
  <c r="V48" i="6" a="1"/>
  <c r="V48" i="6" s="1"/>
  <c r="W48" i="6" s="1" a="1"/>
  <c r="W48" i="6" s="1"/>
  <c r="U48" i="6" s="1" a="1"/>
  <c r="U48" i="6" s="1"/>
  <c r="V50" i="6" a="1"/>
  <c r="V50" i="6" s="1"/>
  <c r="W50" i="6" s="1" a="1"/>
  <c r="W50" i="6" s="1"/>
  <c r="U50" i="6" s="1" a="1"/>
  <c r="U50" i="6" s="1"/>
  <c r="V52" i="6" a="1"/>
  <c r="V52" i="6" s="1"/>
  <c r="W52" i="6" s="1" a="1"/>
  <c r="W52" i="6" s="1"/>
  <c r="U52" i="6" s="1" a="1"/>
  <c r="U52" i="6" s="1"/>
  <c r="V54" i="6" a="1"/>
  <c r="V54" i="6" s="1"/>
  <c r="W54" i="6" s="1" a="1"/>
  <c r="W54" i="6" s="1"/>
  <c r="U54" i="6" s="1" a="1"/>
  <c r="U54" i="6" s="1"/>
  <c r="V56" i="6" a="1"/>
  <c r="V56" i="6" s="1"/>
  <c r="W56" i="6" s="1" a="1"/>
  <c r="W56" i="6" s="1"/>
  <c r="U56" i="6" s="1" a="1"/>
  <c r="U56" i="6" s="1"/>
  <c r="V58" i="6" a="1"/>
  <c r="V58" i="6" s="1"/>
  <c r="W58" i="6" s="1" a="1"/>
  <c r="W58" i="6" s="1"/>
  <c r="U58" i="6" s="1" a="1"/>
  <c r="U58" i="6" s="1"/>
  <c r="V68" i="6" a="1"/>
  <c r="V68" i="6" s="1"/>
  <c r="W68" i="6" s="1" a="1"/>
  <c r="W68" i="6" s="1"/>
  <c r="U68" i="6" s="1" a="1"/>
  <c r="U68" i="6" s="1"/>
  <c r="V17" i="6" a="1"/>
  <c r="V17" i="6" s="1"/>
  <c r="W17" i="6" s="1" a="1"/>
  <c r="W17" i="6" s="1"/>
  <c r="U17" i="6" s="1" a="1"/>
  <c r="U17" i="6" s="1"/>
  <c r="V35" i="6" a="1"/>
  <c r="V35" i="6" s="1"/>
  <c r="W35" i="6" s="1" a="1"/>
  <c r="W35" i="6" s="1"/>
  <c r="U35" i="6" s="1" a="1"/>
  <c r="U35" i="6" s="1"/>
  <c r="V19" i="6" a="1"/>
  <c r="V19" i="6" s="1"/>
  <c r="W19" i="6" s="1" a="1"/>
  <c r="W19" i="6" s="1"/>
  <c r="U19" i="6" s="1" a="1"/>
  <c r="U19" i="6" s="1"/>
  <c r="V21" i="6" a="1"/>
  <c r="V21" i="6" s="1"/>
  <c r="W21" i="6" s="1" a="1"/>
  <c r="W21" i="6" s="1"/>
  <c r="U21" i="6" s="1" a="1"/>
  <c r="U21" i="6" s="1"/>
  <c r="V23" i="6" a="1"/>
  <c r="V23" i="6" s="1"/>
  <c r="W23" i="6" s="1" a="1"/>
  <c r="W23" i="6" s="1"/>
  <c r="U23" i="6" s="1" a="1"/>
  <c r="U23" i="6" s="1"/>
  <c r="V25" i="6" a="1"/>
  <c r="V25" i="6" s="1"/>
  <c r="W25" i="6" s="1" a="1"/>
  <c r="W25" i="6" s="1"/>
  <c r="U25" i="6" s="1" a="1"/>
  <c r="U25" i="6" s="1"/>
  <c r="V60" i="6" a="1"/>
  <c r="V60" i="6" s="1"/>
  <c r="W60" i="6" s="1" a="1"/>
  <c r="W60" i="6" s="1"/>
  <c r="U60" i="6" s="1" a="1"/>
  <c r="U60" i="6" s="1"/>
  <c r="V62" i="6" a="1"/>
  <c r="V62" i="6" s="1"/>
  <c r="W62" i="6" s="1" a="1"/>
  <c r="W62" i="6" s="1"/>
  <c r="U62" i="6" s="1" a="1"/>
  <c r="U62" i="6" s="1"/>
  <c r="V27" i="6" a="1"/>
  <c r="V27" i="6" s="1"/>
  <c r="W27" i="6" s="1" a="1"/>
  <c r="W27" i="6" s="1"/>
  <c r="U27" i="6" s="1" a="1"/>
  <c r="U27" i="6" s="1"/>
  <c r="V29" i="6" a="1"/>
  <c r="V29" i="6" s="1"/>
  <c r="W29" i="6" s="1" a="1"/>
  <c r="W29" i="6" s="1"/>
  <c r="U29" i="6" s="1" a="1"/>
  <c r="U29" i="6" s="1"/>
  <c r="V31" i="6" a="1"/>
  <c r="V31" i="6" s="1"/>
  <c r="W31" i="6" s="1" a="1"/>
  <c r="W31" i="6" s="1"/>
  <c r="U31" i="6" s="1" a="1"/>
  <c r="U31" i="6" s="1"/>
  <c r="V64" i="6" a="1"/>
  <c r="V64" i="6" s="1"/>
  <c r="W64" i="6" s="1" a="1"/>
  <c r="W64" i="6" s="1"/>
  <c r="U64" i="6" s="1" a="1"/>
  <c r="U64" i="6" s="1"/>
  <c r="V70" i="6" a="1"/>
  <c r="V70" i="6" s="1"/>
  <c r="W70" i="6" s="1" a="1"/>
  <c r="W70" i="6" s="1"/>
  <c r="U70" i="6" s="1" a="1"/>
  <c r="U70" i="6" s="1"/>
  <c r="S74" i="11" a="1"/>
  <c r="S74" i="11" s="1"/>
  <c r="S72" i="11" a="1"/>
  <c r="S72" i="11" s="1"/>
  <c r="S69" i="11" a="1"/>
  <c r="S69" i="11" s="1"/>
  <c r="S62" i="11" a="1"/>
  <c r="S62" i="11" s="1"/>
  <c r="S60" i="11" a="1"/>
  <c r="S60" i="11" s="1"/>
  <c r="S57" i="11" a="1"/>
  <c r="S57" i="11" s="1"/>
  <c r="S50" i="11" a="1"/>
  <c r="S50" i="11" s="1"/>
  <c r="S48" i="11" a="1"/>
  <c r="S48" i="11" s="1"/>
  <c r="S38" i="11" a="1"/>
  <c r="S38" i="11" s="1"/>
  <c r="S36" i="11" a="1"/>
  <c r="S36" i="11" s="1"/>
  <c r="S33" i="11" a="1"/>
  <c r="S33" i="11" s="1"/>
  <c r="S26" i="11" a="1"/>
  <c r="S26" i="11" s="1"/>
  <c r="S14" i="11" a="1"/>
  <c r="S14" i="11" s="1"/>
  <c r="S12" i="11" a="1"/>
  <c r="S12" i="11" s="1"/>
  <c r="S11" i="11" a="1"/>
  <c r="S11" i="11" s="1"/>
  <c r="T11" i="11" s="1" a="1"/>
  <c r="T11" i="11" s="1"/>
  <c r="S10" i="11" a="1"/>
  <c r="S10" i="11" s="1"/>
  <c r="S9" i="11" a="1"/>
  <c r="S9" i="11" s="1"/>
  <c r="S6" i="11" a="1"/>
  <c r="S6" i="11" s="1"/>
  <c r="G8" i="1"/>
  <c r="H8" i="1"/>
  <c r="F15" i="4" s="1" a="1"/>
  <c r="F15" i="4" s="1"/>
  <c r="K8" i="1"/>
  <c r="G9" i="1"/>
  <c r="G10" i="1"/>
  <c r="G11" i="1"/>
  <c r="G12" i="1"/>
  <c r="H12" i="1"/>
  <c r="F19" i="4" s="1" a="1"/>
  <c r="F19" i="4" s="1"/>
  <c r="K12" i="1"/>
  <c r="G13" i="1"/>
  <c r="H13" i="1"/>
  <c r="F20" i="4" s="1" a="1"/>
  <c r="F20" i="4" s="1"/>
  <c r="G14" i="1"/>
  <c r="H14" i="1"/>
  <c r="F21" i="4" s="1" a="1"/>
  <c r="F21" i="4" s="1"/>
  <c r="K14" i="1"/>
  <c r="S15" i="11" s="1" a="1"/>
  <c r="S15" i="11" s="1"/>
  <c r="G15" i="1"/>
  <c r="H15" i="1"/>
  <c r="F22" i="4" s="1" a="1"/>
  <c r="F22" i="4" s="1"/>
  <c r="K15" i="1"/>
  <c r="S16" i="11" s="1" a="1"/>
  <c r="S16" i="11" s="1"/>
  <c r="G16" i="1"/>
  <c r="H16" i="1"/>
  <c r="F23" i="4" s="1" a="1"/>
  <c r="F23" i="4" s="1"/>
  <c r="K16" i="1"/>
  <c r="S17" i="11" s="1" a="1"/>
  <c r="S17" i="11" s="1"/>
  <c r="G17" i="1"/>
  <c r="H17" i="1"/>
  <c r="F24" i="4" s="1" a="1"/>
  <c r="F24" i="4" s="1"/>
  <c r="K17" i="1"/>
  <c r="G18" i="1"/>
  <c r="K18" i="1"/>
  <c r="G19" i="1"/>
  <c r="H19" i="1"/>
  <c r="F26" i="4" s="1" a="1"/>
  <c r="F26" i="4" s="1"/>
  <c r="K19" i="1"/>
  <c r="G20" i="1"/>
  <c r="H20" i="1"/>
  <c r="F27" i="4" s="1" a="1"/>
  <c r="F27" i="4" s="1"/>
  <c r="K20" i="1"/>
  <c r="S21" i="11" s="1" a="1"/>
  <c r="S21" i="11" s="1"/>
  <c r="G21" i="1"/>
  <c r="H21" i="1"/>
  <c r="F28" i="4" s="1" a="1"/>
  <c r="F28" i="4" s="1"/>
  <c r="K21" i="1"/>
  <c r="G22" i="1"/>
  <c r="H22" i="1"/>
  <c r="F29" i="4" s="1" a="1"/>
  <c r="F29" i="4" s="1"/>
  <c r="K22" i="1"/>
  <c r="G23" i="1"/>
  <c r="H23" i="1"/>
  <c r="F30" i="4" s="1" a="1"/>
  <c r="F30" i="4" s="1"/>
  <c r="K23" i="1"/>
  <c r="G24" i="1"/>
  <c r="H24" i="1"/>
  <c r="F31" i="4" s="1" a="1"/>
  <c r="F31" i="4" s="1"/>
  <c r="K24" i="1"/>
  <c r="G25" i="1"/>
  <c r="K25" i="1"/>
  <c r="G26" i="1"/>
  <c r="H26" i="1"/>
  <c r="F33" i="4" s="1" a="1"/>
  <c r="F33" i="4" s="1"/>
  <c r="K26" i="1"/>
  <c r="S27" i="11" s="1" a="1"/>
  <c r="S27" i="11" s="1"/>
  <c r="G27" i="1"/>
  <c r="H27" i="1"/>
  <c r="F34" i="4" s="1" a="1"/>
  <c r="F34" i="4" s="1"/>
  <c r="K27" i="1"/>
  <c r="S28" i="11" s="1" a="1"/>
  <c r="S28" i="11" s="1"/>
  <c r="G28" i="1"/>
  <c r="H28" i="1"/>
  <c r="F35" i="4" s="1" a="1"/>
  <c r="F35" i="4" s="1"/>
  <c r="K28" i="1"/>
  <c r="S29" i="11" s="1" a="1"/>
  <c r="S29" i="11" s="1"/>
  <c r="G29" i="1"/>
  <c r="H29" i="1"/>
  <c r="F36" i="4" s="1" a="1"/>
  <c r="F36" i="4" s="1"/>
  <c r="K29" i="1"/>
  <c r="S30" i="11" s="1" a="1"/>
  <c r="S30" i="11" s="1"/>
  <c r="G30" i="1"/>
  <c r="H30" i="1"/>
  <c r="F37" i="4" s="1" a="1"/>
  <c r="F37" i="4" s="1"/>
  <c r="K30" i="1"/>
  <c r="G31" i="1"/>
  <c r="H31" i="1"/>
  <c r="F38" i="4" s="1" a="1"/>
  <c r="F38" i="4" s="1"/>
  <c r="K31" i="1"/>
  <c r="S32" i="11" s="1" a="1"/>
  <c r="S32" i="11" s="1"/>
  <c r="G32" i="1"/>
  <c r="K32" i="1"/>
  <c r="G33" i="1"/>
  <c r="H33" i="1"/>
  <c r="F40" i="4" s="1" a="1"/>
  <c r="F40" i="4" s="1"/>
  <c r="K33" i="1"/>
  <c r="G34" i="1"/>
  <c r="H34" i="1"/>
  <c r="F41" i="4" s="1" a="1"/>
  <c r="F41" i="4" s="1"/>
  <c r="K34" i="1"/>
  <c r="G35" i="1"/>
  <c r="H35" i="1"/>
  <c r="F42" i="4" s="1" a="1"/>
  <c r="F42" i="4" s="1"/>
  <c r="K35" i="1"/>
  <c r="G36" i="1"/>
  <c r="H36" i="1"/>
  <c r="F43" i="4" s="1" a="1"/>
  <c r="F43" i="4" s="1"/>
  <c r="K36" i="1"/>
  <c r="G37" i="1"/>
  <c r="H37" i="1"/>
  <c r="F44" i="4" s="1" a="1"/>
  <c r="F44" i="4" s="1"/>
  <c r="K37" i="1"/>
  <c r="G38" i="1"/>
  <c r="H38" i="1"/>
  <c r="F45" i="4" s="1" a="1"/>
  <c r="F45" i="4" s="1"/>
  <c r="K38" i="1"/>
  <c r="S39" i="11" s="1" a="1"/>
  <c r="S39" i="11" s="1"/>
  <c r="G39" i="1"/>
  <c r="H39" i="1"/>
  <c r="F46" i="4" s="1" a="1"/>
  <c r="F46" i="4" s="1"/>
  <c r="K39" i="1"/>
  <c r="G40" i="1"/>
  <c r="H40" i="1"/>
  <c r="F47" i="4" s="1" a="1"/>
  <c r="F47" i="4" s="1"/>
  <c r="K40" i="1"/>
  <c r="S41" i="11" s="1" a="1"/>
  <c r="S41" i="11" s="1"/>
  <c r="G41" i="1"/>
  <c r="H41" i="1"/>
  <c r="F48" i="4" s="1" a="1"/>
  <c r="F48" i="4" s="1"/>
  <c r="K41" i="1"/>
  <c r="S42" i="11" s="1" a="1"/>
  <c r="S42" i="11" s="1"/>
  <c r="G42" i="1"/>
  <c r="H42" i="1"/>
  <c r="F49" i="4" s="1" a="1"/>
  <c r="F49" i="4" s="1"/>
  <c r="K42" i="1"/>
  <c r="G43" i="1"/>
  <c r="K43" i="1"/>
  <c r="G44" i="1"/>
  <c r="H44" i="1"/>
  <c r="F51" i="4" s="1" a="1"/>
  <c r="F51" i="4" s="1"/>
  <c r="K44" i="1"/>
  <c r="G45" i="1"/>
  <c r="H45" i="1"/>
  <c r="F52" i="4" s="1" a="1"/>
  <c r="F52" i="4" s="1"/>
  <c r="K45" i="1"/>
  <c r="G46" i="1"/>
  <c r="K46" i="1"/>
  <c r="G47" i="1"/>
  <c r="H47" i="1"/>
  <c r="F54" i="4" s="1" a="1"/>
  <c r="F54" i="4" s="1"/>
  <c r="K47" i="1"/>
  <c r="G48" i="1"/>
  <c r="H48" i="1"/>
  <c r="F55" i="4" s="1" a="1"/>
  <c r="F55" i="4" s="1"/>
  <c r="K48" i="1"/>
  <c r="G49" i="1"/>
  <c r="H49" i="1"/>
  <c r="F56" i="4" s="1" a="1"/>
  <c r="F56" i="4" s="1"/>
  <c r="K49" i="1"/>
  <c r="G50" i="1"/>
  <c r="H50" i="1"/>
  <c r="F57" i="4" s="1" a="1"/>
  <c r="F57" i="4" s="1"/>
  <c r="K50" i="1"/>
  <c r="S51" i="11" s="1" a="1"/>
  <c r="S51" i="11" s="1"/>
  <c r="G51" i="1"/>
  <c r="H51" i="1"/>
  <c r="F58" i="4" s="1" a="1"/>
  <c r="F58" i="4" s="1"/>
  <c r="K51" i="1"/>
  <c r="G52" i="1"/>
  <c r="H52" i="1"/>
  <c r="F59" i="4" s="1" a="1"/>
  <c r="F59" i="4" s="1"/>
  <c r="K52" i="1"/>
  <c r="S53" i="11" s="1" a="1"/>
  <c r="S53" i="11" s="1"/>
  <c r="G53" i="1"/>
  <c r="H53" i="1"/>
  <c r="F60" i="4" s="1" a="1"/>
  <c r="F60" i="4" s="1"/>
  <c r="K53" i="1"/>
  <c r="S54" i="11" s="1" a="1"/>
  <c r="S54" i="11" s="1"/>
  <c r="G54" i="1"/>
  <c r="H54" i="1"/>
  <c r="F61" i="4" s="1" a="1"/>
  <c r="F61" i="4" s="1"/>
  <c r="K54" i="1"/>
  <c r="G55" i="1"/>
  <c r="H55" i="1"/>
  <c r="F62" i="4" s="1" a="1"/>
  <c r="F62" i="4" s="1"/>
  <c r="K55" i="1"/>
  <c r="G56" i="1"/>
  <c r="H56" i="1"/>
  <c r="F63" i="4" s="1" a="1"/>
  <c r="F63" i="4" s="1"/>
  <c r="K56" i="1"/>
  <c r="G57" i="1"/>
  <c r="H57" i="1"/>
  <c r="F64" i="4" s="1" a="1"/>
  <c r="F64" i="4" s="1"/>
  <c r="K57" i="1"/>
  <c r="G58" i="1"/>
  <c r="H58" i="1"/>
  <c r="F65" i="4" s="1" a="1"/>
  <c r="F65" i="4" s="1"/>
  <c r="K58" i="1"/>
  <c r="G59" i="1"/>
  <c r="H59" i="1"/>
  <c r="F66" i="4" s="1" a="1"/>
  <c r="F66" i="4" s="1"/>
  <c r="K59" i="1"/>
  <c r="G60" i="1"/>
  <c r="H60" i="1"/>
  <c r="F67" i="4" s="1" a="1"/>
  <c r="F67" i="4" s="1"/>
  <c r="K60" i="1"/>
  <c r="G61" i="1"/>
  <c r="H61" i="1"/>
  <c r="F68" i="4" s="1" a="1"/>
  <c r="F68" i="4" s="1"/>
  <c r="K61" i="1"/>
  <c r="G62" i="1"/>
  <c r="H62" i="1"/>
  <c r="F69" i="4" s="1" a="1"/>
  <c r="F69" i="4" s="1"/>
  <c r="K62" i="1"/>
  <c r="S63" i="11" s="1" a="1"/>
  <c r="S63" i="11" s="1"/>
  <c r="G63" i="1"/>
  <c r="H63" i="1"/>
  <c r="F70" i="4" s="1" a="1"/>
  <c r="F70" i="4" s="1"/>
  <c r="K63" i="1"/>
  <c r="G64" i="1"/>
  <c r="H64" i="1"/>
  <c r="F71" i="4" s="1" a="1"/>
  <c r="F71" i="4" s="1"/>
  <c r="K64" i="1"/>
  <c r="S65" i="11" s="1" a="1"/>
  <c r="S65" i="11" s="1"/>
  <c r="G65" i="1"/>
  <c r="H65" i="1"/>
  <c r="F72" i="4" s="1" a="1"/>
  <c r="F72" i="4" s="1"/>
  <c r="K65" i="1"/>
  <c r="S66" i="11" s="1" a="1"/>
  <c r="S66" i="11" s="1"/>
  <c r="G66" i="1"/>
  <c r="H66" i="1"/>
  <c r="F73" i="4" s="1" a="1"/>
  <c r="F73" i="4" s="1"/>
  <c r="K66" i="1"/>
  <c r="G67" i="1"/>
  <c r="H67" i="1"/>
  <c r="F74" i="4" s="1" a="1"/>
  <c r="F74" i="4" s="1"/>
  <c r="K67" i="1"/>
  <c r="G68" i="1"/>
  <c r="H68" i="1"/>
  <c r="F75" i="4" s="1" a="1"/>
  <c r="F75" i="4" s="1"/>
  <c r="K68" i="1"/>
  <c r="G69" i="1"/>
  <c r="H69" i="1"/>
  <c r="F76" i="4" s="1" a="1"/>
  <c r="F76" i="4" s="1"/>
  <c r="K69" i="1"/>
  <c r="G70" i="1"/>
  <c r="H70" i="1"/>
  <c r="F77" i="4" s="1" a="1"/>
  <c r="F77" i="4" s="1"/>
  <c r="K70" i="1"/>
  <c r="G71" i="1"/>
  <c r="H71" i="1"/>
  <c r="F78" i="4" s="1" a="1"/>
  <c r="F78" i="4" s="1"/>
  <c r="K71" i="1"/>
  <c r="G72" i="1"/>
  <c r="H72" i="1"/>
  <c r="F79" i="4" s="1" a="1"/>
  <c r="F79" i="4" s="1"/>
  <c r="K72" i="1"/>
  <c r="G73" i="1"/>
  <c r="H73" i="1"/>
  <c r="F80" i="4" s="1" a="1"/>
  <c r="F80" i="4" s="1"/>
  <c r="K73" i="1"/>
  <c r="G74" i="1"/>
  <c r="H74" i="1"/>
  <c r="F81" i="4" s="1" a="1"/>
  <c r="F81" i="4" s="1"/>
  <c r="K74" i="1"/>
  <c r="S75" i="11" s="1" a="1"/>
  <c r="S75" i="11" s="1"/>
  <c r="G75" i="1"/>
  <c r="H75" i="1"/>
  <c r="F82" i="4" s="1" a="1"/>
  <c r="F82" i="4" s="1"/>
  <c r="K75" i="1"/>
  <c r="G76" i="1"/>
  <c r="K76" i="1"/>
  <c r="I15" i="13"/>
  <c r="J15" i="13" s="1"/>
  <c r="D10" i="12" s="1" a="1"/>
  <c r="D10" i="12" s="1"/>
  <c r="B15" i="13"/>
  <c r="A10" i="12" s="1" a="1"/>
  <c r="A10" i="12" s="1"/>
  <c r="I14" i="13"/>
  <c r="J14" i="13" s="1"/>
  <c r="D9" i="12" s="1" a="1"/>
  <c r="D9" i="12" s="1"/>
  <c r="H14" i="13"/>
  <c r="B14" i="13"/>
  <c r="A9" i="12" s="1" a="1"/>
  <c r="A9" i="12" s="1"/>
  <c r="I13" i="13"/>
  <c r="J13" i="13" s="1"/>
  <c r="D4" i="12" s="1" a="1"/>
  <c r="D4" i="12" s="1"/>
  <c r="H13" i="13"/>
  <c r="B13" i="13"/>
  <c r="A4" i="12" s="1" a="1"/>
  <c r="A4" i="12" s="1"/>
  <c r="I12" i="13"/>
  <c r="J12" i="13" s="1"/>
  <c r="D8" i="12" s="1" a="1"/>
  <c r="D8" i="12" s="1"/>
  <c r="H12" i="13"/>
  <c r="B12" i="13"/>
  <c r="A8" i="12" s="1" a="1"/>
  <c r="A8" i="12" s="1"/>
  <c r="I7" i="13"/>
  <c r="J7" i="13" s="1"/>
  <c r="D11" i="12" s="1"/>
  <c r="I4" i="13"/>
  <c r="J4" i="13" s="1"/>
  <c r="I5" i="13"/>
  <c r="J5" i="13" s="1"/>
  <c r="D12" i="12" s="1"/>
  <c r="I6" i="13"/>
  <c r="J6" i="13" s="1"/>
  <c r="I8" i="13"/>
  <c r="J8" i="13" s="1"/>
  <c r="I9" i="13"/>
  <c r="J9" i="13" s="1"/>
  <c r="D2" i="12" s="1" a="1"/>
  <c r="D2" i="12" s="1"/>
  <c r="I10" i="13"/>
  <c r="J10" i="13" s="1"/>
  <c r="I11" i="13"/>
  <c r="J11" i="13" s="1"/>
  <c r="I2" i="13"/>
  <c r="J2" i="13" s="1"/>
  <c r="I3" i="13"/>
  <c r="J3" i="13" s="1"/>
  <c r="H11" i="13"/>
  <c r="B11" i="13"/>
  <c r="B10" i="13"/>
  <c r="H9" i="13"/>
  <c r="B9" i="13"/>
  <c r="A2" i="12" s="1" a="1"/>
  <c r="A2" i="12" s="1"/>
  <c r="H8" i="13"/>
  <c r="B8" i="13"/>
  <c r="H7" i="13"/>
  <c r="B7" i="13"/>
  <c r="H6" i="13"/>
  <c r="B6" i="13"/>
  <c r="H5" i="13"/>
  <c r="B5" i="13"/>
  <c r="A12" i="12" s="1"/>
  <c r="H4" i="13"/>
  <c r="B4" i="13"/>
  <c r="H3" i="13"/>
  <c r="B3" i="13"/>
  <c r="H2" i="13"/>
  <c r="B2" i="13"/>
  <c r="I11" i="5"/>
  <c r="J11" i="5" s="1"/>
  <c r="H11" i="5"/>
  <c r="B11" i="5"/>
  <c r="B3" i="5"/>
  <c r="B4" i="5"/>
  <c r="A9" i="10" s="1" a="1"/>
  <c r="A9" i="10" s="1"/>
  <c r="B5" i="5"/>
  <c r="A8" i="10" s="1" a="1"/>
  <c r="A8" i="10" s="1"/>
  <c r="B6" i="5"/>
  <c r="B7" i="5"/>
  <c r="B8" i="5"/>
  <c r="B9" i="5"/>
  <c r="A2" i="10" s="1" a="1"/>
  <c r="A2" i="10" s="1"/>
  <c r="B10" i="5"/>
  <c r="I10" i="5"/>
  <c r="J10" i="5" s="1"/>
  <c r="H10" i="5"/>
  <c r="N10" i="3"/>
  <c r="E72" i="3"/>
  <c r="B83" i="4" l="1" a="1"/>
  <c r="B83" i="4" s="1"/>
  <c r="RG105" i="2" a="1"/>
  <c r="RG105" i="2" s="1"/>
  <c r="RG72" i="2" a="1"/>
  <c r="RG72" i="2" s="1"/>
  <c r="B50" i="4" a="1"/>
  <c r="B50" i="4" s="1"/>
  <c r="RG51" i="2" a="1"/>
  <c r="RG51" i="2" s="1"/>
  <c r="B29" i="4" a="1"/>
  <c r="B29" i="4" s="1"/>
  <c r="RG47" i="2" a="1"/>
  <c r="RG47" i="2" s="1"/>
  <c r="B25" i="4" a="1"/>
  <c r="B25" i="4" s="1"/>
  <c r="RG48" i="2" a="1"/>
  <c r="RG48" i="2" s="1"/>
  <c r="B26" i="4" a="1"/>
  <c r="B26" i="4" s="1"/>
  <c r="RG68" i="2" a="1"/>
  <c r="RG68" i="2" s="1"/>
  <c r="B46" i="4" a="1"/>
  <c r="B46" i="4" s="1"/>
  <c r="RG104" i="2" a="1"/>
  <c r="RG104" i="2" s="1"/>
  <c r="B82" i="4" a="1"/>
  <c r="B82" i="4" s="1"/>
  <c r="RG100" i="2" a="1"/>
  <c r="RG100" i="2" s="1"/>
  <c r="B78" i="4" a="1"/>
  <c r="B78" i="4" s="1"/>
  <c r="RG96" i="2" a="1"/>
  <c r="RG96" i="2" s="1"/>
  <c r="B74" i="4" a="1"/>
  <c r="B74" i="4" s="1"/>
  <c r="RG92" i="2" a="1"/>
  <c r="RG92" i="2" s="1"/>
  <c r="B70" i="4" a="1"/>
  <c r="B70" i="4" s="1"/>
  <c r="RG88" i="2" a="1"/>
  <c r="RG88" i="2" s="1"/>
  <c r="B66" i="4" a="1"/>
  <c r="B66" i="4" s="1"/>
  <c r="RG84" i="2" a="1"/>
  <c r="RG84" i="2" s="1"/>
  <c r="B62" i="4" a="1"/>
  <c r="B62" i="4" s="1"/>
  <c r="RG80" i="2" a="1"/>
  <c r="RG80" i="2" s="1"/>
  <c r="B58" i="4" a="1"/>
  <c r="B58" i="4" s="1"/>
  <c r="RG76" i="2" a="1"/>
  <c r="RG76" i="2" s="1"/>
  <c r="B54" i="4" a="1"/>
  <c r="B54" i="4" s="1"/>
  <c r="RG59" i="2" a="1"/>
  <c r="RG59" i="2" s="1"/>
  <c r="B37" i="4" a="1"/>
  <c r="B37" i="4" s="1"/>
  <c r="RG55" i="2" a="1"/>
  <c r="RG55" i="2" s="1"/>
  <c r="B33" i="4" a="1"/>
  <c r="B33" i="4" s="1"/>
  <c r="S40" i="11" a="1"/>
  <c r="S40" i="11" s="1"/>
  <c r="S52" i="11" a="1"/>
  <c r="S52" i="11" s="1"/>
  <c r="S64" i="11" a="1"/>
  <c r="S64" i="11" s="1"/>
  <c r="S76" i="11" a="1"/>
  <c r="S76" i="11" s="1"/>
  <c r="RG71" i="2" a="1"/>
  <c r="RG71" i="2" s="1"/>
  <c r="B49" i="4" a="1"/>
  <c r="B49" i="4" s="1"/>
  <c r="RG67" i="2" a="1"/>
  <c r="RG67" i="2" s="1"/>
  <c r="B45" i="4" a="1"/>
  <c r="B45" i="4" s="1"/>
  <c r="RG63" i="2" a="1"/>
  <c r="RG63" i="2" s="1"/>
  <c r="B41" i="4" a="1"/>
  <c r="B41" i="4" s="1"/>
  <c r="RG46" i="2" a="1"/>
  <c r="RG46" i="2" s="1"/>
  <c r="B24" i="4" a="1"/>
  <c r="B24" i="4" s="1"/>
  <c r="A3" i="12" a="1"/>
  <c r="A3" i="12" s="1"/>
  <c r="L77" i="11" s="1"/>
  <c r="A7" i="12" a="1"/>
  <c r="A7" i="12" s="1"/>
  <c r="A3" i="10" a="1"/>
  <c r="A3" i="10" s="1"/>
  <c r="L42" i="6" s="1"/>
  <c r="A7" i="10" a="1"/>
  <c r="A7" i="10" s="1"/>
  <c r="RG50" i="2" a="1"/>
  <c r="RG50" i="2" s="1"/>
  <c r="B28" i="4" a="1"/>
  <c r="B28" i="4" s="1"/>
  <c r="S18" i="11" a="1"/>
  <c r="S18" i="11" s="1"/>
  <c r="RG73" i="2" a="1"/>
  <c r="RG73" i="2" s="1"/>
  <c r="B51" i="4" a="1"/>
  <c r="B51" i="4" s="1"/>
  <c r="RG52" i="2" a="1"/>
  <c r="RG52" i="2" s="1"/>
  <c r="B30" i="4" a="1"/>
  <c r="B30" i="4" s="1"/>
  <c r="RG103" i="2" a="1"/>
  <c r="RG103" i="2" s="1"/>
  <c r="B81" i="4" a="1"/>
  <c r="B81" i="4" s="1"/>
  <c r="RG99" i="2" a="1"/>
  <c r="RG99" i="2" s="1"/>
  <c r="B77" i="4" a="1"/>
  <c r="B77" i="4" s="1"/>
  <c r="RG95" i="2" a="1"/>
  <c r="RG95" i="2" s="1"/>
  <c r="B73" i="4" a="1"/>
  <c r="B73" i="4" s="1"/>
  <c r="RG91" i="2" a="1"/>
  <c r="RG91" i="2" s="1"/>
  <c r="B69" i="4" a="1"/>
  <c r="B69" i="4" s="1"/>
  <c r="RG87" i="2" a="1"/>
  <c r="RG87" i="2" s="1"/>
  <c r="B65" i="4" a="1"/>
  <c r="B65" i="4" s="1"/>
  <c r="RG83" i="2" a="1"/>
  <c r="RG83" i="2" s="1"/>
  <c r="B61" i="4" a="1"/>
  <c r="B61" i="4" s="1"/>
  <c r="RG79" i="2" a="1"/>
  <c r="RG79" i="2" s="1"/>
  <c r="B57" i="4" a="1"/>
  <c r="B57" i="4" s="1"/>
  <c r="RG75" i="2" a="1"/>
  <c r="RG75" i="2" s="1"/>
  <c r="B53" i="4" a="1"/>
  <c r="B53" i="4" s="1"/>
  <c r="RG58" i="2" a="1"/>
  <c r="RG58" i="2" s="1"/>
  <c r="B36" i="4" a="1"/>
  <c r="B36" i="4" s="1"/>
  <c r="RG54" i="2" a="1"/>
  <c r="RG54" i="2" s="1"/>
  <c r="B32" i="4" a="1"/>
  <c r="B32" i="4" s="1"/>
  <c r="RG41" i="2" a="1"/>
  <c r="RG41" i="2" s="1"/>
  <c r="B19" i="4" a="1"/>
  <c r="B19" i="4" s="1"/>
  <c r="S19" i="11" a="1"/>
  <c r="S19" i="11" s="1"/>
  <c r="S31" i="11" a="1"/>
  <c r="S31" i="11" s="1"/>
  <c r="S43" i="11" a="1"/>
  <c r="S43" i="11" s="1"/>
  <c r="S55" i="11" a="1"/>
  <c r="S55" i="11" s="1"/>
  <c r="S67" i="11" a="1"/>
  <c r="S67" i="11" s="1"/>
  <c r="A5" i="10" a="1"/>
  <c r="A5" i="10" s="1"/>
  <c r="A6" i="10" a="1"/>
  <c r="A6" i="10" s="1"/>
  <c r="L48" i="6" s="1"/>
  <c r="A4" i="10" a="1"/>
  <c r="A4" i="10" s="1"/>
  <c r="L41" i="6" s="1"/>
  <c r="A5" i="12" a="1"/>
  <c r="A5" i="12" s="1"/>
  <c r="A6" i="12" a="1"/>
  <c r="A6" i="12" s="1"/>
  <c r="A11" i="12"/>
  <c r="RG70" i="2" a="1"/>
  <c r="RG70" i="2" s="1"/>
  <c r="B48" i="4" a="1"/>
  <c r="B48" i="4" s="1"/>
  <c r="RG66" i="2" a="1"/>
  <c r="RG66" i="2" s="1"/>
  <c r="B44" i="4" a="1"/>
  <c r="B44" i="4" s="1"/>
  <c r="RG62" i="2" a="1"/>
  <c r="RG62" i="2" s="1"/>
  <c r="B40" i="4" a="1"/>
  <c r="B40" i="4" s="1"/>
  <c r="RG45" i="2" a="1"/>
  <c r="RG45" i="2" s="1"/>
  <c r="B23" i="4" a="1"/>
  <c r="B23" i="4" s="1"/>
  <c r="S20" i="11" a="1"/>
  <c r="S20" i="11" s="1"/>
  <c r="S44" i="11" a="1"/>
  <c r="S44" i="11" s="1"/>
  <c r="S56" i="11" a="1"/>
  <c r="S56" i="11" s="1"/>
  <c r="S68" i="11" a="1"/>
  <c r="S68" i="11" s="1"/>
  <c r="RG53" i="2" a="1"/>
  <c r="RG53" i="2" s="1"/>
  <c r="B31" i="4" a="1"/>
  <c r="B31" i="4" s="1"/>
  <c r="S45" i="11" a="1"/>
  <c r="S45" i="11" s="1"/>
  <c r="RG74" i="2" a="1"/>
  <c r="RG74" i="2" s="1"/>
  <c r="B52" i="4" a="1"/>
  <c r="B52" i="4" s="1"/>
  <c r="RG102" i="2" a="1"/>
  <c r="RG102" i="2" s="1"/>
  <c r="B80" i="4" a="1"/>
  <c r="B80" i="4" s="1"/>
  <c r="RG98" i="2" a="1"/>
  <c r="RG98" i="2" s="1"/>
  <c r="B76" i="4" a="1"/>
  <c r="B76" i="4" s="1"/>
  <c r="RG94" i="2" a="1"/>
  <c r="RG94" i="2" s="1"/>
  <c r="B72" i="4" a="1"/>
  <c r="B72" i="4" s="1"/>
  <c r="RG90" i="2" a="1"/>
  <c r="RG90" i="2" s="1"/>
  <c r="B68" i="4" a="1"/>
  <c r="B68" i="4" s="1"/>
  <c r="RG86" i="2" a="1"/>
  <c r="RG86" i="2" s="1"/>
  <c r="B64" i="4" a="1"/>
  <c r="B64" i="4" s="1"/>
  <c r="RG82" i="2" a="1"/>
  <c r="RG82" i="2" s="1"/>
  <c r="B60" i="4" a="1"/>
  <c r="B60" i="4" s="1"/>
  <c r="RG78" i="2" a="1"/>
  <c r="RG78" i="2" s="1"/>
  <c r="B56" i="4" a="1"/>
  <c r="B56" i="4" s="1"/>
  <c r="RG57" i="2" a="1"/>
  <c r="RG57" i="2" s="1"/>
  <c r="B35" i="4" a="1"/>
  <c r="B35" i="4" s="1"/>
  <c r="S22" i="11" a="1"/>
  <c r="S22" i="11" s="1"/>
  <c r="S34" i="11" a="1"/>
  <c r="S34" i="11" s="1"/>
  <c r="S46" i="11" a="1"/>
  <c r="S46" i="11" s="1"/>
  <c r="S58" i="11" a="1"/>
  <c r="S58" i="11" s="1"/>
  <c r="S70" i="11" a="1"/>
  <c r="S70" i="11" s="1"/>
  <c r="RG49" i="2" a="1"/>
  <c r="RG49" i="2" s="1"/>
  <c r="B27" i="4" a="1"/>
  <c r="B27" i="4" s="1"/>
  <c r="RG69" i="2" a="1"/>
  <c r="RG69" i="2" s="1"/>
  <c r="B47" i="4" a="1"/>
  <c r="B47" i="4" s="1"/>
  <c r="RG65" i="2" a="1"/>
  <c r="RG65" i="2" s="1"/>
  <c r="B43" i="4" a="1"/>
  <c r="B43" i="4" s="1"/>
  <c r="RG61" i="2" a="1"/>
  <c r="RG61" i="2" s="1"/>
  <c r="B39" i="4" a="1"/>
  <c r="B39" i="4" s="1"/>
  <c r="RG44" i="2" a="1"/>
  <c r="RG44" i="2" s="1"/>
  <c r="B22" i="4" a="1"/>
  <c r="B22" i="4" s="1"/>
  <c r="S23" i="11" a="1"/>
  <c r="S23" i="11" s="1"/>
  <c r="S35" i="11" a="1"/>
  <c r="S35" i="11" s="1"/>
  <c r="S47" i="11" a="1"/>
  <c r="S47" i="11" s="1"/>
  <c r="S59" i="11" a="1"/>
  <c r="S59" i="11" s="1"/>
  <c r="S71" i="11" a="1"/>
  <c r="S71" i="11" s="1"/>
  <c r="S24" i="11" a="1"/>
  <c r="S24" i="11" s="1"/>
  <c r="RG101" i="2" a="1"/>
  <c r="RG101" i="2" s="1"/>
  <c r="B79" i="4" a="1"/>
  <c r="B79" i="4" s="1"/>
  <c r="RG97" i="2" a="1"/>
  <c r="RG97" i="2" s="1"/>
  <c r="B75" i="4" a="1"/>
  <c r="B75" i="4" s="1"/>
  <c r="RG93" i="2" a="1"/>
  <c r="RG93" i="2" s="1"/>
  <c r="B71" i="4" a="1"/>
  <c r="B71" i="4" s="1"/>
  <c r="RG89" i="2" a="1"/>
  <c r="RG89" i="2" s="1"/>
  <c r="B67" i="4" a="1"/>
  <c r="B67" i="4" s="1"/>
  <c r="RG85" i="2" a="1"/>
  <c r="RG85" i="2" s="1"/>
  <c r="B63" i="4" a="1"/>
  <c r="B63" i="4" s="1"/>
  <c r="RG81" i="2" a="1"/>
  <c r="RG81" i="2" s="1"/>
  <c r="B59" i="4" a="1"/>
  <c r="B59" i="4" s="1"/>
  <c r="RG77" i="2" a="1"/>
  <c r="RG77" i="2" s="1"/>
  <c r="B55" i="4" a="1"/>
  <c r="B55" i="4" s="1"/>
  <c r="RG60" i="2" a="1"/>
  <c r="RG60" i="2" s="1"/>
  <c r="B38" i="4" a="1"/>
  <c r="B38" i="4" s="1"/>
  <c r="RG56" i="2" a="1"/>
  <c r="RG56" i="2" s="1"/>
  <c r="B34" i="4" a="1"/>
  <c r="B34" i="4" s="1"/>
  <c r="RG37" i="2" a="1"/>
  <c r="RG37" i="2" s="1"/>
  <c r="B15" i="4" a="1"/>
  <c r="B15" i="4" s="1"/>
  <c r="S13" i="11" a="1"/>
  <c r="S13" i="11" s="1"/>
  <c r="S25" i="11" a="1"/>
  <c r="S25" i="11" s="1"/>
  <c r="S37" i="11" a="1"/>
  <c r="S37" i="11" s="1"/>
  <c r="S49" i="11" a="1"/>
  <c r="S49" i="11" s="1"/>
  <c r="S61" i="11" a="1"/>
  <c r="S61" i="11" s="1"/>
  <c r="S73" i="11" a="1"/>
  <c r="S73" i="11" s="1"/>
  <c r="RG64" i="2" a="1"/>
  <c r="RG64" i="2" s="1"/>
  <c r="B42" i="4" a="1"/>
  <c r="B42" i="4" s="1"/>
  <c r="RG43" i="2" a="1"/>
  <c r="RG43" i="2" s="1"/>
  <c r="B21" i="4" a="1"/>
  <c r="B21" i="4" s="1"/>
  <c r="S77" i="11" a="1"/>
  <c r="S77" i="11" s="1"/>
  <c r="E73" i="3"/>
  <c r="D6" i="12" a="1"/>
  <c r="D6" i="12" s="1"/>
  <c r="D5" i="12" a="1"/>
  <c r="D5" i="12" s="1"/>
  <c r="D3" i="12" a="1"/>
  <c r="D3" i="12" s="1"/>
  <c r="D7" i="12" a="1"/>
  <c r="D7" i="12" s="1"/>
  <c r="B97" i="3"/>
  <c r="M7" i="11" a="1"/>
  <c r="M9" i="11" a="1"/>
  <c r="M6" i="6" a="1"/>
  <c r="M9" i="11" l="1"/>
  <c r="M7" i="11"/>
  <c r="M6" i="6"/>
  <c r="L70" i="6"/>
  <c r="L69" i="6"/>
  <c r="L46" i="6"/>
  <c r="L10" i="6"/>
  <c r="L60" i="6"/>
  <c r="L52" i="6"/>
  <c r="L30" i="11"/>
  <c r="L32" i="11"/>
  <c r="L34" i="11"/>
  <c r="L24" i="11"/>
  <c r="L26" i="11"/>
  <c r="L28" i="11"/>
  <c r="L66" i="6"/>
  <c r="L45" i="6"/>
  <c r="L28" i="6"/>
  <c r="L27" i="6"/>
  <c r="L54" i="6"/>
  <c r="L30" i="6"/>
  <c r="L42" i="11"/>
  <c r="L44" i="11"/>
  <c r="L46" i="11"/>
  <c r="L36" i="11"/>
  <c r="L38" i="11"/>
  <c r="L40" i="11"/>
  <c r="L40" i="6"/>
  <c r="L26" i="6"/>
  <c r="L72" i="6"/>
  <c r="L25" i="6"/>
  <c r="L71" i="6"/>
  <c r="L53" i="6"/>
  <c r="L54" i="11"/>
  <c r="L56" i="11"/>
  <c r="L58" i="11"/>
  <c r="L48" i="11"/>
  <c r="L50" i="11"/>
  <c r="L52" i="11"/>
  <c r="L24" i="6"/>
  <c r="L19" i="6"/>
  <c r="L17" i="6"/>
  <c r="L6" i="6"/>
  <c r="L15" i="6"/>
  <c r="L37" i="6"/>
  <c r="L66" i="11"/>
  <c r="L68" i="11"/>
  <c r="L70" i="11"/>
  <c r="L60" i="11"/>
  <c r="L62" i="11"/>
  <c r="L64" i="11"/>
  <c r="L21" i="6"/>
  <c r="L75" i="6"/>
  <c r="L73" i="6"/>
  <c r="L7" i="6"/>
  <c r="L76" i="6"/>
  <c r="L5" i="6"/>
  <c r="L6" i="11"/>
  <c r="L8" i="11"/>
  <c r="L9" i="11"/>
  <c r="L72" i="11"/>
  <c r="L74" i="11"/>
  <c r="L76" i="11"/>
  <c r="L62" i="6"/>
  <c r="L43" i="6"/>
  <c r="L22" i="6"/>
  <c r="L59" i="6"/>
  <c r="L31" i="6"/>
  <c r="L49" i="6"/>
  <c r="L19" i="11"/>
  <c r="L21" i="11"/>
  <c r="L11" i="11"/>
  <c r="L13" i="11"/>
  <c r="L15" i="11"/>
  <c r="L4" i="11"/>
  <c r="L77" i="6"/>
  <c r="L47" i="6"/>
  <c r="L29" i="6"/>
  <c r="L61" i="6"/>
  <c r="L57" i="6"/>
  <c r="L23" i="6"/>
  <c r="L31" i="11"/>
  <c r="L33" i="11"/>
  <c r="L23" i="11"/>
  <c r="L25" i="11"/>
  <c r="L27" i="11"/>
  <c r="L17" i="11"/>
  <c r="L67" i="6"/>
  <c r="L58" i="6"/>
  <c r="L36" i="6"/>
  <c r="L4" i="6"/>
  <c r="L64" i="6"/>
  <c r="L38" i="6"/>
  <c r="L43" i="11"/>
  <c r="L45" i="11"/>
  <c r="L35" i="11"/>
  <c r="L37" i="11"/>
  <c r="L39" i="11"/>
  <c r="L29" i="11"/>
  <c r="L32" i="6"/>
  <c r="L50" i="6"/>
  <c r="L12" i="6"/>
  <c r="L51" i="6"/>
  <c r="L65" i="6"/>
  <c r="L11" i="6"/>
  <c r="L35" i="6"/>
  <c r="L55" i="11"/>
  <c r="L57" i="11"/>
  <c r="L47" i="11"/>
  <c r="L49" i="11"/>
  <c r="L51" i="11"/>
  <c r="L41" i="11"/>
  <c r="L33" i="6"/>
  <c r="L20" i="6"/>
  <c r="L18" i="6"/>
  <c r="L14" i="6"/>
  <c r="L16" i="6"/>
  <c r="L13" i="6"/>
  <c r="L3" i="6"/>
  <c r="L67" i="11"/>
  <c r="L69" i="11"/>
  <c r="L59" i="11"/>
  <c r="L61" i="11"/>
  <c r="L63" i="11"/>
  <c r="L53" i="11"/>
  <c r="L9" i="6"/>
  <c r="L8" i="6"/>
  <c r="L74" i="6"/>
  <c r="L68" i="6"/>
  <c r="L39" i="6"/>
  <c r="L5" i="11"/>
  <c r="L7" i="11"/>
  <c r="L10" i="11"/>
  <c r="L71" i="11"/>
  <c r="L73" i="11"/>
  <c r="L75" i="11"/>
  <c r="L65" i="11"/>
  <c r="L44" i="6"/>
  <c r="L55" i="6"/>
  <c r="L34" i="6"/>
  <c r="L63" i="6"/>
  <c r="L56" i="6"/>
  <c r="L18" i="11"/>
  <c r="L20" i="11"/>
  <c r="L22" i="11"/>
  <c r="L12" i="11"/>
  <c r="L14" i="11"/>
  <c r="L16" i="11"/>
  <c r="E74" i="3"/>
  <c r="V78" i="6"/>
  <c r="B98" i="3"/>
  <c r="L3" i="11"/>
  <c r="E75" i="3" l="1"/>
  <c r="B99" i="3"/>
  <c r="D82" i="3"/>
  <c r="D83" i="3" s="1"/>
  <c r="D84" i="3" s="1"/>
  <c r="D85" i="3" s="1"/>
  <c r="D86" i="3" s="1"/>
  <c r="D87" i="3" s="1"/>
  <c r="D88" i="3" s="1"/>
  <c r="D89" i="3" s="1"/>
  <c r="D90" i="3" s="1"/>
  <c r="D91" i="3" s="1"/>
  <c r="D92" i="3" s="1"/>
  <c r="D93" i="3" s="1"/>
  <c r="D94" i="3" s="1"/>
  <c r="D95" i="3" s="1"/>
  <c r="D96" i="3" s="1"/>
  <c r="D97" i="3" s="1"/>
  <c r="D98" i="3" s="1"/>
  <c r="D99" i="3" s="1"/>
  <c r="D100" i="3" s="1"/>
  <c r="D101" i="3" s="1"/>
  <c r="D102" i="3" s="1"/>
  <c r="D103" i="3" s="1"/>
  <c r="D104" i="3" s="1"/>
  <c r="D105" i="3" s="1"/>
  <c r="D106" i="3" s="1"/>
  <c r="D107" i="3" s="1"/>
  <c r="D108" i="3" s="1"/>
  <c r="D109" i="3" s="1"/>
  <c r="D110" i="3" s="1"/>
  <c r="D111" i="3" s="1"/>
  <c r="D112" i="3" s="1"/>
  <c r="D113" i="3" s="1"/>
  <c r="D114" i="3" s="1"/>
  <c r="D115" i="3" s="1"/>
  <c r="D116" i="3" s="1"/>
  <c r="D117" i="3" s="1"/>
  <c r="D118" i="3" s="1"/>
  <c r="D119" i="3" s="1"/>
  <c r="D120" i="3" s="1"/>
  <c r="F72" i="3"/>
  <c r="N8" i="3"/>
  <c r="E14" i="11" l="1" a="1"/>
  <c r="E14" i="11" s="1"/>
  <c r="E50" i="11" a="1"/>
  <c r="E50" i="11" s="1"/>
  <c r="E52" i="11" a="1"/>
  <c r="E52" i="11" s="1"/>
  <c r="E74" i="11" a="1"/>
  <c r="E74" i="11" s="1"/>
  <c r="E16" i="11" a="1"/>
  <c r="E16" i="11" s="1"/>
  <c r="E18" i="11" a="1"/>
  <c r="E18" i="11" s="1"/>
  <c r="E20" i="11" a="1"/>
  <c r="E20" i="11" s="1"/>
  <c r="E22" i="11" a="1"/>
  <c r="E22" i="11" s="1"/>
  <c r="E24" i="11" a="1"/>
  <c r="E24" i="11" s="1"/>
  <c r="E26" i="11" a="1"/>
  <c r="E26" i="11" s="1"/>
  <c r="E43" i="11" a="1"/>
  <c r="E43" i="11" s="1"/>
  <c r="E9" i="11" a="1"/>
  <c r="E9" i="11" s="1"/>
  <c r="E34" i="11" a="1"/>
  <c r="E34" i="11" s="1"/>
  <c r="E37" i="11" a="1"/>
  <c r="E37" i="11" s="1"/>
  <c r="E40" i="11" a="1"/>
  <c r="E40" i="11" s="1"/>
  <c r="E54" i="11" a="1"/>
  <c r="E54" i="11" s="1"/>
  <c r="E56" i="11" a="1"/>
  <c r="E56" i="11" s="1"/>
  <c r="E28" i="11" a="1"/>
  <c r="E28" i="11" s="1"/>
  <c r="E31" i="11" a="1"/>
  <c r="E31" i="11" s="1"/>
  <c r="E45" i="11" a="1"/>
  <c r="E45" i="11" s="1"/>
  <c r="E13" i="11" a="1"/>
  <c r="E13" i="11" s="1"/>
  <c r="E47" i="11" a="1"/>
  <c r="E47" i="11" s="1"/>
  <c r="E49" i="11" a="1"/>
  <c r="E49" i="11" s="1"/>
  <c r="E58" i="11" a="1"/>
  <c r="E58" i="11" s="1"/>
  <c r="E61" i="11" a="1"/>
  <c r="E61" i="11" s="1"/>
  <c r="E63" i="11" a="1"/>
  <c r="E63" i="11" s="1"/>
  <c r="E65" i="11" a="1"/>
  <c r="E65" i="11" s="1"/>
  <c r="E67" i="11" a="1"/>
  <c r="E67" i="11" s="1"/>
  <c r="E6" i="11" a="1"/>
  <c r="E6" i="11" s="1"/>
  <c r="E15" i="11" a="1"/>
  <c r="E15" i="11" s="1"/>
  <c r="E30" i="11" a="1"/>
  <c r="E30" i="11" s="1"/>
  <c r="E51" i="11" a="1"/>
  <c r="E51" i="11" s="1"/>
  <c r="E60" i="11" a="1"/>
  <c r="E60" i="11" s="1"/>
  <c r="E69" i="11" a="1"/>
  <c r="E69" i="11" s="1"/>
  <c r="E17" i="11" a="1"/>
  <c r="E17" i="11" s="1"/>
  <c r="E19" i="11" a="1"/>
  <c r="E19" i="11" s="1"/>
  <c r="E21" i="11" a="1"/>
  <c r="E21" i="11" s="1"/>
  <c r="E23" i="11" a="1"/>
  <c r="E23" i="11" s="1"/>
  <c r="E25" i="11" a="1"/>
  <c r="E25" i="11" s="1"/>
  <c r="E33" i="11" a="1"/>
  <c r="E33" i="11" s="1"/>
  <c r="E36" i="11" a="1"/>
  <c r="E36" i="11" s="1"/>
  <c r="E42" i="11" a="1"/>
  <c r="E42" i="11" s="1"/>
  <c r="E71" i="11" a="1"/>
  <c r="E71" i="11" s="1"/>
  <c r="E39" i="11" a="1"/>
  <c r="E39" i="11" s="1"/>
  <c r="E53" i="11" a="1"/>
  <c r="E53" i="11" s="1"/>
  <c r="E73" i="11" a="1"/>
  <c r="E73" i="11" s="1"/>
  <c r="E27" i="11" a="1"/>
  <c r="E27" i="11" s="1"/>
  <c r="E44" i="11" a="1"/>
  <c r="E44" i="11" s="1"/>
  <c r="E55" i="11" a="1"/>
  <c r="E55" i="11" s="1"/>
  <c r="E57" i="11" a="1"/>
  <c r="E57" i="11" s="1"/>
  <c r="E75" i="11" a="1"/>
  <c r="E75" i="11" s="1"/>
  <c r="E59" i="11" a="1"/>
  <c r="E59" i="11" s="1"/>
  <c r="E62" i="11" a="1"/>
  <c r="E62" i="11" s="1"/>
  <c r="E64" i="11" a="1"/>
  <c r="E64" i="11" s="1"/>
  <c r="E66" i="11" a="1"/>
  <c r="E66" i="11" s="1"/>
  <c r="E68" i="11" a="1"/>
  <c r="E68" i="11" s="1"/>
  <c r="E77" i="11" a="1"/>
  <c r="E77" i="11" s="1"/>
  <c r="E12" i="11" a="1"/>
  <c r="E12" i="11" s="1"/>
  <c r="E72" i="11" a="1"/>
  <c r="E72" i="11" s="1"/>
  <c r="E35" i="11" a="1"/>
  <c r="E35" i="11" s="1"/>
  <c r="E10" i="11" a="1"/>
  <c r="E10" i="11" s="1"/>
  <c r="E29" i="11" a="1"/>
  <c r="E29" i="11" s="1"/>
  <c r="E38" i="11" a="1"/>
  <c r="E38" i="11" s="1"/>
  <c r="E46" i="11" a="1"/>
  <c r="E46" i="11" s="1"/>
  <c r="E48" i="11" a="1"/>
  <c r="E48" i="11" s="1"/>
  <c r="E70" i="11" a="1"/>
  <c r="E70" i="11" s="1"/>
  <c r="E41" i="11" a="1"/>
  <c r="E41" i="11" s="1"/>
  <c r="E32" i="11" a="1"/>
  <c r="E32" i="11" s="1"/>
  <c r="E76" i="11" a="1"/>
  <c r="E76" i="11" s="1"/>
  <c r="E39" i="4" a="1"/>
  <c r="E39" i="4" s="1"/>
  <c r="E41" i="4" a="1"/>
  <c r="E41" i="4" s="1"/>
  <c r="E43" i="4" a="1"/>
  <c r="E43" i="4" s="1"/>
  <c r="E45" i="4" a="1"/>
  <c r="E45" i="4" s="1"/>
  <c r="E47" i="4" a="1"/>
  <c r="E47" i="4" s="1"/>
  <c r="E49" i="4" a="1"/>
  <c r="E49" i="4" s="1"/>
  <c r="E51" i="4" a="1"/>
  <c r="E51" i="4" s="1"/>
  <c r="E53" i="4" a="1"/>
  <c r="E53" i="4" s="1"/>
  <c r="E55" i="4" a="1"/>
  <c r="E55" i="4" s="1"/>
  <c r="E57" i="4" a="1"/>
  <c r="E57" i="4" s="1"/>
  <c r="E59" i="4" a="1"/>
  <c r="E59" i="4" s="1"/>
  <c r="E61" i="4" a="1"/>
  <c r="E61" i="4" s="1"/>
  <c r="E63" i="4" a="1"/>
  <c r="E63" i="4" s="1"/>
  <c r="E65" i="4" a="1"/>
  <c r="E65" i="4" s="1"/>
  <c r="E67" i="4" a="1"/>
  <c r="E67" i="4" s="1"/>
  <c r="E69" i="4" a="1"/>
  <c r="E69" i="4" s="1"/>
  <c r="E71" i="4" a="1"/>
  <c r="E71" i="4" s="1"/>
  <c r="E73" i="4" a="1"/>
  <c r="E73" i="4" s="1"/>
  <c r="E75" i="4" a="1"/>
  <c r="E75" i="4" s="1"/>
  <c r="E77" i="4" a="1"/>
  <c r="E77" i="4" s="1"/>
  <c r="E79" i="4" a="1"/>
  <c r="E79" i="4" s="1"/>
  <c r="E16" i="4" a="1"/>
  <c r="E16" i="4" s="1"/>
  <c r="E81" i="4" a="1"/>
  <c r="E81" i="4" s="1"/>
  <c r="E83" i="4" a="1"/>
  <c r="E83" i="4" s="1"/>
  <c r="E12" i="4" a="1"/>
  <c r="E12" i="4" s="1"/>
  <c r="E18" i="4" a="1"/>
  <c r="E18" i="4" s="1"/>
  <c r="E20" i="4" a="1"/>
  <c r="E20" i="4" s="1"/>
  <c r="E22" i="4" a="1"/>
  <c r="E22" i="4" s="1"/>
  <c r="E24" i="4" a="1"/>
  <c r="E24" i="4" s="1"/>
  <c r="E26" i="4" a="1"/>
  <c r="E26" i="4" s="1"/>
  <c r="E28" i="4" a="1"/>
  <c r="E28" i="4" s="1"/>
  <c r="E30" i="4" a="1"/>
  <c r="E30" i="4" s="1"/>
  <c r="E32" i="4" a="1"/>
  <c r="E32" i="4" s="1"/>
  <c r="E34" i="4" a="1"/>
  <c r="E34" i="4" s="1"/>
  <c r="E35" i="4" a="1"/>
  <c r="E35" i="4" s="1"/>
  <c r="E36" i="4" a="1"/>
  <c r="E36" i="4" s="1"/>
  <c r="E38" i="4" a="1"/>
  <c r="E38" i="4" s="1"/>
  <c r="E40" i="4" a="1"/>
  <c r="E40" i="4" s="1"/>
  <c r="E42" i="4" a="1"/>
  <c r="E42" i="4" s="1"/>
  <c r="E44" i="4" a="1"/>
  <c r="E44" i="4" s="1"/>
  <c r="E46" i="4" a="1"/>
  <c r="E46" i="4" s="1"/>
  <c r="E48" i="4" a="1"/>
  <c r="E48" i="4" s="1"/>
  <c r="E50" i="4" a="1"/>
  <c r="E50" i="4" s="1"/>
  <c r="E52" i="4" a="1"/>
  <c r="E52" i="4" s="1"/>
  <c r="E54" i="4" a="1"/>
  <c r="E54" i="4" s="1"/>
  <c r="E56" i="4" a="1"/>
  <c r="E56" i="4" s="1"/>
  <c r="E58" i="4" a="1"/>
  <c r="E58" i="4" s="1"/>
  <c r="E60" i="4" a="1"/>
  <c r="E60" i="4" s="1"/>
  <c r="E62" i="4" a="1"/>
  <c r="E62" i="4" s="1"/>
  <c r="E64" i="4" a="1"/>
  <c r="E64" i="4" s="1"/>
  <c r="E66" i="4" a="1"/>
  <c r="E66" i="4" s="1"/>
  <c r="E68" i="4" a="1"/>
  <c r="E68" i="4" s="1"/>
  <c r="E70" i="4" a="1"/>
  <c r="E70" i="4" s="1"/>
  <c r="E72" i="4" a="1"/>
  <c r="E72" i="4" s="1"/>
  <c r="E74" i="4" a="1"/>
  <c r="E74" i="4" s="1"/>
  <c r="E76" i="4" a="1"/>
  <c r="E76" i="4" s="1"/>
  <c r="E78" i="4" a="1"/>
  <c r="E78" i="4" s="1"/>
  <c r="E15" i="4" a="1"/>
  <c r="E15" i="4" s="1"/>
  <c r="E80" i="4" a="1"/>
  <c r="E80" i="4" s="1"/>
  <c r="E82" i="4" a="1"/>
  <c r="E82" i="4" s="1"/>
  <c r="E19" i="4" a="1"/>
  <c r="E19" i="4" s="1"/>
  <c r="E21" i="4" a="1"/>
  <c r="E21" i="4" s="1"/>
  <c r="E23" i="4" a="1"/>
  <c r="E23" i="4" s="1"/>
  <c r="E25" i="4" a="1"/>
  <c r="E25" i="4" s="1"/>
  <c r="E27" i="4" a="1"/>
  <c r="E27" i="4" s="1"/>
  <c r="E29" i="4" a="1"/>
  <c r="E29" i="4" s="1"/>
  <c r="E31" i="4" a="1"/>
  <c r="E31" i="4" s="1"/>
  <c r="E33" i="4" a="1"/>
  <c r="E33" i="4" s="1"/>
  <c r="E37" i="4" a="1"/>
  <c r="E37" i="4" s="1"/>
  <c r="E76" i="3"/>
  <c r="B100" i="3"/>
  <c r="F73" i="3"/>
  <c r="I33" i="4" l="1" a="1"/>
  <c r="I33" i="4" s="1"/>
  <c r="G33" i="4" a="1"/>
  <c r="G33" i="4" s="1"/>
  <c r="G56" i="4" a="1"/>
  <c r="G56" i="4" s="1"/>
  <c r="I56" i="4" a="1"/>
  <c r="I56" i="4" s="1"/>
  <c r="G35" i="4" a="1"/>
  <c r="G35" i="4" s="1"/>
  <c r="I35" i="4" a="1"/>
  <c r="I35" i="4" s="1"/>
  <c r="I81" i="4" a="1"/>
  <c r="I81" i="4" s="1"/>
  <c r="G81" i="4" a="1"/>
  <c r="G81" i="4" s="1"/>
  <c r="I61" i="4" a="1"/>
  <c r="I61" i="4" s="1"/>
  <c r="G61" i="4" a="1"/>
  <c r="G61" i="4" s="1"/>
  <c r="G31" i="4" a="1"/>
  <c r="G31" i="4" s="1"/>
  <c r="I31" i="4" a="1"/>
  <c r="I31" i="4" s="1"/>
  <c r="G78" i="4" a="1"/>
  <c r="G78" i="4" s="1"/>
  <c r="I78" i="4" a="1"/>
  <c r="I78" i="4" s="1"/>
  <c r="G54" i="4" a="1"/>
  <c r="G54" i="4" s="1"/>
  <c r="I54" i="4" a="1"/>
  <c r="I54" i="4" s="1"/>
  <c r="G34" i="4" a="1"/>
  <c r="G34" i="4" s="1"/>
  <c r="I34" i="4" a="1"/>
  <c r="I34" i="4" s="1"/>
  <c r="G16" i="4" a="1"/>
  <c r="G16" i="4" s="1"/>
  <c r="I16" i="4" a="1"/>
  <c r="I16" i="4" s="1"/>
  <c r="G59" i="4" a="1"/>
  <c r="G59" i="4" s="1"/>
  <c r="I59" i="4" a="1"/>
  <c r="I59" i="4" s="1"/>
  <c r="G29" i="4" a="1"/>
  <c r="G29" i="4" s="1"/>
  <c r="I29" i="4" a="1"/>
  <c r="I29" i="4" s="1"/>
  <c r="I76" i="4" a="1"/>
  <c r="I76" i="4" s="1"/>
  <c r="G76" i="4" a="1"/>
  <c r="G76" i="4" s="1"/>
  <c r="G52" i="4" a="1"/>
  <c r="G52" i="4" s="1"/>
  <c r="I52" i="4" a="1"/>
  <c r="I52" i="4" s="1"/>
  <c r="I32" i="4" a="1"/>
  <c r="I32" i="4" s="1"/>
  <c r="G32" i="4" a="1"/>
  <c r="G32" i="4" s="1"/>
  <c r="I57" i="4" a="1"/>
  <c r="I57" i="4" s="1"/>
  <c r="G57" i="4" a="1"/>
  <c r="G57" i="4" s="1"/>
  <c r="G27" i="4" a="1"/>
  <c r="G27" i="4" s="1"/>
  <c r="I27" i="4" a="1"/>
  <c r="I27" i="4" s="1"/>
  <c r="I74" i="4" a="1"/>
  <c r="I74" i="4" s="1"/>
  <c r="G74" i="4" a="1"/>
  <c r="G74" i="4" s="1"/>
  <c r="G50" i="4" a="1"/>
  <c r="G50" i="4" s="1"/>
  <c r="I50" i="4" a="1"/>
  <c r="I50" i="4" s="1"/>
  <c r="I30" i="4" a="1"/>
  <c r="I30" i="4" s="1"/>
  <c r="G30" i="4" a="1"/>
  <c r="G30" i="4" s="1"/>
  <c r="G79" i="4" a="1"/>
  <c r="G79" i="4" s="1"/>
  <c r="I79" i="4" a="1"/>
  <c r="I79" i="4" s="1"/>
  <c r="I55" i="4" a="1"/>
  <c r="I55" i="4" s="1"/>
  <c r="G55" i="4" a="1"/>
  <c r="G55" i="4" s="1"/>
  <c r="G25" i="4" a="1"/>
  <c r="G25" i="4" s="1"/>
  <c r="I25" i="4" a="1"/>
  <c r="I25" i="4" s="1"/>
  <c r="I72" i="4" a="1"/>
  <c r="I72" i="4" s="1"/>
  <c r="G72" i="4" a="1"/>
  <c r="G72" i="4" s="1"/>
  <c r="I48" i="4" a="1"/>
  <c r="I48" i="4" s="1"/>
  <c r="G48" i="4" a="1"/>
  <c r="G48" i="4" s="1"/>
  <c r="I28" i="4" a="1"/>
  <c r="I28" i="4" s="1"/>
  <c r="G28" i="4" a="1"/>
  <c r="G28" i="4" s="1"/>
  <c r="G77" i="4" a="1"/>
  <c r="G77" i="4" s="1"/>
  <c r="I77" i="4" a="1"/>
  <c r="I77" i="4" s="1"/>
  <c r="I53" i="4" a="1"/>
  <c r="I53" i="4" s="1"/>
  <c r="G53" i="4" a="1"/>
  <c r="G53" i="4" s="1"/>
  <c r="G23" i="4" a="1"/>
  <c r="G23" i="4" s="1"/>
  <c r="I23" i="4" a="1"/>
  <c r="I23" i="4" s="1"/>
  <c r="G70" i="4" a="1"/>
  <c r="G70" i="4" s="1"/>
  <c r="I70" i="4" a="1"/>
  <c r="I70" i="4" s="1"/>
  <c r="G46" i="4" a="1"/>
  <c r="G46" i="4" s="1"/>
  <c r="I46" i="4" a="1"/>
  <c r="I46" i="4" s="1"/>
  <c r="G26" i="4" a="1"/>
  <c r="G26" i="4" s="1"/>
  <c r="I26" i="4" a="1"/>
  <c r="I26" i="4" s="1"/>
  <c r="I75" i="4" a="1"/>
  <c r="I75" i="4" s="1"/>
  <c r="G75" i="4" a="1"/>
  <c r="G75" i="4" s="1"/>
  <c r="I51" i="4" a="1"/>
  <c r="I51" i="4" s="1"/>
  <c r="G51" i="4" a="1"/>
  <c r="G51" i="4" s="1"/>
  <c r="I21" i="4" a="1"/>
  <c r="I21" i="4" s="1"/>
  <c r="G21" i="4" a="1"/>
  <c r="G21" i="4" s="1"/>
  <c r="G68" i="4" a="1"/>
  <c r="G68" i="4" s="1"/>
  <c r="I68" i="4" a="1"/>
  <c r="I68" i="4" s="1"/>
  <c r="I44" i="4" a="1"/>
  <c r="I44" i="4" s="1"/>
  <c r="G44" i="4" a="1"/>
  <c r="G44" i="4" s="1"/>
  <c r="G24" i="4" a="1"/>
  <c r="G24" i="4" s="1"/>
  <c r="I24" i="4" a="1"/>
  <c r="I24" i="4" s="1"/>
  <c r="G73" i="4" a="1"/>
  <c r="G73" i="4" s="1"/>
  <c r="I73" i="4" a="1"/>
  <c r="I73" i="4" s="1"/>
  <c r="G49" i="4" a="1"/>
  <c r="G49" i="4" s="1"/>
  <c r="I49" i="4" a="1"/>
  <c r="I49" i="4" s="1"/>
  <c r="I19" i="4" a="1"/>
  <c r="I19" i="4" s="1"/>
  <c r="G19" i="4" a="1"/>
  <c r="G19" i="4" s="1"/>
  <c r="I66" i="4" a="1"/>
  <c r="I66" i="4" s="1"/>
  <c r="G66" i="4" a="1"/>
  <c r="G66" i="4" s="1"/>
  <c r="G42" i="4" a="1"/>
  <c r="G42" i="4" s="1"/>
  <c r="I42" i="4" a="1"/>
  <c r="I42" i="4" s="1"/>
  <c r="G22" i="4" a="1"/>
  <c r="G22" i="4" s="1"/>
  <c r="I22" i="4" a="1"/>
  <c r="I22" i="4" s="1"/>
  <c r="G71" i="4" a="1"/>
  <c r="G71" i="4" s="1"/>
  <c r="I71" i="4" a="1"/>
  <c r="I71" i="4" s="1"/>
  <c r="G47" i="4" a="1"/>
  <c r="G47" i="4" s="1"/>
  <c r="I47" i="4" a="1"/>
  <c r="I47" i="4" s="1"/>
  <c r="I64" i="4" a="1"/>
  <c r="I64" i="4" s="1"/>
  <c r="G64" i="4" a="1"/>
  <c r="G64" i="4" s="1"/>
  <c r="I40" i="4" a="1"/>
  <c r="I40" i="4" s="1"/>
  <c r="G40" i="4" a="1"/>
  <c r="G40" i="4" s="1"/>
  <c r="I20" i="4" a="1"/>
  <c r="I20" i="4" s="1"/>
  <c r="G20" i="4" a="1"/>
  <c r="G20" i="4" s="1"/>
  <c r="I69" i="4" a="1"/>
  <c r="I69" i="4" s="1"/>
  <c r="G69" i="4" a="1"/>
  <c r="G69" i="4" s="1"/>
  <c r="G45" i="4" a="1"/>
  <c r="G45" i="4" s="1"/>
  <c r="I45" i="4" a="1"/>
  <c r="I45" i="4" s="1"/>
  <c r="I82" i="4" a="1"/>
  <c r="I82" i="4" s="1"/>
  <c r="G82" i="4" a="1"/>
  <c r="G82" i="4" s="1"/>
  <c r="G62" i="4" a="1"/>
  <c r="G62" i="4" s="1"/>
  <c r="I62" i="4" a="1"/>
  <c r="I62" i="4" s="1"/>
  <c r="G18" i="4" a="1"/>
  <c r="G18" i="4" s="1"/>
  <c r="I18" i="4" a="1"/>
  <c r="I18" i="4" s="1"/>
  <c r="G67" i="4" a="1"/>
  <c r="G67" i="4" s="1"/>
  <c r="I67" i="4" a="1"/>
  <c r="I67" i="4" s="1"/>
  <c r="G43" i="4" a="1"/>
  <c r="G43" i="4" s="1"/>
  <c r="I43" i="4" a="1"/>
  <c r="I43" i="4" s="1"/>
  <c r="G37" i="4" a="1"/>
  <c r="G37" i="4" s="1"/>
  <c r="I37" i="4" a="1"/>
  <c r="I37" i="4" s="1"/>
  <c r="G80" i="4" a="1"/>
  <c r="G80" i="4" s="1"/>
  <c r="I80" i="4" a="1"/>
  <c r="I80" i="4" s="1"/>
  <c r="G60" i="4" a="1"/>
  <c r="G60" i="4" s="1"/>
  <c r="I60" i="4" a="1"/>
  <c r="I60" i="4" s="1"/>
  <c r="G38" i="4" a="1"/>
  <c r="G38" i="4" s="1"/>
  <c r="I38" i="4" a="1"/>
  <c r="I38" i="4" s="1"/>
  <c r="I12" i="4" a="1"/>
  <c r="I12" i="4" s="1"/>
  <c r="G12" i="4" a="1"/>
  <c r="G12" i="4" s="1"/>
  <c r="G65" i="4" a="1"/>
  <c r="G65" i="4" s="1"/>
  <c r="I65" i="4" a="1"/>
  <c r="I65" i="4" s="1"/>
  <c r="I41" i="4" a="1"/>
  <c r="I41" i="4" s="1"/>
  <c r="G41" i="4" a="1"/>
  <c r="G41" i="4" s="1"/>
  <c r="G15" i="4" a="1"/>
  <c r="G15" i="4" s="1"/>
  <c r="I15" i="4" a="1"/>
  <c r="I15" i="4" s="1"/>
  <c r="I58" i="4" a="1"/>
  <c r="I58" i="4" s="1"/>
  <c r="G58" i="4" a="1"/>
  <c r="G58" i="4" s="1"/>
  <c r="G36" i="4" a="1"/>
  <c r="G36" i="4" s="1"/>
  <c r="I36" i="4" a="1"/>
  <c r="I36" i="4" s="1"/>
  <c r="G83" i="4" a="1"/>
  <c r="G83" i="4" s="1"/>
  <c r="I83" i="4" a="1"/>
  <c r="I83" i="4" s="1"/>
  <c r="I63" i="4" a="1"/>
  <c r="I63" i="4" s="1"/>
  <c r="G63" i="4" a="1"/>
  <c r="G63" i="4" s="1"/>
  <c r="I39" i="4" a="1"/>
  <c r="I39" i="4" s="1"/>
  <c r="G39" i="4" a="1"/>
  <c r="G39" i="4" s="1"/>
  <c r="T20" i="11" a="1"/>
  <c r="T20" i="11" s="1"/>
  <c r="T32" i="11" a="1"/>
  <c r="T32" i="11" s="1"/>
  <c r="T56" i="11" a="1"/>
  <c r="T56" i="11" s="1"/>
  <c r="T68" i="11" a="1"/>
  <c r="T68" i="11" s="1"/>
  <c r="T6" i="11" a="1"/>
  <c r="T6" i="11" s="1"/>
  <c r="T21" i="11" a="1"/>
  <c r="T21" i="11" s="1"/>
  <c r="T45" i="11" a="1"/>
  <c r="T45" i="11" s="1"/>
  <c r="T57" i="11" a="1"/>
  <c r="T57" i="11" s="1"/>
  <c r="T69" i="11" a="1"/>
  <c r="T69" i="11" s="1"/>
  <c r="T31" i="11" a="1"/>
  <c r="T31" i="11" s="1"/>
  <c r="T9" i="11" a="1"/>
  <c r="T9" i="11" s="1"/>
  <c r="T22" i="11" a="1"/>
  <c r="T22" i="11" s="1"/>
  <c r="T34" i="11" a="1"/>
  <c r="T34" i="11" s="1"/>
  <c r="T46" i="11" a="1"/>
  <c r="T46" i="11" s="1"/>
  <c r="T58" i="11" a="1"/>
  <c r="T58" i="11" s="1"/>
  <c r="T70" i="11" a="1"/>
  <c r="T70" i="11" s="1"/>
  <c r="T67" i="11" a="1"/>
  <c r="T67" i="11" s="1"/>
  <c r="T71" i="11" a="1"/>
  <c r="T71" i="11" s="1"/>
  <c r="T10" i="11" a="1"/>
  <c r="T10" i="11" s="1"/>
  <c r="T12" i="11" a="1"/>
  <c r="T12" i="11" s="1"/>
  <c r="T24" i="11" a="1"/>
  <c r="T24" i="11" s="1"/>
  <c r="T36" i="11" a="1"/>
  <c r="T36" i="11" s="1"/>
  <c r="T48" i="11" a="1"/>
  <c r="T48" i="11" s="1"/>
  <c r="T60" i="11" a="1"/>
  <c r="T60" i="11" s="1"/>
  <c r="T72" i="11" a="1"/>
  <c r="T72" i="11" s="1"/>
  <c r="T35" i="11" a="1"/>
  <c r="T35" i="11" s="1"/>
  <c r="T13" i="11" a="1"/>
  <c r="T13" i="11" s="1"/>
  <c r="T25" i="11" a="1"/>
  <c r="T25" i="11" s="1"/>
  <c r="T37" i="11" a="1"/>
  <c r="T37" i="11" s="1"/>
  <c r="T49" i="11" a="1"/>
  <c r="T49" i="11" s="1"/>
  <c r="T61" i="11" a="1"/>
  <c r="T61" i="11" s="1"/>
  <c r="T73" i="11" a="1"/>
  <c r="T73" i="11" s="1"/>
  <c r="T23" i="11" a="1"/>
  <c r="T23" i="11" s="1"/>
  <c r="T14" i="11" a="1"/>
  <c r="T14" i="11" s="1"/>
  <c r="T26" i="11" a="1"/>
  <c r="T26" i="11" s="1"/>
  <c r="T38" i="11" a="1"/>
  <c r="T38" i="11" s="1"/>
  <c r="T50" i="11" a="1"/>
  <c r="T50" i="11" s="1"/>
  <c r="T62" i="11" a="1"/>
  <c r="T62" i="11" s="1"/>
  <c r="T74" i="11" a="1"/>
  <c r="T74" i="11" s="1"/>
  <c r="T43" i="11" a="1"/>
  <c r="T43" i="11" s="1"/>
  <c r="T15" i="11" a="1"/>
  <c r="T15" i="11" s="1"/>
  <c r="T27" i="11" a="1"/>
  <c r="T27" i="11" s="1"/>
  <c r="T39" i="11" a="1"/>
  <c r="T39" i="11" s="1"/>
  <c r="T51" i="11" a="1"/>
  <c r="T51" i="11" s="1"/>
  <c r="T63" i="11" a="1"/>
  <c r="T63" i="11" s="1"/>
  <c r="T75" i="11" a="1"/>
  <c r="T75" i="11" s="1"/>
  <c r="T55" i="11" a="1"/>
  <c r="T55" i="11" s="1"/>
  <c r="T59" i="11" a="1"/>
  <c r="T59" i="11" s="1"/>
  <c r="T16" i="11" a="1"/>
  <c r="T16" i="11" s="1"/>
  <c r="T28" i="11" a="1"/>
  <c r="T28" i="11" s="1"/>
  <c r="T40" i="11" a="1"/>
  <c r="T40" i="11" s="1"/>
  <c r="T52" i="11" a="1"/>
  <c r="T52" i="11" s="1"/>
  <c r="T64" i="11" a="1"/>
  <c r="T64" i="11" s="1"/>
  <c r="T76" i="11" a="1"/>
  <c r="T76" i="11" s="1"/>
  <c r="T17" i="11" a="1"/>
  <c r="T17" i="11" s="1"/>
  <c r="T29" i="11" a="1"/>
  <c r="T29" i="11" s="1"/>
  <c r="T41" i="11" a="1"/>
  <c r="T41" i="11" s="1"/>
  <c r="T53" i="11" a="1"/>
  <c r="T53" i="11" s="1"/>
  <c r="T65" i="11" a="1"/>
  <c r="T65" i="11" s="1"/>
  <c r="T77" i="11" a="1"/>
  <c r="T77" i="11" s="1"/>
  <c r="T18" i="11" a="1"/>
  <c r="T18" i="11" s="1"/>
  <c r="T30" i="11" a="1"/>
  <c r="T30" i="11" s="1"/>
  <c r="T42" i="11" a="1"/>
  <c r="T42" i="11" s="1"/>
  <c r="T54" i="11" a="1"/>
  <c r="T54" i="11" s="1"/>
  <c r="T66" i="11" a="1"/>
  <c r="T66" i="11" s="1"/>
  <c r="E77" i="3"/>
  <c r="T47" i="11" s="1" a="1"/>
  <c r="T47" i="11" s="1"/>
  <c r="B101" i="3"/>
  <c r="F74" i="3"/>
  <c r="E78" i="3" l="1"/>
  <c r="B102" i="3"/>
  <c r="F75" i="3"/>
  <c r="E79" i="3" l="1"/>
  <c r="B103" i="3"/>
  <c r="F76" i="3"/>
  <c r="E80" i="3" l="1"/>
  <c r="T19" i="11" s="1" a="1"/>
  <c r="T19" i="11" s="1"/>
  <c r="B104" i="3"/>
  <c r="F77" i="3"/>
  <c r="E81" i="3" l="1"/>
  <c r="B105" i="3"/>
  <c r="F78" i="3"/>
  <c r="I9" i="5"/>
  <c r="J9" i="5" s="1"/>
  <c r="H9" i="5"/>
  <c r="I8" i="5"/>
  <c r="J8" i="5" s="1"/>
  <c r="H8" i="5"/>
  <c r="I7" i="5"/>
  <c r="J7" i="5" s="1"/>
  <c r="H7" i="5"/>
  <c r="I6" i="5"/>
  <c r="J6" i="5" s="1"/>
  <c r="H6" i="5"/>
  <c r="I5" i="5"/>
  <c r="J5" i="5" s="1"/>
  <c r="D8" i="10" s="1" a="1"/>
  <c r="D8" i="10" s="1"/>
  <c r="H5" i="5"/>
  <c r="I4" i="5"/>
  <c r="J4" i="5" s="1"/>
  <c r="H4" i="5"/>
  <c r="I3" i="5"/>
  <c r="J3" i="5" s="1"/>
  <c r="H3" i="5"/>
  <c r="J2" i="5"/>
  <c r="H2" i="5"/>
  <c r="D7" i="10" l="1" a="1"/>
  <c r="D7" i="10" s="1"/>
  <c r="D6" i="10" a="1"/>
  <c r="D6" i="10" s="1"/>
  <c r="D4" i="10" a="1"/>
  <c r="D4" i="10" s="1"/>
  <c r="D5" i="10" a="1"/>
  <c r="D5" i="10" s="1"/>
  <c r="D9" i="10" a="1"/>
  <c r="D9" i="10" s="1"/>
  <c r="D3" i="10" a="1"/>
  <c r="D3" i="10" s="1"/>
  <c r="D2" i="10" a="1"/>
  <c r="D2" i="10" s="1"/>
  <c r="E82" i="3"/>
  <c r="T44" i="11" s="1" a="1"/>
  <c r="T44" i="11" s="1"/>
  <c r="B106" i="3"/>
  <c r="F79" i="3"/>
  <c r="L5" i="3" a="1"/>
  <c r="L5" i="3" s="1"/>
  <c r="E83" i="3" l="1"/>
  <c r="B107" i="3"/>
  <c r="F80" i="3"/>
  <c r="N9" i="3"/>
  <c r="N11" i="3" s="1" a="1"/>
  <c r="N11" i="3" s="1"/>
  <c r="N12" i="3" s="1"/>
  <c r="G79" i="3" s="1"/>
  <c r="G2" i="1"/>
  <c r="G3" i="1"/>
  <c r="G4" i="1"/>
  <c r="G5" i="1"/>
  <c r="G6" i="1"/>
  <c r="G7" i="1"/>
  <c r="E84" i="3" l="1"/>
  <c r="B108" i="3"/>
  <c r="G71" i="3"/>
  <c r="G72" i="3"/>
  <c r="G73" i="3"/>
  <c r="G74" i="3"/>
  <c r="G75" i="3"/>
  <c r="G76" i="3"/>
  <c r="G77" i="3"/>
  <c r="H53" i="4" s="1" a="1"/>
  <c r="H53" i="4" s="1"/>
  <c r="J53" i="4" s="1"/>
  <c r="H47" i="11" s="1" a="1"/>
  <c r="H47" i="11" s="1"/>
  <c r="G78" i="3"/>
  <c r="F81" i="3"/>
  <c r="G80" i="3"/>
  <c r="H25" i="4" s="1" a="1"/>
  <c r="H25" i="4" s="1"/>
  <c r="J25" i="4" s="1"/>
  <c r="H19" i="11" s="1" a="1"/>
  <c r="H19" i="11" s="1"/>
  <c r="K2" i="1"/>
  <c r="K3" i="1"/>
  <c r="K4" i="1"/>
  <c r="K6" i="1"/>
  <c r="K7" i="1"/>
  <c r="RG35" i="2" l="1" a="1"/>
  <c r="RG35" i="2" s="1"/>
  <c r="B13" i="4" a="1"/>
  <c r="B13" i="4" s="1"/>
  <c r="S7" i="11" a="1"/>
  <c r="S7" i="11" s="1"/>
  <c r="E7" i="11" a="1"/>
  <c r="E7" i="11" s="1"/>
  <c r="E13" i="4" a="1"/>
  <c r="E13" i="4" s="1"/>
  <c r="RG32" i="2" a="1"/>
  <c r="RG32" i="2" s="1"/>
  <c r="B10" i="4" a="1"/>
  <c r="B10" i="4" s="1"/>
  <c r="S4" i="11" a="1"/>
  <c r="S4" i="11" s="1"/>
  <c r="E10" i="4" a="1"/>
  <c r="E10" i="4" s="1"/>
  <c r="E4" i="11" a="1"/>
  <c r="E4" i="11" s="1"/>
  <c r="RG36" i="2" a="1"/>
  <c r="RG36" i="2" s="1"/>
  <c r="B14" i="4" a="1"/>
  <c r="B14" i="4" s="1"/>
  <c r="S8" i="11" a="1"/>
  <c r="S8" i="11" s="1"/>
  <c r="E8" i="11" a="1"/>
  <c r="E8" i="11" s="1"/>
  <c r="E14" i="4" a="1"/>
  <c r="E14" i="4" s="1"/>
  <c r="RG33" i="2" a="1"/>
  <c r="RG33" i="2" s="1"/>
  <c r="B11" i="4" a="1"/>
  <c r="B11" i="4" s="1"/>
  <c r="S5" i="11" a="1"/>
  <c r="S5" i="11" s="1"/>
  <c r="T5" i="11" s="1" a="1"/>
  <c r="T5" i="11" s="1"/>
  <c r="E11" i="4" a="1"/>
  <c r="E11" i="4" s="1"/>
  <c r="E5" i="11" a="1"/>
  <c r="E5" i="11" s="1"/>
  <c r="RG31" i="2" a="1"/>
  <c r="RG31" i="2" s="1"/>
  <c r="B9" i="4" a="1"/>
  <c r="B9" i="4" s="1"/>
  <c r="S3" i="11" a="1"/>
  <c r="S3" i="11" s="1"/>
  <c r="E9" i="4" a="1"/>
  <c r="E9" i="4" s="1"/>
  <c r="H9" i="4" s="1" a="1"/>
  <c r="H9" i="4" s="1"/>
  <c r="E3" i="11" a="1"/>
  <c r="E3" i="11" s="1"/>
  <c r="P53" i="4"/>
  <c r="O53" i="4"/>
  <c r="H11" i="4" a="1"/>
  <c r="H11" i="4" s="1"/>
  <c r="H12" i="4" a="1"/>
  <c r="H12" i="4" s="1"/>
  <c r="J12" i="4" s="1"/>
  <c r="H6" i="11" s="1" a="1"/>
  <c r="H6" i="11" s="1"/>
  <c r="H13" i="4" a="1"/>
  <c r="H13" i="4" s="1"/>
  <c r="H81" i="4" a="1"/>
  <c r="H81" i="4" s="1"/>
  <c r="J81" i="4" s="1"/>
  <c r="H75" i="11" s="1" a="1"/>
  <c r="H75" i="11" s="1"/>
  <c r="H77" i="4" a="1"/>
  <c r="H77" i="4" s="1"/>
  <c r="J77" i="4" s="1"/>
  <c r="H71" i="11" s="1" a="1"/>
  <c r="H71" i="11" s="1"/>
  <c r="H21" i="4" a="1"/>
  <c r="H21" i="4" s="1"/>
  <c r="J21" i="4" s="1"/>
  <c r="H15" i="11" s="1" a="1"/>
  <c r="H15" i="11" s="1"/>
  <c r="H54" i="4" a="1"/>
  <c r="H54" i="4" s="1"/>
  <c r="J54" i="4" s="1"/>
  <c r="H48" i="11" s="1" a="1"/>
  <c r="H48" i="11" s="1"/>
  <c r="H29" i="4" a="1"/>
  <c r="H29" i="4" s="1"/>
  <c r="J29" i="4" s="1"/>
  <c r="H23" i="11" s="1" a="1"/>
  <c r="H23" i="11" s="1"/>
  <c r="H14" i="4" a="1"/>
  <c r="H14" i="4" s="1"/>
  <c r="H46" i="4" a="1"/>
  <c r="H46" i="4" s="1"/>
  <c r="J46" i="4" s="1"/>
  <c r="H40" i="11" s="1" a="1"/>
  <c r="H40" i="11" s="1"/>
  <c r="H73" i="4" a="1"/>
  <c r="H73" i="4" s="1"/>
  <c r="J73" i="4" s="1"/>
  <c r="H67" i="11" s="1" a="1"/>
  <c r="H67" i="11" s="1"/>
  <c r="H37" i="4" a="1"/>
  <c r="H37" i="4" s="1"/>
  <c r="J37" i="4" s="1"/>
  <c r="H31" i="11" s="1" a="1"/>
  <c r="H31" i="11" s="1"/>
  <c r="H15" i="4" a="1"/>
  <c r="H15" i="4" s="1"/>
  <c r="J15" i="4" s="1"/>
  <c r="H9" i="11" s="1" a="1"/>
  <c r="H9" i="11" s="1"/>
  <c r="H33" i="4" a="1"/>
  <c r="H33" i="4" s="1"/>
  <c r="J33" i="4" s="1"/>
  <c r="H27" i="11" s="1" a="1"/>
  <c r="H27" i="11" s="1"/>
  <c r="H42" i="4" a="1"/>
  <c r="H42" i="4" s="1"/>
  <c r="J42" i="4" s="1"/>
  <c r="H36" i="11" s="1" a="1"/>
  <c r="H36" i="11" s="1"/>
  <c r="H69" i="4" a="1"/>
  <c r="H69" i="4" s="1"/>
  <c r="J69" i="4" s="1"/>
  <c r="H63" i="11" s="1" a="1"/>
  <c r="H63" i="11" s="1"/>
  <c r="H61" i="4" a="1"/>
  <c r="H61" i="4" s="1"/>
  <c r="J61" i="4" s="1"/>
  <c r="H55" i="11" s="1" a="1"/>
  <c r="H55" i="11" s="1"/>
  <c r="H76" i="4" a="1"/>
  <c r="H76" i="4" s="1"/>
  <c r="J76" i="4" s="1"/>
  <c r="H70" i="11" s="1" a="1"/>
  <c r="H70" i="11" s="1"/>
  <c r="H68" i="4" a="1"/>
  <c r="H68" i="4" s="1"/>
  <c r="J68" i="4" s="1"/>
  <c r="H62" i="11" s="1" a="1"/>
  <c r="H62" i="11" s="1"/>
  <c r="H34" i="4" a="1"/>
  <c r="H34" i="4" s="1"/>
  <c r="J34" i="4" s="1"/>
  <c r="H28" i="11" s="1" a="1"/>
  <c r="H28" i="11" s="1"/>
  <c r="H72" i="4" a="1"/>
  <c r="H72" i="4" s="1"/>
  <c r="J72" i="4" s="1"/>
  <c r="H66" i="11" s="1" a="1"/>
  <c r="H66" i="11" s="1"/>
  <c r="H26" i="4" a="1"/>
  <c r="H26" i="4" s="1"/>
  <c r="J26" i="4" s="1"/>
  <c r="H20" i="11" s="1" a="1"/>
  <c r="H20" i="11" s="1"/>
  <c r="H49" i="4" a="1"/>
  <c r="H49" i="4" s="1"/>
  <c r="J49" i="4" s="1"/>
  <c r="H43" i="11" s="1" a="1"/>
  <c r="H43" i="11" s="1"/>
  <c r="H22" i="4" a="1"/>
  <c r="H22" i="4" s="1"/>
  <c r="J22" i="4" s="1"/>
  <c r="H16" i="11" s="1" a="1"/>
  <c r="H16" i="11" s="1"/>
  <c r="H45" i="4" a="1"/>
  <c r="H45" i="4" s="1"/>
  <c r="J45" i="4" s="1"/>
  <c r="H39" i="11" s="1" a="1"/>
  <c r="H39" i="11" s="1"/>
  <c r="H18" i="4" a="1"/>
  <c r="H18" i="4" s="1"/>
  <c r="J18" i="4" s="1"/>
  <c r="H12" i="11" s="1" a="1"/>
  <c r="H12" i="11" s="1"/>
  <c r="H80" i="4" a="1"/>
  <c r="H80" i="4" s="1"/>
  <c r="J80" i="4" s="1"/>
  <c r="H74" i="11" s="1" a="1"/>
  <c r="H74" i="11" s="1"/>
  <c r="H57" i="4" a="1"/>
  <c r="H57" i="4" s="1"/>
  <c r="J57" i="4" s="1"/>
  <c r="H51" i="11" s="1" a="1"/>
  <c r="H51" i="11" s="1"/>
  <c r="H30" i="4" a="1"/>
  <c r="H30" i="4" s="1"/>
  <c r="J30" i="4" s="1"/>
  <c r="H24" i="11" s="1" a="1"/>
  <c r="H24" i="11" s="1"/>
  <c r="H64" i="4" a="1"/>
  <c r="H64" i="4" s="1"/>
  <c r="J64" i="4" s="1"/>
  <c r="H58" i="11" s="1" a="1"/>
  <c r="H58" i="11" s="1"/>
  <c r="H65" i="4" a="1"/>
  <c r="H65" i="4" s="1"/>
  <c r="J65" i="4" s="1"/>
  <c r="H59" i="11" s="1" a="1"/>
  <c r="H59" i="11" s="1"/>
  <c r="H56" i="4" a="1"/>
  <c r="H56" i="4" s="1"/>
  <c r="J56" i="4" s="1"/>
  <c r="H50" i="11" s="1" a="1"/>
  <c r="H50" i="11" s="1"/>
  <c r="H31" i="4" a="1"/>
  <c r="H31" i="4" s="1"/>
  <c r="J31" i="4" s="1"/>
  <c r="H25" i="11" s="1" a="1"/>
  <c r="H25" i="11" s="1"/>
  <c r="H44" i="4" a="1"/>
  <c r="H44" i="4" s="1"/>
  <c r="J44" i="4" s="1"/>
  <c r="H38" i="11" s="1" a="1"/>
  <c r="H38" i="11" s="1"/>
  <c r="H41" i="4" a="1"/>
  <c r="H41" i="4" s="1"/>
  <c r="J41" i="4" s="1"/>
  <c r="H35" i="11" s="1" a="1"/>
  <c r="H35" i="11" s="1"/>
  <c r="H52" i="4" a="1"/>
  <c r="H52" i="4" s="1"/>
  <c r="J52" i="4" s="1"/>
  <c r="H46" i="11" s="1" a="1"/>
  <c r="H46" i="11" s="1"/>
  <c r="H27" i="4" a="1"/>
  <c r="H27" i="4" s="1"/>
  <c r="J27" i="4" s="1"/>
  <c r="H21" i="11" s="1" a="1"/>
  <c r="H21" i="11" s="1"/>
  <c r="H79" i="4" a="1"/>
  <c r="H79" i="4" s="1"/>
  <c r="J79" i="4" s="1"/>
  <c r="H73" i="11" s="1" a="1"/>
  <c r="H73" i="11" s="1"/>
  <c r="H23" i="4" a="1"/>
  <c r="H23" i="4" s="1"/>
  <c r="J23" i="4" s="1"/>
  <c r="H17" i="11" s="1" a="1"/>
  <c r="H17" i="11" s="1"/>
  <c r="H19" i="4" a="1"/>
  <c r="H19" i="4" s="1"/>
  <c r="J19" i="4" s="1"/>
  <c r="H13" i="11" s="1" a="1"/>
  <c r="H13" i="11" s="1"/>
  <c r="H71" i="4" a="1"/>
  <c r="H71" i="4" s="1"/>
  <c r="J71" i="4" s="1"/>
  <c r="H65" i="11" s="1" a="1"/>
  <c r="H65" i="11" s="1"/>
  <c r="H67" i="4" a="1"/>
  <c r="H67" i="4" s="1"/>
  <c r="J67" i="4" s="1"/>
  <c r="H61" i="11" s="1" a="1"/>
  <c r="H61" i="11" s="1"/>
  <c r="H60" i="4" a="1"/>
  <c r="H60" i="4" s="1"/>
  <c r="J60" i="4" s="1"/>
  <c r="H54" i="11" s="1" a="1"/>
  <c r="H54" i="11" s="1"/>
  <c r="H36" i="4" a="1"/>
  <c r="H36" i="4" s="1"/>
  <c r="J36" i="4" s="1"/>
  <c r="H30" i="11" s="1" a="1"/>
  <c r="H30" i="11" s="1"/>
  <c r="H16" i="4" a="1"/>
  <c r="H16" i="4" s="1"/>
  <c r="J16" i="4" s="1"/>
  <c r="H10" i="11" s="1" a="1"/>
  <c r="H10" i="11" s="1"/>
  <c r="H48" i="4" a="1"/>
  <c r="H48" i="4" s="1"/>
  <c r="J48" i="4" s="1"/>
  <c r="H42" i="11" s="1" a="1"/>
  <c r="H42" i="11" s="1"/>
  <c r="H75" i="4" a="1"/>
  <c r="H75" i="4" s="1"/>
  <c r="J75" i="4" s="1"/>
  <c r="H69" i="11" s="1" a="1"/>
  <c r="H69" i="11" s="1"/>
  <c r="H40" i="4" a="1"/>
  <c r="H40" i="4" s="1"/>
  <c r="J40" i="4" s="1"/>
  <c r="H34" i="11" s="1" a="1"/>
  <c r="H34" i="11" s="1"/>
  <c r="H82" i="4" a="1"/>
  <c r="H82" i="4" s="1"/>
  <c r="J82" i="4" s="1"/>
  <c r="H76" i="11" s="1" a="1"/>
  <c r="H76" i="11" s="1"/>
  <c r="H32" i="4" a="1"/>
  <c r="H32" i="4" s="1"/>
  <c r="J32" i="4" s="1"/>
  <c r="H26" i="11" s="1" a="1"/>
  <c r="H26" i="11" s="1"/>
  <c r="H28" i="4" a="1"/>
  <c r="H28" i="4" s="1"/>
  <c r="J28" i="4" s="1"/>
  <c r="H22" i="11" s="1" a="1"/>
  <c r="H22" i="11" s="1"/>
  <c r="H70" i="4" a="1"/>
  <c r="H70" i="4" s="1"/>
  <c r="J70" i="4" s="1"/>
  <c r="H64" i="11" s="1" a="1"/>
  <c r="H64" i="11" s="1"/>
  <c r="H20" i="4" a="1"/>
  <c r="H20" i="4" s="1"/>
  <c r="J20" i="4" s="1"/>
  <c r="H14" i="11" s="1" a="1"/>
  <c r="H14" i="11" s="1"/>
  <c r="H35" i="4" a="1"/>
  <c r="H35" i="4" s="1"/>
  <c r="J35" i="4" s="1"/>
  <c r="H29" i="11" s="1" a="1"/>
  <c r="H29" i="11" s="1"/>
  <c r="H78" i="4" a="1"/>
  <c r="H78" i="4" s="1"/>
  <c r="J78" i="4" s="1"/>
  <c r="H72" i="11" s="1" a="1"/>
  <c r="H72" i="11" s="1"/>
  <c r="H59" i="4" a="1"/>
  <c r="H59" i="4" s="1"/>
  <c r="J59" i="4" s="1"/>
  <c r="H53" i="11" s="1" a="1"/>
  <c r="H53" i="11" s="1"/>
  <c r="H55" i="4" a="1"/>
  <c r="H55" i="4" s="1"/>
  <c r="J55" i="4" s="1"/>
  <c r="H49" i="11" s="1" a="1"/>
  <c r="H49" i="11" s="1"/>
  <c r="H51" i="4" a="1"/>
  <c r="H51" i="4" s="1"/>
  <c r="J51" i="4" s="1"/>
  <c r="H45" i="11" s="1" a="1"/>
  <c r="H45" i="11" s="1"/>
  <c r="H24" i="4" a="1"/>
  <c r="H24" i="4" s="1"/>
  <c r="J24" i="4" s="1"/>
  <c r="H18" i="11" s="1" a="1"/>
  <c r="H18" i="11" s="1"/>
  <c r="H47" i="4" a="1"/>
  <c r="H47" i="4" s="1"/>
  <c r="J47" i="4" s="1"/>
  <c r="H41" i="11" s="1" a="1"/>
  <c r="H41" i="11" s="1"/>
  <c r="H62" i="4" a="1"/>
  <c r="H62" i="4" s="1"/>
  <c r="J62" i="4" s="1"/>
  <c r="H56" i="11" s="1" a="1"/>
  <c r="H56" i="11" s="1"/>
  <c r="H43" i="4" a="1"/>
  <c r="H43" i="4" s="1"/>
  <c r="J43" i="4" s="1"/>
  <c r="H37" i="11" s="1" a="1"/>
  <c r="H37" i="11" s="1"/>
  <c r="H38" i="4" a="1"/>
  <c r="H38" i="4" s="1"/>
  <c r="J38" i="4" s="1"/>
  <c r="H32" i="11" s="1" a="1"/>
  <c r="H32" i="11" s="1"/>
  <c r="H83" i="4" a="1"/>
  <c r="H83" i="4" s="1"/>
  <c r="J83" i="4" s="1"/>
  <c r="H77" i="11" s="1" a="1"/>
  <c r="H77" i="11" s="1"/>
  <c r="H74" i="4" a="1"/>
  <c r="H74" i="4" s="1"/>
  <c r="J74" i="4" s="1"/>
  <c r="H68" i="11" s="1" a="1"/>
  <c r="H68" i="11" s="1"/>
  <c r="H66" i="4" a="1"/>
  <c r="H66" i="4" s="1"/>
  <c r="J66" i="4" s="1"/>
  <c r="H60" i="11" s="1" a="1"/>
  <c r="H60" i="11" s="1"/>
  <c r="H63" i="4" a="1"/>
  <c r="H63" i="4" s="1"/>
  <c r="J63" i="4" s="1"/>
  <c r="H57" i="11" s="1" a="1"/>
  <c r="H57" i="11" s="1"/>
  <c r="H58" i="4" a="1"/>
  <c r="H58" i="4" s="1"/>
  <c r="J58" i="4" s="1"/>
  <c r="H52" i="11" s="1" a="1"/>
  <c r="H52" i="11" s="1"/>
  <c r="P25" i="4"/>
  <c r="O25" i="4"/>
  <c r="E85" i="3"/>
  <c r="B109" i="3"/>
  <c r="G81" i="3"/>
  <c r="C82" i="3"/>
  <c r="B125" i="3"/>
  <c r="B126" i="3"/>
  <c r="B127" i="3"/>
  <c r="B128" i="3"/>
  <c r="B129" i="3"/>
  <c r="B130" i="3"/>
  <c r="B131" i="3"/>
  <c r="B132" i="3"/>
  <c r="B133" i="3"/>
  <c r="B134" i="3"/>
  <c r="B135" i="3"/>
  <c r="B136" i="3"/>
  <c r="B137" i="3"/>
  <c r="B138" i="3"/>
  <c r="B139" i="3"/>
  <c r="B140" i="3"/>
  <c r="B141" i="3"/>
  <c r="B142" i="3"/>
  <c r="B143" i="3"/>
  <c r="B124" i="3"/>
  <c r="N4" i="3"/>
  <c r="A128" i="3"/>
  <c r="A124" i="3"/>
  <c r="A125" i="3"/>
  <c r="A126" i="3"/>
  <c r="A127" i="3"/>
  <c r="A129" i="3"/>
  <c r="A130" i="3"/>
  <c r="A131" i="3"/>
  <c r="A132" i="3"/>
  <c r="A133" i="3"/>
  <c r="A134" i="3"/>
  <c r="A135" i="3"/>
  <c r="A136" i="3"/>
  <c r="A137" i="3"/>
  <c r="A138" i="3"/>
  <c r="A139" i="3"/>
  <c r="A141" i="3"/>
  <c r="A142" i="3"/>
  <c r="A143" i="3"/>
  <c r="I10" i="4" l="1" a="1"/>
  <c r="I10" i="4" s="1"/>
  <c r="G10" i="4" a="1"/>
  <c r="G10" i="4" s="1"/>
  <c r="T4" i="11" a="1"/>
  <c r="T4" i="11" s="1"/>
  <c r="G11" i="4" a="1"/>
  <c r="G11" i="4" s="1"/>
  <c r="J11" i="4" s="1"/>
  <c r="I11" i="4" a="1"/>
  <c r="I11" i="4" s="1"/>
  <c r="H10" i="4" a="1"/>
  <c r="H10" i="4" s="1"/>
  <c r="J10" i="4" s="1"/>
  <c r="H4" i="11" s="1" a="1"/>
  <c r="H4" i="11" s="1"/>
  <c r="G13" i="4" a="1"/>
  <c r="G13" i="4" s="1"/>
  <c r="J13" i="4" s="1"/>
  <c r="I13" i="4" a="1"/>
  <c r="I13" i="4" s="1"/>
  <c r="G14" i="4" a="1"/>
  <c r="G14" i="4" s="1"/>
  <c r="J14" i="4" s="1"/>
  <c r="I14" i="4" a="1"/>
  <c r="I14" i="4" s="1"/>
  <c r="T7" i="11" a="1"/>
  <c r="T7" i="11" s="1"/>
  <c r="T3" i="11" a="1"/>
  <c r="T3" i="11" s="1"/>
  <c r="T8" i="11" a="1"/>
  <c r="T8" i="11" s="1"/>
  <c r="G9" i="4" a="1"/>
  <c r="G9" i="4" s="1"/>
  <c r="I9" i="4" a="1"/>
  <c r="I9" i="4" s="1"/>
  <c r="Q53" i="4"/>
  <c r="Q25" i="4"/>
  <c r="S43" i="4"/>
  <c r="O43" i="4"/>
  <c r="Z43" i="4"/>
  <c r="AJ43" i="4"/>
  <c r="P43" i="4"/>
  <c r="V43" i="4"/>
  <c r="P47" i="4"/>
  <c r="S47" i="4"/>
  <c r="V47" i="4"/>
  <c r="AJ47" i="4"/>
  <c r="Z47" i="4"/>
  <c r="O47" i="4"/>
  <c r="V82" i="4"/>
  <c r="AJ82" i="4"/>
  <c r="Z82" i="4"/>
  <c r="O82" i="4"/>
  <c r="P82" i="4"/>
  <c r="S82" i="4"/>
  <c r="AJ27" i="4"/>
  <c r="Z27" i="4"/>
  <c r="O27" i="4"/>
  <c r="P27" i="4"/>
  <c r="S27" i="4"/>
  <c r="V27" i="4"/>
  <c r="O45" i="4"/>
  <c r="P45" i="4"/>
  <c r="S45" i="4"/>
  <c r="V45" i="4"/>
  <c r="AJ45" i="4"/>
  <c r="Z45" i="4"/>
  <c r="O15" i="4"/>
  <c r="P15" i="4"/>
  <c r="S15" i="4"/>
  <c r="V15" i="4"/>
  <c r="AJ15" i="4"/>
  <c r="Z15" i="4"/>
  <c r="V62" i="4"/>
  <c r="P62" i="4"/>
  <c r="O62" i="4"/>
  <c r="Z62" i="4"/>
  <c r="AJ62" i="4"/>
  <c r="S62" i="4"/>
  <c r="V24" i="4"/>
  <c r="Z24" i="4"/>
  <c r="O24" i="4"/>
  <c r="P24" i="4"/>
  <c r="S24" i="4"/>
  <c r="AJ24" i="4"/>
  <c r="S40" i="4"/>
  <c r="V40" i="4"/>
  <c r="AJ40" i="4"/>
  <c r="Z40" i="4"/>
  <c r="O40" i="4"/>
  <c r="P40" i="4"/>
  <c r="P52" i="4"/>
  <c r="O52" i="4"/>
  <c r="S52" i="4"/>
  <c r="V52" i="4"/>
  <c r="AJ52" i="4"/>
  <c r="Z52" i="4"/>
  <c r="P22" i="4"/>
  <c r="O22" i="4"/>
  <c r="V22" i="4"/>
  <c r="S22" i="4"/>
  <c r="Z22" i="4"/>
  <c r="AJ22" i="4"/>
  <c r="V37" i="4"/>
  <c r="AJ37" i="4"/>
  <c r="Z37" i="4"/>
  <c r="P37" i="4"/>
  <c r="O37" i="4"/>
  <c r="S37" i="4"/>
  <c r="S75" i="4"/>
  <c r="V75" i="4"/>
  <c r="AJ75" i="4"/>
  <c r="O75" i="4"/>
  <c r="Z75" i="4"/>
  <c r="P75" i="4"/>
  <c r="AJ41" i="4"/>
  <c r="Z41" i="4"/>
  <c r="O41" i="4"/>
  <c r="P41" i="4"/>
  <c r="S41" i="4"/>
  <c r="V41" i="4"/>
  <c r="V49" i="4"/>
  <c r="AJ49" i="4"/>
  <c r="Z49" i="4"/>
  <c r="O49" i="4"/>
  <c r="P49" i="4"/>
  <c r="S49" i="4"/>
  <c r="S73" i="4"/>
  <c r="V73" i="4"/>
  <c r="P73" i="4"/>
  <c r="O73" i="4"/>
  <c r="Z73" i="4"/>
  <c r="AJ73" i="4"/>
  <c r="AJ51" i="4"/>
  <c r="P51" i="4"/>
  <c r="S51" i="4"/>
  <c r="Z51" i="4"/>
  <c r="O51" i="4"/>
  <c r="V51" i="4"/>
  <c r="S55" i="4"/>
  <c r="V55" i="4"/>
  <c r="AJ55" i="4"/>
  <c r="Z55" i="4"/>
  <c r="P55" i="4"/>
  <c r="O55" i="4"/>
  <c r="AJ48" i="4"/>
  <c r="Z48" i="4"/>
  <c r="O48" i="4"/>
  <c r="P48" i="4"/>
  <c r="S48" i="4"/>
  <c r="V48" i="4"/>
  <c r="O44" i="4"/>
  <c r="P44" i="4"/>
  <c r="S44" i="4"/>
  <c r="V44" i="4"/>
  <c r="Z44" i="4"/>
  <c r="AJ44" i="4"/>
  <c r="Z26" i="4"/>
  <c r="O26" i="4"/>
  <c r="P26" i="4"/>
  <c r="S26" i="4"/>
  <c r="V26" i="4"/>
  <c r="AJ26" i="4"/>
  <c r="Z46" i="4"/>
  <c r="O46" i="4"/>
  <c r="P46" i="4"/>
  <c r="S46" i="4"/>
  <c r="AJ46" i="4"/>
  <c r="V46" i="4"/>
  <c r="S58" i="4"/>
  <c r="AJ58" i="4"/>
  <c r="Z58" i="4"/>
  <c r="O58" i="4"/>
  <c r="P58" i="4"/>
  <c r="V58" i="4"/>
  <c r="O59" i="4"/>
  <c r="Z59" i="4"/>
  <c r="AJ59" i="4"/>
  <c r="V59" i="4"/>
  <c r="S59" i="4"/>
  <c r="P59" i="4"/>
  <c r="V16" i="4"/>
  <c r="AJ16" i="4"/>
  <c r="Z16" i="4"/>
  <c r="P16" i="4"/>
  <c r="O16" i="4"/>
  <c r="S16" i="4"/>
  <c r="O31" i="4"/>
  <c r="AJ31" i="4"/>
  <c r="P31" i="4"/>
  <c r="V31" i="4"/>
  <c r="S31" i="4"/>
  <c r="Z31" i="4"/>
  <c r="V72" i="4"/>
  <c r="AJ72" i="4"/>
  <c r="Z72" i="4"/>
  <c r="O72" i="4"/>
  <c r="P72" i="4"/>
  <c r="S72" i="4"/>
  <c r="Z78" i="4"/>
  <c r="O78" i="4"/>
  <c r="P78" i="4"/>
  <c r="S78" i="4"/>
  <c r="AJ78" i="4"/>
  <c r="V78" i="4"/>
  <c r="AJ36" i="4"/>
  <c r="Z36" i="4"/>
  <c r="O36" i="4"/>
  <c r="P36" i="4"/>
  <c r="S36" i="4"/>
  <c r="V36" i="4"/>
  <c r="O56" i="4"/>
  <c r="P56" i="4"/>
  <c r="Z56" i="4"/>
  <c r="S56" i="4"/>
  <c r="V56" i="4"/>
  <c r="AJ56" i="4"/>
  <c r="Z34" i="4"/>
  <c r="O34" i="4"/>
  <c r="P34" i="4"/>
  <c r="S34" i="4"/>
  <c r="V34" i="4"/>
  <c r="AJ34" i="4"/>
  <c r="V29" i="4"/>
  <c r="S29" i="4"/>
  <c r="P29" i="4"/>
  <c r="O29" i="4"/>
  <c r="Z29" i="4"/>
  <c r="AJ29" i="4"/>
  <c r="O63" i="4"/>
  <c r="V63" i="4"/>
  <c r="AJ63" i="4"/>
  <c r="Z63" i="4"/>
  <c r="P63" i="4"/>
  <c r="S63" i="4"/>
  <c r="S66" i="4"/>
  <c r="AJ66" i="4"/>
  <c r="V66" i="4"/>
  <c r="P66" i="4"/>
  <c r="O66" i="4"/>
  <c r="Z66" i="4"/>
  <c r="P35" i="4"/>
  <c r="AJ35" i="4"/>
  <c r="Z35" i="4"/>
  <c r="O35" i="4"/>
  <c r="V35" i="4"/>
  <c r="S35" i="4"/>
  <c r="O60" i="4"/>
  <c r="P60" i="4"/>
  <c r="S60" i="4"/>
  <c r="V60" i="4"/>
  <c r="AJ60" i="4"/>
  <c r="Z60" i="4"/>
  <c r="V65" i="4"/>
  <c r="AJ65" i="4"/>
  <c r="Z65" i="4"/>
  <c r="O65" i="4"/>
  <c r="S65" i="4"/>
  <c r="P65" i="4"/>
  <c r="V68" i="4"/>
  <c r="S68" i="4"/>
  <c r="O68" i="4"/>
  <c r="AJ68" i="4"/>
  <c r="P68" i="4"/>
  <c r="Z68" i="4"/>
  <c r="O54" i="4"/>
  <c r="V54" i="4"/>
  <c r="AJ54" i="4"/>
  <c r="Z54" i="4"/>
  <c r="S54" i="4"/>
  <c r="P54" i="4"/>
  <c r="O67" i="4"/>
  <c r="Z67" i="4"/>
  <c r="P67" i="4"/>
  <c r="S67" i="4"/>
  <c r="AJ67" i="4"/>
  <c r="V67" i="4"/>
  <c r="S64" i="4"/>
  <c r="V64" i="4"/>
  <c r="O64" i="4"/>
  <c r="P64" i="4"/>
  <c r="Z64" i="4"/>
  <c r="AJ64" i="4"/>
  <c r="V76" i="4"/>
  <c r="AJ76" i="4"/>
  <c r="O76" i="4"/>
  <c r="P76" i="4"/>
  <c r="Z76" i="4"/>
  <c r="S76" i="4"/>
  <c r="O21" i="4"/>
  <c r="P21" i="4"/>
  <c r="P20" i="4"/>
  <c r="O20" i="4"/>
  <c r="O83" i="4"/>
  <c r="P83" i="4"/>
  <c r="P70" i="4"/>
  <c r="S70" i="4"/>
  <c r="V70" i="4"/>
  <c r="AJ70" i="4"/>
  <c r="Z70" i="4"/>
  <c r="O70" i="4"/>
  <c r="V71" i="4"/>
  <c r="S71" i="4"/>
  <c r="AJ71" i="4"/>
  <c r="Z71" i="4"/>
  <c r="O71" i="4"/>
  <c r="P71" i="4"/>
  <c r="AJ30" i="4"/>
  <c r="V30" i="4"/>
  <c r="Z30" i="4"/>
  <c r="O30" i="4"/>
  <c r="P30" i="4"/>
  <c r="S30" i="4"/>
  <c r="AJ61" i="4"/>
  <c r="Z61" i="4"/>
  <c r="O61" i="4"/>
  <c r="P61" i="4"/>
  <c r="S61" i="4"/>
  <c r="V61" i="4"/>
  <c r="S77" i="4"/>
  <c r="V77" i="4"/>
  <c r="AJ77" i="4"/>
  <c r="Z77" i="4"/>
  <c r="O77" i="4"/>
  <c r="P77" i="4"/>
  <c r="S74" i="4"/>
  <c r="V74" i="4"/>
  <c r="AJ74" i="4"/>
  <c r="Z74" i="4"/>
  <c r="P74" i="4"/>
  <c r="O74" i="4"/>
  <c r="V38" i="4"/>
  <c r="AJ38" i="4"/>
  <c r="Z38" i="4"/>
  <c r="O38" i="4"/>
  <c r="P38" i="4"/>
  <c r="S38" i="4"/>
  <c r="Z28" i="4"/>
  <c r="O28" i="4"/>
  <c r="P28" i="4"/>
  <c r="S28" i="4"/>
  <c r="V28" i="4"/>
  <c r="AJ28" i="4"/>
  <c r="O19" i="4"/>
  <c r="P19" i="4"/>
  <c r="S19" i="4"/>
  <c r="V19" i="4"/>
  <c r="AJ19" i="4"/>
  <c r="Z19" i="4"/>
  <c r="P57" i="4"/>
  <c r="S57" i="4"/>
  <c r="V57" i="4"/>
  <c r="AJ57" i="4"/>
  <c r="Z57" i="4"/>
  <c r="O57" i="4"/>
  <c r="P69" i="4"/>
  <c r="V69" i="4"/>
  <c r="AJ69" i="4"/>
  <c r="Z69" i="4"/>
  <c r="S69" i="4"/>
  <c r="O69" i="4"/>
  <c r="P81" i="4"/>
  <c r="AJ81" i="4"/>
  <c r="S81" i="4"/>
  <c r="Z81" i="4"/>
  <c r="O81" i="4"/>
  <c r="V81" i="4"/>
  <c r="V32" i="4"/>
  <c r="S32" i="4"/>
  <c r="Z32" i="4"/>
  <c r="O32" i="4"/>
  <c r="P32" i="4"/>
  <c r="AJ32" i="4"/>
  <c r="O23" i="4"/>
  <c r="P23" i="4"/>
  <c r="S23" i="4"/>
  <c r="V23" i="4"/>
  <c r="Z23" i="4"/>
  <c r="AJ23" i="4"/>
  <c r="V80" i="4"/>
  <c r="AJ80" i="4"/>
  <c r="Z80" i="4"/>
  <c r="O80" i="4"/>
  <c r="P80" i="4"/>
  <c r="S80" i="4"/>
  <c r="V42" i="4"/>
  <c r="AJ42" i="4"/>
  <c r="O42" i="4"/>
  <c r="P42" i="4"/>
  <c r="Z42" i="4"/>
  <c r="S42" i="4"/>
  <c r="P79" i="4"/>
  <c r="S79" i="4"/>
  <c r="V79" i="4"/>
  <c r="AJ79" i="4"/>
  <c r="O79" i="4"/>
  <c r="Z79" i="4"/>
  <c r="S18" i="4"/>
  <c r="V18" i="4"/>
  <c r="AJ18" i="4"/>
  <c r="P18" i="4"/>
  <c r="Z18" i="4"/>
  <c r="O18" i="4"/>
  <c r="P33" i="4"/>
  <c r="V33" i="4"/>
  <c r="S33" i="4"/>
  <c r="AJ33" i="4"/>
  <c r="O33" i="4"/>
  <c r="Z33" i="4"/>
  <c r="O12" i="4"/>
  <c r="P12" i="4"/>
  <c r="F82" i="3"/>
  <c r="E86" i="3"/>
  <c r="T33" i="11" s="1" a="1"/>
  <c r="T33" i="11" s="1"/>
  <c r="B110" i="3"/>
  <c r="G82" i="3"/>
  <c r="H50" i="4" s="1" a="1"/>
  <c r="H50" i="4" s="1"/>
  <c r="J50" i="4" s="1"/>
  <c r="H44" i="11" s="1" a="1"/>
  <c r="H44" i="11" s="1"/>
  <c r="C83" i="3"/>
  <c r="F83" i="3" s="1"/>
  <c r="A4" i="9"/>
  <c r="H8" i="11" l="1" a="1"/>
  <c r="H8" i="11" s="1"/>
  <c r="P14" i="4"/>
  <c r="O14" i="4"/>
  <c r="H7" i="11" a="1"/>
  <c r="H7" i="11" s="1"/>
  <c r="P13" i="4"/>
  <c r="O13" i="4"/>
  <c r="Q13" i="4" s="1"/>
  <c r="H5" i="11" a="1"/>
  <c r="H5" i="11" s="1"/>
  <c r="O11" i="4"/>
  <c r="P11" i="4"/>
  <c r="T4" i="9" a="1"/>
  <c r="T4" i="9" s="1"/>
  <c r="B4" i="9" a="1"/>
  <c r="B4" i="9" s="1"/>
  <c r="Q51" i="4"/>
  <c r="Q56" i="4"/>
  <c r="Q46" i="4"/>
  <c r="Q16" i="4"/>
  <c r="Q64" i="4"/>
  <c r="Q55" i="4"/>
  <c r="Q57" i="4"/>
  <c r="Q61" i="4"/>
  <c r="Q23" i="4"/>
  <c r="Q62" i="4"/>
  <c r="Q42" i="4"/>
  <c r="Q36" i="4"/>
  <c r="Q78" i="4"/>
  <c r="Q40" i="4"/>
  <c r="Q77" i="4"/>
  <c r="Q47" i="4"/>
  <c r="Q81" i="4"/>
  <c r="Q15" i="4"/>
  <c r="Q66" i="4"/>
  <c r="Q27" i="4"/>
  <c r="Q12" i="4"/>
  <c r="Q35" i="4"/>
  <c r="Q33" i="4"/>
  <c r="Q34" i="4"/>
  <c r="Q72" i="4"/>
  <c r="Q69" i="4"/>
  <c r="Q70" i="4"/>
  <c r="Q82" i="4"/>
  <c r="Q59" i="4"/>
  <c r="Q68" i="4"/>
  <c r="Q37" i="4"/>
  <c r="O50" i="4"/>
  <c r="P50" i="4"/>
  <c r="Q38" i="4"/>
  <c r="Q31" i="4"/>
  <c r="Q73" i="4"/>
  <c r="Q14" i="4"/>
  <c r="Q28" i="4"/>
  <c r="Q76" i="4"/>
  <c r="Q67" i="4"/>
  <c r="Q48" i="4"/>
  <c r="Q45" i="4"/>
  <c r="Q29" i="4"/>
  <c r="Q24" i="4"/>
  <c r="Q19" i="4"/>
  <c r="Q32" i="4"/>
  <c r="Q71" i="4"/>
  <c r="Q20" i="4"/>
  <c r="Q21" i="4"/>
  <c r="Q58" i="4"/>
  <c r="Q26" i="4"/>
  <c r="Q44" i="4"/>
  <c r="Q80" i="4"/>
  <c r="Q30" i="4"/>
  <c r="Q83" i="4"/>
  <c r="Q63" i="4"/>
  <c r="Q52" i="4"/>
  <c r="Q18" i="4"/>
  <c r="Q79" i="4"/>
  <c r="Q74" i="4"/>
  <c r="Q54" i="4"/>
  <c r="Q65" i="4"/>
  <c r="Q75" i="4"/>
  <c r="Q22" i="4"/>
  <c r="Q43" i="4"/>
  <c r="Q60" i="4"/>
  <c r="Q49" i="4"/>
  <c r="Q41" i="4"/>
  <c r="E87" i="3"/>
  <c r="J9" i="4"/>
  <c r="B111" i="3"/>
  <c r="G83" i="3"/>
  <c r="C84" i="3"/>
  <c r="F84" i="3" s="1"/>
  <c r="A5" i="9"/>
  <c r="A25" i="2"/>
  <c r="A23" i="2"/>
  <c r="A22" i="2"/>
  <c r="A21" i="2"/>
  <c r="A20" i="2"/>
  <c r="A18" i="2"/>
  <c r="A17" i="2"/>
  <c r="A16" i="2"/>
  <c r="A15" i="2"/>
  <c r="A14" i="2"/>
  <c r="A13" i="2"/>
  <c r="A12" i="2"/>
  <c r="A11" i="2"/>
  <c r="A10" i="2"/>
  <c r="A9" i="2"/>
  <c r="A8" i="2"/>
  <c r="A7" i="2"/>
  <c r="A6" i="2"/>
  <c r="Q11" i="4" l="1"/>
  <c r="H3" i="11" a="1"/>
  <c r="H3" i="11" s="1"/>
  <c r="B5" i="9" a="1"/>
  <c r="B5" i="9" s="1"/>
  <c r="T5" i="9" a="1"/>
  <c r="T5" i="9" s="1"/>
  <c r="Q50" i="4"/>
  <c r="U78" i="6"/>
  <c r="W78" i="6"/>
  <c r="E88" i="3"/>
  <c r="B112" i="3"/>
  <c r="G84" i="3"/>
  <c r="C85" i="3"/>
  <c r="F85" i="3" s="1"/>
  <c r="A6" i="9"/>
  <c r="B6" i="9" l="1" a="1"/>
  <c r="B6" i="9" s="1"/>
  <c r="T6" i="9" a="1"/>
  <c r="T6" i="9" s="1"/>
  <c r="E89" i="3"/>
  <c r="B113" i="3"/>
  <c r="G85" i="3"/>
  <c r="C86" i="3"/>
  <c r="A7" i="9"/>
  <c r="PP27" i="2"/>
  <c r="PQ27" i="2"/>
  <c r="PR27" i="2"/>
  <c r="PS27" i="2"/>
  <c r="PT27" i="2"/>
  <c r="PU27" i="2"/>
  <c r="PV27" i="2"/>
  <c r="PW27" i="2"/>
  <c r="PX27" i="2"/>
  <c r="PY27" i="2"/>
  <c r="PZ27" i="2"/>
  <c r="QA27" i="2"/>
  <c r="QB27" i="2"/>
  <c r="QC27" i="2"/>
  <c r="QD27" i="2"/>
  <c r="QE27" i="2"/>
  <c r="QF27" i="2"/>
  <c r="QG27" i="2"/>
  <c r="QH27" i="2"/>
  <c r="PO27" i="2"/>
  <c r="A32" i="2"/>
  <c r="B7" i="9" l="1" a="1"/>
  <c r="B7" i="9" s="1"/>
  <c r="T7" i="9" a="1"/>
  <c r="T7" i="9" s="1"/>
  <c r="B32" i="2" a="1"/>
  <c r="B32" i="2" s="1"/>
  <c r="F86" i="3"/>
  <c r="E90" i="3"/>
  <c r="B114" i="3"/>
  <c r="G86" i="3"/>
  <c r="C87" i="3"/>
  <c r="F87" i="3" s="1"/>
  <c r="A8" i="9"/>
  <c r="A33" i="2"/>
  <c r="B33" i="2" s="1" a="1"/>
  <c r="B33" i="2" s="1"/>
  <c r="B8" i="9" l="1" a="1"/>
  <c r="B8" i="9" s="1"/>
  <c r="T8" i="9" a="1"/>
  <c r="T8" i="9" s="1"/>
  <c r="H39" i="4" a="1"/>
  <c r="H39" i="4" s="1"/>
  <c r="J39" i="4" s="1"/>
  <c r="H33" i="11" s="1" a="1"/>
  <c r="H33" i="11" s="1"/>
  <c r="E91" i="3"/>
  <c r="B115" i="3"/>
  <c r="G87" i="3"/>
  <c r="C88" i="3"/>
  <c r="F88" i="3" s="1"/>
  <c r="AJ27" i="2"/>
  <c r="A9" i="9"/>
  <c r="A34" i="2"/>
  <c r="T9" i="9" l="1" a="1"/>
  <c r="T9" i="9" s="1"/>
  <c r="B9" i="9" a="1"/>
  <c r="B9" i="9" s="1"/>
  <c r="O39" i="4"/>
  <c r="P39" i="4"/>
  <c r="B34" i="2" a="1"/>
  <c r="B34" i="2" s="1"/>
  <c r="E92" i="3"/>
  <c r="B116" i="3"/>
  <c r="C89" i="3"/>
  <c r="F89" i="3" s="1"/>
  <c r="G88" i="3"/>
  <c r="AJ28" i="2"/>
  <c r="AJ29" i="2" s="1"/>
  <c r="AK27" i="2"/>
  <c r="A10" i="9"/>
  <c r="A35" i="2"/>
  <c r="T10" i="9" l="1" a="1"/>
  <c r="T10" i="9" s="1"/>
  <c r="B10" i="9" a="1"/>
  <c r="B10" i="9" s="1"/>
  <c r="Q39" i="4"/>
  <c r="B35" i="2" a="1"/>
  <c r="B35" i="2" s="1"/>
  <c r="E93" i="3"/>
  <c r="B117" i="3"/>
  <c r="C90" i="3"/>
  <c r="F90" i="3" s="1"/>
  <c r="G89" i="3"/>
  <c r="AL27" i="2"/>
  <c r="AK28" i="2"/>
  <c r="AK29" i="2" s="1"/>
  <c r="A11" i="9"/>
  <c r="A36" i="2"/>
  <c r="B11" i="9" l="1" a="1"/>
  <c r="B11" i="9" s="1"/>
  <c r="T11" i="9" a="1"/>
  <c r="T11" i="9" s="1"/>
  <c r="E11" i="9" a="1"/>
  <c r="E11" i="9" s="1"/>
  <c r="D11" i="9" a="1"/>
  <c r="D11" i="9" s="1"/>
  <c r="B36" i="2" a="1"/>
  <c r="B36" i="2" s="1"/>
  <c r="E94" i="3"/>
  <c r="B118" i="3"/>
  <c r="C91" i="3"/>
  <c r="F91" i="3" s="1"/>
  <c r="G90" i="3"/>
  <c r="AM27" i="2"/>
  <c r="AL28" i="2"/>
  <c r="AL29" i="2" s="1"/>
  <c r="A12" i="9"/>
  <c r="A37" i="2"/>
  <c r="B12" i="9" l="1" a="1"/>
  <c r="B12" i="9" s="1"/>
  <c r="T12" i="9" a="1"/>
  <c r="T12" i="9" s="1"/>
  <c r="B37" i="2" a="1"/>
  <c r="B37" i="2" s="1"/>
  <c r="E95" i="3"/>
  <c r="B119" i="3"/>
  <c r="C92" i="3"/>
  <c r="F92" i="3" s="1"/>
  <c r="G91" i="3"/>
  <c r="AN27" i="2"/>
  <c r="AM28" i="2"/>
  <c r="AM29" i="2" s="1"/>
  <c r="A13" i="9"/>
  <c r="A38" i="2"/>
  <c r="B13" i="9" l="1" a="1"/>
  <c r="B13" i="9" s="1"/>
  <c r="T13" i="9" a="1"/>
  <c r="T13" i="9" s="1"/>
  <c r="B38" i="2" a="1"/>
  <c r="B38" i="2" s="1"/>
  <c r="E96" i="3"/>
  <c r="B120" i="3"/>
  <c r="C93" i="3"/>
  <c r="F93" i="3" s="1"/>
  <c r="G92" i="3"/>
  <c r="AO27" i="2"/>
  <c r="AN28" i="2"/>
  <c r="AN29" i="2" s="1"/>
  <c r="A14" i="9"/>
  <c r="A39" i="2"/>
  <c r="B14" i="9" l="1" a="1"/>
  <c r="B14" i="9" s="1"/>
  <c r="T14" i="9" a="1"/>
  <c r="T14" i="9" s="1"/>
  <c r="B39" i="2" a="1"/>
  <c r="B39" i="2" s="1"/>
  <c r="E97" i="3"/>
  <c r="G93" i="3"/>
  <c r="C94" i="3"/>
  <c r="F94" i="3" s="1"/>
  <c r="AP27" i="2"/>
  <c r="AO28" i="2"/>
  <c r="AO29" i="2" s="1"/>
  <c r="A15" i="9"/>
  <c r="A40" i="2"/>
  <c r="T15" i="9" l="1" a="1"/>
  <c r="T15" i="9" s="1"/>
  <c r="B15" i="9" a="1"/>
  <c r="B15" i="9" s="1"/>
  <c r="B40" i="2" a="1"/>
  <c r="B40" i="2" s="1"/>
  <c r="E98" i="3"/>
  <c r="G94" i="3"/>
  <c r="C95" i="3"/>
  <c r="F95" i="3" s="1"/>
  <c r="AQ27" i="2"/>
  <c r="AP28" i="2"/>
  <c r="AP29" i="2" s="1"/>
  <c r="A16" i="9"/>
  <c r="A41" i="2"/>
  <c r="B41" i="2" s="1" a="1"/>
  <c r="B41" i="2" s="1"/>
  <c r="T16" i="9" l="1" a="1"/>
  <c r="T16" i="9" s="1"/>
  <c r="B16" i="9" a="1"/>
  <c r="B16" i="9" s="1"/>
  <c r="E99" i="3"/>
  <c r="G95" i="3"/>
  <c r="C96" i="3"/>
  <c r="F96" i="3" s="1"/>
  <c r="AR27" i="2"/>
  <c r="AQ28" i="2"/>
  <c r="AQ29" i="2" s="1"/>
  <c r="A17" i="9"/>
  <c r="A42" i="2"/>
  <c r="B42" i="2" s="1" a="1"/>
  <c r="B42" i="2" s="1"/>
  <c r="B17" i="9" l="1" a="1"/>
  <c r="B17" i="9" s="1"/>
  <c r="T17" i="9" a="1"/>
  <c r="T17" i="9" s="1"/>
  <c r="E100" i="3"/>
  <c r="G96" i="3"/>
  <c r="C97" i="3"/>
  <c r="F97" i="3" s="1"/>
  <c r="AS27" i="2"/>
  <c r="AR28" i="2"/>
  <c r="AR29" i="2" s="1"/>
  <c r="A18" i="9"/>
  <c r="A43" i="2"/>
  <c r="B43" i="2" s="1" a="1"/>
  <c r="B43" i="2" s="1"/>
  <c r="B18" i="9" l="1" a="1"/>
  <c r="B18" i="9" s="1"/>
  <c r="T18" i="9" a="1"/>
  <c r="T18" i="9" s="1"/>
  <c r="E101" i="3"/>
  <c r="G97" i="3"/>
  <c r="C98" i="3"/>
  <c r="F98" i="3" s="1"/>
  <c r="AT27" i="2"/>
  <c r="AS28" i="2"/>
  <c r="AS29" i="2" s="1"/>
  <c r="A19" i="9"/>
  <c r="A44" i="2"/>
  <c r="B44" i="2" s="1" a="1"/>
  <c r="B44" i="2" s="1"/>
  <c r="B19" i="9" l="1" a="1"/>
  <c r="B19" i="9" s="1"/>
  <c r="T19" i="9" a="1"/>
  <c r="T19" i="9" s="1"/>
  <c r="E102" i="3"/>
  <c r="C99" i="3"/>
  <c r="F99" i="3" s="1"/>
  <c r="G98" i="3"/>
  <c r="AU27" i="2"/>
  <c r="AT28" i="2"/>
  <c r="AT29" i="2" s="1"/>
  <c r="A20" i="9"/>
  <c r="A45" i="2"/>
  <c r="B45" i="2" s="1" a="1"/>
  <c r="B45" i="2" s="1"/>
  <c r="B20" i="9" l="1" a="1"/>
  <c r="B20" i="9" s="1"/>
  <c r="T20" i="9" a="1"/>
  <c r="T20" i="9" s="1"/>
  <c r="E103" i="3"/>
  <c r="C100" i="3"/>
  <c r="F100" i="3" s="1"/>
  <c r="G99" i="3"/>
  <c r="AV27" i="2"/>
  <c r="AU28" i="2"/>
  <c r="AU29" i="2" s="1"/>
  <c r="A21" i="9"/>
  <c r="A46" i="2"/>
  <c r="B46" i="2" s="1" a="1"/>
  <c r="B46" i="2" s="1"/>
  <c r="B21" i="9" l="1" a="1"/>
  <c r="B21" i="9" s="1"/>
  <c r="T21" i="9" a="1"/>
  <c r="T21" i="9" s="1"/>
  <c r="E104" i="3"/>
  <c r="C101" i="3"/>
  <c r="F101" i="3" s="1"/>
  <c r="G100" i="3"/>
  <c r="AW27" i="2"/>
  <c r="AV28" i="2"/>
  <c r="AV29" i="2" s="1"/>
  <c r="A22" i="9"/>
  <c r="A47" i="2"/>
  <c r="B47" i="2" s="1" a="1"/>
  <c r="B47" i="2" s="1"/>
  <c r="T22" i="9" l="1" a="1"/>
  <c r="T22" i="9" s="1"/>
  <c r="B22" i="9" a="1"/>
  <c r="B22" i="9" s="1"/>
  <c r="E105" i="3"/>
  <c r="C102" i="3"/>
  <c r="F102" i="3" s="1"/>
  <c r="G101" i="3"/>
  <c r="AX27" i="2"/>
  <c r="AW28" i="2"/>
  <c r="AW29" i="2" s="1"/>
  <c r="A23" i="9"/>
  <c r="A48" i="2"/>
  <c r="B48" i="2" s="1" a="1"/>
  <c r="B48" i="2" s="1"/>
  <c r="B23" i="9" l="1" a="1"/>
  <c r="B23" i="9" s="1"/>
  <c r="T23" i="9" a="1"/>
  <c r="T23" i="9" s="1"/>
  <c r="E106" i="3"/>
  <c r="C103" i="3"/>
  <c r="F103" i="3" s="1"/>
  <c r="G102" i="3"/>
  <c r="AY27" i="2"/>
  <c r="AX28" i="2"/>
  <c r="AX29" i="2" s="1"/>
  <c r="A24" i="9"/>
  <c r="A49" i="2"/>
  <c r="B49" i="2" s="1" a="1"/>
  <c r="B49" i="2" s="1"/>
  <c r="B24" i="9" l="1" a="1"/>
  <c r="B24" i="9" s="1"/>
  <c r="T24" i="9" a="1"/>
  <c r="T24" i="9" s="1"/>
  <c r="E107" i="3"/>
  <c r="C104" i="3"/>
  <c r="F104" i="3" s="1"/>
  <c r="G103" i="3"/>
  <c r="AZ27" i="2"/>
  <c r="AY28" i="2"/>
  <c r="AY29" i="2" s="1"/>
  <c r="A25" i="9"/>
  <c r="A50" i="2"/>
  <c r="B50" i="2" s="1" a="1"/>
  <c r="B50" i="2" s="1"/>
  <c r="B25" i="9" l="1" a="1"/>
  <c r="B25" i="9" s="1"/>
  <c r="T25" i="9" a="1"/>
  <c r="T25" i="9" s="1"/>
  <c r="E108" i="3"/>
  <c r="C105" i="3"/>
  <c r="F105" i="3" s="1"/>
  <c r="G104" i="3"/>
  <c r="BA27" i="2"/>
  <c r="AZ28" i="2"/>
  <c r="AZ29" i="2" s="1"/>
  <c r="A26" i="9"/>
  <c r="A51" i="2"/>
  <c r="B51" i="2" s="1" a="1"/>
  <c r="B51" i="2" s="1"/>
  <c r="B26" i="9" l="1" a="1"/>
  <c r="B26" i="9" s="1"/>
  <c r="T26" i="9" a="1"/>
  <c r="T26" i="9" s="1"/>
  <c r="E109" i="3"/>
  <c r="G105" i="3"/>
  <c r="C106" i="3"/>
  <c r="F106" i="3" s="1"/>
  <c r="BB27" i="2"/>
  <c r="BA28" i="2"/>
  <c r="BA29" i="2" s="1"/>
  <c r="A27" i="9"/>
  <c r="A52" i="2"/>
  <c r="B52" i="2" s="1" a="1"/>
  <c r="B52" i="2" s="1"/>
  <c r="B27" i="9" l="1" a="1"/>
  <c r="B27" i="9" s="1"/>
  <c r="T27" i="9" a="1"/>
  <c r="T27" i="9" s="1"/>
  <c r="E110" i="3"/>
  <c r="G106" i="3"/>
  <c r="C107" i="3"/>
  <c r="F107" i="3" s="1"/>
  <c r="BC27" i="2"/>
  <c r="BB28" i="2"/>
  <c r="BB29" i="2" s="1"/>
  <c r="A28" i="9"/>
  <c r="A53" i="2"/>
  <c r="B53" i="2" s="1" a="1"/>
  <c r="B53" i="2" s="1"/>
  <c r="T28" i="9" l="1" a="1"/>
  <c r="T28" i="9" s="1"/>
  <c r="B28" i="9" a="1"/>
  <c r="B28" i="9" s="1"/>
  <c r="E111" i="3"/>
  <c r="G107" i="3"/>
  <c r="C108" i="3"/>
  <c r="F108" i="3" s="1"/>
  <c r="BD27" i="2"/>
  <c r="BC28" i="2"/>
  <c r="BC29" i="2" s="1"/>
  <c r="A29" i="9"/>
  <c r="A54" i="2"/>
  <c r="B54" i="2" s="1" a="1"/>
  <c r="B54" i="2" s="1"/>
  <c r="B29" i="9" l="1" a="1"/>
  <c r="B29" i="9" s="1"/>
  <c r="T29" i="9" a="1"/>
  <c r="T29" i="9" s="1"/>
  <c r="E112" i="3"/>
  <c r="C109" i="3"/>
  <c r="F109" i="3" s="1"/>
  <c r="G108" i="3"/>
  <c r="BE27" i="2"/>
  <c r="BD28" i="2"/>
  <c r="BD29" i="2" s="1"/>
  <c r="A30" i="9"/>
  <c r="A55" i="2"/>
  <c r="B55" i="2" s="1" a="1"/>
  <c r="B55" i="2" s="1"/>
  <c r="B30" i="9" l="1" a="1"/>
  <c r="B30" i="9" s="1"/>
  <c r="T30" i="9" a="1"/>
  <c r="T30" i="9" s="1"/>
  <c r="E113" i="3"/>
  <c r="C110" i="3"/>
  <c r="F110" i="3" s="1"/>
  <c r="G109" i="3"/>
  <c r="BF27" i="2"/>
  <c r="BE28" i="2"/>
  <c r="BE29" i="2" s="1"/>
  <c r="A31" i="9"/>
  <c r="A56" i="2"/>
  <c r="B56" i="2" s="1" a="1"/>
  <c r="B56" i="2" s="1"/>
  <c r="B31" i="9" l="1" a="1"/>
  <c r="B31" i="9" s="1"/>
  <c r="T31" i="9" a="1"/>
  <c r="T31" i="9" s="1"/>
  <c r="E114" i="3"/>
  <c r="C111" i="3"/>
  <c r="F111" i="3" s="1"/>
  <c r="G110" i="3"/>
  <c r="BG27" i="2"/>
  <c r="BF28" i="2"/>
  <c r="BF29" i="2" s="1"/>
  <c r="A32" i="9"/>
  <c r="A57" i="2"/>
  <c r="B57" i="2" s="1" a="1"/>
  <c r="B57" i="2" s="1"/>
  <c r="B32" i="9" l="1" a="1"/>
  <c r="B32" i="9" s="1"/>
  <c r="T32" i="9" a="1"/>
  <c r="T32" i="9" s="1"/>
  <c r="E115" i="3"/>
  <c r="C112" i="3"/>
  <c r="F112" i="3" s="1"/>
  <c r="G111" i="3"/>
  <c r="BH27" i="2"/>
  <c r="BG28" i="2"/>
  <c r="BG29" i="2" s="1"/>
  <c r="A33" i="9"/>
  <c r="A58" i="2"/>
  <c r="B58" i="2" s="1" a="1"/>
  <c r="B58" i="2" s="1"/>
  <c r="B33" i="9" l="1" a="1"/>
  <c r="B33" i="9" s="1"/>
  <c r="T33" i="9" a="1"/>
  <c r="T33" i="9" s="1"/>
  <c r="E116" i="3"/>
  <c r="C113" i="3"/>
  <c r="F113" i="3" s="1"/>
  <c r="G112" i="3"/>
  <c r="BI27" i="2"/>
  <c r="BH28" i="2"/>
  <c r="BH29" i="2" s="1"/>
  <c r="A34" i="9"/>
  <c r="A59" i="2"/>
  <c r="B59" i="2" s="1" a="1"/>
  <c r="B59" i="2" s="1"/>
  <c r="T34" i="9" l="1" a="1"/>
  <c r="T34" i="9" s="1"/>
  <c r="B34" i="9" a="1"/>
  <c r="B34" i="9" s="1"/>
  <c r="E117" i="3"/>
  <c r="C114" i="3"/>
  <c r="F114" i="3" s="1"/>
  <c r="G113" i="3"/>
  <c r="BJ27" i="2"/>
  <c r="BI28" i="2"/>
  <c r="BI29" i="2" s="1"/>
  <c r="A35" i="9"/>
  <c r="A60" i="2"/>
  <c r="B60" i="2" s="1" a="1"/>
  <c r="B60" i="2" s="1"/>
  <c r="B35" i="9" l="1" a="1"/>
  <c r="B35" i="9" s="1"/>
  <c r="T35" i="9" a="1"/>
  <c r="T35" i="9" s="1"/>
  <c r="E118" i="3"/>
  <c r="C115" i="3"/>
  <c r="F115" i="3" s="1"/>
  <c r="G114" i="3"/>
  <c r="BK27" i="2"/>
  <c r="BJ28" i="2"/>
  <c r="BJ29" i="2" s="1"/>
  <c r="A36" i="9"/>
  <c r="A61" i="2"/>
  <c r="B61" i="2" s="1" a="1"/>
  <c r="B61" i="2" s="1"/>
  <c r="B36" i="9" l="1" a="1"/>
  <c r="B36" i="9" s="1"/>
  <c r="T36" i="9" a="1"/>
  <c r="T36" i="9" s="1"/>
  <c r="E119" i="3"/>
  <c r="G115" i="3"/>
  <c r="C116" i="3"/>
  <c r="F116" i="3" s="1"/>
  <c r="BL27" i="2"/>
  <c r="BK28" i="2"/>
  <c r="BK29" i="2" s="1"/>
  <c r="A37" i="9"/>
  <c r="A62" i="2"/>
  <c r="B62" i="2" s="1" a="1"/>
  <c r="B62" i="2" s="1"/>
  <c r="B37" i="9" l="1" a="1"/>
  <c r="B37" i="9" s="1"/>
  <c r="T37" i="9" a="1"/>
  <c r="T37" i="9" s="1"/>
  <c r="E120" i="3"/>
  <c r="C117" i="3"/>
  <c r="F117" i="3" s="1"/>
  <c r="G116" i="3"/>
  <c r="BL28" i="2"/>
  <c r="BL29" i="2" s="1"/>
  <c r="BM27" i="2"/>
  <c r="A38" i="9"/>
  <c r="A63" i="2"/>
  <c r="B63" i="2" s="1" a="1"/>
  <c r="B63" i="2" s="1"/>
  <c r="B38" i="9" l="1" a="1"/>
  <c r="B38" i="9" s="1"/>
  <c r="T38" i="9" a="1"/>
  <c r="T38" i="9" s="1"/>
  <c r="G117" i="3"/>
  <c r="C118" i="3"/>
  <c r="F118" i="3" s="1"/>
  <c r="BM28" i="2"/>
  <c r="BM29" i="2" s="1"/>
  <c r="BN27" i="2"/>
  <c r="A39" i="9"/>
  <c r="A64" i="2"/>
  <c r="B64" i="2" s="1" a="1"/>
  <c r="B64" i="2" s="1"/>
  <c r="B39" i="9" l="1" a="1"/>
  <c r="B39" i="9" s="1"/>
  <c r="T39" i="9" a="1"/>
  <c r="T39" i="9" s="1"/>
  <c r="G118" i="3"/>
  <c r="C119" i="3"/>
  <c r="F119" i="3" s="1"/>
  <c r="BO27" i="2"/>
  <c r="BN28" i="2"/>
  <c r="BN29" i="2" s="1"/>
  <c r="A40" i="9"/>
  <c r="A65" i="2"/>
  <c r="B65" i="2" s="1" a="1"/>
  <c r="B65" i="2" s="1"/>
  <c r="T40" i="9" l="1" a="1"/>
  <c r="T40" i="9" s="1"/>
  <c r="B40" i="9" a="1"/>
  <c r="B40" i="9" s="1"/>
  <c r="G119" i="3"/>
  <c r="C120" i="3"/>
  <c r="F120" i="3" s="1"/>
  <c r="BO28" i="2"/>
  <c r="BO29" i="2" s="1"/>
  <c r="BP27" i="2"/>
  <c r="A41" i="9"/>
  <c r="A66" i="2"/>
  <c r="B66" i="2" s="1" a="1"/>
  <c r="B66" i="2" s="1"/>
  <c r="B41" i="9" l="1" a="1"/>
  <c r="B41" i="9" s="1"/>
  <c r="T41" i="9" a="1"/>
  <c r="T41" i="9" s="1"/>
  <c r="G120" i="3"/>
  <c r="BP28" i="2"/>
  <c r="BP29" i="2" s="1"/>
  <c r="BQ27" i="2"/>
  <c r="A42" i="9"/>
  <c r="A67" i="2"/>
  <c r="B67" i="2" s="1" a="1"/>
  <c r="B67" i="2" s="1"/>
  <c r="B42" i="9" l="1" a="1"/>
  <c r="B42" i="9" s="1"/>
  <c r="T42" i="9" a="1"/>
  <c r="T42" i="9" s="1"/>
  <c r="BQ28" i="2"/>
  <c r="BQ29" i="2" s="1"/>
  <c r="BR27" i="2"/>
  <c r="A43" i="9"/>
  <c r="A68" i="2"/>
  <c r="B68" i="2" s="1" a="1"/>
  <c r="B68" i="2" s="1"/>
  <c r="B43" i="9" l="1" a="1"/>
  <c r="B43" i="9" s="1"/>
  <c r="T43" i="9" a="1"/>
  <c r="T43" i="9" s="1"/>
  <c r="BR28" i="2"/>
  <c r="BR29" i="2" s="1"/>
  <c r="BS27" i="2"/>
  <c r="A44" i="9"/>
  <c r="A69" i="2"/>
  <c r="B69" i="2" s="1" a="1"/>
  <c r="B69" i="2" s="1"/>
  <c r="B44" i="9" l="1" a="1"/>
  <c r="B44" i="9" s="1"/>
  <c r="T44" i="9" a="1"/>
  <c r="T44" i="9" s="1"/>
  <c r="BS28" i="2"/>
  <c r="BS29" i="2" s="1"/>
  <c r="BT27" i="2"/>
  <c r="A45" i="9"/>
  <c r="A70" i="2"/>
  <c r="B70" i="2" s="1" a="1"/>
  <c r="B70" i="2" s="1"/>
  <c r="B45" i="9" l="1" a="1"/>
  <c r="B45" i="9" s="1"/>
  <c r="T45" i="9" a="1"/>
  <c r="T45" i="9" s="1"/>
  <c r="BT28" i="2"/>
  <c r="BT29" i="2" s="1"/>
  <c r="BU27" i="2"/>
  <c r="A46" i="9"/>
  <c r="A71" i="2"/>
  <c r="B71" i="2" s="1" a="1"/>
  <c r="B71" i="2" s="1"/>
  <c r="T46" i="9" l="1" a="1"/>
  <c r="T46" i="9" s="1"/>
  <c r="B46" i="9" a="1"/>
  <c r="B46" i="9" s="1"/>
  <c r="BU28" i="2"/>
  <c r="BU29" i="2" s="1"/>
  <c r="BV27" i="2"/>
  <c r="A47" i="9"/>
  <c r="A72" i="2"/>
  <c r="B72" i="2" s="1" a="1"/>
  <c r="B72" i="2" s="1"/>
  <c r="B47" i="9" l="1" a="1"/>
  <c r="B47" i="9" s="1"/>
  <c r="T47" i="9" a="1"/>
  <c r="T47" i="9" s="1"/>
  <c r="BV28" i="2"/>
  <c r="BV29" i="2" s="1"/>
  <c r="BW27" i="2"/>
  <c r="A48" i="9"/>
  <c r="A73" i="2"/>
  <c r="B73" i="2" s="1" a="1"/>
  <c r="B73" i="2" s="1"/>
  <c r="B48" i="9" l="1" a="1"/>
  <c r="B48" i="9" s="1"/>
  <c r="T48" i="9" a="1"/>
  <c r="T48" i="9" s="1"/>
  <c r="BW28" i="2"/>
  <c r="BW29" i="2" s="1"/>
  <c r="BX27" i="2"/>
  <c r="A49" i="9"/>
  <c r="A74" i="2"/>
  <c r="B74" i="2" s="1" a="1"/>
  <c r="B74" i="2" s="1"/>
  <c r="B49" i="9" l="1" a="1"/>
  <c r="B49" i="9" s="1"/>
  <c r="T49" i="9" a="1"/>
  <c r="T49" i="9" s="1"/>
  <c r="BX28" i="2"/>
  <c r="BX29" i="2" s="1"/>
  <c r="BY27" i="2"/>
  <c r="A50" i="9"/>
  <c r="A75" i="2"/>
  <c r="B75" i="2" s="1" a="1"/>
  <c r="B75" i="2" s="1"/>
  <c r="B50" i="9" l="1" a="1"/>
  <c r="B50" i="9" s="1"/>
  <c r="T50" i="9" a="1"/>
  <c r="T50" i="9" s="1"/>
  <c r="BY28" i="2"/>
  <c r="BY29" i="2" s="1"/>
  <c r="BZ27" i="2"/>
  <c r="A51" i="9"/>
  <c r="A76" i="2"/>
  <c r="B76" i="2" s="1" a="1"/>
  <c r="B76" i="2" s="1"/>
  <c r="B51" i="9" l="1" a="1"/>
  <c r="B51" i="9" s="1"/>
  <c r="T51" i="9" a="1"/>
  <c r="T51" i="9" s="1"/>
  <c r="BZ28" i="2"/>
  <c r="BZ29" i="2" s="1"/>
  <c r="CA27" i="2"/>
  <c r="A52" i="9"/>
  <c r="A77" i="2"/>
  <c r="B77" i="2" s="1" a="1"/>
  <c r="B77" i="2" s="1"/>
  <c r="T52" i="9" l="1" a="1"/>
  <c r="T52" i="9" s="1"/>
  <c r="B52" i="9" a="1"/>
  <c r="B52" i="9" s="1"/>
  <c r="CA28" i="2"/>
  <c r="CA29" i="2" s="1"/>
  <c r="CB27" i="2"/>
  <c r="A53" i="9"/>
  <c r="A78" i="2"/>
  <c r="B78" i="2" s="1" a="1"/>
  <c r="B78" i="2" s="1"/>
  <c r="B53" i="9" l="1" a="1"/>
  <c r="B53" i="9" s="1"/>
  <c r="T53" i="9" a="1"/>
  <c r="T53" i="9" s="1"/>
  <c r="CB28" i="2"/>
  <c r="CB29" i="2" s="1"/>
  <c r="CC27" i="2"/>
  <c r="A54" i="9"/>
  <c r="A79" i="2"/>
  <c r="B79" i="2" s="1" a="1"/>
  <c r="B79" i="2" s="1"/>
  <c r="B54" i="9" l="1" a="1"/>
  <c r="B54" i="9" s="1"/>
  <c r="T54" i="9" a="1"/>
  <c r="T54" i="9" s="1"/>
  <c r="CC28" i="2"/>
  <c r="CC29" i="2" s="1"/>
  <c r="CD27" i="2"/>
  <c r="A55" i="9"/>
  <c r="A80" i="2"/>
  <c r="B80" i="2" s="1" a="1"/>
  <c r="B80" i="2" s="1"/>
  <c r="B55" i="9" l="1" a="1"/>
  <c r="B55" i="9" s="1"/>
  <c r="T55" i="9" a="1"/>
  <c r="T55" i="9" s="1"/>
  <c r="CD28" i="2"/>
  <c r="CD29" i="2" s="1"/>
  <c r="CE27" i="2"/>
  <c r="A56" i="9"/>
  <c r="A81" i="2"/>
  <c r="B81" i="2" s="1" a="1"/>
  <c r="B81" i="2" s="1"/>
  <c r="T56" i="9" l="1" a="1"/>
  <c r="T56" i="9" s="1"/>
  <c r="B56" i="9" a="1"/>
  <c r="B56" i="9" s="1"/>
  <c r="CE28" i="2"/>
  <c r="CE29" i="2" s="1"/>
  <c r="CF27" i="2"/>
  <c r="A57" i="9"/>
  <c r="A82" i="2"/>
  <c r="B82" i="2" s="1" a="1"/>
  <c r="B82" i="2" s="1"/>
  <c r="B57" i="9" l="1" a="1"/>
  <c r="B57" i="9" s="1"/>
  <c r="T57" i="9" a="1"/>
  <c r="T57" i="9" s="1"/>
  <c r="CF28" i="2"/>
  <c r="CF29" i="2" s="1"/>
  <c r="CG27" i="2"/>
  <c r="A58" i="9"/>
  <c r="A83" i="2"/>
  <c r="B83" i="2" s="1" a="1"/>
  <c r="B83" i="2" s="1"/>
  <c r="B58" i="9" l="1" a="1"/>
  <c r="B58" i="9" s="1"/>
  <c r="T58" i="9" a="1"/>
  <c r="T58" i="9" s="1"/>
  <c r="CG28" i="2"/>
  <c r="CG29" i="2" s="1"/>
  <c r="CH27" i="2"/>
  <c r="A59" i="9"/>
  <c r="A84" i="2"/>
  <c r="B84" i="2" s="1" a="1"/>
  <c r="B84" i="2" s="1"/>
  <c r="B59" i="9" l="1" a="1"/>
  <c r="B59" i="9" s="1"/>
  <c r="T59" i="9" a="1"/>
  <c r="T59" i="9" s="1"/>
  <c r="CH28" i="2"/>
  <c r="CH29" i="2" s="1"/>
  <c r="CI27" i="2"/>
  <c r="A60" i="9"/>
  <c r="A85" i="2"/>
  <c r="B85" i="2" s="1" a="1"/>
  <c r="B85" i="2" s="1"/>
  <c r="B60" i="9" l="1" a="1"/>
  <c r="B60" i="9" s="1"/>
  <c r="T60" i="9" a="1"/>
  <c r="T60" i="9" s="1"/>
  <c r="CI28" i="2"/>
  <c r="CI29" i="2" s="1"/>
  <c r="CJ27" i="2"/>
  <c r="A61" i="9"/>
  <c r="A86" i="2"/>
  <c r="B86" i="2" s="1" a="1"/>
  <c r="B86" i="2" s="1"/>
  <c r="B61" i="9" l="1" a="1"/>
  <c r="B61" i="9" s="1"/>
  <c r="T61" i="9" a="1"/>
  <c r="T61" i="9" s="1"/>
  <c r="CJ28" i="2"/>
  <c r="CJ29" i="2" s="1"/>
  <c r="CK27" i="2"/>
  <c r="A62" i="9"/>
  <c r="A87" i="2"/>
  <c r="B87" i="2" s="1" a="1"/>
  <c r="B87" i="2" s="1"/>
  <c r="T62" i="9" l="1" a="1"/>
  <c r="T62" i="9" s="1"/>
  <c r="B62" i="9" a="1"/>
  <c r="B62" i="9" s="1"/>
  <c r="CK28" i="2"/>
  <c r="CK29" i="2" s="1"/>
  <c r="CL27" i="2"/>
  <c r="A63" i="9"/>
  <c r="A88" i="2"/>
  <c r="B88" i="2" s="1" a="1"/>
  <c r="B88" i="2" s="1"/>
  <c r="T63" i="9" l="1" a="1"/>
  <c r="T63" i="9" s="1"/>
  <c r="B63" i="9" a="1"/>
  <c r="B63" i="9" s="1"/>
  <c r="CL28" i="2"/>
  <c r="CL29" i="2" s="1"/>
  <c r="CM27" i="2"/>
  <c r="A64" i="9"/>
  <c r="A89" i="2"/>
  <c r="B89" i="2" s="1" a="1"/>
  <c r="B89" i="2" s="1"/>
  <c r="B64" i="9" l="1" a="1"/>
  <c r="B64" i="9" s="1"/>
  <c r="T64" i="9" a="1"/>
  <c r="T64" i="9" s="1"/>
  <c r="CM28" i="2"/>
  <c r="CM29" i="2" s="1"/>
  <c r="CN27" i="2"/>
  <c r="A65" i="9"/>
  <c r="A90" i="2"/>
  <c r="B90" i="2" s="1" a="1"/>
  <c r="B90" i="2" s="1"/>
  <c r="B65" i="9" l="1" a="1"/>
  <c r="B65" i="9" s="1"/>
  <c r="T65" i="9" a="1"/>
  <c r="T65" i="9" s="1"/>
  <c r="CN28" i="2"/>
  <c r="CN29" i="2" s="1"/>
  <c r="CO27" i="2"/>
  <c r="A66" i="9"/>
  <c r="A91" i="2"/>
  <c r="B91" i="2" s="1" a="1"/>
  <c r="B91" i="2" s="1"/>
  <c r="B66" i="9" l="1" a="1"/>
  <c r="B66" i="9" s="1"/>
  <c r="T66" i="9" a="1"/>
  <c r="T66" i="9" s="1"/>
  <c r="CO28" i="2"/>
  <c r="CO29" i="2" s="1"/>
  <c r="CP27" i="2"/>
  <c r="A67" i="9"/>
  <c r="A92" i="2"/>
  <c r="B92" i="2" s="1" a="1"/>
  <c r="B92" i="2" s="1"/>
  <c r="B67" i="9" l="1" a="1"/>
  <c r="B67" i="9" s="1"/>
  <c r="T67" i="9" a="1"/>
  <c r="T67" i="9" s="1"/>
  <c r="CP28" i="2"/>
  <c r="CP29" i="2" s="1"/>
  <c r="CQ27" i="2"/>
  <c r="A68" i="9"/>
  <c r="A93" i="2"/>
  <c r="B93" i="2" s="1" a="1"/>
  <c r="B93" i="2" s="1"/>
  <c r="B68" i="9" l="1" a="1"/>
  <c r="B68" i="9" s="1"/>
  <c r="T68" i="9" a="1"/>
  <c r="T68" i="9" s="1"/>
  <c r="CQ28" i="2"/>
  <c r="CQ29" i="2" s="1"/>
  <c r="CR27" i="2"/>
  <c r="A69" i="9"/>
  <c r="A94" i="2"/>
  <c r="B94" i="2" s="1" a="1"/>
  <c r="B94" i="2" s="1"/>
  <c r="T69" i="9" l="1" a="1"/>
  <c r="T69" i="9" s="1"/>
  <c r="B69" i="9" a="1"/>
  <c r="B69" i="9" s="1"/>
  <c r="CR28" i="2"/>
  <c r="CR29" i="2" s="1"/>
  <c r="CS27" i="2"/>
  <c r="A70" i="9"/>
  <c r="A95" i="2"/>
  <c r="B95" i="2" s="1" a="1"/>
  <c r="B95" i="2" s="1"/>
  <c r="B70" i="9" l="1" a="1"/>
  <c r="B70" i="9" s="1"/>
  <c r="T70" i="9" a="1"/>
  <c r="T70" i="9" s="1"/>
  <c r="CS28" i="2"/>
  <c r="CS29" i="2" s="1"/>
  <c r="CT27" i="2"/>
  <c r="A71" i="9"/>
  <c r="A96" i="2"/>
  <c r="B96" i="2" s="1" a="1"/>
  <c r="B96" i="2" s="1"/>
  <c r="B71" i="9" l="1" a="1"/>
  <c r="B71" i="9" s="1"/>
  <c r="T71" i="9" a="1"/>
  <c r="T71" i="9" s="1"/>
  <c r="CT28" i="2"/>
  <c r="CT29" i="2" s="1"/>
  <c r="CU27" i="2"/>
  <c r="A72" i="9"/>
  <c r="A97" i="2"/>
  <c r="B97" i="2" s="1" a="1"/>
  <c r="B97" i="2" s="1"/>
  <c r="B72" i="9" l="1" a="1"/>
  <c r="B72" i="9" s="1"/>
  <c r="T72" i="9" a="1"/>
  <c r="T72" i="9" s="1"/>
  <c r="CU28" i="2"/>
  <c r="CU29" i="2" s="1"/>
  <c r="CV27" i="2"/>
  <c r="A73" i="9"/>
  <c r="A98" i="2"/>
  <c r="B98" i="2" s="1" a="1"/>
  <c r="B98" i="2" s="1"/>
  <c r="B73" i="9" l="1" a="1"/>
  <c r="B73" i="9" s="1"/>
  <c r="T73" i="9" a="1"/>
  <c r="T73" i="9" s="1"/>
  <c r="CV28" i="2"/>
  <c r="CV29" i="2" s="1"/>
  <c r="CW27" i="2"/>
  <c r="A74" i="9"/>
  <c r="A99" i="2"/>
  <c r="B99" i="2" s="1" a="1"/>
  <c r="B99" i="2" s="1"/>
  <c r="T74" i="9" l="1" a="1"/>
  <c r="T74" i="9" s="1"/>
  <c r="B74" i="9" a="1"/>
  <c r="B74" i="9" s="1"/>
  <c r="CW28" i="2"/>
  <c r="CW29" i="2" s="1"/>
  <c r="CX27" i="2"/>
  <c r="A75" i="9"/>
  <c r="A100" i="2"/>
  <c r="B100" i="2" s="1" a="1"/>
  <c r="B100" i="2" s="1"/>
  <c r="T75" i="9" l="1" a="1"/>
  <c r="T75" i="9" s="1"/>
  <c r="B75" i="9" a="1"/>
  <c r="B75" i="9" s="1"/>
  <c r="CX28" i="2"/>
  <c r="CX29" i="2" s="1"/>
  <c r="CY27" i="2"/>
  <c r="A76" i="9"/>
  <c r="A101" i="2"/>
  <c r="B101" i="2" s="1" a="1"/>
  <c r="B101" i="2" s="1"/>
  <c r="B76" i="9" l="1" a="1"/>
  <c r="B76" i="9" s="1"/>
  <c r="T76" i="9" a="1"/>
  <c r="T76" i="9" s="1"/>
  <c r="CY28" i="2"/>
  <c r="CY29" i="2" s="1"/>
  <c r="CZ27" i="2"/>
  <c r="A77" i="9"/>
  <c r="A102" i="2"/>
  <c r="B102" i="2" s="1" a="1"/>
  <c r="B102" i="2" s="1"/>
  <c r="B77" i="9" l="1" a="1"/>
  <c r="B77" i="9" s="1"/>
  <c r="T77" i="9" a="1"/>
  <c r="T77" i="9" s="1"/>
  <c r="CZ28" i="2"/>
  <c r="CZ29" i="2" s="1"/>
  <c r="DA27" i="2"/>
  <c r="A103" i="2"/>
  <c r="B103" i="2" s="1" a="1"/>
  <c r="B103" i="2" s="1"/>
  <c r="DA28" i="2" l="1"/>
  <c r="DA29" i="2" s="1"/>
  <c r="DB27" i="2"/>
  <c r="A104" i="2"/>
  <c r="B104" i="2" s="1" a="1"/>
  <c r="B104" i="2" s="1"/>
  <c r="DB28" i="2" l="1"/>
  <c r="DB29" i="2" s="1"/>
  <c r="DC27" i="2"/>
  <c r="A105" i="2"/>
  <c r="B105" i="2" s="1" a="1"/>
  <c r="B105" i="2" s="1"/>
  <c r="DC28" i="2" l="1"/>
  <c r="DC29" i="2" s="1"/>
  <c r="DD27" i="2"/>
  <c r="DD28" i="2" l="1"/>
  <c r="DD29" i="2" s="1"/>
  <c r="DE27" i="2"/>
  <c r="DE28" i="2" l="1"/>
  <c r="DE29" i="2" s="1"/>
  <c r="DF27" i="2"/>
  <c r="DF28" i="2" l="1"/>
  <c r="DF29" i="2" s="1"/>
  <c r="DG27" i="2"/>
  <c r="DG28" i="2" l="1"/>
  <c r="DG29" i="2" s="1"/>
  <c r="DH27" i="2"/>
  <c r="DH28" i="2" l="1"/>
  <c r="DH29" i="2" s="1"/>
  <c r="DI27" i="2"/>
  <c r="DI28" i="2" l="1"/>
  <c r="DI29" i="2" s="1"/>
  <c r="DJ27" i="2"/>
  <c r="DJ28" i="2" l="1"/>
  <c r="DJ29" i="2" s="1"/>
  <c r="DK27" i="2"/>
  <c r="DK28" i="2" l="1"/>
  <c r="DK29" i="2" s="1"/>
  <c r="DL27" i="2"/>
  <c r="DL28" i="2" l="1"/>
  <c r="DL29" i="2" s="1"/>
  <c r="DM27" i="2"/>
  <c r="DM28" i="2" l="1"/>
  <c r="DM29" i="2" s="1"/>
  <c r="DN27" i="2"/>
  <c r="DN28" i="2" l="1"/>
  <c r="DN29" i="2" s="1"/>
  <c r="DO27" i="2"/>
  <c r="DO28" i="2" l="1"/>
  <c r="DO29" i="2" s="1"/>
  <c r="DP27" i="2"/>
  <c r="DP28" i="2" l="1"/>
  <c r="DP29" i="2" s="1"/>
  <c r="DQ27" i="2"/>
  <c r="DQ28" i="2" l="1"/>
  <c r="DQ29" i="2" s="1"/>
  <c r="DR27" i="2"/>
  <c r="DR28" i="2" l="1"/>
  <c r="DR29" i="2" s="1"/>
  <c r="DS27" i="2"/>
  <c r="DS28" i="2" l="1"/>
  <c r="DS29" i="2" s="1"/>
  <c r="DT27" i="2"/>
  <c r="DT28" i="2" l="1"/>
  <c r="DT29" i="2" s="1"/>
  <c r="DU27" i="2"/>
  <c r="DU28" i="2" l="1"/>
  <c r="DU29" i="2" s="1"/>
  <c r="DV27" i="2"/>
  <c r="DV28" i="2" l="1"/>
  <c r="DV29" i="2" s="1"/>
  <c r="DW27" i="2"/>
  <c r="DW28" i="2" l="1"/>
  <c r="DW29" i="2" s="1"/>
  <c r="DX27" i="2"/>
  <c r="DX28" i="2" l="1"/>
  <c r="DX29" i="2" s="1"/>
  <c r="DY27" i="2"/>
  <c r="DY28" i="2" l="1"/>
  <c r="DY29" i="2" s="1"/>
  <c r="DZ27" i="2"/>
  <c r="DZ28" i="2" l="1"/>
  <c r="DZ29" i="2" s="1"/>
  <c r="EA27" i="2"/>
  <c r="EA28" i="2" l="1"/>
  <c r="EA29" i="2" s="1"/>
  <c r="EB27" i="2"/>
  <c r="EB28" i="2" l="1"/>
  <c r="EB29" i="2" s="1"/>
  <c r="EC27" i="2"/>
  <c r="EC28" i="2" l="1"/>
  <c r="EC29" i="2" s="1"/>
  <c r="ED27" i="2"/>
  <c r="ED28" i="2" l="1"/>
  <c r="ED29" i="2" s="1"/>
  <c r="EE27" i="2"/>
  <c r="EE28" i="2" l="1"/>
  <c r="EE29" i="2" s="1"/>
  <c r="EF27" i="2"/>
  <c r="EF28" i="2" l="1"/>
  <c r="EF29" i="2" s="1"/>
  <c r="EG27" i="2"/>
  <c r="EG28" i="2" l="1"/>
  <c r="EG29" i="2" s="1"/>
  <c r="EH27" i="2"/>
  <c r="EH28" i="2" l="1"/>
  <c r="EH29" i="2" s="1"/>
  <c r="EI27" i="2"/>
  <c r="EI28" i="2" l="1"/>
  <c r="EI29" i="2" s="1"/>
  <c r="EJ27" i="2"/>
  <c r="EJ28" i="2" l="1"/>
  <c r="EJ29" i="2" s="1"/>
  <c r="EK27" i="2"/>
  <c r="EK28" i="2" l="1"/>
  <c r="EK29" i="2" s="1"/>
  <c r="EL27" i="2"/>
  <c r="EL28" i="2" l="1"/>
  <c r="EL29" i="2" s="1"/>
  <c r="EM27" i="2"/>
  <c r="EM28" i="2" l="1"/>
  <c r="EM29" i="2" s="1"/>
  <c r="EN27" i="2"/>
  <c r="EN28" i="2" l="1"/>
  <c r="EN29" i="2" s="1"/>
  <c r="EO27" i="2"/>
  <c r="EO28" i="2" l="1"/>
  <c r="EO29" i="2" s="1"/>
  <c r="EP27" i="2"/>
  <c r="EP28" i="2" l="1"/>
  <c r="EP29" i="2" s="1"/>
  <c r="EQ27" i="2"/>
  <c r="EQ28" i="2" l="1"/>
  <c r="EQ29" i="2" s="1"/>
  <c r="ER27" i="2"/>
  <c r="ER28" i="2" l="1"/>
  <c r="ER29" i="2" s="1"/>
  <c r="ES27" i="2"/>
  <c r="ES28" i="2" l="1"/>
  <c r="ES29" i="2" s="1"/>
  <c r="ET27" i="2"/>
  <c r="ET28" i="2" l="1"/>
  <c r="ET29" i="2" s="1"/>
  <c r="EU27" i="2"/>
  <c r="EU28" i="2" l="1"/>
  <c r="EU29" i="2" s="1"/>
  <c r="EV27" i="2"/>
  <c r="EV28" i="2" l="1"/>
  <c r="EV29" i="2" s="1"/>
  <c r="EW27" i="2"/>
  <c r="EW28" i="2" l="1"/>
  <c r="EW29" i="2" s="1"/>
  <c r="EX27" i="2"/>
  <c r="EX28" i="2" l="1"/>
  <c r="EX29" i="2" s="1"/>
  <c r="EY27" i="2"/>
  <c r="EY28" i="2" l="1"/>
  <c r="EY29" i="2" s="1"/>
  <c r="EZ27" i="2"/>
  <c r="EZ28" i="2" l="1"/>
  <c r="EZ29" i="2" s="1"/>
  <c r="FA27" i="2"/>
  <c r="FA28" i="2" l="1"/>
  <c r="FA29" i="2" s="1"/>
  <c r="FB27" i="2"/>
  <c r="FB28" i="2" l="1"/>
  <c r="FB29" i="2" s="1"/>
  <c r="FC27" i="2"/>
  <c r="FC28" i="2" l="1"/>
  <c r="FC29" i="2" s="1"/>
  <c r="FD27" i="2"/>
  <c r="FD28" i="2" l="1"/>
  <c r="FD29" i="2" s="1"/>
  <c r="FE27" i="2"/>
  <c r="FE28" i="2" l="1"/>
  <c r="FE29" i="2" s="1"/>
  <c r="FF27" i="2"/>
  <c r="FF28" i="2" l="1"/>
  <c r="FF29" i="2" s="1"/>
  <c r="FG27" i="2"/>
  <c r="FG28" i="2" l="1"/>
  <c r="FG29" i="2" s="1"/>
  <c r="FH27" i="2"/>
  <c r="FH28" i="2" l="1"/>
  <c r="FH29" i="2" s="1"/>
  <c r="FI27" i="2"/>
  <c r="FI28" i="2" l="1"/>
  <c r="FI29" i="2" s="1"/>
  <c r="FJ27" i="2"/>
  <c r="FJ28" i="2" l="1"/>
  <c r="FJ29" i="2" s="1"/>
  <c r="FK27" i="2"/>
  <c r="FK28" i="2" l="1"/>
  <c r="FK29" i="2" s="1"/>
  <c r="FL27" i="2"/>
  <c r="FL28" i="2" l="1"/>
  <c r="FL29" i="2" s="1"/>
  <c r="FM27" i="2"/>
  <c r="FM28" i="2" l="1"/>
  <c r="FM29" i="2" s="1"/>
  <c r="FN27" i="2"/>
  <c r="FN28" i="2" l="1"/>
  <c r="FN29" i="2" s="1"/>
  <c r="FO27" i="2"/>
  <c r="FO28" i="2" l="1"/>
  <c r="FO29" i="2" s="1"/>
  <c r="FP27" i="2"/>
  <c r="FP28" i="2" l="1"/>
  <c r="FP29" i="2" s="1"/>
  <c r="FQ27" i="2"/>
  <c r="FQ28" i="2" l="1"/>
  <c r="FQ29" i="2" s="1"/>
  <c r="FR27" i="2"/>
  <c r="FR28" i="2" l="1"/>
  <c r="FR29" i="2" s="1"/>
  <c r="FS27" i="2"/>
  <c r="FS28" i="2" l="1"/>
  <c r="FS29" i="2" s="1"/>
  <c r="FT27" i="2"/>
  <c r="FT28" i="2" l="1"/>
  <c r="FT29" i="2" s="1"/>
  <c r="FU27" i="2"/>
  <c r="FU28" i="2" l="1"/>
  <c r="FU29" i="2" s="1"/>
  <c r="FV27" i="2"/>
  <c r="FV28" i="2" l="1"/>
  <c r="FV29" i="2" s="1"/>
  <c r="FW27" i="2"/>
  <c r="FW28" i="2" l="1"/>
  <c r="FW29" i="2" s="1"/>
  <c r="FX27" i="2"/>
  <c r="FX28" i="2" l="1"/>
  <c r="FX29" i="2" s="1"/>
  <c r="FY27" i="2"/>
  <c r="FY28" i="2" l="1"/>
  <c r="FY29" i="2" s="1"/>
  <c r="FZ27" i="2"/>
  <c r="FZ28" i="2" l="1"/>
  <c r="FZ29" i="2" s="1"/>
  <c r="GA27" i="2"/>
  <c r="GA28" i="2" l="1"/>
  <c r="GA29" i="2" s="1"/>
  <c r="GB27" i="2"/>
  <c r="GB28" i="2" l="1"/>
  <c r="GB29" i="2" s="1"/>
  <c r="GC27" i="2"/>
  <c r="GC28" i="2" l="1"/>
  <c r="GC29" i="2" s="1"/>
  <c r="GD27" i="2"/>
  <c r="GD28" i="2" l="1"/>
  <c r="GD29" i="2" s="1"/>
  <c r="GE27" i="2"/>
  <c r="GE28" i="2" l="1"/>
  <c r="GE29" i="2" s="1"/>
  <c r="GF27" i="2"/>
  <c r="GF28" i="2" l="1"/>
  <c r="GF29" i="2" s="1"/>
  <c r="GG27" i="2"/>
  <c r="GG28" i="2" l="1"/>
  <c r="GG29" i="2" s="1"/>
  <c r="GH27" i="2"/>
  <c r="GH28" i="2" l="1"/>
  <c r="GH29" i="2" s="1"/>
  <c r="GI27" i="2"/>
  <c r="GI28" i="2" l="1"/>
  <c r="GI29" i="2" s="1"/>
  <c r="GJ27" i="2"/>
  <c r="GJ28" i="2" l="1"/>
  <c r="GJ29" i="2" s="1"/>
  <c r="GK27" i="2"/>
  <c r="GK28" i="2" l="1"/>
  <c r="GK29" i="2" s="1"/>
  <c r="GL27" i="2"/>
  <c r="GL28" i="2" l="1"/>
  <c r="GL29" i="2" s="1"/>
  <c r="GM27" i="2"/>
  <c r="GM28" i="2" l="1"/>
  <c r="GM29" i="2" s="1"/>
  <c r="GN27" i="2"/>
  <c r="GN28" i="2" l="1"/>
  <c r="GN29" i="2" s="1"/>
  <c r="GO27" i="2"/>
  <c r="GO28" i="2" l="1"/>
  <c r="GO29" i="2" s="1"/>
  <c r="GP27" i="2"/>
  <c r="GP28" i="2" l="1"/>
  <c r="GP29" i="2" s="1"/>
  <c r="GQ27" i="2"/>
  <c r="GQ28" i="2" l="1"/>
  <c r="GQ29" i="2" s="1"/>
  <c r="GR27" i="2"/>
  <c r="GR28" i="2" l="1"/>
  <c r="GR29" i="2" s="1"/>
  <c r="GS27" i="2"/>
  <c r="GS28" i="2" l="1"/>
  <c r="GS29" i="2" s="1"/>
  <c r="GT27" i="2"/>
  <c r="GT28" i="2" l="1"/>
  <c r="GT29" i="2" s="1"/>
  <c r="GU27" i="2"/>
  <c r="GU28" i="2" l="1"/>
  <c r="GU29" i="2" s="1"/>
  <c r="GV27" i="2"/>
  <c r="GV28" i="2" l="1"/>
  <c r="GV29" i="2" s="1"/>
  <c r="GW27" i="2"/>
  <c r="GW28" i="2" l="1"/>
  <c r="GW29" i="2" s="1"/>
  <c r="GX27" i="2"/>
  <c r="GX28" i="2" l="1"/>
  <c r="GX29" i="2" s="1"/>
  <c r="GY27" i="2"/>
  <c r="GY28" i="2" l="1"/>
  <c r="GY29" i="2" s="1"/>
  <c r="GZ27" i="2"/>
  <c r="GZ28" i="2" l="1"/>
  <c r="GZ29" i="2" s="1"/>
  <c r="HA27" i="2"/>
  <c r="HA28" i="2" l="1"/>
  <c r="HA29" i="2" s="1"/>
  <c r="HB27" i="2"/>
  <c r="HB28" i="2" l="1"/>
  <c r="HB29" i="2" s="1"/>
  <c r="HC27" i="2"/>
  <c r="HC28" i="2" l="1"/>
  <c r="HC29" i="2" s="1"/>
  <c r="HD27" i="2"/>
  <c r="HD28" i="2" l="1"/>
  <c r="HD29" i="2" s="1"/>
  <c r="HE27" i="2"/>
  <c r="HE28" i="2" l="1"/>
  <c r="HE29" i="2" s="1"/>
  <c r="HF27" i="2"/>
  <c r="HF28" i="2" l="1"/>
  <c r="HF29" i="2" s="1"/>
  <c r="HG27" i="2"/>
  <c r="HG28" i="2" l="1"/>
  <c r="HG29" i="2" s="1"/>
  <c r="HH27" i="2"/>
  <c r="HH28" i="2" l="1"/>
  <c r="HH29" i="2" s="1"/>
  <c r="HI27" i="2"/>
  <c r="HI28" i="2" l="1"/>
  <c r="HI29" i="2" s="1"/>
  <c r="HJ27" i="2"/>
  <c r="HJ28" i="2" l="1"/>
  <c r="HJ29" i="2" s="1"/>
  <c r="HK27" i="2"/>
  <c r="HK28" i="2" l="1"/>
  <c r="HK29" i="2" s="1"/>
  <c r="HL27" i="2"/>
  <c r="HL28" i="2" l="1"/>
  <c r="HL29" i="2" s="1"/>
  <c r="HM27" i="2"/>
  <c r="HM28" i="2" l="1"/>
  <c r="HM29" i="2" s="1"/>
  <c r="HN27" i="2"/>
  <c r="HN28" i="2" l="1"/>
  <c r="HN29" i="2" s="1"/>
  <c r="HO27" i="2"/>
  <c r="HO28" i="2" l="1"/>
  <c r="HO29" i="2" s="1"/>
  <c r="HP27" i="2"/>
  <c r="HP28" i="2" l="1"/>
  <c r="HP29" i="2" s="1"/>
  <c r="HQ27" i="2"/>
  <c r="HQ28" i="2" l="1"/>
  <c r="HQ29" i="2" s="1"/>
  <c r="HR27" i="2"/>
  <c r="HR28" i="2" l="1"/>
  <c r="HR29" i="2" s="1"/>
  <c r="HS27" i="2"/>
  <c r="HS28" i="2" l="1"/>
  <c r="HS29" i="2" s="1"/>
  <c r="HT27" i="2"/>
  <c r="HT28" i="2" l="1"/>
  <c r="HT29" i="2" s="1"/>
  <c r="HU27" i="2"/>
  <c r="HU28" i="2" l="1"/>
  <c r="HU29" i="2" s="1"/>
  <c r="HV27" i="2"/>
  <c r="HV28" i="2" l="1"/>
  <c r="HV29" i="2" s="1"/>
  <c r="HW27" i="2"/>
  <c r="HW28" i="2" l="1"/>
  <c r="HW29" i="2" s="1"/>
  <c r="HX27" i="2"/>
  <c r="HX28" i="2" l="1"/>
  <c r="HX29" i="2" s="1"/>
  <c r="HY27" i="2"/>
  <c r="HY28" i="2" l="1"/>
  <c r="HY29" i="2" s="1"/>
  <c r="HZ27" i="2"/>
  <c r="HZ28" i="2" l="1"/>
  <c r="HZ29" i="2" s="1"/>
  <c r="IA27" i="2"/>
  <c r="IA28" i="2" l="1"/>
  <c r="IA29" i="2" s="1"/>
  <c r="IB27" i="2"/>
  <c r="IB28" i="2" l="1"/>
  <c r="IB29" i="2" s="1"/>
  <c r="IC27" i="2"/>
  <c r="IC28" i="2" l="1"/>
  <c r="IC29" i="2" s="1"/>
  <c r="ID27" i="2"/>
  <c r="ID28" i="2" l="1"/>
  <c r="ID29" i="2" s="1"/>
  <c r="IE27" i="2"/>
  <c r="IE28" i="2" l="1"/>
  <c r="IE29" i="2" s="1"/>
  <c r="IF27" i="2"/>
  <c r="IF28" i="2" l="1"/>
  <c r="IF29" i="2" s="1"/>
  <c r="IG27" i="2"/>
  <c r="IG28" i="2" l="1"/>
  <c r="IG29" i="2" s="1"/>
  <c r="IH27" i="2"/>
  <c r="IH28" i="2" l="1"/>
  <c r="IH29" i="2" s="1"/>
  <c r="II27" i="2"/>
  <c r="II28" i="2" l="1"/>
  <c r="II29" i="2" s="1"/>
  <c r="IJ27" i="2"/>
  <c r="IJ28" i="2" l="1"/>
  <c r="IJ29" i="2" s="1"/>
  <c r="IK27" i="2"/>
  <c r="IK28" i="2" l="1"/>
  <c r="IK29" i="2" s="1"/>
  <c r="IL27" i="2"/>
  <c r="IL28" i="2" l="1"/>
  <c r="IL29" i="2" s="1"/>
  <c r="IM27" i="2"/>
  <c r="IM28" i="2" l="1"/>
  <c r="IM29" i="2" s="1"/>
  <c r="IN27" i="2"/>
  <c r="IN28" i="2" l="1"/>
  <c r="IN29" i="2" s="1"/>
  <c r="IO27" i="2"/>
  <c r="IO28" i="2" l="1"/>
  <c r="IO29" i="2" s="1"/>
  <c r="IP27" i="2"/>
  <c r="IP28" i="2" l="1"/>
  <c r="IP29" i="2" s="1"/>
  <c r="IQ27" i="2"/>
  <c r="IQ28" i="2" l="1"/>
  <c r="IQ29" i="2" s="1"/>
  <c r="IR27" i="2"/>
  <c r="IR28" i="2" l="1"/>
  <c r="IR29" i="2" s="1"/>
  <c r="IS27" i="2"/>
  <c r="IS28" i="2" l="1"/>
  <c r="IS29" i="2" s="1"/>
  <c r="IT27" i="2"/>
  <c r="IT28" i="2" l="1"/>
  <c r="IT29" i="2" s="1"/>
  <c r="IU27" i="2"/>
  <c r="IU28" i="2" l="1"/>
  <c r="IU29" i="2" s="1"/>
  <c r="IV27" i="2"/>
  <c r="IV28" i="2" l="1"/>
  <c r="IV29" i="2" s="1"/>
  <c r="IW27" i="2"/>
  <c r="IW28" i="2" l="1"/>
  <c r="IW29" i="2" s="1"/>
  <c r="IX27" i="2"/>
  <c r="IX28" i="2" l="1"/>
  <c r="IX29" i="2" s="1"/>
  <c r="IY27" i="2"/>
  <c r="IY28" i="2" l="1"/>
  <c r="IY29" i="2" s="1"/>
  <c r="IZ27" i="2"/>
  <c r="IZ28" i="2" l="1"/>
  <c r="IZ29" i="2" s="1"/>
  <c r="JA27" i="2"/>
  <c r="JA28" i="2" l="1"/>
  <c r="JA29" i="2" s="1"/>
  <c r="JB27" i="2"/>
  <c r="JB28" i="2" l="1"/>
  <c r="JB29" i="2" s="1"/>
  <c r="JC27" i="2"/>
  <c r="JC28" i="2" l="1"/>
  <c r="JC29" i="2" s="1"/>
  <c r="JD27" i="2"/>
  <c r="JD28" i="2" l="1"/>
  <c r="JD29" i="2" s="1"/>
  <c r="JE27" i="2"/>
  <c r="JE28" i="2" l="1"/>
  <c r="JE29" i="2" s="1"/>
  <c r="JF27" i="2"/>
  <c r="JF28" i="2" l="1"/>
  <c r="JF29" i="2" s="1"/>
  <c r="JG27" i="2"/>
  <c r="JG28" i="2" l="1"/>
  <c r="JG29" i="2" s="1"/>
  <c r="JH27" i="2"/>
  <c r="JH28" i="2" l="1"/>
  <c r="JH29" i="2" s="1"/>
  <c r="JI27" i="2"/>
  <c r="JI28" i="2" l="1"/>
  <c r="JI29" i="2" s="1"/>
  <c r="JJ27" i="2"/>
  <c r="JJ28" i="2" l="1"/>
  <c r="JJ29" i="2" s="1"/>
  <c r="JK27" i="2"/>
  <c r="JK28" i="2" l="1"/>
  <c r="JK29" i="2" s="1"/>
  <c r="JL27" i="2"/>
  <c r="JL28" i="2" l="1"/>
  <c r="JL29" i="2" s="1"/>
  <c r="JM27" i="2"/>
  <c r="JM28" i="2" l="1"/>
  <c r="JM29" i="2" s="1"/>
  <c r="JN27" i="2"/>
  <c r="JN28" i="2" l="1"/>
  <c r="JN29" i="2" s="1"/>
  <c r="JO27" i="2"/>
  <c r="JO28" i="2" l="1"/>
  <c r="JO29" i="2" s="1"/>
  <c r="JP27" i="2"/>
  <c r="JP28" i="2" l="1"/>
  <c r="JP29" i="2" s="1"/>
  <c r="JQ27" i="2"/>
  <c r="JQ28" i="2" l="1"/>
  <c r="JQ29" i="2" s="1"/>
  <c r="JR27" i="2"/>
  <c r="JR28" i="2" l="1"/>
  <c r="JR29" i="2" s="1"/>
  <c r="JS27" i="2"/>
  <c r="JS28" i="2" l="1"/>
  <c r="JS29" i="2" s="1"/>
  <c r="JT27" i="2"/>
  <c r="JT28" i="2" l="1"/>
  <c r="JT29" i="2" s="1"/>
  <c r="JU27" i="2"/>
  <c r="JU28" i="2" l="1"/>
  <c r="JU29" i="2" s="1"/>
  <c r="JV27" i="2"/>
  <c r="JV28" i="2" l="1"/>
  <c r="JV29" i="2" s="1"/>
  <c r="JW27" i="2"/>
  <c r="JW28" i="2" l="1"/>
  <c r="JW29" i="2" s="1"/>
  <c r="JX27" i="2"/>
  <c r="JX28" i="2" l="1"/>
  <c r="JX29" i="2" s="1"/>
  <c r="JY27" i="2"/>
  <c r="JY28" i="2" l="1"/>
  <c r="JY29" i="2" s="1"/>
  <c r="JZ27" i="2"/>
  <c r="JZ28" i="2" l="1"/>
  <c r="JZ29" i="2" s="1"/>
  <c r="KA27" i="2"/>
  <c r="KA28" i="2" l="1"/>
  <c r="KA29" i="2" s="1"/>
  <c r="KB27" i="2"/>
  <c r="KB28" i="2" l="1"/>
  <c r="KB29" i="2" s="1"/>
  <c r="KC27" i="2"/>
  <c r="KC28" i="2" l="1"/>
  <c r="KC29" i="2" s="1"/>
  <c r="KD27" i="2"/>
  <c r="KD28" i="2" l="1"/>
  <c r="KD29" i="2" s="1"/>
  <c r="KE27" i="2"/>
  <c r="KE28" i="2" l="1"/>
  <c r="KE29" i="2" s="1"/>
  <c r="KF27" i="2"/>
  <c r="KF28" i="2" l="1"/>
  <c r="KF29" i="2" s="1"/>
  <c r="KG27" i="2"/>
  <c r="KG28" i="2" l="1"/>
  <c r="KG29" i="2" s="1"/>
  <c r="KH27" i="2"/>
  <c r="KH28" i="2" l="1"/>
  <c r="KH29" i="2" s="1"/>
  <c r="KI27" i="2"/>
  <c r="KI28" i="2" l="1"/>
  <c r="KI29" i="2" s="1"/>
  <c r="KJ27" i="2"/>
  <c r="KJ28" i="2" l="1"/>
  <c r="KJ29" i="2" s="1"/>
  <c r="KK27" i="2"/>
  <c r="KK28" i="2" l="1"/>
  <c r="KK29" i="2" s="1"/>
  <c r="KL27" i="2"/>
  <c r="KL28" i="2" l="1"/>
  <c r="KL29" i="2" s="1"/>
  <c r="KM27" i="2"/>
  <c r="KM28" i="2" l="1"/>
  <c r="KM29" i="2" s="1"/>
  <c r="KN27" i="2"/>
  <c r="KN28" i="2" l="1"/>
  <c r="KN29" i="2" s="1"/>
  <c r="KO27" i="2"/>
  <c r="KO28" i="2" l="1"/>
  <c r="KO29" i="2" s="1"/>
  <c r="KP27" i="2"/>
  <c r="KP28" i="2" l="1"/>
  <c r="KP29" i="2" s="1"/>
  <c r="KQ27" i="2"/>
  <c r="KQ28" i="2" l="1"/>
  <c r="KQ29" i="2" s="1"/>
  <c r="KR27" i="2"/>
  <c r="KR28" i="2" l="1"/>
  <c r="KR29" i="2" s="1"/>
  <c r="KS27" i="2"/>
  <c r="KS28" i="2" l="1"/>
  <c r="KS29" i="2" s="1"/>
  <c r="KT27" i="2"/>
  <c r="KT28" i="2" l="1"/>
  <c r="KT29" i="2" s="1"/>
  <c r="KU27" i="2"/>
  <c r="KU28" i="2" l="1"/>
  <c r="KU29" i="2" s="1"/>
  <c r="KV27" i="2"/>
  <c r="KV28" i="2" l="1"/>
  <c r="KV29" i="2" s="1"/>
  <c r="KW27" i="2"/>
  <c r="KW28" i="2" l="1"/>
  <c r="KW29" i="2" s="1"/>
  <c r="KX27" i="2"/>
  <c r="KX28" i="2" l="1"/>
  <c r="KX29" i="2" s="1"/>
  <c r="KY27" i="2"/>
  <c r="KY28" i="2" l="1"/>
  <c r="KY29" i="2" s="1"/>
  <c r="KZ27" i="2"/>
  <c r="KZ28" i="2" l="1"/>
  <c r="KZ29" i="2" s="1"/>
  <c r="LA27" i="2"/>
  <c r="LA28" i="2" l="1"/>
  <c r="LA29" i="2" s="1"/>
  <c r="LB27" i="2"/>
  <c r="LB28" i="2" l="1"/>
  <c r="LB29" i="2" s="1"/>
  <c r="LC27" i="2"/>
  <c r="LC28" i="2" l="1"/>
  <c r="LC29" i="2" s="1"/>
  <c r="LD27" i="2"/>
  <c r="LD28" i="2" l="1"/>
  <c r="LD29" i="2" s="1"/>
  <c r="LE27" i="2"/>
  <c r="LE28" i="2" l="1"/>
  <c r="LE29" i="2" s="1"/>
  <c r="LF27" i="2"/>
  <c r="LF28" i="2" l="1"/>
  <c r="LF29" i="2" s="1"/>
  <c r="LG27" i="2"/>
  <c r="LG28" i="2" l="1"/>
  <c r="LG29" i="2" s="1"/>
  <c r="LH27" i="2"/>
  <c r="LH28" i="2" l="1"/>
  <c r="LH29" i="2" s="1"/>
  <c r="LI27" i="2"/>
  <c r="LI28" i="2" l="1"/>
  <c r="LI29" i="2" s="1"/>
  <c r="LJ27" i="2"/>
  <c r="LJ28" i="2" l="1"/>
  <c r="LJ29" i="2" s="1"/>
  <c r="LK27" i="2"/>
  <c r="LK28" i="2" l="1"/>
  <c r="LK29" i="2" s="1"/>
  <c r="LL27" i="2"/>
  <c r="LL28" i="2" l="1"/>
  <c r="LL29" i="2" s="1"/>
  <c r="LM27" i="2"/>
  <c r="LM28" i="2" l="1"/>
  <c r="LM29" i="2" s="1"/>
  <c r="LN27" i="2"/>
  <c r="LN28" i="2" l="1"/>
  <c r="LN29" i="2" s="1"/>
  <c r="LO27" i="2"/>
  <c r="LO28" i="2" l="1"/>
  <c r="LO29" i="2" s="1"/>
  <c r="LP27" i="2"/>
  <c r="LP28" i="2" l="1"/>
  <c r="LP29" i="2" s="1"/>
  <c r="LQ27" i="2"/>
  <c r="LQ28" i="2" l="1"/>
  <c r="LQ29" i="2" s="1"/>
  <c r="LR27" i="2"/>
  <c r="LR28" i="2" l="1"/>
  <c r="LR29" i="2" s="1"/>
  <c r="LS27" i="2"/>
  <c r="LS28" i="2" l="1"/>
  <c r="LS29" i="2" s="1"/>
  <c r="LT27" i="2"/>
  <c r="LT28" i="2" l="1"/>
  <c r="LT29" i="2" s="1"/>
  <c r="LU27" i="2"/>
  <c r="LU28" i="2" l="1"/>
  <c r="LU29" i="2" s="1"/>
  <c r="LV27" i="2"/>
  <c r="LV28" i="2" l="1"/>
  <c r="LV29" i="2" s="1"/>
  <c r="LW27" i="2"/>
  <c r="LW28" i="2" l="1"/>
  <c r="LW29" i="2" s="1"/>
  <c r="LX27" i="2"/>
  <c r="LX28" i="2" l="1"/>
  <c r="LX29" i="2" s="1"/>
  <c r="LY27" i="2"/>
  <c r="LY28" i="2" l="1"/>
  <c r="LY29" i="2" s="1"/>
  <c r="LZ27" i="2"/>
  <c r="LZ28" i="2" l="1"/>
  <c r="LZ29" i="2" s="1"/>
  <c r="MA27" i="2"/>
  <c r="MA28" i="2" l="1"/>
  <c r="MA29" i="2" s="1"/>
  <c r="MB27" i="2"/>
  <c r="MB28" i="2" l="1"/>
  <c r="MB29" i="2" s="1"/>
  <c r="MC27" i="2"/>
  <c r="MC28" i="2" l="1"/>
  <c r="MC29" i="2" s="1"/>
  <c r="MD27" i="2"/>
  <c r="MD28" i="2" l="1"/>
  <c r="MD29" i="2" s="1"/>
  <c r="ME27" i="2"/>
  <c r="ME28" i="2" l="1"/>
  <c r="ME29" i="2" s="1"/>
  <c r="MF27" i="2"/>
  <c r="MF28" i="2" l="1"/>
  <c r="MF29" i="2" s="1"/>
  <c r="MG27" i="2"/>
  <c r="MG28" i="2" l="1"/>
  <c r="MG29" i="2" s="1"/>
  <c r="MH27" i="2"/>
  <c r="MH28" i="2" l="1"/>
  <c r="MH29" i="2" s="1"/>
  <c r="MI27" i="2"/>
  <c r="MI28" i="2" l="1"/>
  <c r="MI29" i="2" s="1"/>
  <c r="MJ27" i="2"/>
  <c r="MJ28" i="2" l="1"/>
  <c r="MJ29" i="2" s="1"/>
  <c r="MK27" i="2"/>
  <c r="MK28" i="2" l="1"/>
  <c r="MK29" i="2" s="1"/>
  <c r="ML27" i="2"/>
  <c r="ML28" i="2" l="1"/>
  <c r="ML29" i="2" s="1"/>
  <c r="MM27" i="2"/>
  <c r="MM28" i="2" l="1"/>
  <c r="MM29" i="2" s="1"/>
  <c r="MN27" i="2"/>
  <c r="MN28" i="2" l="1"/>
  <c r="MN29" i="2" s="1"/>
  <c r="MO27" i="2"/>
  <c r="MO28" i="2" l="1"/>
  <c r="MO29" i="2" s="1"/>
  <c r="MP27" i="2"/>
  <c r="MP28" i="2" l="1"/>
  <c r="MP29" i="2" s="1"/>
  <c r="MQ27" i="2"/>
  <c r="MQ28" i="2" l="1"/>
  <c r="MQ29" i="2" s="1"/>
  <c r="MR27" i="2"/>
  <c r="MR28" i="2" l="1"/>
  <c r="MR29" i="2" s="1"/>
  <c r="MS27" i="2"/>
  <c r="MS28" i="2" l="1"/>
  <c r="MS29" i="2" s="1"/>
  <c r="MT27" i="2"/>
  <c r="MT28" i="2" l="1"/>
  <c r="MT29" i="2" s="1"/>
  <c r="MU27" i="2"/>
  <c r="MU28" i="2" l="1"/>
  <c r="MU29" i="2" s="1"/>
  <c r="MV27" i="2"/>
  <c r="MV28" i="2" l="1"/>
  <c r="MV29" i="2" s="1"/>
  <c r="MW27" i="2"/>
  <c r="MW28" i="2" l="1"/>
  <c r="MW29" i="2" s="1"/>
  <c r="MX27" i="2"/>
  <c r="MX28" i="2" l="1"/>
  <c r="MX29" i="2" s="1"/>
  <c r="MY27" i="2"/>
  <c r="MY28" i="2" l="1"/>
  <c r="MY29" i="2" s="1"/>
  <c r="MZ27" i="2"/>
  <c r="MZ28" i="2" l="1"/>
  <c r="MZ29" i="2" s="1"/>
  <c r="NA27" i="2"/>
  <c r="NA28" i="2" l="1"/>
  <c r="NA29" i="2" s="1"/>
  <c r="NB27" i="2"/>
  <c r="NB28" i="2" l="1"/>
  <c r="NB29" i="2" s="1"/>
  <c r="NC27" i="2"/>
  <c r="NC28" i="2" l="1"/>
  <c r="NC29" i="2" s="1"/>
  <c r="ND27" i="2"/>
  <c r="ND28" i="2" l="1"/>
  <c r="ND29" i="2" s="1"/>
  <c r="NE27" i="2"/>
  <c r="NE28" i="2" l="1"/>
  <c r="NE29" i="2" s="1"/>
  <c r="NF27" i="2"/>
  <c r="NF28" i="2" l="1"/>
  <c r="NF29" i="2" s="1"/>
  <c r="NG27" i="2"/>
  <c r="NG28" i="2" l="1"/>
  <c r="NG29" i="2" s="1"/>
  <c r="NH27" i="2"/>
  <c r="NH28" i="2" l="1"/>
  <c r="NH29" i="2" s="1"/>
  <c r="NI27" i="2"/>
  <c r="NI28" i="2" l="1"/>
  <c r="NI29" i="2" s="1"/>
  <c r="NJ27" i="2"/>
  <c r="NJ28" i="2" l="1"/>
  <c r="NJ29" i="2" s="1"/>
  <c r="NK27" i="2"/>
  <c r="NK28" i="2" l="1"/>
  <c r="NK29" i="2" s="1"/>
  <c r="NL27" i="2"/>
  <c r="NL28" i="2" l="1"/>
  <c r="NL29" i="2" s="1"/>
  <c r="NM27" i="2"/>
  <c r="NM28" i="2" l="1"/>
  <c r="NM29" i="2" s="1"/>
  <c r="NN27" i="2"/>
  <c r="NN28" i="2" l="1"/>
  <c r="NN29" i="2" s="1"/>
  <c r="NO27" i="2"/>
  <c r="NO28" i="2" l="1"/>
  <c r="NO29" i="2" s="1"/>
  <c r="NP27" i="2"/>
  <c r="NP28" i="2" l="1"/>
  <c r="NP29" i="2" s="1"/>
  <c r="NQ27" i="2"/>
  <c r="NQ28" i="2" l="1"/>
  <c r="NQ29" i="2" s="1"/>
  <c r="NR27" i="2"/>
  <c r="NR28" i="2" l="1"/>
  <c r="NR29" i="2" s="1"/>
  <c r="NS27" i="2"/>
  <c r="NS28" i="2" l="1"/>
  <c r="NS29" i="2" s="1"/>
  <c r="NT27" i="2"/>
  <c r="NT28" i="2" l="1"/>
  <c r="NT29" i="2" s="1"/>
  <c r="NU27" i="2"/>
  <c r="NU28" i="2" l="1"/>
  <c r="NU29" i="2" s="1"/>
  <c r="NV27" i="2"/>
  <c r="NV28" i="2" l="1"/>
  <c r="NV29" i="2" s="1"/>
  <c r="NW27" i="2"/>
  <c r="NW28" i="2" l="1"/>
  <c r="NW29" i="2" s="1"/>
  <c r="NX27" i="2"/>
  <c r="NX28" i="2" l="1"/>
  <c r="NX29" i="2" s="1"/>
  <c r="NY27" i="2"/>
  <c r="NY28" i="2" l="1"/>
  <c r="NY29" i="2" s="1"/>
  <c r="NZ27" i="2"/>
  <c r="NZ28" i="2" l="1"/>
  <c r="NZ29" i="2" s="1"/>
  <c r="OA27" i="2"/>
  <c r="OA28" i="2" l="1"/>
  <c r="OA29" i="2" s="1"/>
  <c r="OB27" i="2"/>
  <c r="OB28" i="2" l="1"/>
  <c r="OB29" i="2" s="1"/>
  <c r="OC27" i="2"/>
  <c r="OC28" i="2" l="1"/>
  <c r="OC29" i="2" s="1"/>
  <c r="OD27" i="2"/>
  <c r="OD28" i="2" l="1"/>
  <c r="OD29" i="2" s="1"/>
  <c r="OE27" i="2"/>
  <c r="OE28" i="2" l="1"/>
  <c r="OE29" i="2" s="1"/>
  <c r="OF27" i="2"/>
  <c r="OF28" i="2" l="1"/>
  <c r="OF29" i="2" s="1"/>
  <c r="OG27" i="2"/>
  <c r="OG28" i="2" l="1"/>
  <c r="OG29" i="2" s="1"/>
  <c r="OH27" i="2"/>
  <c r="OI27" i="2" s="1"/>
  <c r="OJ27" i="2" l="1"/>
  <c r="OI28" i="2"/>
  <c r="OI29" i="2" s="1"/>
  <c r="OH28" i="2"/>
  <c r="OH29" i="2" s="1"/>
  <c r="OK27" i="2" l="1"/>
  <c r="OJ28" i="2"/>
  <c r="OJ29" i="2" s="1"/>
  <c r="OL27" i="2" l="1"/>
  <c r="OK28" i="2"/>
  <c r="OK29" i="2" s="1"/>
  <c r="OM27" i="2" l="1"/>
  <c r="OL28" i="2"/>
  <c r="OL29" i="2" s="1"/>
  <c r="OM28" i="2" l="1"/>
  <c r="OM29" i="2" s="1"/>
  <c r="ON27" i="2"/>
  <c r="N11" i="11" a="1"/>
  <c r="N11" i="11" s="1"/>
  <c r="ON28" i="2" l="1"/>
  <c r="ON29" i="2" s="1"/>
  <c r="OO27" i="2"/>
  <c r="OO28" i="2" l="1"/>
  <c r="OO29" i="2" s="1"/>
  <c r="OP27" i="2"/>
  <c r="OP28" i="2" l="1"/>
  <c r="OP29" i="2" s="1"/>
  <c r="OQ27" i="2"/>
  <c r="OQ28" i="2" l="1"/>
  <c r="OQ29" i="2" s="1"/>
  <c r="OR27" i="2"/>
  <c r="OR28" i="2" l="1"/>
  <c r="OR29" i="2" s="1"/>
  <c r="OS27" i="2"/>
  <c r="OS28" i="2" l="1"/>
  <c r="OS29" i="2" s="1"/>
  <c r="OT27" i="2"/>
  <c r="OU27" i="2" l="1"/>
  <c r="OT28" i="2"/>
  <c r="OT29" i="2" s="1"/>
  <c r="OV27" i="2" l="1"/>
  <c r="OU28" i="2"/>
  <c r="OU29" i="2" s="1"/>
  <c r="R86" i="6"/>
  <c r="R85" i="6"/>
  <c r="OW27" i="2" l="1"/>
  <c r="OV28" i="2"/>
  <c r="OV29" i="2" s="1"/>
  <c r="OX27" i="2" l="1"/>
  <c r="OW28" i="2"/>
  <c r="OW29" i="2" s="1"/>
  <c r="OX28" i="2" l="1"/>
  <c r="OX29" i="2" s="1"/>
  <c r="OY27" i="2"/>
  <c r="OY28" i="2" l="1"/>
  <c r="OY29" i="2" s="1"/>
  <c r="OZ27" i="2"/>
  <c r="OZ28" i="2" l="1"/>
  <c r="OZ29" i="2" s="1"/>
  <c r="PA27" i="2"/>
  <c r="PA28" i="2" l="1"/>
  <c r="PA29" i="2" s="1"/>
  <c r="PB27" i="2"/>
  <c r="PB28" i="2" l="1"/>
  <c r="PB29" i="2" s="1"/>
  <c r="PC27" i="2"/>
  <c r="PC28" i="2" l="1"/>
  <c r="PC29" i="2" s="1"/>
  <c r="PD27" i="2"/>
  <c r="PD28" i="2" l="1"/>
  <c r="PD29" i="2" s="1"/>
  <c r="PE27" i="2"/>
  <c r="PE28" i="2" l="1"/>
  <c r="PE29" i="2" s="1"/>
  <c r="PF27" i="2"/>
  <c r="PG27" i="2" l="1"/>
  <c r="PF28" i="2"/>
  <c r="PF29" i="2" s="1"/>
  <c r="PH27" i="2" l="1"/>
  <c r="PG28" i="2"/>
  <c r="PG29" i="2" s="1"/>
  <c r="PI27" i="2" l="1"/>
  <c r="PH28" i="2"/>
  <c r="PH29" i="2" s="1"/>
  <c r="PJ27" i="2" l="1"/>
  <c r="PI28" i="2"/>
  <c r="PI29" i="2" s="1"/>
  <c r="PK27" i="2" l="1"/>
  <c r="PJ28" i="2"/>
  <c r="PJ29" i="2" s="1"/>
  <c r="PK28" i="2" l="1"/>
  <c r="PK29" i="2" s="1"/>
  <c r="PL27" i="2"/>
  <c r="PL28" i="2" l="1"/>
  <c r="PL29" i="2" s="1"/>
  <c r="PM27" i="2"/>
  <c r="PM28" i="2" l="1"/>
  <c r="PM29" i="2" s="1"/>
  <c r="PN27" i="2"/>
  <c r="QM31" i="2" l="1"/>
  <c r="RF32" i="2"/>
  <c r="RF79" i="2"/>
  <c r="RF89" i="2"/>
  <c r="RF48" i="2"/>
  <c r="RF93" i="2"/>
  <c r="RF94" i="2"/>
  <c r="RF102" i="2"/>
  <c r="RF97" i="2"/>
  <c r="RF42" i="2"/>
  <c r="RF101" i="2"/>
  <c r="RF87" i="2"/>
  <c r="RF76" i="2"/>
  <c r="RF80" i="2"/>
  <c r="RF90" i="2"/>
  <c r="RF82" i="2"/>
  <c r="RF57" i="2"/>
  <c r="RF72" i="2"/>
  <c r="RF61" i="2"/>
  <c r="RF36" i="2"/>
  <c r="RF96" i="2"/>
  <c r="RF78" i="2"/>
  <c r="RF64" i="2"/>
  <c r="RF62" i="2"/>
  <c r="RF53" i="2"/>
  <c r="RF38" i="2"/>
  <c r="RF49" i="2"/>
  <c r="RF91" i="2"/>
  <c r="RF41" i="2"/>
  <c r="RF47" i="2"/>
  <c r="RF65" i="2"/>
  <c r="RF50" i="2"/>
  <c r="RF33" i="2"/>
  <c r="RF88" i="2"/>
  <c r="RF84" i="2"/>
  <c r="RF69" i="2"/>
  <c r="RF71" i="2"/>
  <c r="RF86" i="2"/>
  <c r="RF66" i="2"/>
  <c r="RF104" i="2"/>
  <c r="RF34" i="2"/>
  <c r="RF39" i="2"/>
  <c r="RF70" i="2"/>
  <c r="RF77" i="2"/>
  <c r="RF35" i="2"/>
  <c r="RF58" i="2"/>
  <c r="RF98" i="2"/>
  <c r="RF40" i="2"/>
  <c r="RF55" i="2"/>
  <c r="RF85" i="2"/>
  <c r="RF45" i="2"/>
  <c r="RF95" i="2"/>
  <c r="RF46" i="2"/>
  <c r="RF52" i="2"/>
  <c r="RF60" i="2"/>
  <c r="RF103" i="2"/>
  <c r="RF81" i="2"/>
  <c r="RF63" i="2"/>
  <c r="RF105" i="2"/>
  <c r="RF43" i="2"/>
  <c r="RF73" i="2"/>
  <c r="RF68" i="2"/>
  <c r="RF75" i="2"/>
  <c r="RF100" i="2"/>
  <c r="RF44" i="2"/>
  <c r="RF67" i="2"/>
  <c r="RF92" i="2"/>
  <c r="RF37" i="2"/>
  <c r="RF59" i="2"/>
  <c r="RF74" i="2"/>
  <c r="RF54" i="2"/>
  <c r="RF99" i="2"/>
  <c r="RF83" i="2"/>
  <c r="RF51" i="2"/>
  <c r="RF56" i="2"/>
  <c r="QN104" i="2"/>
  <c r="QN74" i="2"/>
  <c r="QN54" i="2"/>
  <c r="QN47" i="2"/>
  <c r="QN32" i="2"/>
  <c r="QN39" i="2"/>
  <c r="QN43" i="2"/>
  <c r="QN48" i="2"/>
  <c r="QN100" i="2"/>
  <c r="QN63" i="2"/>
  <c r="QN68" i="2"/>
  <c r="QN37" i="2"/>
  <c r="QN42" i="2"/>
  <c r="QN78" i="2"/>
  <c r="QN83" i="2"/>
  <c r="QN33" i="2"/>
  <c r="QN56" i="2"/>
  <c r="QN41" i="2"/>
  <c r="QN95" i="2"/>
  <c r="QN57" i="2"/>
  <c r="QN62" i="2"/>
  <c r="QN31" i="2"/>
  <c r="QN102" i="2"/>
  <c r="QN40" i="2"/>
  <c r="QN73" i="2"/>
  <c r="QN94" i="2"/>
  <c r="QN51" i="2"/>
  <c r="QN103" i="2"/>
  <c r="QN88" i="2"/>
  <c r="QN93" i="2"/>
  <c r="QN89" i="2"/>
  <c r="QN71" i="2"/>
  <c r="QN58" i="2"/>
  <c r="QN101" i="2"/>
  <c r="QN80" i="2"/>
  <c r="QN66" i="2"/>
  <c r="QN44" i="2"/>
  <c r="QN65" i="2"/>
  <c r="QN67" i="2"/>
  <c r="QN91" i="2"/>
  <c r="QN96" i="2"/>
  <c r="QN61" i="2"/>
  <c r="QN76" i="2"/>
  <c r="QN70" i="2"/>
  <c r="QN85" i="2"/>
  <c r="QN79" i="2"/>
  <c r="QN45" i="2"/>
  <c r="QN49" i="2"/>
  <c r="QN60" i="2"/>
  <c r="QN55" i="2"/>
  <c r="QN81" i="2"/>
  <c r="QN98" i="2"/>
  <c r="QN53" i="2"/>
  <c r="QN92" i="2"/>
  <c r="QN50" i="2"/>
  <c r="QN36" i="2"/>
  <c r="QN46" i="2"/>
  <c r="QN86" i="2"/>
  <c r="QN105" i="2"/>
  <c r="QN38" i="2"/>
  <c r="QN87" i="2"/>
  <c r="QN34" i="2"/>
  <c r="QN82" i="2"/>
  <c r="QN99" i="2"/>
  <c r="QN75" i="2"/>
  <c r="QN52" i="2"/>
  <c r="QN90" i="2"/>
  <c r="QN35" i="2"/>
  <c r="QN72" i="2"/>
  <c r="QN64" i="2"/>
  <c r="QN59" i="2"/>
  <c r="QN77" i="2"/>
  <c r="QN69" i="2"/>
  <c r="QN97" i="2"/>
  <c r="QN84" i="2"/>
  <c r="QP31" i="2"/>
  <c r="QO31" i="2"/>
  <c r="QZ37" i="2"/>
  <c r="QY105" i="2"/>
  <c r="QW46" i="2"/>
  <c r="RD36" i="2"/>
  <c r="QP66" i="2"/>
  <c r="RE74" i="2"/>
  <c r="RB73" i="2"/>
  <c r="QV87" i="2"/>
  <c r="QU49" i="2"/>
  <c r="QO77" i="2"/>
  <c r="G49" i="11" s="1" a="1"/>
  <c r="G49" i="11" s="1"/>
  <c r="RE45" i="2"/>
  <c r="RE51" i="2"/>
  <c r="QT96" i="2"/>
  <c r="RE69" i="2"/>
  <c r="QV92" i="2"/>
  <c r="RB90" i="2"/>
  <c r="QP72" i="2"/>
  <c r="QX99" i="2"/>
  <c r="K71" i="11" s="1" a="1"/>
  <c r="K71" i="11" s="1"/>
  <c r="QP75" i="2"/>
  <c r="RB65" i="2"/>
  <c r="RB48" i="2"/>
  <c r="QZ98" i="2"/>
  <c r="QX37" i="2"/>
  <c r="K9" i="11" s="1" a="1"/>
  <c r="K9" i="11" s="1"/>
  <c r="QY87" i="2"/>
  <c r="RB40" i="2"/>
  <c r="RE93" i="2"/>
  <c r="RC99" i="2"/>
  <c r="QS82" i="2"/>
  <c r="QM33" i="2"/>
  <c r="QO52" i="2"/>
  <c r="G24" i="11" s="1" a="1"/>
  <c r="G24" i="11" s="1"/>
  <c r="RE34" i="2"/>
  <c r="QR73" i="2"/>
  <c r="L51" i="4" s="1" a="1"/>
  <c r="L51" i="4" s="1"/>
  <c r="QS62" i="2"/>
  <c r="QW44" i="2"/>
  <c r="QY31" i="2"/>
  <c r="QU47" i="2"/>
  <c r="RA31" i="2"/>
  <c r="QW36" i="2"/>
  <c r="QY80" i="2"/>
  <c r="QP74" i="2"/>
  <c r="QR31" i="2"/>
  <c r="L9" i="4" s="1" a="1"/>
  <c r="L9" i="4" s="1"/>
  <c r="RD85" i="2"/>
  <c r="QV85" i="2"/>
  <c r="QV96" i="2"/>
  <c r="QU52" i="2"/>
  <c r="RA59" i="2"/>
  <c r="QX97" i="2"/>
  <c r="K69" i="11" s="1" a="1"/>
  <c r="K69" i="11" s="1"/>
  <c r="QR59" i="2"/>
  <c r="L37" i="4" s="1" a="1"/>
  <c r="L37" i="4" s="1"/>
  <c r="RB80" i="2"/>
  <c r="RD69" i="2"/>
  <c r="RA49" i="2"/>
  <c r="QS60" i="2"/>
  <c r="RA86" i="2"/>
  <c r="RA72" i="2"/>
  <c r="RC44" i="2"/>
  <c r="QS66" i="2"/>
  <c r="RB42" i="2"/>
  <c r="QP41" i="2"/>
  <c r="QW69" i="2"/>
  <c r="QM95" i="2"/>
  <c r="QP104" i="2"/>
  <c r="QM63" i="2"/>
  <c r="QV95" i="2"/>
  <c r="RC63" i="2"/>
  <c r="RB83" i="2"/>
  <c r="RE65" i="2"/>
  <c r="QY92" i="2"/>
  <c r="QX33" i="2"/>
  <c r="K5" i="11" s="1" a="1"/>
  <c r="K5" i="11" s="1"/>
  <c r="RD67" i="2"/>
  <c r="QZ63" i="2"/>
  <c r="QM102" i="2"/>
  <c r="RC32" i="2"/>
  <c r="RC82" i="2"/>
  <c r="RC70" i="2"/>
  <c r="RB89" i="2"/>
  <c r="QQ39" i="2"/>
  <c r="QZ55" i="2"/>
  <c r="QO34" i="2"/>
  <c r="G6" i="11" s="1" a="1"/>
  <c r="G6" i="11" s="1"/>
  <c r="QQ63" i="2"/>
  <c r="QO81" i="2"/>
  <c r="G53" i="11" s="1" a="1"/>
  <c r="G53" i="11" s="1"/>
  <c r="QS49" i="2"/>
  <c r="QY68" i="2"/>
  <c r="RD75" i="2"/>
  <c r="QP89" i="2"/>
  <c r="QO57" i="2"/>
  <c r="G29" i="11" s="1" a="1"/>
  <c r="G29" i="11" s="1"/>
  <c r="QO48" i="2"/>
  <c r="G20" i="11" s="1" a="1"/>
  <c r="G20" i="11" s="1"/>
  <c r="QM101" i="2"/>
  <c r="RB76" i="2"/>
  <c r="QM86" i="2"/>
  <c r="QS46" i="2"/>
  <c r="QW38" i="2"/>
  <c r="RC61" i="2"/>
  <c r="RD100" i="2"/>
  <c r="QU69" i="2"/>
  <c r="RA46" i="2"/>
  <c r="QM39" i="2"/>
  <c r="QO39" i="2"/>
  <c r="G11" i="11" s="1" a="1"/>
  <c r="G11" i="11" s="1"/>
  <c r="QP69" i="2"/>
  <c r="QZ101" i="2"/>
  <c r="QU54" i="2"/>
  <c r="QY46" i="2"/>
  <c r="RA50" i="2"/>
  <c r="QY57" i="2"/>
  <c r="QU67" i="2"/>
  <c r="QZ62" i="2"/>
  <c r="RA100" i="2"/>
  <c r="RA77" i="2"/>
  <c r="RA52" i="2"/>
  <c r="RC72" i="2"/>
  <c r="QU100" i="2"/>
  <c r="QP95" i="2"/>
  <c r="QQ105" i="2"/>
  <c r="RE68" i="2"/>
  <c r="QO99" i="2"/>
  <c r="G71" i="11" s="1" a="1"/>
  <c r="G71" i="11" s="1"/>
  <c r="RD58" i="2"/>
  <c r="QS67" i="2"/>
  <c r="QR85" i="2"/>
  <c r="L63" i="4" s="1" a="1"/>
  <c r="L63" i="4" s="1"/>
  <c r="QR99" i="2"/>
  <c r="L77" i="4" s="1" a="1"/>
  <c r="L77" i="4" s="1"/>
  <c r="QQ61" i="2"/>
  <c r="QY37" i="2"/>
  <c r="RD45" i="2"/>
  <c r="QY98" i="2"/>
  <c r="QS103" i="2"/>
  <c r="QQ77" i="2"/>
  <c r="QO68" i="2"/>
  <c r="G40" i="11" s="1" a="1"/>
  <c r="G40" i="11" s="1"/>
  <c r="QZ45" i="2"/>
  <c r="QY72" i="2"/>
  <c r="RB46" i="2"/>
  <c r="QQ89" i="2"/>
  <c r="QP45" i="2"/>
  <c r="QX48" i="2"/>
  <c r="K20" i="11" s="1" a="1"/>
  <c r="K20" i="11" s="1"/>
  <c r="QY66" i="2"/>
  <c r="RC73" i="2"/>
  <c r="RA87" i="2"/>
  <c r="K65" i="4" s="1" a="1"/>
  <c r="K65" i="4" s="1"/>
  <c r="QR41" i="2"/>
  <c r="L19" i="4" s="1" a="1"/>
  <c r="L19" i="4" s="1"/>
  <c r="QP65" i="2"/>
  <c r="QS34" i="2"/>
  <c r="QU96" i="2"/>
  <c r="QO73" i="2"/>
  <c r="G45" i="11" s="1" a="1"/>
  <c r="G45" i="11" s="1"/>
  <c r="QY47" i="2"/>
  <c r="QO96" i="2"/>
  <c r="G68" i="11" s="1" a="1"/>
  <c r="G68" i="11" s="1"/>
  <c r="RA47" i="2"/>
  <c r="QX67" i="2"/>
  <c r="K39" i="11" s="1" a="1"/>
  <c r="K39" i="11" s="1"/>
  <c r="QY65" i="2"/>
  <c r="QP81" i="2"/>
  <c r="QR74" i="2"/>
  <c r="L52" i="4" s="1" a="1"/>
  <c r="L52" i="4" s="1"/>
  <c r="QS37" i="2"/>
  <c r="QX90" i="2"/>
  <c r="K62" i="11" s="1" a="1"/>
  <c r="K62" i="11" s="1"/>
  <c r="RE85" i="2"/>
  <c r="QM34" i="2"/>
  <c r="QS88" i="2"/>
  <c r="QP96" i="2"/>
  <c r="QO102" i="2"/>
  <c r="G74" i="11" s="1" a="1"/>
  <c r="G74" i="11" s="1"/>
  <c r="QM59" i="2"/>
  <c r="QW100" i="2"/>
  <c r="QR77" i="2"/>
  <c r="L55" i="4" s="1" a="1"/>
  <c r="L55" i="4" s="1"/>
  <c r="QP59" i="2"/>
  <c r="QU34" i="2"/>
  <c r="QQ48" i="2"/>
  <c r="RB85" i="2"/>
  <c r="RE67" i="2"/>
  <c r="RE92" i="2"/>
  <c r="QT75" i="2"/>
  <c r="QZ52" i="2"/>
  <c r="QY40" i="2"/>
  <c r="RE37" i="2"/>
  <c r="RE47" i="2"/>
  <c r="QP37" i="2"/>
  <c r="QQ45" i="2"/>
  <c r="RB71" i="2"/>
  <c r="RA65" i="2"/>
  <c r="QO66" i="2"/>
  <c r="G38" i="11" s="1" a="1"/>
  <c r="G38" i="11" s="1"/>
  <c r="RD31" i="2"/>
  <c r="QX76" i="2"/>
  <c r="K48" i="11" s="1" a="1"/>
  <c r="K48" i="11" s="1"/>
  <c r="RA35" i="2"/>
  <c r="QM45" i="2"/>
  <c r="QU46" i="2"/>
  <c r="QW65" i="2"/>
  <c r="QV35" i="2"/>
  <c r="QM72" i="2"/>
  <c r="QO97" i="2"/>
  <c r="G69" i="11" s="1" a="1"/>
  <c r="G69" i="11" s="1"/>
  <c r="QO36" i="2"/>
  <c r="G8" i="11" s="1" a="1"/>
  <c r="G8" i="11" s="1"/>
  <c r="QO60" i="2"/>
  <c r="G32" i="11" s="1" a="1"/>
  <c r="G32" i="11" s="1"/>
  <c r="QM57" i="2"/>
  <c r="QW105" i="2"/>
  <c r="QZ41" i="2"/>
  <c r="QR57" i="2"/>
  <c r="L35" i="4" s="1" a="1"/>
  <c r="L35" i="4" s="1"/>
  <c r="RA96" i="2"/>
  <c r="QT32" i="2"/>
  <c r="QU61" i="2"/>
  <c r="QT81" i="2"/>
  <c r="QT34" i="2"/>
  <c r="RB81" i="2"/>
  <c r="QZ36" i="2"/>
  <c r="QM42" i="2"/>
  <c r="QV101" i="2"/>
  <c r="RA66" i="2"/>
  <c r="QT36" i="2"/>
  <c r="RC80" i="2"/>
  <c r="RE81" i="2"/>
  <c r="QV50" i="2"/>
  <c r="RA93" i="2"/>
  <c r="QQ69" i="2"/>
  <c r="QS100" i="2"/>
  <c r="QX103" i="2"/>
  <c r="K75" i="11" s="1" a="1"/>
  <c r="K75" i="11" s="1"/>
  <c r="QY64" i="2"/>
  <c r="QR65" i="2"/>
  <c r="L43" i="4" s="1" a="1"/>
  <c r="L43" i="4" s="1"/>
  <c r="QR101" i="2"/>
  <c r="L79" i="4" s="1" a="1"/>
  <c r="L79" i="4" s="1"/>
  <c r="QM105" i="2"/>
  <c r="QZ46" i="2"/>
  <c r="QO63" i="2"/>
  <c r="G35" i="11" s="1" a="1"/>
  <c r="G35" i="11" s="1"/>
  <c r="QO94" i="2"/>
  <c r="G66" i="11" s="1" a="1"/>
  <c r="G66" i="11" s="1"/>
  <c r="QM55" i="2"/>
  <c r="QX36" i="2"/>
  <c r="K8" i="11" s="1" a="1"/>
  <c r="K8" i="11" s="1"/>
  <c r="QS93" i="2"/>
  <c r="QM98" i="2"/>
  <c r="QV34" i="2"/>
  <c r="RE33" i="2"/>
  <c r="RE75" i="2"/>
  <c r="RA64" i="2"/>
  <c r="QV103" i="2"/>
  <c r="RD74" i="2"/>
  <c r="QP52" i="2"/>
  <c r="RB49" i="2"/>
  <c r="QV38" i="2"/>
  <c r="QM67" i="2"/>
  <c r="QY55" i="2"/>
  <c r="RE98" i="2"/>
  <c r="QR94" i="2"/>
  <c r="L72" i="4" s="1" a="1"/>
  <c r="L72" i="4" s="1"/>
  <c r="QS79" i="2"/>
  <c r="QY35" i="2"/>
  <c r="QT94" i="2"/>
  <c r="QW73" i="2"/>
  <c r="RC69" i="2"/>
  <c r="QM70" i="2"/>
  <c r="QY94" i="2"/>
  <c r="RB35" i="2"/>
  <c r="QS43" i="2"/>
  <c r="QW84" i="2"/>
  <c r="RE102" i="2"/>
  <c r="RD38" i="2"/>
  <c r="RB58" i="2"/>
  <c r="QO80" i="2"/>
  <c r="G52" i="11" s="1" a="1"/>
  <c r="G52" i="11" s="1"/>
  <c r="QS51" i="2"/>
  <c r="QT102" i="2"/>
  <c r="QO100" i="2"/>
  <c r="G72" i="11" s="1" a="1"/>
  <c r="G72" i="11" s="1"/>
  <c r="QM73" i="2"/>
  <c r="QP58" i="2"/>
  <c r="RE36" i="2"/>
  <c r="QT74" i="2"/>
  <c r="QP86" i="2"/>
  <c r="RA74" i="2"/>
  <c r="RB43" i="2"/>
  <c r="QQ97" i="2"/>
  <c r="RE32" i="2"/>
  <c r="QM104" i="2"/>
  <c r="QZ33" i="2"/>
  <c r="QV69" i="2"/>
  <c r="QP90" i="2"/>
  <c r="QU72" i="2"/>
  <c r="QR102" i="2"/>
  <c r="L80" i="4" s="1" a="1"/>
  <c r="L80" i="4" s="1"/>
  <c r="QW91" i="2"/>
  <c r="QQ93" i="2"/>
  <c r="QW45" i="2"/>
  <c r="QP84" i="2"/>
  <c r="QZ38" i="2"/>
  <c r="QY76" i="2"/>
  <c r="QU65" i="2"/>
  <c r="QV61" i="2"/>
  <c r="RE70" i="2"/>
  <c r="QY36" i="2"/>
  <c r="QZ35" i="2"/>
  <c r="QX84" i="2"/>
  <c r="K56" i="11" s="1" a="1"/>
  <c r="K56" i="11" s="1"/>
  <c r="QT42" i="2"/>
  <c r="QT85" i="2"/>
  <c r="RB41" i="2"/>
  <c r="RB62" i="2"/>
  <c r="QS35" i="2"/>
  <c r="QO88" i="2"/>
  <c r="G60" i="11" s="1" a="1"/>
  <c r="G60" i="11" s="1"/>
  <c r="QP53" i="2"/>
  <c r="RE57" i="2"/>
  <c r="QV93" i="2"/>
  <c r="QW92" i="2"/>
  <c r="QT91" i="2"/>
  <c r="QZ40" i="2"/>
  <c r="RC81" i="2"/>
  <c r="QZ43" i="2"/>
  <c r="RD55" i="2"/>
  <c r="QR39" i="2"/>
  <c r="L17" i="4" s="1" a="1"/>
  <c r="L17" i="4" s="1"/>
  <c r="QO59" i="2"/>
  <c r="G31" i="11" s="1" a="1"/>
  <c r="G31" i="11" s="1"/>
  <c r="QS36" i="2"/>
  <c r="QM75" i="2"/>
  <c r="RC34" i="2"/>
  <c r="QX75" i="2"/>
  <c r="K47" i="11" s="1" a="1"/>
  <c r="K47" i="11" s="1"/>
  <c r="QT86" i="2"/>
  <c r="RC65" i="2"/>
  <c r="RB45" i="2"/>
  <c r="RD49" i="2"/>
  <c r="QP76" i="2"/>
  <c r="QQ84" i="2"/>
  <c r="QV74" i="2"/>
  <c r="RD41" i="2"/>
  <c r="QS75" i="2"/>
  <c r="QS83" i="2"/>
  <c r="QX66" i="2"/>
  <c r="K38" i="11" s="1" a="1"/>
  <c r="K38" i="11" s="1"/>
  <c r="QU95" i="2"/>
  <c r="RE100" i="2"/>
  <c r="QU70" i="2"/>
  <c r="QT59" i="2"/>
  <c r="RA73" i="2"/>
  <c r="QY54" i="2"/>
  <c r="QR78" i="2"/>
  <c r="L56" i="4" s="1" a="1"/>
  <c r="L56" i="4" s="1"/>
  <c r="QW37" i="2"/>
  <c r="QM44" i="2"/>
  <c r="QZ56" i="2"/>
  <c r="QS42" i="2"/>
  <c r="QO50" i="2"/>
  <c r="G22" i="11" s="1" a="1"/>
  <c r="G22" i="11" s="1"/>
  <c r="QW33" i="2"/>
  <c r="QT58" i="2"/>
  <c r="QV36" i="2"/>
  <c r="QQ82" i="2"/>
  <c r="QS101" i="2"/>
  <c r="QZ48" i="2"/>
  <c r="QQ60" i="2"/>
  <c r="RB97" i="2"/>
  <c r="QW77" i="2"/>
  <c r="QW61" i="2"/>
  <c r="QU79" i="2"/>
  <c r="QW32" i="2"/>
  <c r="QW75" i="2"/>
  <c r="QY69" i="2"/>
  <c r="QS84" i="2"/>
  <c r="QR37" i="2"/>
  <c r="L15" i="4" s="1" a="1"/>
  <c r="L15" i="4" s="1"/>
  <c r="QU82" i="2"/>
  <c r="QQ41" i="2"/>
  <c r="QQ38" i="2"/>
  <c r="RB55" i="2"/>
  <c r="QV65" i="2"/>
  <c r="RA42" i="2"/>
  <c r="QV75" i="2"/>
  <c r="QR89" i="2"/>
  <c r="L67" i="4" s="1" a="1"/>
  <c r="L67" i="4" s="1"/>
  <c r="RA71" i="2"/>
  <c r="QW53" i="2"/>
  <c r="QR63" i="2"/>
  <c r="L41" i="4" s="1" a="1"/>
  <c r="L41" i="4" s="1"/>
  <c r="QM74" i="2"/>
  <c r="QM60" i="2"/>
  <c r="RE73" i="2"/>
  <c r="QM50" i="2"/>
  <c r="QW48" i="2"/>
  <c r="RD39" i="2"/>
  <c r="QM64" i="2"/>
  <c r="RC66" i="2"/>
  <c r="RC46" i="2"/>
  <c r="RA78" i="2"/>
  <c r="RE39" i="2"/>
  <c r="QO101" i="2"/>
  <c r="G73" i="11" s="1" a="1"/>
  <c r="G73" i="11" s="1"/>
  <c r="QM84" i="2"/>
  <c r="QV54" i="2"/>
  <c r="RC84" i="2"/>
  <c r="RC42" i="2"/>
  <c r="QZ49" i="2"/>
  <c r="QT55" i="2"/>
  <c r="RE43" i="2"/>
  <c r="QS97" i="2"/>
  <c r="RB105" i="2"/>
  <c r="PO31" i="2"/>
  <c r="QP32" i="2"/>
  <c r="RB77" i="2"/>
  <c r="QP101" i="2"/>
  <c r="QM43" i="2"/>
  <c r="RB78" i="2"/>
  <c r="QV59" i="2"/>
  <c r="QT88" i="2"/>
  <c r="QZ73" i="2"/>
  <c r="QO46" i="2"/>
  <c r="G18" i="11" s="1" a="1"/>
  <c r="G18" i="11" s="1"/>
  <c r="RA68" i="2"/>
  <c r="QU92" i="2"/>
  <c r="RC71" i="2"/>
  <c r="QQ99" i="2"/>
  <c r="QQ78" i="2"/>
  <c r="RA63" i="2"/>
  <c r="QY103" i="2"/>
  <c r="QS57" i="2"/>
  <c r="QZ93" i="2"/>
  <c r="QY52" i="2"/>
  <c r="QP34" i="2"/>
  <c r="QW64" i="2"/>
  <c r="QY62" i="2"/>
  <c r="QU40" i="2"/>
  <c r="QU56" i="2"/>
  <c r="QR56" i="2"/>
  <c r="L34" i="4" s="1" a="1"/>
  <c r="L34" i="4" s="1"/>
  <c r="QQ66" i="2"/>
  <c r="QP70" i="2"/>
  <c r="RC55" i="2"/>
  <c r="RE56" i="2"/>
  <c r="QW87" i="2"/>
  <c r="RD59" i="2"/>
  <c r="QS52" i="2"/>
  <c r="QS38" i="2"/>
  <c r="RE79" i="2"/>
  <c r="QO40" i="2"/>
  <c r="G12" i="11" s="1" a="1"/>
  <c r="G12" i="11" s="1"/>
  <c r="QT56" i="2"/>
  <c r="QY61" i="2"/>
  <c r="QU85" i="2"/>
  <c r="QV82" i="2"/>
  <c r="QQ86" i="2"/>
  <c r="QW50" i="2"/>
  <c r="QX72" i="2"/>
  <c r="K44" i="11" s="1" a="1"/>
  <c r="K44" i="11" s="1"/>
  <c r="QT62" i="2"/>
  <c r="RD43" i="2"/>
  <c r="RC54" i="2"/>
  <c r="QY39" i="2"/>
  <c r="RC78" i="2"/>
  <c r="QM76" i="2"/>
  <c r="RC92" i="2"/>
  <c r="RB66" i="2"/>
  <c r="QM94" i="2"/>
  <c r="QU57" i="2"/>
  <c r="RB36" i="2"/>
  <c r="QU89" i="2"/>
  <c r="QT44" i="2"/>
  <c r="QV33" i="2"/>
  <c r="QX86" i="2"/>
  <c r="K58" i="11" s="1" a="1"/>
  <c r="K58" i="11" s="1"/>
  <c r="QQ100" i="2"/>
  <c r="QY71" i="2"/>
  <c r="RD97" i="2"/>
  <c r="QV99" i="2"/>
  <c r="RE101" i="2"/>
  <c r="RE52" i="2"/>
  <c r="QX40" i="2"/>
  <c r="K12" i="11" s="1" a="1"/>
  <c r="K12" i="11" s="1"/>
  <c r="QS55" i="2"/>
  <c r="QW97" i="2"/>
  <c r="QY33" i="2"/>
  <c r="QQ104" i="2"/>
  <c r="RD65" i="2"/>
  <c r="RE62" i="2"/>
  <c r="QR82" i="2"/>
  <c r="L60" i="4" s="1" a="1"/>
  <c r="L60" i="4" s="1"/>
  <c r="QT89" i="2"/>
  <c r="RD64" i="2"/>
  <c r="QX78" i="2"/>
  <c r="K50" i="11" s="1" a="1"/>
  <c r="K50" i="11" s="1"/>
  <c r="QQ94" i="2"/>
  <c r="QR32" i="2"/>
  <c r="L10" i="4" s="1" a="1"/>
  <c r="L10" i="4" s="1"/>
  <c r="RE53" i="2"/>
  <c r="QO41" i="2"/>
  <c r="G13" i="11" s="1" a="1"/>
  <c r="G13" i="11" s="1"/>
  <c r="RB70" i="2"/>
  <c r="QV37" i="2"/>
  <c r="QP36" i="2"/>
  <c r="QU32" i="2"/>
  <c r="RD78" i="2"/>
  <c r="RA54" i="2"/>
  <c r="QO69" i="2"/>
  <c r="G41" i="11" s="1" a="1"/>
  <c r="G41" i="11" s="1"/>
  <c r="QM82" i="2"/>
  <c r="QY38" i="2"/>
  <c r="RB54" i="2"/>
  <c r="QZ68" i="2"/>
  <c r="QR86" i="2"/>
  <c r="L64" i="4" s="1" a="1"/>
  <c r="L64" i="4" s="1"/>
  <c r="QP38" i="2"/>
  <c r="QS81" i="2"/>
  <c r="RD88" i="2"/>
  <c r="QS53" i="2"/>
  <c r="QP98" i="2"/>
  <c r="RB96" i="2"/>
  <c r="QW93" i="2"/>
  <c r="QP94" i="2"/>
  <c r="QW83" i="2"/>
  <c r="RE50" i="2"/>
  <c r="QM87" i="2"/>
  <c r="RE60" i="2"/>
  <c r="RC103" i="2"/>
  <c r="RE41" i="2"/>
  <c r="RA101" i="2"/>
  <c r="QS89" i="2"/>
  <c r="QU31" i="2"/>
  <c r="QV40" i="2"/>
  <c r="QP63" i="2"/>
  <c r="QS61" i="2"/>
  <c r="QZ88" i="2"/>
  <c r="QP46" i="2"/>
  <c r="QS45" i="2"/>
  <c r="RB67" i="2"/>
  <c r="QT68" i="2"/>
  <c r="QP51" i="2"/>
  <c r="QQ51" i="2"/>
  <c r="RD51" i="2"/>
  <c r="QZ69" i="2"/>
  <c r="QZ65" i="2"/>
  <c r="QY86" i="2"/>
  <c r="QY34" i="2"/>
  <c r="QT72" i="2"/>
  <c r="RA60" i="2"/>
  <c r="QX80" i="2"/>
  <c r="K52" i="11" s="1" a="1"/>
  <c r="K52" i="11" s="1"/>
  <c r="QT48" i="2"/>
  <c r="RB44" i="2"/>
  <c r="QW96" i="2"/>
  <c r="RA82" i="2"/>
  <c r="RC33" i="2"/>
  <c r="RA32" i="2"/>
  <c r="QU101" i="2"/>
  <c r="QO55" i="2"/>
  <c r="G27" i="11" s="1" a="1"/>
  <c r="G27" i="11" s="1"/>
  <c r="QO90" i="2"/>
  <c r="G62" i="11" s="1" a="1"/>
  <c r="G62" i="11" s="1"/>
  <c r="QX59" i="2"/>
  <c r="K31" i="11" s="1" a="1"/>
  <c r="K31" i="11" s="1"/>
  <c r="RE54" i="2"/>
  <c r="QZ42" i="2"/>
  <c r="QZ64" i="2"/>
  <c r="RE49" i="2"/>
  <c r="RB93" i="2"/>
  <c r="QM68" i="2"/>
  <c r="QO33" i="2"/>
  <c r="G5" i="11" s="1" a="1"/>
  <c r="G5" i="11" s="1"/>
  <c r="QU94" i="2"/>
  <c r="RD73" i="2"/>
  <c r="QY41" i="2"/>
  <c r="RE105" i="2"/>
  <c r="QP91" i="2"/>
  <c r="QS54" i="2"/>
  <c r="QX60" i="2"/>
  <c r="K32" i="11" s="1" a="1"/>
  <c r="K32" i="11" s="1"/>
  <c r="QR83" i="2"/>
  <c r="L61" i="4" s="1" a="1"/>
  <c r="L61" i="4" s="1"/>
  <c r="QP68" i="2"/>
  <c r="QR88" i="2"/>
  <c r="L66" i="4" s="1" a="1"/>
  <c r="L66" i="4" s="1"/>
  <c r="QW63" i="2"/>
  <c r="RC85" i="2"/>
  <c r="QP78" i="2"/>
  <c r="QS58" i="2"/>
  <c r="QX38" i="2"/>
  <c r="K10" i="11" s="1" a="1"/>
  <c r="K10" i="11" s="1"/>
  <c r="QX45" i="2"/>
  <c r="K17" i="11" s="1" a="1"/>
  <c r="K17" i="11" s="1"/>
  <c r="RD44" i="2"/>
  <c r="QR80" i="2"/>
  <c r="L58" i="4" s="1" a="1"/>
  <c r="L58" i="4" s="1"/>
  <c r="RE97" i="2"/>
  <c r="RC56" i="2"/>
  <c r="QV68" i="2"/>
  <c r="QU59" i="2"/>
  <c r="RD105" i="2"/>
  <c r="QV49" i="2"/>
  <c r="QT83" i="2"/>
  <c r="QV79" i="2"/>
  <c r="QW102" i="2"/>
  <c r="QR42" i="2"/>
  <c r="L20" i="4" s="1" a="1"/>
  <c r="L20" i="4" s="1"/>
  <c r="QZ58" i="2"/>
  <c r="QV86" i="2"/>
  <c r="QY83" i="2"/>
  <c r="RB94" i="2"/>
  <c r="RD82" i="2"/>
  <c r="QU74" i="2"/>
  <c r="QW74" i="2"/>
  <c r="QQ103" i="2"/>
  <c r="QT53" i="2"/>
  <c r="QQ59" i="2"/>
  <c r="QT90" i="2"/>
  <c r="QV67" i="2"/>
  <c r="QO79" i="2"/>
  <c r="G51" i="11" s="1" a="1"/>
  <c r="G51" i="11" s="1"/>
  <c r="QW79" i="2"/>
  <c r="QU91" i="2"/>
  <c r="RB60" i="2"/>
  <c r="QX53" i="2"/>
  <c r="K25" i="11" s="1" a="1"/>
  <c r="K25" i="11" s="1"/>
  <c r="QY85" i="2"/>
  <c r="QR53" i="2"/>
  <c r="L31" i="4" s="1" a="1"/>
  <c r="L31" i="4" s="1"/>
  <c r="QU43" i="2"/>
  <c r="RA53" i="2"/>
  <c r="RE38" i="2"/>
  <c r="RB53" i="2"/>
  <c r="RD33" i="2"/>
  <c r="RA34" i="2"/>
  <c r="RA81" i="2"/>
  <c r="QZ76" i="2"/>
  <c r="RD32" i="2"/>
  <c r="RE88" i="2"/>
  <c r="QY32" i="2"/>
  <c r="RE58" i="2"/>
  <c r="QQ46" i="2"/>
  <c r="QR70" i="2"/>
  <c r="L48" i="4" s="1" a="1"/>
  <c r="L48" i="4" s="1"/>
  <c r="QS98" i="2"/>
  <c r="QM32" i="2"/>
  <c r="QV72" i="2"/>
  <c r="QR90" i="2"/>
  <c r="L68" i="4" s="1" a="1"/>
  <c r="L68" i="4" s="1"/>
  <c r="RD83" i="2"/>
  <c r="RE40" i="2"/>
  <c r="QT104" i="2"/>
  <c r="QY90" i="2"/>
  <c r="QU44" i="2"/>
  <c r="RE90" i="2"/>
  <c r="QM58" i="2"/>
  <c r="RC90" i="2"/>
  <c r="QR45" i="2"/>
  <c r="L23" i="4" s="1" a="1"/>
  <c r="L23" i="4" s="1"/>
  <c r="QP40" i="2"/>
  <c r="RA45" i="2"/>
  <c r="QM47" i="2"/>
  <c r="RC41" i="2"/>
  <c r="RC51" i="2"/>
  <c r="RD81" i="2"/>
  <c r="QS39" i="2"/>
  <c r="QO92" i="2"/>
  <c r="G64" i="11" s="1" a="1"/>
  <c r="G64" i="11" s="1"/>
  <c r="RE46" i="2"/>
  <c r="QR104" i="2"/>
  <c r="L82" i="4" s="1" a="1"/>
  <c r="L82" i="4" s="1"/>
  <c r="QR52" i="2"/>
  <c r="L30" i="4" s="1" a="1"/>
  <c r="L30" i="4" s="1"/>
  <c r="QX68" i="2"/>
  <c r="K40" i="11" s="1" a="1"/>
  <c r="K40" i="11" s="1"/>
  <c r="QT97" i="2"/>
  <c r="QT39" i="2"/>
  <c r="QS72" i="2"/>
  <c r="RC64" i="2"/>
  <c r="QP39" i="2"/>
  <c r="QP85" i="2"/>
  <c r="QO75" i="2"/>
  <c r="G47" i="11" s="1" a="1"/>
  <c r="G47" i="11" s="1"/>
  <c r="QO62" i="2"/>
  <c r="G34" i="11" s="1" a="1"/>
  <c r="G34" i="11" s="1"/>
  <c r="RC74" i="2"/>
  <c r="QR51" i="2"/>
  <c r="L29" i="4" s="1" a="1"/>
  <c r="L29" i="4" s="1"/>
  <c r="RA43" i="2"/>
  <c r="QZ102" i="2"/>
  <c r="QM56" i="2"/>
  <c r="QP73" i="2"/>
  <c r="QX92" i="2"/>
  <c r="K64" i="11" s="1" a="1"/>
  <c r="K64" i="11" s="1"/>
  <c r="RE91" i="2"/>
  <c r="QO70" i="2"/>
  <c r="G42" i="11" s="1" a="1"/>
  <c r="G42" i="11" s="1"/>
  <c r="QX65" i="2"/>
  <c r="K37" i="11" s="1" a="1"/>
  <c r="K37" i="11" s="1"/>
  <c r="QR103" i="2"/>
  <c r="L81" i="4" s="1" a="1"/>
  <c r="L81" i="4" s="1"/>
  <c r="QO47" i="2"/>
  <c r="G19" i="11" s="1" a="1"/>
  <c r="G19" i="11" s="1"/>
  <c r="QZ100" i="2"/>
  <c r="RB84" i="2"/>
  <c r="QO45" i="2"/>
  <c r="G17" i="11" s="1" a="1"/>
  <c r="G17" i="11" s="1"/>
  <c r="RB74" i="2"/>
  <c r="QU73" i="2"/>
  <c r="QP87" i="2"/>
  <c r="QQ53" i="2"/>
  <c r="QQ81" i="2"/>
  <c r="RC79" i="2"/>
  <c r="QR62" i="2"/>
  <c r="L40" i="4" s="1" a="1"/>
  <c r="L40" i="4" s="1"/>
  <c r="QZ89" i="2"/>
  <c r="QX73" i="2"/>
  <c r="K45" i="11" s="1" a="1"/>
  <c r="K45" i="11" s="1"/>
  <c r="QT93" i="2"/>
  <c r="QT73" i="2"/>
  <c r="QU48" i="2"/>
  <c r="RD34" i="2"/>
  <c r="QV90" i="2"/>
  <c r="QQ42" i="2"/>
  <c r="QP42" i="2"/>
  <c r="QS80" i="2"/>
  <c r="QT63" i="2"/>
  <c r="QT46" i="2"/>
  <c r="RA40" i="2"/>
  <c r="QQ47" i="2"/>
  <c r="RD37" i="2"/>
  <c r="QZ91" i="2"/>
  <c r="QO104" i="2"/>
  <c r="G76" i="11" s="1" a="1"/>
  <c r="G76" i="11" s="1"/>
  <c r="QZ94" i="2"/>
  <c r="QX58" i="2"/>
  <c r="K30" i="11" s="1" a="1"/>
  <c r="K30" i="11" s="1"/>
  <c r="QQ101" i="2"/>
  <c r="QV56" i="2"/>
  <c r="QO78" i="2"/>
  <c r="G50" i="11" s="1" a="1"/>
  <c r="G50" i="11" s="1"/>
  <c r="QP43" i="2"/>
  <c r="RD42" i="2"/>
  <c r="QS87" i="2"/>
  <c r="QU81" i="2"/>
  <c r="QT99" i="2"/>
  <c r="RD62" i="2"/>
  <c r="QT52" i="2"/>
  <c r="QT31" i="2"/>
  <c r="QP50" i="2"/>
  <c r="QX55" i="2"/>
  <c r="K27" i="11" s="1" a="1"/>
  <c r="K27" i="11" s="1"/>
  <c r="QS91" i="2"/>
  <c r="QY97" i="2"/>
  <c r="QT101" i="2"/>
  <c r="QQ76" i="2"/>
  <c r="QW59" i="2"/>
  <c r="RB75" i="2"/>
  <c r="RD60" i="2"/>
  <c r="QY77" i="2"/>
  <c r="QZ57" i="2"/>
  <c r="QX51" i="2"/>
  <c r="K23" i="11" s="1" a="1"/>
  <c r="K23" i="11" s="1"/>
  <c r="QY63" i="2"/>
  <c r="RD57" i="2"/>
  <c r="QU66" i="2"/>
  <c r="QV48" i="2"/>
  <c r="RD54" i="2"/>
  <c r="QX64" i="2"/>
  <c r="K36" i="11" s="1" a="1"/>
  <c r="K36" i="11" s="1"/>
  <c r="RE76" i="2"/>
  <c r="QR44" i="2"/>
  <c r="L22" i="4" s="1" a="1"/>
  <c r="L22" i="4" s="1"/>
  <c r="RE48" i="2"/>
  <c r="QW57" i="2"/>
  <c r="QP35" i="2"/>
  <c r="RD77" i="2"/>
  <c r="RB86" i="2"/>
  <c r="RA89" i="2"/>
  <c r="QS65" i="2"/>
  <c r="QS64" i="2"/>
  <c r="QZ70" i="2"/>
  <c r="QT37" i="2"/>
  <c r="QV44" i="2"/>
  <c r="QO86" i="2"/>
  <c r="G58" i="11" s="1" a="1"/>
  <c r="G58" i="11" s="1"/>
  <c r="QQ52" i="2"/>
  <c r="QZ50" i="2"/>
  <c r="QM83" i="2"/>
  <c r="QW68" i="2"/>
  <c r="QV52" i="2"/>
  <c r="RE31" i="2"/>
  <c r="QS33" i="2"/>
  <c r="QZ60" i="2"/>
  <c r="QQ65" i="2"/>
  <c r="QX71" i="2"/>
  <c r="K43" i="11" s="1" a="1"/>
  <c r="K43" i="11" s="1"/>
  <c r="RB72" i="2"/>
  <c r="RA62" i="2"/>
  <c r="QY67" i="2"/>
  <c r="QM79" i="2"/>
  <c r="QM90" i="2"/>
  <c r="RD94" i="2"/>
  <c r="QX93" i="2"/>
  <c r="K65" i="11" s="1" a="1"/>
  <c r="K65" i="11" s="1"/>
  <c r="QW80" i="2"/>
  <c r="QO84" i="2"/>
  <c r="G56" i="11" s="1" a="1"/>
  <c r="G56" i="11" s="1"/>
  <c r="QM69" i="2"/>
  <c r="QY73" i="2"/>
  <c r="QT61" i="2"/>
  <c r="QT98" i="2"/>
  <c r="RD56" i="2"/>
  <c r="RC45" i="2"/>
  <c r="QX42" i="2"/>
  <c r="K14" i="11" s="1" a="1"/>
  <c r="K14" i="11" s="1"/>
  <c r="QY78" i="2"/>
  <c r="QV63" i="2"/>
  <c r="QY101" i="2"/>
  <c r="QW81" i="2"/>
  <c r="RD46" i="2"/>
  <c r="QU58" i="2"/>
  <c r="QU80" i="2"/>
  <c r="QY104" i="2"/>
  <c r="RC48" i="2"/>
  <c r="QO87" i="2"/>
  <c r="G59" i="11" s="1" a="1"/>
  <c r="G59" i="11" s="1"/>
  <c r="QO95" i="2"/>
  <c r="G67" i="11" s="1" a="1"/>
  <c r="G67" i="11" s="1"/>
  <c r="QR87" i="2"/>
  <c r="L65" i="4" s="1" a="1"/>
  <c r="L65" i="4" s="1"/>
  <c r="QW90" i="2"/>
  <c r="RB37" i="2"/>
  <c r="QM46" i="2"/>
  <c r="RE94" i="2"/>
  <c r="RD102" i="2"/>
  <c r="QW39" i="2"/>
  <c r="QY70" i="2"/>
  <c r="QV62" i="2"/>
  <c r="QZ39" i="2"/>
  <c r="QQ87" i="2"/>
  <c r="QZ85" i="2"/>
  <c r="QW55" i="2"/>
  <c r="QR36" i="2"/>
  <c r="L14" i="4" s="1" a="1"/>
  <c r="L14" i="4" s="1"/>
  <c r="QZ82" i="2"/>
  <c r="QM93" i="2"/>
  <c r="RA41" i="2"/>
  <c r="RC57" i="2"/>
  <c r="QU83" i="2"/>
  <c r="RD96" i="2"/>
  <c r="QX35" i="2"/>
  <c r="K7" i="11" s="1" a="1"/>
  <c r="K7" i="11" s="1"/>
  <c r="QM61" i="2"/>
  <c r="QX89" i="2"/>
  <c r="K61" i="11" s="1" a="1"/>
  <c r="K61" i="11" s="1"/>
  <c r="QX31" i="2"/>
  <c r="K3" i="11" s="1" a="1"/>
  <c r="K3" i="11" s="1"/>
  <c r="QP82" i="2"/>
  <c r="RC76" i="2"/>
  <c r="QV84" i="2"/>
  <c r="QM65" i="2"/>
  <c r="QO54" i="2"/>
  <c r="G26" i="11" s="1" a="1"/>
  <c r="G26" i="11" s="1"/>
  <c r="QT100" i="2"/>
  <c r="QV60" i="2"/>
  <c r="QX94" i="2"/>
  <c r="K66" i="11" s="1" a="1"/>
  <c r="K66" i="11" s="1"/>
  <c r="QM35" i="2"/>
  <c r="RD84" i="2"/>
  <c r="QQ54" i="2"/>
  <c r="QR98" i="2"/>
  <c r="L76" i="4" s="1" a="1"/>
  <c r="L76" i="4" s="1"/>
  <c r="QV70" i="2"/>
  <c r="QZ81" i="2"/>
  <c r="QQ62" i="2"/>
  <c r="QX49" i="2"/>
  <c r="K21" i="11" s="1" a="1"/>
  <c r="K21" i="11" s="1"/>
  <c r="QP54" i="2"/>
  <c r="QU39" i="2"/>
  <c r="QS40" i="2"/>
  <c r="RC52" i="2"/>
  <c r="QO72" i="2"/>
  <c r="G44" i="11" s="1" a="1"/>
  <c r="G44" i="11" s="1"/>
  <c r="QW82" i="2"/>
  <c r="QT38" i="2"/>
  <c r="QW98" i="2"/>
  <c r="RB102" i="2"/>
  <c r="QX69" i="2"/>
  <c r="K41" i="11" s="1" a="1"/>
  <c r="K41" i="11" s="1"/>
  <c r="QM66" i="2"/>
  <c r="QY74" i="2"/>
  <c r="RC98" i="2"/>
  <c r="QO76" i="2"/>
  <c r="G48" i="11" s="1" a="1"/>
  <c r="G48" i="11" s="1"/>
  <c r="QW40" i="2"/>
  <c r="QR92" i="2"/>
  <c r="L70" i="4" s="1" a="1"/>
  <c r="L70" i="4" s="1"/>
  <c r="QZ44" i="2"/>
  <c r="QS41" i="2"/>
  <c r="QY45" i="2"/>
  <c r="RE55" i="2"/>
  <c r="QV89" i="2"/>
  <c r="QU71" i="2"/>
  <c r="QQ55" i="2"/>
  <c r="QO42" i="2"/>
  <c r="G14" i="11" s="1" a="1"/>
  <c r="G14" i="11" s="1"/>
  <c r="QQ58" i="2"/>
  <c r="QR35" i="2"/>
  <c r="L13" i="4" s="1" a="1"/>
  <c r="L13" i="4" s="1"/>
  <c r="QT47" i="2"/>
  <c r="QP62" i="2"/>
  <c r="QP102" i="2"/>
  <c r="RA99" i="2"/>
  <c r="K77" i="4" s="1" a="1"/>
  <c r="K77" i="4" s="1"/>
  <c r="QY79" i="2"/>
  <c r="QQ35" i="2"/>
  <c r="QR105" i="2"/>
  <c r="L83" i="4" s="1" a="1"/>
  <c r="L83" i="4" s="1"/>
  <c r="QO61" i="2"/>
  <c r="G33" i="11" s="1" a="1"/>
  <c r="G33" i="11" s="1"/>
  <c r="QQ70" i="2"/>
  <c r="QT71" i="2"/>
  <c r="QV57" i="2"/>
  <c r="QT82" i="2"/>
  <c r="QT66" i="2"/>
  <c r="RB98" i="2"/>
  <c r="RB50" i="2"/>
  <c r="RA57" i="2"/>
  <c r="QT49" i="2"/>
  <c r="RE87" i="2"/>
  <c r="RC35" i="2"/>
  <c r="QO49" i="2"/>
  <c r="G21" i="11" s="1" a="1"/>
  <c r="G21" i="11" s="1"/>
  <c r="QX91" i="2"/>
  <c r="K63" i="11" s="1" a="1"/>
  <c r="K63" i="11" s="1"/>
  <c r="RD76" i="2"/>
  <c r="QV45" i="2"/>
  <c r="QX83" i="2"/>
  <c r="K55" i="11" s="1" a="1"/>
  <c r="K55" i="11" s="1"/>
  <c r="QV76" i="2"/>
  <c r="QO93" i="2"/>
  <c r="G65" i="11" s="1" a="1"/>
  <c r="G65" i="11" s="1"/>
  <c r="RA51" i="2"/>
  <c r="QP44" i="2"/>
  <c r="RE96" i="2"/>
  <c r="QS50" i="2"/>
  <c r="RA70" i="2"/>
  <c r="QO64" i="2"/>
  <c r="G36" i="11" s="1" a="1"/>
  <c r="G36" i="11" s="1"/>
  <c r="QS56" i="2"/>
  <c r="QS73" i="2"/>
  <c r="QZ77" i="2"/>
  <c r="QM40" i="2"/>
  <c r="QQ88" i="2"/>
  <c r="QO53" i="2"/>
  <c r="G25" i="11" s="1" a="1"/>
  <c r="G25" i="11" s="1"/>
  <c r="RC62" i="2"/>
  <c r="RC75" i="2"/>
  <c r="QO83" i="2"/>
  <c r="G55" i="11" s="1" a="1"/>
  <c r="G55" i="11" s="1"/>
  <c r="QV66" i="2"/>
  <c r="QM103" i="2"/>
  <c r="RC77" i="2"/>
  <c r="RA56" i="2"/>
  <c r="QR72" i="2"/>
  <c r="L50" i="4" s="1" a="1"/>
  <c r="L50" i="4" s="1"/>
  <c r="QS32" i="2"/>
  <c r="QR46" i="2"/>
  <c r="L24" i="4" s="1" a="1"/>
  <c r="L24" i="4" s="1"/>
  <c r="QQ32" i="2"/>
  <c r="QR97" i="2"/>
  <c r="L75" i="4" s="1" a="1"/>
  <c r="L75" i="4" s="1"/>
  <c r="RE66" i="2"/>
  <c r="QV91" i="2"/>
  <c r="QV47" i="2"/>
  <c r="RC50" i="2"/>
  <c r="QM92" i="2"/>
  <c r="RB79" i="2"/>
  <c r="QZ67" i="2"/>
  <c r="QQ44" i="2"/>
  <c r="QZ79" i="2"/>
  <c r="RA67" i="2"/>
  <c r="K45" i="4" s="1" a="1"/>
  <c r="K45" i="4" s="1"/>
  <c r="RE82" i="2"/>
  <c r="RC39" i="2"/>
  <c r="RE84" i="2"/>
  <c r="QV64" i="2"/>
  <c r="QX79" i="2"/>
  <c r="K51" i="11" s="1" a="1"/>
  <c r="K51" i="11" s="1"/>
  <c r="QY51" i="2"/>
  <c r="RC102" i="2"/>
  <c r="QX56" i="2"/>
  <c r="K28" i="11" s="1" a="1"/>
  <c r="K28" i="11" s="1"/>
  <c r="QM38" i="2"/>
  <c r="QW94" i="2"/>
  <c r="QV81" i="2"/>
  <c r="QW101" i="2"/>
  <c r="QS47" i="2"/>
  <c r="RC53" i="2"/>
  <c r="RA98" i="2"/>
  <c r="RC49" i="2"/>
  <c r="QX47" i="2"/>
  <c r="K19" i="11" s="1" a="1"/>
  <c r="K19" i="11" s="1"/>
  <c r="RD48" i="2"/>
  <c r="QW34" i="2"/>
  <c r="QS48" i="2"/>
  <c r="QS68" i="2"/>
  <c r="QM80" i="2"/>
  <c r="QR48" i="2"/>
  <c r="L26" i="4" s="1" a="1"/>
  <c r="L26" i="4" s="1"/>
  <c r="QX77" i="2"/>
  <c r="K49" i="11" s="1" a="1"/>
  <c r="K49" i="11" s="1"/>
  <c r="QX41" i="2"/>
  <c r="K13" i="11" s="1" a="1"/>
  <c r="K13" i="11" s="1"/>
  <c r="QY50" i="2"/>
  <c r="RE86" i="2"/>
  <c r="QQ36" i="2"/>
  <c r="RA38" i="2"/>
  <c r="K16" i="4" s="1" a="1"/>
  <c r="K16" i="4" s="1"/>
  <c r="QP47" i="2"/>
  <c r="QT103" i="2"/>
  <c r="QV83" i="2"/>
  <c r="QM89" i="2"/>
  <c r="QW35" i="2"/>
  <c r="QR76" i="2"/>
  <c r="L54" i="4" s="1" a="1"/>
  <c r="L54" i="4" s="1"/>
  <c r="QR40" i="2"/>
  <c r="L18" i="4" s="1" a="1"/>
  <c r="L18" i="4" s="1"/>
  <c r="QW51" i="2"/>
  <c r="QP64" i="2"/>
  <c r="QP71" i="2"/>
  <c r="QQ90" i="2"/>
  <c r="QM41" i="2"/>
  <c r="QW47" i="2"/>
  <c r="RE103" i="2"/>
  <c r="RE61" i="2"/>
  <c r="RB32" i="2"/>
  <c r="QY59" i="2"/>
  <c r="QW56" i="2"/>
  <c r="RC86" i="2"/>
  <c r="QV78" i="2"/>
  <c r="QU36" i="2"/>
  <c r="RB52" i="2"/>
  <c r="QR66" i="2"/>
  <c r="L44" i="4" s="1" a="1"/>
  <c r="L44" i="4" s="1"/>
  <c r="RA76" i="2"/>
  <c r="QX43" i="2"/>
  <c r="K15" i="11" s="1" a="1"/>
  <c r="K15" i="11" s="1"/>
  <c r="QT69" i="2"/>
  <c r="QQ56" i="2"/>
  <c r="RB38" i="2"/>
  <c r="QS70" i="2"/>
  <c r="RC60" i="2"/>
  <c r="QU55" i="2"/>
  <c r="RD71" i="2"/>
  <c r="RC94" i="2"/>
  <c r="QT79" i="2"/>
  <c r="QP105" i="2"/>
  <c r="QR49" i="2"/>
  <c r="L27" i="4" s="1" a="1"/>
  <c r="L27" i="4" s="1"/>
  <c r="QY95" i="2"/>
  <c r="RE77" i="2"/>
  <c r="QW72" i="2"/>
  <c r="QV39" i="2"/>
  <c r="QO56" i="2"/>
  <c r="G28" i="11" s="1" a="1"/>
  <c r="G28" i="11" s="1"/>
  <c r="QU51" i="2"/>
  <c r="QW49" i="2"/>
  <c r="QZ66" i="2"/>
  <c r="QS90" i="2"/>
  <c r="QV73" i="2"/>
  <c r="QQ37" i="2"/>
  <c r="RA48" i="2"/>
  <c r="QM51" i="2"/>
  <c r="QV80" i="2"/>
  <c r="QR67" i="2"/>
  <c r="L45" i="4" s="1" a="1"/>
  <c r="L45" i="4" s="1"/>
  <c r="QW95" i="2"/>
  <c r="QU60" i="2"/>
  <c r="QV100" i="2"/>
  <c r="QX95" i="2"/>
  <c r="K67" i="11" s="1" a="1"/>
  <c r="K67" i="11" s="1"/>
  <c r="RD50" i="2"/>
  <c r="QZ47" i="2"/>
  <c r="QZ87" i="2"/>
  <c r="RC43" i="2"/>
  <c r="RB88" i="2"/>
  <c r="QR61" i="2"/>
  <c r="L39" i="4" s="1" a="1"/>
  <c r="L39" i="4" s="1"/>
  <c r="QQ80" i="2"/>
  <c r="QX34" i="2"/>
  <c r="K6" i="11" s="1" a="1"/>
  <c r="K6" i="11" s="1"/>
  <c r="QR58" i="2"/>
  <c r="L36" i="4" s="1" a="1"/>
  <c r="L36" i="4" s="1"/>
  <c r="RC38" i="2"/>
  <c r="QZ54" i="2"/>
  <c r="RA80" i="2"/>
  <c r="QT41" i="2"/>
  <c r="QX52" i="2"/>
  <c r="K24" i="11" s="1" a="1"/>
  <c r="K24" i="11" s="1"/>
  <c r="RD66" i="2"/>
  <c r="RD79" i="2"/>
  <c r="QT67" i="2"/>
  <c r="QT50" i="2"/>
  <c r="QM85" i="2"/>
  <c r="RC91" i="2"/>
  <c r="QQ102" i="2"/>
  <c r="QW60" i="2"/>
  <c r="QM81" i="2"/>
  <c r="QS63" i="2"/>
  <c r="QW67" i="2"/>
  <c r="QV31" i="2"/>
  <c r="QO74" i="2"/>
  <c r="G46" i="11" s="1" a="1"/>
  <c r="G46" i="11" s="1"/>
  <c r="QR84" i="2"/>
  <c r="L62" i="4" s="1" a="1"/>
  <c r="L62" i="4" s="1"/>
  <c r="QU33" i="2"/>
  <c r="QX61" i="2"/>
  <c r="K33" i="11" s="1" a="1"/>
  <c r="K33" i="11" s="1"/>
  <c r="RB56" i="2"/>
  <c r="QU88" i="2"/>
  <c r="QS31" i="2"/>
  <c r="RC87" i="2"/>
  <c r="QQ64" i="2"/>
  <c r="RE44" i="2"/>
  <c r="QZ90" i="2"/>
  <c r="RD63" i="2"/>
  <c r="QP92" i="2"/>
  <c r="QT65" i="2"/>
  <c r="QO65" i="2"/>
  <c r="G37" i="11" s="1" a="1"/>
  <c r="G37" i="11" s="1"/>
  <c r="QW41" i="2"/>
  <c r="QZ99" i="2"/>
  <c r="RB59" i="2"/>
  <c r="QM96" i="2"/>
  <c r="QR38" i="2"/>
  <c r="L16" i="4" s="1" a="1"/>
  <c r="L16" i="4" s="1"/>
  <c r="QV58" i="2"/>
  <c r="QT40" i="2"/>
  <c r="QM37" i="2"/>
  <c r="QU62" i="2"/>
  <c r="RD98" i="2"/>
  <c r="QZ51" i="2"/>
  <c r="RA94" i="2"/>
  <c r="QZ32" i="2"/>
  <c r="QX96" i="2"/>
  <c r="K68" i="11" s="1" a="1"/>
  <c r="K68" i="11" s="1"/>
  <c r="RC96" i="2"/>
  <c r="QR91" i="2"/>
  <c r="L69" i="4" s="1" a="1"/>
  <c r="L69" i="4" s="1"/>
  <c r="QZ74" i="2"/>
  <c r="QY89" i="2"/>
  <c r="RB87" i="2"/>
  <c r="QX81" i="2"/>
  <c r="K53" i="11" s="1" a="1"/>
  <c r="K53" i="11" s="1"/>
  <c r="QX87" i="2"/>
  <c r="K59" i="11" s="1" a="1"/>
  <c r="K59" i="11" s="1"/>
  <c r="RD92" i="2"/>
  <c r="QR54" i="2"/>
  <c r="L32" i="4" s="1" a="1"/>
  <c r="L32" i="4" s="1"/>
  <c r="QT84" i="2"/>
  <c r="RB95" i="2"/>
  <c r="QT76" i="2"/>
  <c r="QQ74" i="2"/>
  <c r="QQ75" i="2"/>
  <c r="QO51" i="2"/>
  <c r="G23" i="11" s="1" a="1"/>
  <c r="G23" i="11" s="1"/>
  <c r="RC88" i="2"/>
  <c r="QO103" i="2"/>
  <c r="G75" i="11" s="1" a="1"/>
  <c r="G75" i="11" s="1"/>
  <c r="QP97" i="2"/>
  <c r="QV71" i="2"/>
  <c r="QW70" i="2"/>
  <c r="QP100" i="2"/>
  <c r="G3" i="11" a="1"/>
  <c r="G3" i="11" s="1"/>
  <c r="QX57" i="2"/>
  <c r="K29" i="11" s="1" a="1"/>
  <c r="K29" i="11" s="1"/>
  <c r="RE72" i="2"/>
  <c r="QX105" i="2"/>
  <c r="K77" i="11" s="1" a="1"/>
  <c r="K77" i="11" s="1"/>
  <c r="QV102" i="2"/>
  <c r="RB104" i="2"/>
  <c r="QT51" i="2"/>
  <c r="RB63" i="2"/>
  <c r="QR100" i="2"/>
  <c r="L78" i="4" s="1" a="1"/>
  <c r="L78" i="4" s="1"/>
  <c r="RD35" i="2"/>
  <c r="QQ98" i="2"/>
  <c r="QZ34" i="2"/>
  <c r="QW42" i="2"/>
  <c r="RC101" i="2"/>
  <c r="QU103" i="2"/>
  <c r="QT77" i="2"/>
  <c r="QW76" i="2"/>
  <c r="QM97" i="2"/>
  <c r="QY56" i="2"/>
  <c r="QQ79" i="2"/>
  <c r="QR95" i="2"/>
  <c r="L73" i="4" s="1" a="1"/>
  <c r="L73" i="4" s="1"/>
  <c r="QR64" i="2"/>
  <c r="L42" i="4" s="1" a="1"/>
  <c r="L42" i="4" s="1"/>
  <c r="RB99" i="2"/>
  <c r="QP33" i="2"/>
  <c r="QX46" i="2"/>
  <c r="K18" i="11" s="1" a="1"/>
  <c r="K18" i="11" s="1"/>
  <c r="QU87" i="2"/>
  <c r="RE83" i="2"/>
  <c r="QT95" i="2"/>
  <c r="RC68" i="2"/>
  <c r="QV46" i="2"/>
  <c r="RC97" i="2"/>
  <c r="QY84" i="2"/>
  <c r="QX82" i="2"/>
  <c r="K54" i="11" s="1" a="1"/>
  <c r="K54" i="11" s="1"/>
  <c r="QW86" i="2"/>
  <c r="QY102" i="2"/>
  <c r="QM36" i="2"/>
  <c r="QT57" i="2"/>
  <c r="QO85" i="2"/>
  <c r="G57" i="11" s="1" a="1"/>
  <c r="G57" i="11" s="1"/>
  <c r="QQ71" i="2"/>
  <c r="QZ105" i="2"/>
  <c r="RA39" i="2"/>
  <c r="QW99" i="2"/>
  <c r="QW52" i="2"/>
  <c r="QP55" i="2"/>
  <c r="QY44" i="2"/>
  <c r="RB69" i="2"/>
  <c r="RA44" i="2"/>
  <c r="QY60" i="2"/>
  <c r="QQ43" i="2"/>
  <c r="RC95" i="2"/>
  <c r="RA102" i="2"/>
  <c r="QZ83" i="2"/>
  <c r="QX102" i="2"/>
  <c r="K74" i="11" s="1" a="1"/>
  <c r="K74" i="11" s="1"/>
  <c r="QU37" i="2"/>
  <c r="QT92" i="2"/>
  <c r="QO67" i="2"/>
  <c r="G39" i="11" s="1" a="1"/>
  <c r="G39" i="11" s="1"/>
  <c r="QV51" i="2"/>
  <c r="QS76" i="2"/>
  <c r="QZ59" i="2"/>
  <c r="RB34" i="2"/>
  <c r="RC89" i="2"/>
  <c r="QT35" i="2"/>
  <c r="QP79" i="2"/>
  <c r="QZ78" i="2"/>
  <c r="QU76" i="2"/>
  <c r="RC37" i="2"/>
  <c r="QZ96" i="2"/>
  <c r="QY82" i="2"/>
  <c r="RD99" i="2"/>
  <c r="QX63" i="2"/>
  <c r="K35" i="11" s="1" a="1"/>
  <c r="K35" i="11" s="1"/>
  <c r="RB33" i="2"/>
  <c r="RC47" i="2"/>
  <c r="QP57" i="2"/>
  <c r="QZ95" i="2"/>
  <c r="QS69" i="2"/>
  <c r="RD86" i="2"/>
  <c r="QQ50" i="2"/>
  <c r="QU64" i="2"/>
  <c r="QY53" i="2"/>
  <c r="QV32" i="2"/>
  <c r="QT105" i="2"/>
  <c r="QP93" i="2"/>
  <c r="RE89" i="2"/>
  <c r="QQ95" i="2"/>
  <c r="QM99" i="2"/>
  <c r="QT60" i="2"/>
  <c r="RB39" i="2"/>
  <c r="RD90" i="2"/>
  <c r="QR79" i="2"/>
  <c r="L57" i="4" s="1" a="1"/>
  <c r="L57" i="4" s="1"/>
  <c r="QY75" i="2"/>
  <c r="QX54" i="2"/>
  <c r="K26" i="11" s="1" a="1"/>
  <c r="K26" i="11" s="1"/>
  <c r="RB47" i="2"/>
  <c r="QP77" i="2"/>
  <c r="RB61" i="2"/>
  <c r="QT64" i="2"/>
  <c r="QZ61" i="2"/>
  <c r="QP48" i="2"/>
  <c r="QS105" i="2"/>
  <c r="QV43" i="2"/>
  <c r="QU50" i="2"/>
  <c r="QX39" i="2"/>
  <c r="K11" i="11" s="1" a="1"/>
  <c r="K11" i="11" s="1"/>
  <c r="QZ53" i="2"/>
  <c r="QW43" i="2"/>
  <c r="QP99" i="2"/>
  <c r="QP60" i="2"/>
  <c r="QX100" i="2"/>
  <c r="K72" i="11" s="1" a="1"/>
  <c r="K72" i="11" s="1"/>
  <c r="QR68" i="2"/>
  <c r="L46" i="4" s="1" a="1"/>
  <c r="L46" i="4" s="1"/>
  <c r="QT87" i="2"/>
  <c r="RA95" i="2"/>
  <c r="QY49" i="2"/>
  <c r="QU104" i="2"/>
  <c r="RB101" i="2"/>
  <c r="RB91" i="2"/>
  <c r="QO35" i="2"/>
  <c r="G7" i="11" s="1" a="1"/>
  <c r="G7" i="11" s="1"/>
  <c r="RD95" i="2"/>
  <c r="QZ80" i="2"/>
  <c r="QU97" i="2"/>
  <c r="QR81" i="2"/>
  <c r="L59" i="4" s="1" a="1"/>
  <c r="L59" i="4" s="1"/>
  <c r="QY91" i="2"/>
  <c r="QM88" i="2"/>
  <c r="RA79" i="2"/>
  <c r="QV41" i="2"/>
  <c r="QU93" i="2"/>
  <c r="QW66" i="2"/>
  <c r="QV98" i="2"/>
  <c r="RD103" i="2"/>
  <c r="QS86" i="2"/>
  <c r="QZ103" i="2"/>
  <c r="QO44" i="2"/>
  <c r="G16" i="11" s="1" a="1"/>
  <c r="G16" i="11" s="1"/>
  <c r="QP67" i="2"/>
  <c r="RD93" i="2"/>
  <c r="QO82" i="2"/>
  <c r="G54" i="11" s="1" a="1"/>
  <c r="G54" i="11" s="1"/>
  <c r="QQ68" i="2"/>
  <c r="QR93" i="2"/>
  <c r="L71" i="4" s="1" a="1"/>
  <c r="L71" i="4" s="1"/>
  <c r="RC67" i="2"/>
  <c r="RE95" i="2"/>
  <c r="QM71" i="2"/>
  <c r="QM78" i="2"/>
  <c r="RA58" i="2"/>
  <c r="QX98" i="2"/>
  <c r="K70" i="11" s="1" a="1"/>
  <c r="K70" i="11" s="1"/>
  <c r="RA83" i="2"/>
  <c r="K61" i="4" s="1" a="1"/>
  <c r="K61" i="4" s="1"/>
  <c r="QX44" i="2"/>
  <c r="K16" i="11" s="1" a="1"/>
  <c r="K16" i="11" s="1"/>
  <c r="QQ85" i="2"/>
  <c r="QT54" i="2"/>
  <c r="QV55" i="2"/>
  <c r="QZ92" i="2"/>
  <c r="RA61" i="2"/>
  <c r="K39" i="4" s="1" a="1"/>
  <c r="K39" i="4" s="1"/>
  <c r="RD52" i="2"/>
  <c r="QW78" i="2"/>
  <c r="QR60" i="2"/>
  <c r="L38" i="4" s="1" a="1"/>
  <c r="L38" i="4" s="1"/>
  <c r="QV53" i="2"/>
  <c r="RB100" i="2"/>
  <c r="QQ57" i="2"/>
  <c r="QP61" i="2"/>
  <c r="QP83" i="2"/>
  <c r="QS71" i="2"/>
  <c r="QV104" i="2"/>
  <c r="QO98" i="2"/>
  <c r="G70" i="11" s="1" a="1"/>
  <c r="G70" i="11" s="1"/>
  <c r="QT70" i="2"/>
  <c r="QY99" i="2"/>
  <c r="RC93" i="2"/>
  <c r="RD89" i="2"/>
  <c r="QM48" i="2"/>
  <c r="QZ97" i="2"/>
  <c r="QO91" i="2"/>
  <c r="G63" i="11" s="1" a="1"/>
  <c r="G63" i="11" s="1"/>
  <c r="QW54" i="2"/>
  <c r="QU99" i="2"/>
  <c r="QO89" i="2"/>
  <c r="G61" i="11" s="1" a="1"/>
  <c r="G61" i="11" s="1"/>
  <c r="QV94" i="2"/>
  <c r="RE80" i="2"/>
  <c r="RA92" i="2"/>
  <c r="QM53" i="2"/>
  <c r="RE63" i="2"/>
  <c r="QZ72" i="2"/>
  <c r="QY58" i="2"/>
  <c r="QO43" i="2"/>
  <c r="G15" i="11" s="1" a="1"/>
  <c r="G15" i="11" s="1"/>
  <c r="QR55" i="2"/>
  <c r="L33" i="4" s="1" a="1"/>
  <c r="L33" i="4" s="1"/>
  <c r="RA75" i="2"/>
  <c r="QW31" i="2"/>
  <c r="QZ86" i="2"/>
  <c r="RA84" i="2"/>
  <c r="RB57" i="2"/>
  <c r="QZ71" i="2"/>
  <c r="QU78" i="2"/>
  <c r="RD87" i="2"/>
  <c r="QS92" i="2"/>
  <c r="QQ67" i="2"/>
  <c r="QQ33" i="2"/>
  <c r="RB51" i="2"/>
  <c r="QS95" i="2"/>
  <c r="QM62" i="2"/>
  <c r="QT43" i="2"/>
  <c r="RA85" i="2"/>
  <c r="QY43" i="2"/>
  <c r="QU42" i="2"/>
  <c r="QS85" i="2"/>
  <c r="RE71" i="2"/>
  <c r="RA69" i="2"/>
  <c r="RC59" i="2"/>
  <c r="RD104" i="2"/>
  <c r="QS78" i="2"/>
  <c r="RB64" i="2"/>
  <c r="RA55" i="2"/>
  <c r="QV77" i="2"/>
  <c r="QZ31" i="2"/>
  <c r="RD72" i="2"/>
  <c r="RA37" i="2"/>
  <c r="QW89" i="2"/>
  <c r="QZ84" i="2"/>
  <c r="RA104" i="2"/>
  <c r="QM91" i="2"/>
  <c r="QT45" i="2"/>
  <c r="RD80" i="2"/>
  <c r="QR43" i="2"/>
  <c r="L21" i="4" s="1" a="1"/>
  <c r="L21" i="4" s="1"/>
  <c r="RD53" i="2"/>
  <c r="QV88" i="2"/>
  <c r="QP103" i="2"/>
  <c r="QV105" i="2"/>
  <c r="QY81" i="2"/>
  <c r="QQ40" i="2"/>
  <c r="QS44" i="2"/>
  <c r="QS96" i="2"/>
  <c r="QX88" i="2"/>
  <c r="K60" i="11" s="1" a="1"/>
  <c r="K60" i="11" s="1"/>
  <c r="RB82" i="2"/>
  <c r="QW62" i="2"/>
  <c r="QY88" i="2"/>
  <c r="QR75" i="2"/>
  <c r="L53" i="4" s="1" a="1"/>
  <c r="L53" i="4" s="1"/>
  <c r="RC100" i="2"/>
  <c r="QU102" i="2"/>
  <c r="RD68" i="2"/>
  <c r="RA33" i="2"/>
  <c r="QX85" i="2"/>
  <c r="K57" i="11" s="1" a="1"/>
  <c r="K57" i="11" s="1"/>
  <c r="QQ91" i="2"/>
  <c r="RA90" i="2"/>
  <c r="K68" i="4" s="1" a="1"/>
  <c r="K68" i="4" s="1"/>
  <c r="RC40" i="2"/>
  <c r="RC36" i="2"/>
  <c r="QU38" i="2"/>
  <c r="RC105" i="2"/>
  <c r="QZ104" i="2"/>
  <c r="QO32" i="2"/>
  <c r="G4" i="11" s="1" a="1"/>
  <c r="G4" i="11" s="1"/>
  <c r="QY42" i="2"/>
  <c r="QQ92" i="2"/>
  <c r="QQ72" i="2"/>
  <c r="QU45" i="2"/>
  <c r="RE99" i="2"/>
  <c r="QR47" i="2"/>
  <c r="L25" i="4" s="1" a="1"/>
  <c r="L25" i="4" s="1"/>
  <c r="QX104" i="2"/>
  <c r="K76" i="11" s="1" a="1"/>
  <c r="K76" i="11" s="1"/>
  <c r="QW88" i="2"/>
  <c r="QQ34" i="2"/>
  <c r="QV42" i="2"/>
  <c r="QT80" i="2"/>
  <c r="QQ31" i="2"/>
  <c r="QM49" i="2"/>
  <c r="QR71" i="2"/>
  <c r="L49" i="4" s="1" a="1"/>
  <c r="L49" i="4" s="1"/>
  <c r="QT78" i="2"/>
  <c r="QU86" i="2"/>
  <c r="QQ96" i="2"/>
  <c r="QQ73" i="2"/>
  <c r="QU75" i="2"/>
  <c r="QW85" i="2"/>
  <c r="QS94" i="2"/>
  <c r="QU98" i="2"/>
  <c r="QO58" i="2"/>
  <c r="G30" i="11" s="1" a="1"/>
  <c r="G30" i="11" s="1"/>
  <c r="RE104" i="2"/>
  <c r="QS74" i="2"/>
  <c r="RC104" i="2"/>
  <c r="RC58" i="2"/>
  <c r="QR33" i="2"/>
  <c r="L11" i="4" s="1" a="1"/>
  <c r="L11" i="4" s="1"/>
  <c r="QW104" i="2"/>
  <c r="QR50" i="2"/>
  <c r="L28" i="4" s="1" a="1"/>
  <c r="L28" i="4" s="1"/>
  <c r="QU90" i="2"/>
  <c r="RD70" i="2"/>
  <c r="RD47" i="2"/>
  <c r="QM52" i="2"/>
  <c r="QP49" i="2"/>
  <c r="RE78" i="2"/>
  <c r="QM54" i="2"/>
  <c r="QL54" i="2" s="1"/>
  <c r="QR96" i="2"/>
  <c r="L74" i="4" s="1" a="1"/>
  <c r="L74" i="4" s="1"/>
  <c r="QW71" i="2"/>
  <c r="QU77" i="2"/>
  <c r="QS102" i="2"/>
  <c r="QX74" i="2"/>
  <c r="K46" i="11" s="1" a="1"/>
  <c r="K46" i="11" s="1"/>
  <c r="QP56" i="2"/>
  <c r="RB31" i="2"/>
  <c r="RB92" i="2"/>
  <c r="RD101" i="2"/>
  <c r="RA103" i="2"/>
  <c r="K81" i="4" s="1" a="1"/>
  <c r="K81" i="4" s="1"/>
  <c r="QY48" i="2"/>
  <c r="QU68" i="2"/>
  <c r="QU84" i="2"/>
  <c r="QX70" i="2"/>
  <c r="K42" i="11" s="1" a="1"/>
  <c r="K42" i="11" s="1"/>
  <c r="QY96" i="2"/>
  <c r="RA36" i="2"/>
  <c r="RC83" i="2"/>
  <c r="QO71" i="2"/>
  <c r="G43" i="11" s="1" a="1"/>
  <c r="G43" i="11" s="1"/>
  <c r="QS77" i="2"/>
  <c r="QX50" i="2"/>
  <c r="K22" i="11" s="1" a="1"/>
  <c r="K22" i="11" s="1"/>
  <c r="RE59" i="2"/>
  <c r="QM100" i="2"/>
  <c r="QP80" i="2"/>
  <c r="QO37" i="2"/>
  <c r="G9" i="11" s="1" a="1"/>
  <c r="G9" i="11" s="1"/>
  <c r="RD91" i="2"/>
  <c r="QR69" i="2"/>
  <c r="L47" i="4" s="1" a="1"/>
  <c r="L47" i="4" s="1"/>
  <c r="QY93" i="2"/>
  <c r="QO38" i="2"/>
  <c r="G10" i="11" s="1" a="1"/>
  <c r="G10" i="11" s="1"/>
  <c r="QO105" i="2"/>
  <c r="G77" i="11" s="1" a="1"/>
  <c r="G77" i="11" s="1"/>
  <c r="RD61" i="2"/>
  <c r="RE35" i="2"/>
  <c r="QU41" i="2"/>
  <c r="QU105" i="2"/>
  <c r="QX101" i="2"/>
  <c r="K73" i="11" s="1" a="1"/>
  <c r="K73" i="11" s="1"/>
  <c r="QU53" i="2"/>
  <c r="QX62" i="2"/>
  <c r="K34" i="11" s="1" a="1"/>
  <c r="K34" i="11" s="1"/>
  <c r="QQ49" i="2"/>
  <c r="QP88" i="2"/>
  <c r="QR34" i="2"/>
  <c r="L12" i="4" s="1" a="1"/>
  <c r="L12" i="4" s="1"/>
  <c r="QZ75" i="2"/>
  <c r="QY100" i="2"/>
  <c r="QV97" i="2"/>
  <c r="RE42" i="2"/>
  <c r="QW58" i="2"/>
  <c r="QS59" i="2"/>
  <c r="RB68" i="2"/>
  <c r="QU63" i="2"/>
  <c r="QX32" i="2"/>
  <c r="K4" i="11" s="1" a="1"/>
  <c r="K4" i="11" s="1"/>
  <c r="RC31" i="2"/>
  <c r="RA105" i="2"/>
  <c r="RB103" i="2"/>
  <c r="QW103" i="2"/>
  <c r="RA88" i="2"/>
  <c r="QQ83" i="2"/>
  <c r="QS104" i="2"/>
  <c r="RA97" i="2"/>
  <c r="RD40" i="2"/>
  <c r="QM77" i="2"/>
  <c r="RA91" i="2"/>
  <c r="QS99" i="2"/>
  <c r="RE64" i="2"/>
  <c r="QU35" i="2"/>
  <c r="PO100" i="2"/>
  <c r="QF59" i="2"/>
  <c r="PR97" i="2"/>
  <c r="PP86" i="2"/>
  <c r="QG70" i="2"/>
  <c r="QE72" i="2"/>
  <c r="PV52" i="2"/>
  <c r="QA62" i="2"/>
  <c r="PU96" i="2"/>
  <c r="QC82" i="2"/>
  <c r="QE70" i="2"/>
  <c r="QA32" i="2"/>
  <c r="PX48" i="2"/>
  <c r="PW104" i="2"/>
  <c r="PT48" i="2"/>
  <c r="PO62" i="2"/>
  <c r="PS49" i="2"/>
  <c r="PZ37" i="2"/>
  <c r="PO71" i="2"/>
  <c r="PP59" i="2"/>
  <c r="PS47" i="2"/>
  <c r="PV61" i="2"/>
  <c r="QA104" i="2"/>
  <c r="PV41" i="2"/>
  <c r="QA96" i="2"/>
  <c r="QB83" i="2"/>
  <c r="PS58" i="2"/>
  <c r="QA54" i="2"/>
  <c r="QD70" i="2"/>
  <c r="PZ69" i="2"/>
  <c r="PQ75" i="2"/>
  <c r="PP78" i="2"/>
  <c r="PO69" i="2"/>
  <c r="PQ85" i="2"/>
  <c r="PW45" i="2"/>
  <c r="QA78" i="2"/>
  <c r="QG97" i="2"/>
  <c r="QA59" i="2"/>
  <c r="PS65" i="2"/>
  <c r="QC50" i="2"/>
  <c r="PO50" i="2"/>
  <c r="PU103" i="2"/>
  <c r="QC38" i="2"/>
  <c r="PT93" i="2"/>
  <c r="PO57" i="2"/>
  <c r="PO64" i="2"/>
  <c r="PY73" i="2"/>
  <c r="I45" i="6" s="1" a="1"/>
  <c r="I45" i="6" s="1"/>
  <c r="K45" i="6" s="1" a="1"/>
  <c r="K45" i="6" s="1"/>
  <c r="PR64" i="2"/>
  <c r="QA39" i="2"/>
  <c r="QA41" i="2"/>
  <c r="PU95" i="2"/>
  <c r="PS57" i="2"/>
  <c r="PP90" i="2"/>
  <c r="QC37" i="2"/>
  <c r="PZ65" i="2"/>
  <c r="PV59" i="2"/>
  <c r="PR74" i="2"/>
  <c r="QG54" i="2"/>
  <c r="PS87" i="2"/>
  <c r="PV42" i="2"/>
  <c r="PQ34" i="2"/>
  <c r="PX67" i="2"/>
  <c r="QB91" i="2"/>
  <c r="QE41" i="2"/>
  <c r="QE35" i="2"/>
  <c r="QH36" i="2"/>
  <c r="PP92" i="2"/>
  <c r="QD103" i="2"/>
  <c r="PU99" i="2"/>
  <c r="QC47" i="2"/>
  <c r="PV101" i="2"/>
  <c r="PY32" i="2"/>
  <c r="I4" i="6" s="1" a="1"/>
  <c r="I4" i="6" s="1"/>
  <c r="K4" i="6" s="1" a="1"/>
  <c r="K4" i="6" s="1"/>
  <c r="QH62" i="2"/>
  <c r="PR58" i="2"/>
  <c r="PY105" i="2"/>
  <c r="I77" i="6" s="1" a="1"/>
  <c r="I77" i="6" s="1"/>
  <c r="K77" i="6" s="1" a="1"/>
  <c r="K77" i="6" s="1"/>
  <c r="PZ51" i="2"/>
  <c r="PO78" i="2"/>
  <c r="QH50" i="2"/>
  <c r="QE71" i="2"/>
  <c r="PZ64" i="2"/>
  <c r="PS38" i="2"/>
  <c r="QC53" i="2"/>
  <c r="QE58" i="2"/>
  <c r="PQ101" i="2"/>
  <c r="PR48" i="2"/>
  <c r="QE61" i="2"/>
  <c r="PV91" i="2"/>
  <c r="QD59" i="2"/>
  <c r="PU49" i="2"/>
  <c r="PT46" i="2"/>
  <c r="PW73" i="2"/>
  <c r="PX94" i="2"/>
  <c r="PW37" i="2"/>
  <c r="PW97" i="2"/>
  <c r="QC57" i="2"/>
  <c r="QA49" i="2"/>
  <c r="QA97" i="2"/>
  <c r="PT90" i="2"/>
  <c r="PS53" i="2"/>
  <c r="QC99" i="2"/>
  <c r="QG44" i="2"/>
  <c r="QC103" i="2"/>
  <c r="PR54" i="2"/>
  <c r="PR81" i="2"/>
  <c r="PR100" i="2"/>
  <c r="QG74" i="2"/>
  <c r="QG91" i="2"/>
  <c r="PS44" i="2"/>
  <c r="PW86" i="2"/>
  <c r="QC51" i="2"/>
  <c r="QB74" i="2"/>
  <c r="QB88" i="2"/>
  <c r="PZ40" i="2"/>
  <c r="PZ76" i="2"/>
  <c r="PW57" i="2"/>
  <c r="PW43" i="2"/>
  <c r="QF56" i="2"/>
  <c r="PX66" i="2"/>
  <c r="PU85" i="2"/>
  <c r="QA34" i="2"/>
  <c r="QC70" i="2"/>
  <c r="PT61" i="2"/>
  <c r="PV103" i="2"/>
  <c r="PX95" i="2"/>
  <c r="PY82" i="2"/>
  <c r="I54" i="6" s="1" a="1"/>
  <c r="I54" i="6" s="1"/>
  <c r="K54" i="6" s="1" a="1"/>
  <c r="K54" i="6" s="1"/>
  <c r="PW63" i="2"/>
  <c r="PX63" i="2"/>
  <c r="QD34" i="2"/>
  <c r="H6" i="6" s="1" a="1"/>
  <c r="H6" i="6" s="1"/>
  <c r="QF65" i="2"/>
  <c r="PR69" i="2"/>
  <c r="PO70" i="2"/>
  <c r="QH32" i="2"/>
  <c r="QE75" i="2"/>
  <c r="QC48" i="2"/>
  <c r="PV60" i="2"/>
  <c r="QD69" i="2"/>
  <c r="PQ92" i="2"/>
  <c r="PQ99" i="2"/>
  <c r="PT47" i="2"/>
  <c r="PR72" i="2"/>
  <c r="QC31" i="2"/>
  <c r="QB72" i="2"/>
  <c r="QH93" i="2"/>
  <c r="PT97" i="2"/>
  <c r="QG40" i="2"/>
  <c r="PX51" i="2"/>
  <c r="QG49" i="2"/>
  <c r="PZ35" i="2"/>
  <c r="QH70" i="2"/>
  <c r="QG42" i="2"/>
  <c r="QF84" i="2"/>
  <c r="QC46" i="2"/>
  <c r="PX34" i="2"/>
  <c r="PW52" i="2"/>
  <c r="PZ48" i="2"/>
  <c r="PU34" i="2"/>
  <c r="QE46" i="2"/>
  <c r="PR36" i="2"/>
  <c r="QB32" i="2"/>
  <c r="QA102" i="2"/>
  <c r="QG43" i="2"/>
  <c r="QD46" i="2"/>
  <c r="PY61" i="2"/>
  <c r="I33" i="6" s="1" a="1"/>
  <c r="I33" i="6" s="1"/>
  <c r="K33" i="6" s="1" a="1"/>
  <c r="K33" i="6" s="1"/>
  <c r="PX104" i="2"/>
  <c r="PZ84" i="2"/>
  <c r="PO104" i="2"/>
  <c r="PZ34" i="2"/>
  <c r="PY96" i="2"/>
  <c r="I68" i="6" s="1" a="1"/>
  <c r="I68" i="6" s="1"/>
  <c r="K68" i="6" s="1" a="1"/>
  <c r="K68" i="6" s="1"/>
  <c r="QF35" i="2"/>
  <c r="PV89" i="2"/>
  <c r="PZ63" i="2"/>
  <c r="PR87" i="2"/>
  <c r="QA80" i="2"/>
  <c r="PO63" i="2"/>
  <c r="QF41" i="2"/>
  <c r="QC77" i="2"/>
  <c r="QB70" i="2"/>
  <c r="QB87" i="2"/>
  <c r="PV83" i="2"/>
  <c r="PO51" i="2"/>
  <c r="PO79" i="2"/>
  <c r="PU35" i="2"/>
  <c r="QG81" i="2"/>
  <c r="PT75" i="2"/>
  <c r="QF89" i="2"/>
  <c r="QE55" i="2"/>
  <c r="QF60" i="2"/>
  <c r="QG68" i="2"/>
  <c r="QH78" i="2"/>
  <c r="PT95" i="2"/>
  <c r="QF38" i="2"/>
  <c r="QB77" i="2"/>
  <c r="PY45" i="2"/>
  <c r="I17" i="6" s="1" a="1"/>
  <c r="I17" i="6" s="1"/>
  <c r="K17" i="6" s="1" a="1"/>
  <c r="K17" i="6" s="1"/>
  <c r="PY83" i="2"/>
  <c r="I55" i="6" s="1" a="1"/>
  <c r="I55" i="6" s="1"/>
  <c r="K55" i="6" s="1" a="1"/>
  <c r="K55" i="6" s="1"/>
  <c r="QA50" i="2"/>
  <c r="QG32" i="2"/>
  <c r="PZ38" i="2"/>
  <c r="QD102" i="2"/>
  <c r="PQ53" i="2"/>
  <c r="QG101" i="2"/>
  <c r="PQ57" i="2"/>
  <c r="PT53" i="2"/>
  <c r="QA86" i="2"/>
  <c r="QF37" i="2"/>
  <c r="QD74" i="2"/>
  <c r="PR57" i="2"/>
  <c r="PQ41" i="2"/>
  <c r="QD51" i="2"/>
  <c r="QA93" i="2"/>
  <c r="PV105" i="2"/>
  <c r="PR82" i="2"/>
  <c r="PQ87" i="2"/>
  <c r="PV104" i="2"/>
  <c r="PS91" i="2"/>
  <c r="PS105" i="2"/>
  <c r="QH49" i="2"/>
  <c r="PP74" i="2"/>
  <c r="PW66" i="2"/>
  <c r="QG39" i="2"/>
  <c r="QC52" i="2"/>
  <c r="PU70" i="2"/>
  <c r="PP71" i="2"/>
  <c r="PX74" i="2"/>
  <c r="PO102" i="2"/>
  <c r="PW105" i="2"/>
  <c r="PY41" i="2"/>
  <c r="I13" i="6" s="1" a="1"/>
  <c r="I13" i="6" s="1"/>
  <c r="K13" i="6" s="1" a="1"/>
  <c r="K13" i="6" s="1"/>
  <c r="QA88" i="2"/>
  <c r="PO80" i="2"/>
  <c r="PV70" i="2"/>
  <c r="PV68" i="2"/>
  <c r="PO43" i="2"/>
  <c r="PY35" i="2"/>
  <c r="I7" i="6" s="1" a="1"/>
  <c r="I7" i="6" s="1"/>
  <c r="K7" i="6" s="1" a="1"/>
  <c r="K7" i="6" s="1"/>
  <c r="QE102" i="2"/>
  <c r="PR84" i="2"/>
  <c r="PW44" i="2"/>
  <c r="QB84" i="2"/>
  <c r="PS71" i="2"/>
  <c r="QH91" i="2"/>
  <c r="QH47" i="2"/>
  <c r="QG55" i="2"/>
  <c r="QE50" i="2"/>
  <c r="PX45" i="2"/>
  <c r="PR44" i="2"/>
  <c r="QC105" i="2"/>
  <c r="PW58" i="2"/>
  <c r="PS55" i="2"/>
  <c r="PS39" i="2"/>
  <c r="PT68" i="2"/>
  <c r="QD78" i="2"/>
  <c r="QH67" i="2"/>
  <c r="PP42" i="2"/>
  <c r="QD66" i="2"/>
  <c r="PY97" i="2"/>
  <c r="I69" i="6" s="1" a="1"/>
  <c r="I69" i="6" s="1"/>
  <c r="K69" i="6" s="1" a="1"/>
  <c r="K69" i="6" s="1"/>
  <c r="PV62" i="2"/>
  <c r="QC45" i="2"/>
  <c r="PQ58" i="2"/>
  <c r="PS61" i="2"/>
  <c r="PR78" i="2"/>
  <c r="PU56" i="2"/>
  <c r="QE54" i="2"/>
  <c r="PY103" i="2"/>
  <c r="I75" i="6" s="1" a="1"/>
  <c r="I75" i="6" s="1"/>
  <c r="K75" i="6" s="1" a="1"/>
  <c r="K75" i="6" s="1"/>
  <c r="PO94" i="2"/>
  <c r="QB54" i="2"/>
  <c r="PP34" i="2"/>
  <c r="QH51" i="2"/>
  <c r="PQ90" i="2"/>
  <c r="PS50" i="2"/>
  <c r="QA57" i="2"/>
  <c r="PQ88" i="2"/>
  <c r="PP96" i="2"/>
  <c r="QH94" i="2"/>
  <c r="QB58" i="2"/>
  <c r="QF85" i="2"/>
  <c r="PX36" i="2"/>
  <c r="PX33" i="2"/>
  <c r="QD85" i="2"/>
  <c r="PP77" i="2"/>
  <c r="QB51" i="2"/>
  <c r="PW98" i="2"/>
  <c r="PU47" i="2"/>
  <c r="PT70" i="2"/>
  <c r="QE57" i="2"/>
  <c r="PY89" i="2"/>
  <c r="I61" i="6" s="1" a="1"/>
  <c r="I61" i="6" s="1"/>
  <c r="K61" i="6" s="1" a="1"/>
  <c r="K61" i="6" s="1"/>
  <c r="PR68" i="2"/>
  <c r="PP62" i="2"/>
  <c r="QH52" i="2"/>
  <c r="QB66" i="2"/>
  <c r="PP49" i="2"/>
  <c r="PX99" i="2"/>
  <c r="PT94" i="2"/>
  <c r="PZ42" i="2"/>
  <c r="QG72" i="2"/>
  <c r="PZ103" i="2"/>
  <c r="PZ46" i="2"/>
  <c r="QB40" i="2"/>
  <c r="QG96" i="2"/>
  <c r="PS75" i="2"/>
  <c r="QE81" i="2"/>
  <c r="PT98" i="2"/>
  <c r="PU66" i="2"/>
  <c r="QH44" i="2"/>
  <c r="QA46" i="2"/>
  <c r="PS86" i="2"/>
  <c r="PZ44" i="2"/>
  <c r="QH82" i="2"/>
  <c r="PP37" i="2"/>
  <c r="QE85" i="2"/>
  <c r="PX32" i="2"/>
  <c r="PU64" i="2"/>
  <c r="PZ54" i="2"/>
  <c r="QF91" i="2"/>
  <c r="QA67" i="2"/>
  <c r="H39" i="9" s="1" a="1"/>
  <c r="H39" i="9" s="1"/>
  <c r="PW56" i="2"/>
  <c r="QF40" i="2"/>
  <c r="QC59" i="2"/>
  <c r="QG59" i="2"/>
  <c r="PP48" i="2"/>
  <c r="PW61" i="2"/>
  <c r="QG87" i="2"/>
  <c r="PP102" i="2"/>
  <c r="PR86" i="2"/>
  <c r="PS41" i="2"/>
  <c r="QH54" i="2"/>
  <c r="QG67" i="2"/>
  <c r="PZ102" i="2"/>
  <c r="PP70" i="2"/>
  <c r="QD92" i="2"/>
  <c r="PX89" i="2"/>
  <c r="PT105" i="2"/>
  <c r="PV37" i="2"/>
  <c r="PP56" i="2"/>
  <c r="QC62" i="2"/>
  <c r="PU45" i="2"/>
  <c r="PQ93" i="2"/>
  <c r="PU61" i="2"/>
  <c r="QB98" i="2"/>
  <c r="QF105" i="2"/>
  <c r="QB76" i="2"/>
  <c r="QA69" i="2"/>
  <c r="QH41" i="2"/>
  <c r="QD75" i="2"/>
  <c r="QE97" i="2"/>
  <c r="PY47" i="2"/>
  <c r="I19" i="6" s="1" a="1"/>
  <c r="I19" i="6" s="1"/>
  <c r="K19" i="6" s="1" a="1"/>
  <c r="K19" i="6" s="1"/>
  <c r="PU32" i="2"/>
  <c r="PY85" i="2"/>
  <c r="I57" i="6" s="1" a="1"/>
  <c r="I57" i="6" s="1"/>
  <c r="K57" i="6" s="1" a="1"/>
  <c r="K57" i="6" s="1"/>
  <c r="PV35" i="2"/>
  <c r="PW99" i="2"/>
  <c r="QA71" i="2"/>
  <c r="PP75" i="2"/>
  <c r="PS101" i="2"/>
  <c r="PP55" i="2"/>
  <c r="PR105" i="2"/>
  <c r="PU83" i="2"/>
  <c r="PZ68" i="2"/>
  <c r="PU98" i="2"/>
  <c r="QB55" i="2"/>
  <c r="PU102" i="2"/>
  <c r="QC34" i="2"/>
  <c r="QD81" i="2"/>
  <c r="QC78" i="2"/>
  <c r="PZ89" i="2"/>
  <c r="QC49" i="2"/>
  <c r="QF79" i="2"/>
  <c r="QF45" i="2"/>
  <c r="QA84" i="2"/>
  <c r="PV53" i="2"/>
  <c r="QF33" i="2"/>
  <c r="PP45" i="2"/>
  <c r="PU59" i="2"/>
  <c r="PT104" i="2"/>
  <c r="QE32" i="2"/>
  <c r="QG38" i="2"/>
  <c r="PP81" i="2"/>
  <c r="PU71" i="2"/>
  <c r="QF88" i="2"/>
  <c r="PQ100" i="2"/>
  <c r="PQ95" i="2"/>
  <c r="QD37" i="2"/>
  <c r="PX78" i="2"/>
  <c r="PX54" i="2"/>
  <c r="QA77" i="2"/>
  <c r="PR47" i="2"/>
  <c r="QC95" i="2"/>
  <c r="PR80" i="2"/>
  <c r="QA87" i="2"/>
  <c r="QD90" i="2"/>
  <c r="QE98" i="2"/>
  <c r="PX42" i="2"/>
  <c r="PX41" i="2"/>
  <c r="PX87" i="2"/>
  <c r="PP87" i="2"/>
  <c r="PO48" i="2"/>
  <c r="PR45" i="2"/>
  <c r="PU50" i="2"/>
  <c r="PY52" i="2"/>
  <c r="I24" i="6" s="1" a="1"/>
  <c r="I24" i="6" s="1"/>
  <c r="K24" i="6" s="1" a="1"/>
  <c r="K24" i="6" s="1"/>
  <c r="PQ79" i="2"/>
  <c r="PS88" i="2"/>
  <c r="QC55" i="2"/>
  <c r="PX52" i="2"/>
  <c r="PV46" i="2"/>
  <c r="QG65" i="2"/>
  <c r="QD52" i="2"/>
  <c r="PU89" i="2"/>
  <c r="QC73" i="2"/>
  <c r="QH89" i="2"/>
  <c r="QD53" i="2"/>
  <c r="PQ31" i="2"/>
  <c r="QG73" i="2"/>
  <c r="PS102" i="2"/>
  <c r="QB38" i="2"/>
  <c r="PZ78" i="2"/>
  <c r="QF81" i="2"/>
  <c r="PP57" i="2"/>
  <c r="PR46" i="2"/>
  <c r="QD88" i="2"/>
  <c r="PX85" i="2"/>
  <c r="QE64" i="2"/>
  <c r="PQ44" i="2"/>
  <c r="QB48" i="2"/>
  <c r="PV71" i="2"/>
  <c r="PZ60" i="2"/>
  <c r="PQ48" i="2"/>
  <c r="QA58" i="2"/>
  <c r="PU57" i="2"/>
  <c r="QG92" i="2"/>
  <c r="PQ76" i="2"/>
  <c r="PO35" i="2"/>
  <c r="PY31" i="2"/>
  <c r="PR75" i="2"/>
  <c r="PT91" i="2"/>
  <c r="PY100" i="2"/>
  <c r="I72" i="6" s="1" a="1"/>
  <c r="I72" i="6" s="1"/>
  <c r="K72" i="6" s="1" a="1"/>
  <c r="K72" i="6" s="1"/>
  <c r="QC39" i="2"/>
  <c r="PX38" i="2"/>
  <c r="PW50" i="2"/>
  <c r="PO52" i="2"/>
  <c r="QD33" i="2"/>
  <c r="PU73" i="2"/>
  <c r="QG83" i="2"/>
  <c r="QF34" i="2"/>
  <c r="PP66" i="2"/>
  <c r="PY62" i="2"/>
  <c r="I34" i="6" s="1" a="1"/>
  <c r="I34" i="6" s="1"/>
  <c r="K34" i="6" s="1" a="1"/>
  <c r="K34" i="6" s="1"/>
  <c r="PW32" i="2"/>
  <c r="QH43" i="2"/>
  <c r="QB57" i="2"/>
  <c r="QF63" i="2"/>
  <c r="PR61" i="2"/>
  <c r="PW74" i="2"/>
  <c r="PW67" i="2"/>
  <c r="PO45" i="2"/>
  <c r="QD38" i="2"/>
  <c r="PO46" i="2"/>
  <c r="PS69" i="2"/>
  <c r="PW47" i="2"/>
  <c r="PP38" i="2"/>
  <c r="PW59" i="2"/>
  <c r="QB42" i="2"/>
  <c r="QA31" i="2"/>
  <c r="PS33" i="2"/>
  <c r="PU46" i="2"/>
  <c r="QB36" i="2"/>
  <c r="PY63" i="2"/>
  <c r="I35" i="6" s="1" a="1"/>
  <c r="I35" i="6" s="1"/>
  <c r="K35" i="6" s="1" a="1"/>
  <c r="K35" i="6" s="1"/>
  <c r="QD105" i="2"/>
  <c r="PT65" i="2"/>
  <c r="PV65" i="2"/>
  <c r="PT88" i="2"/>
  <c r="PS97" i="2"/>
  <c r="PY84" i="2"/>
  <c r="I56" i="6" s="1" a="1"/>
  <c r="I56" i="6" s="1"/>
  <c r="K56" i="6" s="1" a="1"/>
  <c r="K56" i="6" s="1"/>
  <c r="QD80" i="2"/>
  <c r="PO47" i="2"/>
  <c r="PP103" i="2"/>
  <c r="PU38" i="2"/>
  <c r="QH100" i="2"/>
  <c r="PP88" i="2"/>
  <c r="QD87" i="2"/>
  <c r="QB60" i="2"/>
  <c r="QD98" i="2"/>
  <c r="QG85" i="2"/>
  <c r="QF32" i="2"/>
  <c r="PT50" i="2"/>
  <c r="PU94" i="2"/>
  <c r="PR33" i="2"/>
  <c r="QD44" i="2"/>
  <c r="PS90" i="2"/>
  <c r="PT44" i="2"/>
  <c r="QG57" i="2"/>
  <c r="QG75" i="2"/>
  <c r="PT37" i="2"/>
  <c r="PQ77" i="2"/>
  <c r="PY64" i="2"/>
  <c r="I36" i="6" s="1" a="1"/>
  <c r="I36" i="6" s="1"/>
  <c r="K36" i="6" s="1" a="1"/>
  <c r="K36" i="6" s="1"/>
  <c r="PT96" i="2"/>
  <c r="PX62" i="2"/>
  <c r="QE94" i="2"/>
  <c r="PQ32" i="2"/>
  <c r="PS68" i="2"/>
  <c r="PR83" i="2"/>
  <c r="PS100" i="2"/>
  <c r="PS59" i="2"/>
  <c r="PY48" i="2"/>
  <c r="I20" i="6" s="1" a="1"/>
  <c r="I20" i="6" s="1"/>
  <c r="K20" i="6" s="1" a="1"/>
  <c r="K20" i="6" s="1"/>
  <c r="PQ55" i="2"/>
  <c r="QC75" i="2"/>
  <c r="QH87" i="2"/>
  <c r="PT32" i="2"/>
  <c r="PP41" i="2"/>
  <c r="PZ96" i="2"/>
  <c r="PY57" i="2"/>
  <c r="I29" i="6" s="1" a="1"/>
  <c r="I29" i="6" s="1"/>
  <c r="K29" i="6" s="1" a="1"/>
  <c r="K29" i="6" s="1"/>
  <c r="PX35" i="2"/>
  <c r="PX46" i="2"/>
  <c r="PY86" i="2"/>
  <c r="I58" i="6" s="1" a="1"/>
  <c r="I58" i="6" s="1"/>
  <c r="K58" i="6" s="1" a="1"/>
  <c r="K58" i="6" s="1"/>
  <c r="PY39" i="2"/>
  <c r="I11" i="6" s="1" a="1"/>
  <c r="I11" i="6" s="1"/>
  <c r="K11" i="6" s="1" a="1"/>
  <c r="K11" i="6" s="1"/>
  <c r="QD96" i="2"/>
  <c r="PU40" i="2"/>
  <c r="PZ86" i="2"/>
  <c r="PW36" i="2"/>
  <c r="PZ71" i="2"/>
  <c r="QC91" i="2"/>
  <c r="PY101" i="2"/>
  <c r="I73" i="6" s="1" a="1"/>
  <c r="I73" i="6" s="1"/>
  <c r="K73" i="6" s="1" a="1"/>
  <c r="K73" i="6" s="1"/>
  <c r="PR90" i="2"/>
  <c r="PQ60" i="2"/>
  <c r="QC104" i="2"/>
  <c r="QD104" i="2"/>
  <c r="QC89" i="2"/>
  <c r="PU39" i="2"/>
  <c r="PY40" i="2"/>
  <c r="I12" i="6" s="1" a="1"/>
  <c r="I12" i="6" s="1"/>
  <c r="K12" i="6" s="1" a="1"/>
  <c r="K12" i="6" s="1"/>
  <c r="QE69" i="2"/>
  <c r="PO44" i="2"/>
  <c r="QG80" i="2"/>
  <c r="PX102" i="2"/>
  <c r="PQ86" i="2"/>
  <c r="QE93" i="2"/>
  <c r="PQ33" i="2"/>
  <c r="PU62" i="2"/>
  <c r="QG37" i="2"/>
  <c r="PY67" i="2"/>
  <c r="I39" i="6" s="1" a="1"/>
  <c r="I39" i="6" s="1"/>
  <c r="K39" i="6" s="1" a="1"/>
  <c r="K39" i="6" s="1"/>
  <c r="QF78" i="2"/>
  <c r="QA103" i="2"/>
  <c r="PS56" i="2"/>
  <c r="PV85" i="2"/>
  <c r="PS73" i="2"/>
  <c r="QD39" i="2"/>
  <c r="PT45" i="2"/>
  <c r="QA66" i="2"/>
  <c r="QE51" i="2"/>
  <c r="QG94" i="2"/>
  <c r="PR104" i="2"/>
  <c r="PR50" i="2"/>
  <c r="QF61" i="2"/>
  <c r="QE42" i="2"/>
  <c r="PZ61" i="2"/>
  <c r="PP67" i="2"/>
  <c r="PO86" i="2"/>
  <c r="PX75" i="2"/>
  <c r="PS83" i="2"/>
  <c r="QH42" i="2"/>
  <c r="PO75" i="2"/>
  <c r="QH45" i="2"/>
  <c r="PV95" i="2"/>
  <c r="PY87" i="2"/>
  <c r="I59" i="6" s="1" a="1"/>
  <c r="I59" i="6" s="1"/>
  <c r="K59" i="6" s="1" a="1"/>
  <c r="K59" i="6" s="1"/>
  <c r="PT36" i="2"/>
  <c r="QE37" i="2"/>
  <c r="QD79" i="2"/>
  <c r="QD99" i="2"/>
  <c r="PT43" i="2"/>
  <c r="PW96" i="2"/>
  <c r="PX64" i="2"/>
  <c r="PZ81" i="2"/>
  <c r="QC86" i="2"/>
  <c r="PR88" i="2"/>
  <c r="QC74" i="2"/>
  <c r="PX82" i="2"/>
  <c r="PT71" i="2"/>
  <c r="PS84" i="2"/>
  <c r="QF71" i="2"/>
  <c r="QB78" i="2"/>
  <c r="QG63" i="2"/>
  <c r="PT67" i="2"/>
  <c r="PT57" i="2"/>
  <c r="PP73" i="2"/>
  <c r="PW91" i="2"/>
  <c r="PO49" i="2"/>
  <c r="PW49" i="2"/>
  <c r="QB101" i="2"/>
  <c r="QH86" i="2"/>
  <c r="PQ68" i="2"/>
  <c r="PT74" i="2"/>
  <c r="QA95" i="2"/>
  <c r="QB64" i="2"/>
  <c r="PR101" i="2"/>
  <c r="PQ35" i="2"/>
  <c r="PZ70" i="2"/>
  <c r="QE91" i="2"/>
  <c r="PW39" i="2"/>
  <c r="QB47" i="2"/>
  <c r="PX100" i="2"/>
  <c r="PO56" i="2"/>
  <c r="PO36" i="2"/>
  <c r="QG82" i="2"/>
  <c r="PY90" i="2"/>
  <c r="I62" i="6" s="1" a="1"/>
  <c r="I62" i="6" s="1"/>
  <c r="K62" i="6" s="1" a="1"/>
  <c r="K62" i="6" s="1"/>
  <c r="PO90" i="2"/>
  <c r="PP76" i="2"/>
  <c r="PY44" i="2"/>
  <c r="I16" i="6" s="1" a="1"/>
  <c r="I16" i="6" s="1"/>
  <c r="K16" i="6" s="1" a="1"/>
  <c r="K16" i="6" s="1"/>
  <c r="PX70" i="2"/>
  <c r="PV78" i="2"/>
  <c r="QF90" i="2"/>
  <c r="PS60" i="2"/>
  <c r="PR37" i="2"/>
  <c r="PV99" i="2"/>
  <c r="PQ67" i="2"/>
  <c r="QC40" i="2"/>
  <c r="PY98" i="2"/>
  <c r="I70" i="6" s="1" a="1"/>
  <c r="I70" i="6" s="1"/>
  <c r="K70" i="6" s="1" a="1"/>
  <c r="K70" i="6" s="1"/>
  <c r="PY43" i="2"/>
  <c r="I15" i="6" s="1" a="1"/>
  <c r="I15" i="6" s="1"/>
  <c r="K15" i="6" s="1" a="1"/>
  <c r="K15" i="6" s="1"/>
  <c r="PP68" i="2"/>
  <c r="PU93" i="2"/>
  <c r="QD64" i="2"/>
  <c r="PZ92" i="2"/>
  <c r="PT77" i="2"/>
  <c r="PX53" i="2"/>
  <c r="QC41" i="2"/>
  <c r="PT39" i="2"/>
  <c r="PV102" i="2"/>
  <c r="QF58" i="2"/>
  <c r="QG77" i="2"/>
  <c r="QA42" i="2"/>
  <c r="QB35" i="2"/>
  <c r="PP83" i="2"/>
  <c r="PY66" i="2"/>
  <c r="I38" i="6" s="1" a="1"/>
  <c r="I38" i="6" s="1"/>
  <c r="K38" i="6" s="1" a="1"/>
  <c r="K38" i="6" s="1"/>
  <c r="QD49" i="2"/>
  <c r="PT35" i="2"/>
  <c r="QG104" i="2"/>
  <c r="PV32" i="2"/>
  <c r="QB44" i="2"/>
  <c r="PP47" i="2"/>
  <c r="PO98" i="2"/>
  <c r="PU54" i="2"/>
  <c r="PQ96" i="2"/>
  <c r="PP95" i="2"/>
  <c r="PY36" i="2"/>
  <c r="I8" i="6" s="1" a="1"/>
  <c r="I8" i="6" s="1"/>
  <c r="K8" i="6" s="1" a="1"/>
  <c r="K8" i="6" s="1"/>
  <c r="PX60" i="2"/>
  <c r="QD57" i="2"/>
  <c r="PT79" i="2"/>
  <c r="QD65" i="2"/>
  <c r="QF75" i="2"/>
  <c r="PU37" i="2"/>
  <c r="PZ47" i="2"/>
  <c r="PO87" i="2"/>
  <c r="QE65" i="2"/>
  <c r="PY99" i="2"/>
  <c r="I71" i="6" s="1" a="1"/>
  <c r="I71" i="6" s="1"/>
  <c r="K71" i="6" s="1" a="1"/>
  <c r="K71" i="6" s="1"/>
  <c r="PW64" i="2"/>
  <c r="QE78" i="2"/>
  <c r="PO39" i="2"/>
  <c r="PQ51" i="2"/>
  <c r="PQ73" i="2"/>
  <c r="PO60" i="2"/>
  <c r="PO33" i="2"/>
  <c r="QE43" i="2"/>
  <c r="PS37" i="2"/>
  <c r="QA89" i="2"/>
  <c r="QC54" i="2"/>
  <c r="QH38" i="2"/>
  <c r="PS78" i="2"/>
  <c r="PZ67" i="2"/>
  <c r="PO55" i="2"/>
  <c r="PX58" i="2"/>
  <c r="PV84" i="2"/>
  <c r="PY33" i="2"/>
  <c r="I5" i="6" s="1" a="1"/>
  <c r="I5" i="6" s="1"/>
  <c r="K5" i="6" s="1" a="1"/>
  <c r="K5" i="6" s="1"/>
  <c r="PT100" i="2"/>
  <c r="PP46" i="2"/>
  <c r="PS81" i="2"/>
  <c r="QC61" i="2"/>
  <c r="PS52" i="2"/>
  <c r="PQ81" i="2"/>
  <c r="PW103" i="2"/>
  <c r="QB56" i="2"/>
  <c r="QG48" i="2"/>
  <c r="PS66" i="2"/>
  <c r="PO89" i="2"/>
  <c r="PS40" i="2"/>
  <c r="PP61" i="2"/>
  <c r="PU60" i="2"/>
  <c r="PV94" i="2"/>
  <c r="PP99" i="2"/>
  <c r="QB49" i="2"/>
  <c r="QE87" i="2"/>
  <c r="QB86" i="2"/>
  <c r="QA48" i="2"/>
  <c r="PU97" i="2"/>
  <c r="PQ63" i="2"/>
  <c r="PY54" i="2"/>
  <c r="I26" i="6" s="1" a="1"/>
  <c r="I26" i="6" s="1"/>
  <c r="K26" i="6" s="1" a="1"/>
  <c r="K26" i="6" s="1"/>
  <c r="QB39" i="2"/>
  <c r="PQ71" i="2"/>
  <c r="QD58" i="2"/>
  <c r="PZ57" i="2"/>
  <c r="PT41" i="2"/>
  <c r="PX69" i="2"/>
  <c r="PS93" i="2"/>
  <c r="QB105" i="2"/>
  <c r="PO37" i="2"/>
  <c r="PS92" i="2"/>
  <c r="QA63" i="2"/>
  <c r="QH95" i="2"/>
  <c r="PS96" i="2"/>
  <c r="QE40" i="2"/>
  <c r="PY51" i="2"/>
  <c r="I23" i="6" s="1" a="1"/>
  <c r="I23" i="6" s="1"/>
  <c r="K23" i="6" s="1" a="1"/>
  <c r="K23" i="6" s="1"/>
  <c r="PT80" i="2"/>
  <c r="QE38" i="2"/>
  <c r="QA73" i="2"/>
  <c r="QD94" i="2"/>
  <c r="QG56" i="2"/>
  <c r="PP53" i="2"/>
  <c r="QA61" i="2"/>
  <c r="QA43" i="2"/>
  <c r="PX37" i="2"/>
  <c r="QB52" i="2"/>
  <c r="QD63" i="2"/>
  <c r="PT49" i="2"/>
  <c r="PW100" i="2"/>
  <c r="PY53" i="2"/>
  <c r="I25" i="6" s="1" a="1"/>
  <c r="I25" i="6" s="1"/>
  <c r="K25" i="6" s="1" a="1"/>
  <c r="K25" i="6" s="1"/>
  <c r="PT85" i="2"/>
  <c r="PX88" i="2"/>
  <c r="QG100" i="2"/>
  <c r="PR89" i="2"/>
  <c r="QA53" i="2"/>
  <c r="PQ64" i="2"/>
  <c r="PX50" i="2"/>
  <c r="PP72" i="2"/>
  <c r="QD47" i="2"/>
  <c r="QH88" i="2"/>
  <c r="PV55" i="2"/>
  <c r="PX93" i="2"/>
  <c r="QG102" i="2"/>
  <c r="PR103" i="2"/>
  <c r="PT55" i="2"/>
  <c r="PW62" i="2"/>
  <c r="PY76" i="2"/>
  <c r="I48" i="6" s="1" a="1"/>
  <c r="I48" i="6" s="1"/>
  <c r="K48" i="6" s="1" a="1"/>
  <c r="K48" i="6" s="1"/>
  <c r="PU75" i="2"/>
  <c r="PT54" i="2"/>
  <c r="PS76" i="2"/>
  <c r="QF36" i="2"/>
  <c r="PT31" i="2"/>
  <c r="PP32" i="2"/>
  <c r="QE84" i="2"/>
  <c r="QD54" i="2"/>
  <c r="QF42" i="2"/>
  <c r="QF67" i="2"/>
  <c r="PO93" i="2"/>
  <c r="PZ100" i="2"/>
  <c r="PQ56" i="2"/>
  <c r="QB34" i="2"/>
  <c r="QH53" i="2"/>
  <c r="PX101" i="2"/>
  <c r="QB41" i="2"/>
  <c r="PO61" i="2"/>
  <c r="PZ88" i="2"/>
  <c r="PV93" i="2"/>
  <c r="PO95" i="2"/>
  <c r="QA74" i="2"/>
  <c r="PT62" i="2"/>
  <c r="PR79" i="2"/>
  <c r="PX103" i="2"/>
  <c r="PR39" i="2"/>
  <c r="QD62" i="2"/>
  <c r="PW76" i="2"/>
  <c r="PQ52" i="2"/>
  <c r="PZ55" i="2"/>
  <c r="QH69" i="2"/>
  <c r="PV88" i="2"/>
  <c r="QG90" i="2"/>
  <c r="PX39" i="2"/>
  <c r="PX77" i="2"/>
  <c r="QF99" i="2"/>
  <c r="PT103" i="2"/>
  <c r="QD36" i="2"/>
  <c r="PP64" i="2"/>
  <c r="PT86" i="2"/>
  <c r="PZ87" i="2"/>
  <c r="QA56" i="2"/>
  <c r="QF104" i="2"/>
  <c r="PR102" i="2"/>
  <c r="PQ66" i="2"/>
  <c r="PV86" i="2"/>
  <c r="QH34" i="2"/>
  <c r="QH65" i="2"/>
  <c r="PQ69" i="2"/>
  <c r="PQ49" i="2"/>
  <c r="PT51" i="2"/>
  <c r="PS35" i="2"/>
  <c r="QB94" i="2"/>
  <c r="PR38" i="2"/>
  <c r="PQ105" i="2"/>
  <c r="QF46" i="2"/>
  <c r="QD93" i="2"/>
  <c r="QF72" i="2"/>
  <c r="PO38" i="2"/>
  <c r="PP39" i="2"/>
  <c r="PT42" i="2"/>
  <c r="QG52" i="2"/>
  <c r="QF92" i="2"/>
  <c r="QA40" i="2"/>
  <c r="PX65" i="2"/>
  <c r="PT69" i="2"/>
  <c r="PO73" i="2"/>
  <c r="QB71" i="2"/>
  <c r="QB92" i="2"/>
  <c r="PO74" i="2"/>
  <c r="QA52" i="2"/>
  <c r="QC97" i="2"/>
  <c r="QH60" i="2"/>
  <c r="PY65" i="2"/>
  <c r="I37" i="6" s="1" a="1"/>
  <c r="I37" i="6" s="1"/>
  <c r="K37" i="6" s="1" a="1"/>
  <c r="K37" i="6" s="1"/>
  <c r="QH81" i="2"/>
  <c r="PX79" i="2"/>
  <c r="QG93" i="2"/>
  <c r="PZ104" i="2"/>
  <c r="PX68" i="2"/>
  <c r="QH72" i="2"/>
  <c r="PW51" i="2"/>
  <c r="QC64" i="2"/>
  <c r="PV44" i="2"/>
  <c r="QA81" i="2"/>
  <c r="PT34" i="2"/>
  <c r="PV64" i="2"/>
  <c r="PU79" i="2"/>
  <c r="QE68" i="2"/>
  <c r="PY69" i="2"/>
  <c r="I41" i="6" s="1" a="1"/>
  <c r="I41" i="6" s="1"/>
  <c r="K41" i="6" s="1" a="1"/>
  <c r="K41" i="6" s="1"/>
  <c r="PQ45" i="2"/>
  <c r="PU88" i="2"/>
  <c r="QC69" i="2"/>
  <c r="PO65" i="2"/>
  <c r="PY42" i="2"/>
  <c r="I14" i="6" s="1" a="1"/>
  <c r="I14" i="6" s="1"/>
  <c r="K14" i="6" s="1" a="1"/>
  <c r="K14" i="6" s="1"/>
  <c r="PS42" i="2"/>
  <c r="PV34" i="2"/>
  <c r="QB75" i="2"/>
  <c r="PP36" i="2"/>
  <c r="QB43" i="2"/>
  <c r="QH35" i="2"/>
  <c r="QE47" i="2"/>
  <c r="QA68" i="2"/>
  <c r="QD42" i="2"/>
  <c r="QH71" i="2"/>
  <c r="QB81" i="2"/>
  <c r="PV69" i="2"/>
  <c r="QF68" i="2"/>
  <c r="PO32" i="2"/>
  <c r="PV97" i="2"/>
  <c r="PR95" i="2"/>
  <c r="QG62" i="2"/>
  <c r="PW94" i="2"/>
  <c r="QA70" i="2"/>
  <c r="QE82" i="2"/>
  <c r="QF73" i="2"/>
  <c r="PR62" i="2"/>
  <c r="PY88" i="2"/>
  <c r="I60" i="6" s="1" a="1"/>
  <c r="I60" i="6" s="1"/>
  <c r="K60" i="6" s="1" a="1"/>
  <c r="K60" i="6" s="1"/>
  <c r="PQ84" i="2"/>
  <c r="PU36" i="2"/>
  <c r="QE31" i="2"/>
  <c r="PQ40" i="2"/>
  <c r="QE89" i="2"/>
  <c r="PP51" i="2"/>
  <c r="QB85" i="2"/>
  <c r="PR32" i="2"/>
  <c r="PV81" i="2"/>
  <c r="PW48" i="2"/>
  <c r="PW53" i="2"/>
  <c r="PS64" i="2"/>
  <c r="PZ53" i="2"/>
  <c r="PY81" i="2"/>
  <c r="I53" i="6" s="1" a="1"/>
  <c r="I53" i="6" s="1"/>
  <c r="K53" i="6" s="1" a="1"/>
  <c r="K53" i="6" s="1"/>
  <c r="QC88" i="2"/>
  <c r="QG99" i="2"/>
  <c r="PS70" i="2"/>
  <c r="QA100" i="2"/>
  <c r="PR63" i="2"/>
  <c r="PQ70" i="2"/>
  <c r="QB67" i="2"/>
  <c r="PR76" i="2"/>
  <c r="PT84" i="2"/>
  <c r="QF87" i="2"/>
  <c r="QA76" i="2"/>
  <c r="QA82" i="2"/>
  <c r="PS99" i="2"/>
  <c r="PT92" i="2"/>
  <c r="PT78" i="2"/>
  <c r="QB69" i="2"/>
  <c r="PY102" i="2"/>
  <c r="I74" i="6" s="1" a="1"/>
  <c r="I74" i="6" s="1"/>
  <c r="K74" i="6" s="1" a="1"/>
  <c r="K74" i="6" s="1"/>
  <c r="QG98" i="2"/>
  <c r="QH66" i="2"/>
  <c r="PW70" i="2"/>
  <c r="QH61" i="2"/>
  <c r="QD76" i="2"/>
  <c r="QF93" i="2"/>
  <c r="PO59" i="2"/>
  <c r="PZ83" i="2"/>
  <c r="PW88" i="2"/>
  <c r="QH55" i="2"/>
  <c r="QB50" i="2"/>
  <c r="QF48" i="2"/>
  <c r="QB62" i="2"/>
  <c r="QE49" i="2"/>
  <c r="PQ62" i="2"/>
  <c r="PT83" i="2"/>
  <c r="QG84" i="2"/>
  <c r="PX61" i="2"/>
  <c r="PS104" i="2"/>
  <c r="QH46" i="2"/>
  <c r="PX40" i="2"/>
  <c r="QB73" i="2"/>
  <c r="QC58" i="2"/>
  <c r="QG61" i="2"/>
  <c r="QA92" i="2"/>
  <c r="QH98" i="2"/>
  <c r="PS54" i="2"/>
  <c r="PU55" i="2"/>
  <c r="PP101" i="2"/>
  <c r="PR53" i="2"/>
  <c r="PT38" i="2"/>
  <c r="QF62" i="2"/>
  <c r="QB61" i="2"/>
  <c r="PV50" i="2"/>
  <c r="PR66" i="2"/>
  <c r="QE44" i="2"/>
  <c r="QH80" i="2"/>
  <c r="PW90" i="2"/>
  <c r="QA65" i="2"/>
  <c r="PS72" i="2"/>
  <c r="QC42" i="2"/>
  <c r="QF64" i="2"/>
  <c r="PQ47" i="2"/>
  <c r="QG78" i="2"/>
  <c r="PP82" i="2"/>
  <c r="PZ50" i="2"/>
  <c r="QB65" i="2"/>
  <c r="QH90" i="2"/>
  <c r="QE95" i="2"/>
  <c r="PO76" i="2"/>
  <c r="QE59" i="2"/>
  <c r="PR85" i="2"/>
  <c r="QH58" i="2"/>
  <c r="QE74" i="2"/>
  <c r="QB90" i="2"/>
  <c r="PU84" i="2"/>
  <c r="PY104" i="2"/>
  <c r="I76" i="6" s="1" a="1"/>
  <c r="I76" i="6" s="1"/>
  <c r="K76" i="6" s="1" a="1"/>
  <c r="K76" i="6" s="1"/>
  <c r="QC44" i="2"/>
  <c r="QA72" i="2"/>
  <c r="PZ39" i="2"/>
  <c r="PP69" i="2"/>
  <c r="PR98" i="2"/>
  <c r="QF57" i="2"/>
  <c r="PW75" i="2"/>
  <c r="PP43" i="2"/>
  <c r="QD45" i="2"/>
  <c r="QH57" i="2"/>
  <c r="QA105" i="2"/>
  <c r="PY68" i="2"/>
  <c r="I40" i="6" s="1" a="1"/>
  <c r="I40" i="6" s="1"/>
  <c r="K40" i="6" s="1" a="1"/>
  <c r="K40" i="6" s="1"/>
  <c r="QE105" i="2"/>
  <c r="PZ75" i="2"/>
  <c r="QD71" i="2"/>
  <c r="PP44" i="2"/>
  <c r="QH83" i="2"/>
  <c r="PT102" i="2"/>
  <c r="PZ85" i="2"/>
  <c r="QF69" i="2"/>
  <c r="QE80" i="2"/>
  <c r="QG47" i="2"/>
  <c r="QG86" i="2"/>
  <c r="PO85" i="2"/>
  <c r="PO67" i="2"/>
  <c r="QH37" i="2"/>
  <c r="PW79" i="2"/>
  <c r="QC63" i="2"/>
  <c r="QA45" i="2"/>
  <c r="QH103" i="2"/>
  <c r="PR49" i="2"/>
  <c r="QB100" i="2"/>
  <c r="PW41" i="2"/>
  <c r="PW65" i="2"/>
  <c r="PZ33" i="2"/>
  <c r="PX49" i="2"/>
  <c r="QD43" i="2"/>
  <c r="PW85" i="2"/>
  <c r="PX55" i="2"/>
  <c r="PZ43" i="2"/>
  <c r="PZ91" i="2"/>
  <c r="QB59" i="2"/>
  <c r="PQ82" i="2"/>
  <c r="QA98" i="2"/>
  <c r="QH102" i="2"/>
  <c r="QC60" i="2"/>
  <c r="PY74" i="2"/>
  <c r="I46" i="6" s="1" a="1"/>
  <c r="I46" i="6" s="1"/>
  <c r="K46" i="6" s="1" a="1"/>
  <c r="K46" i="6" s="1"/>
  <c r="PX72" i="2"/>
  <c r="PZ36" i="2"/>
  <c r="QA90" i="2"/>
  <c r="PV98" i="2"/>
  <c r="PV74" i="2"/>
  <c r="QF70" i="2"/>
  <c r="QB96" i="2"/>
  <c r="QH96" i="2"/>
  <c r="PW31" i="2"/>
  <c r="QF76" i="2"/>
  <c r="PR56" i="2"/>
  <c r="PU91" i="2"/>
  <c r="PW46" i="2"/>
  <c r="PV67" i="2"/>
  <c r="PX57" i="2"/>
  <c r="PQ65" i="2"/>
  <c r="QF44" i="2"/>
  <c r="PY59" i="2"/>
  <c r="I31" i="6" s="1" a="1"/>
  <c r="I31" i="6" s="1"/>
  <c r="K31" i="6" s="1" a="1"/>
  <c r="K31" i="6" s="1"/>
  <c r="PS32" i="2"/>
  <c r="PR43" i="2"/>
  <c r="PT66" i="2"/>
  <c r="PX76" i="2"/>
  <c r="QE63" i="2"/>
  <c r="PV73" i="2"/>
  <c r="PW82" i="2"/>
  <c r="QA33" i="2"/>
  <c r="PQ61" i="2"/>
  <c r="PT72" i="2"/>
  <c r="PQ89" i="2"/>
  <c r="QC33" i="2"/>
  <c r="PV48" i="2"/>
  <c r="PZ59" i="2"/>
  <c r="PV82" i="2"/>
  <c r="QG53" i="2"/>
  <c r="PU63" i="2"/>
  <c r="PW87" i="2"/>
  <c r="PZ72" i="2"/>
  <c r="PW40" i="2"/>
  <c r="QG71" i="2"/>
  <c r="PY49" i="2"/>
  <c r="I21" i="6" s="1" a="1"/>
  <c r="I21" i="6" s="1"/>
  <c r="K21" i="6" s="1" a="1"/>
  <c r="K21" i="6" s="1"/>
  <c r="QG69" i="2"/>
  <c r="PS43" i="2"/>
  <c r="PZ98" i="2"/>
  <c r="PO40" i="2"/>
  <c r="PW95" i="2"/>
  <c r="PR42" i="2"/>
  <c r="QC98" i="2"/>
  <c r="QH73" i="2"/>
  <c r="PW72" i="2"/>
  <c r="PW71" i="2"/>
  <c r="PP63" i="2"/>
  <c r="QA38" i="2"/>
  <c r="PW38" i="2"/>
  <c r="PZ52" i="2"/>
  <c r="PT58" i="2"/>
  <c r="QF47" i="2"/>
  <c r="PV39" i="2"/>
  <c r="QG89" i="2"/>
  <c r="PQ103" i="2"/>
  <c r="QC87" i="2"/>
  <c r="PW54" i="2"/>
  <c r="QG64" i="2"/>
  <c r="PT60" i="2"/>
  <c r="QB95" i="2"/>
  <c r="PQ80" i="2"/>
  <c r="PS48" i="2"/>
  <c r="QB53" i="2"/>
  <c r="QF102" i="2"/>
  <c r="PQ36" i="2"/>
  <c r="QE45" i="2"/>
  <c r="PY77" i="2"/>
  <c r="I49" i="6" s="1" a="1"/>
  <c r="I49" i="6" s="1"/>
  <c r="K49" i="6" s="1" a="1"/>
  <c r="K49" i="6" s="1"/>
  <c r="QE96" i="2"/>
  <c r="QG31" i="2"/>
  <c r="PT63" i="2"/>
  <c r="PZ74" i="2"/>
  <c r="PU51" i="2"/>
  <c r="QD32" i="2"/>
  <c r="PO99" i="2"/>
  <c r="PO77" i="2"/>
  <c r="PZ97" i="2"/>
  <c r="QA75" i="2"/>
  <c r="QG46" i="2"/>
  <c r="PY71" i="2"/>
  <c r="I43" i="6" s="1" a="1"/>
  <c r="I43" i="6" s="1"/>
  <c r="K43" i="6" s="1" a="1"/>
  <c r="K43" i="6" s="1"/>
  <c r="PS34" i="2"/>
  <c r="QF83" i="2"/>
  <c r="QD56" i="2"/>
  <c r="PU41" i="2"/>
  <c r="QG60" i="2"/>
  <c r="PP33" i="2"/>
  <c r="QF94" i="2"/>
  <c r="QH79" i="2"/>
  <c r="PU67" i="2"/>
  <c r="PP93" i="2"/>
  <c r="PS51" i="2"/>
  <c r="QH104" i="2"/>
  <c r="QD83" i="2"/>
  <c r="QC84" i="2"/>
  <c r="PO41" i="2"/>
  <c r="PO53" i="2"/>
  <c r="QF80" i="2"/>
  <c r="PX84" i="2"/>
  <c r="PX92" i="2"/>
  <c r="QD86" i="2"/>
  <c r="QC76" i="2"/>
  <c r="QH31" i="2"/>
  <c r="PU80" i="2"/>
  <c r="PO101" i="2"/>
  <c r="QE48" i="2"/>
  <c r="PY78" i="2"/>
  <c r="I50" i="6" s="1" a="1"/>
  <c r="I50" i="6" s="1"/>
  <c r="K50" i="6" s="1" a="1"/>
  <c r="K50" i="6" s="1"/>
  <c r="PW42" i="2"/>
  <c r="QA36" i="2"/>
  <c r="QF95" i="2"/>
  <c r="PS82" i="2"/>
  <c r="PZ62" i="2"/>
  <c r="PV57" i="2"/>
  <c r="PR99" i="2"/>
  <c r="PT73" i="2"/>
  <c r="PZ95" i="2"/>
  <c r="QG58" i="2"/>
  <c r="QG79" i="2"/>
  <c r="QC80" i="2"/>
  <c r="PU82" i="2"/>
  <c r="QD41" i="2"/>
  <c r="PU76" i="2"/>
  <c r="QF43" i="2"/>
  <c r="QH105" i="2"/>
  <c r="QA44" i="2"/>
  <c r="PU90" i="2"/>
  <c r="PP60" i="2"/>
  <c r="PU31" i="2"/>
  <c r="PY50" i="2"/>
  <c r="I22" i="6" s="1" a="1"/>
  <c r="I22" i="6" s="1"/>
  <c r="K22" i="6" s="1" a="1"/>
  <c r="K22" i="6" s="1"/>
  <c r="PU77" i="2"/>
  <c r="PP79" i="2"/>
  <c r="PS95" i="2"/>
  <c r="PQ39" i="2"/>
  <c r="QD72" i="2"/>
  <c r="QF39" i="2"/>
  <c r="PU52" i="2"/>
  <c r="PW81" i="2"/>
  <c r="QH56" i="2"/>
  <c r="PV51" i="2"/>
  <c r="PP50" i="2"/>
  <c r="PT56" i="2"/>
  <c r="PV90" i="2"/>
  <c r="QD91" i="2"/>
  <c r="QH68" i="2"/>
  <c r="PS74" i="2"/>
  <c r="QA64" i="2"/>
  <c r="QC93" i="2"/>
  <c r="PX105" i="2"/>
  <c r="QG41" i="2"/>
  <c r="PU74" i="2"/>
  <c r="QF66" i="2"/>
  <c r="PO92" i="2"/>
  <c r="QC68" i="2"/>
  <c r="PS36" i="2"/>
  <c r="QE53" i="2"/>
  <c r="QE52" i="2"/>
  <c r="PU68" i="2"/>
  <c r="QD60" i="2"/>
  <c r="PP85" i="2"/>
  <c r="PO97" i="2"/>
  <c r="PV49" i="2"/>
  <c r="QA83" i="2"/>
  <c r="PW77" i="2"/>
  <c r="QB80" i="2"/>
  <c r="PY34" i="2"/>
  <c r="PU72" i="2"/>
  <c r="PV79" i="2"/>
  <c r="QH33" i="2"/>
  <c r="QG105" i="2"/>
  <c r="QC90" i="2"/>
  <c r="PQ43" i="2"/>
  <c r="PP105" i="2"/>
  <c r="QB33" i="2"/>
  <c r="PU58" i="2"/>
  <c r="PT33" i="2"/>
  <c r="QC72" i="2"/>
  <c r="QB46" i="2"/>
  <c r="PZ31" i="2"/>
  <c r="PU65" i="2"/>
  <c r="QC79" i="2"/>
  <c r="QD97" i="2"/>
  <c r="PX80" i="2"/>
  <c r="QE83" i="2"/>
  <c r="PU43" i="2"/>
  <c r="QH75" i="2"/>
  <c r="QA37" i="2"/>
  <c r="QG88" i="2"/>
  <c r="PR51" i="2"/>
  <c r="QF51" i="2"/>
  <c r="PU44" i="2"/>
  <c r="QD35" i="2"/>
  <c r="PR96" i="2"/>
  <c r="QD40" i="2"/>
  <c r="QE76" i="2"/>
  <c r="PW34" i="2"/>
  <c r="PO83" i="2"/>
  <c r="PV76" i="2"/>
  <c r="QE60" i="2"/>
  <c r="QC35" i="2"/>
  <c r="PP65" i="2"/>
  <c r="PO42" i="2"/>
  <c r="PQ78" i="2"/>
  <c r="QF100" i="2"/>
  <c r="QB93" i="2"/>
  <c r="QD55" i="2"/>
  <c r="PV47" i="2"/>
  <c r="PY75" i="2"/>
  <c r="I47" i="6" s="1" a="1"/>
  <c r="I47" i="6" s="1"/>
  <c r="K47" i="6" s="1" a="1"/>
  <c r="K47" i="6" s="1"/>
  <c r="PS62" i="2"/>
  <c r="QG103" i="2"/>
  <c r="PY72" i="2"/>
  <c r="I44" i="6" s="1" a="1"/>
  <c r="I44" i="6" s="1"/>
  <c r="K44" i="6" s="1" a="1"/>
  <c r="K44" i="6" s="1"/>
  <c r="QF103" i="2"/>
  <c r="PZ73" i="2"/>
  <c r="QA99" i="2"/>
  <c r="PR52" i="2"/>
  <c r="QF98" i="2"/>
  <c r="PY92" i="2"/>
  <c r="I64" i="6" s="1" a="1"/>
  <c r="I64" i="6" s="1"/>
  <c r="K64" i="6" s="1" a="1"/>
  <c r="K64" i="6" s="1"/>
  <c r="QH99" i="2"/>
  <c r="PZ32" i="2"/>
  <c r="QB103" i="2"/>
  <c r="PO105" i="2"/>
  <c r="PS77" i="2"/>
  <c r="PV77" i="2"/>
  <c r="PZ80" i="2"/>
  <c r="QH39" i="2"/>
  <c r="QF86" i="2"/>
  <c r="PU104" i="2"/>
  <c r="PP52" i="2"/>
  <c r="QC101" i="2"/>
  <c r="PQ54" i="2"/>
  <c r="PT52" i="2"/>
  <c r="QA55" i="2"/>
  <c r="PT64" i="2"/>
  <c r="QD95" i="2"/>
  <c r="PW80" i="2"/>
  <c r="PQ38" i="2"/>
  <c r="PY93" i="2"/>
  <c r="I65" i="6" s="1" a="1"/>
  <c r="I65" i="6" s="1"/>
  <c r="K65" i="6" s="1" a="1"/>
  <c r="K65" i="6" s="1"/>
  <c r="QG34" i="2"/>
  <c r="PW68" i="2"/>
  <c r="QA101" i="2"/>
  <c r="PV38" i="2"/>
  <c r="PV54" i="2"/>
  <c r="QA85" i="2"/>
  <c r="PS85" i="2"/>
  <c r="PR93" i="2"/>
  <c r="PX43" i="2"/>
  <c r="QF55" i="2"/>
  <c r="PS63" i="2"/>
  <c r="PO54" i="2"/>
  <c r="QF54" i="2"/>
  <c r="QE66" i="2"/>
  <c r="QE79" i="2"/>
  <c r="PY60" i="2"/>
  <c r="I32" i="6" s="1" a="1"/>
  <c r="I32" i="6" s="1"/>
  <c r="K32" i="6" s="1" a="1"/>
  <c r="K32" i="6" s="1"/>
  <c r="PZ105" i="2"/>
  <c r="PR91" i="2"/>
  <c r="QB89" i="2"/>
  <c r="PR70" i="2"/>
  <c r="PX81" i="2"/>
  <c r="PS46" i="2"/>
  <c r="QC92" i="2"/>
  <c r="PQ74" i="2"/>
  <c r="PQ104" i="2"/>
  <c r="QG50" i="2"/>
  <c r="QH85" i="2"/>
  <c r="QE101" i="2"/>
  <c r="PT81" i="2"/>
  <c r="PV96" i="2"/>
  <c r="PV63" i="2"/>
  <c r="QA91" i="2"/>
  <c r="PT101" i="2"/>
  <c r="PQ91" i="2"/>
  <c r="QH84" i="2"/>
  <c r="PO91" i="2"/>
  <c r="QE67" i="2"/>
  <c r="PR67" i="2"/>
  <c r="QF53" i="2"/>
  <c r="QE90" i="2"/>
  <c r="QH59" i="2"/>
  <c r="PX90" i="2"/>
  <c r="PO103" i="2"/>
  <c r="PV80" i="2"/>
  <c r="QD89" i="2"/>
  <c r="QC96" i="2"/>
  <c r="PZ90" i="2"/>
  <c r="QE103" i="2"/>
  <c r="PO96" i="2"/>
  <c r="PU81" i="2"/>
  <c r="PT59" i="2"/>
  <c r="PR65" i="2"/>
  <c r="PV40" i="2"/>
  <c r="PU92" i="2"/>
  <c r="PW69" i="2"/>
  <c r="PS98" i="2"/>
  <c r="QC71" i="2"/>
  <c r="PS80" i="2"/>
  <c r="PP35" i="2"/>
  <c r="PR71" i="2"/>
  <c r="PP84" i="2"/>
  <c r="PZ66" i="2"/>
  <c r="PX86" i="2"/>
  <c r="PR73" i="2"/>
  <c r="PP97" i="2"/>
  <c r="PU87" i="2"/>
  <c r="QH101" i="2"/>
  <c r="PS94" i="2"/>
  <c r="PU78" i="2"/>
  <c r="QC100" i="2"/>
  <c r="QA35" i="2"/>
  <c r="QC56" i="2"/>
  <c r="QE33" i="2"/>
  <c r="PR55" i="2"/>
  <c r="PO58" i="2"/>
  <c r="PW35" i="2"/>
  <c r="PV58" i="2"/>
  <c r="PY80" i="2"/>
  <c r="I52" i="6" s="1" a="1"/>
  <c r="I52" i="6" s="1"/>
  <c r="K52" i="6" s="1" a="1"/>
  <c r="K52" i="6" s="1"/>
  <c r="QB97" i="2"/>
  <c r="PP100" i="2"/>
  <c r="QD100" i="2"/>
  <c r="PV87" i="2"/>
  <c r="QD67" i="2"/>
  <c r="PS89" i="2"/>
  <c r="PQ98" i="2"/>
  <c r="PP104" i="2"/>
  <c r="PZ79" i="2"/>
  <c r="PX31" i="2"/>
  <c r="PU33" i="2"/>
  <c r="QE88" i="2"/>
  <c r="QC83" i="2"/>
  <c r="QB68" i="2"/>
  <c r="PU86" i="2"/>
  <c r="QA94" i="2"/>
  <c r="QF82" i="2"/>
  <c r="QD31" i="2"/>
  <c r="QD77" i="2"/>
  <c r="QB104" i="2"/>
  <c r="PX56" i="2"/>
  <c r="QD61" i="2"/>
  <c r="QC85" i="2"/>
  <c r="PX73" i="2"/>
  <c r="PU42" i="2"/>
  <c r="QD50" i="2"/>
  <c r="PR41" i="2"/>
  <c r="PU101" i="2"/>
  <c r="QD101" i="2"/>
  <c r="PR92" i="2"/>
  <c r="PQ72" i="2"/>
  <c r="PX97" i="2"/>
  <c r="QE104" i="2"/>
  <c r="PZ41" i="2"/>
  <c r="QH77" i="2"/>
  <c r="PW83" i="2"/>
  <c r="PP58" i="2"/>
  <c r="QE73" i="2"/>
  <c r="QA60" i="2"/>
  <c r="QG95" i="2"/>
  <c r="QF74" i="2"/>
  <c r="QH92" i="2"/>
  <c r="PU48" i="2"/>
  <c r="PP89" i="2"/>
  <c r="QF49" i="2"/>
  <c r="PW93" i="2"/>
  <c r="QD82" i="2"/>
  <c r="QF31" i="2"/>
  <c r="QF97" i="2"/>
  <c r="QB31" i="2"/>
  <c r="QE99" i="2"/>
  <c r="PW55" i="2"/>
  <c r="PO84" i="2"/>
  <c r="QD48" i="2"/>
  <c r="QE56" i="2"/>
  <c r="PW102" i="2"/>
  <c r="PZ45" i="2"/>
  <c r="PP40" i="2"/>
  <c r="PW92" i="2"/>
  <c r="QG45" i="2"/>
  <c r="PY94" i="2"/>
  <c r="I66" i="6" s="1" a="1"/>
  <c r="I66" i="6" s="1"/>
  <c r="K66" i="6" s="1" a="1"/>
  <c r="K66" i="6" s="1"/>
  <c r="PT76" i="2"/>
  <c r="PS103" i="2"/>
  <c r="PO81" i="2"/>
  <c r="PU100" i="2"/>
  <c r="PS79" i="2"/>
  <c r="PW78" i="2"/>
  <c r="PZ93" i="2"/>
  <c r="PX98" i="2"/>
  <c r="PS45" i="2"/>
  <c r="PP54" i="2"/>
  <c r="QH97" i="2"/>
  <c r="PP91" i="2"/>
  <c r="QF96" i="2"/>
  <c r="QE92" i="2"/>
  <c r="QD73" i="2"/>
  <c r="QG66" i="2"/>
  <c r="PS31" i="2"/>
  <c r="QE100" i="2"/>
  <c r="PV75" i="2"/>
  <c r="QC65" i="2"/>
  <c r="PY91" i="2"/>
  <c r="I63" i="6" s="1" a="1"/>
  <c r="I63" i="6" s="1"/>
  <c r="K63" i="6" s="1" a="1"/>
  <c r="K63" i="6" s="1"/>
  <c r="QF77" i="2"/>
  <c r="QC67" i="2"/>
  <c r="PQ97" i="2"/>
  <c r="PZ99" i="2"/>
  <c r="QB37" i="2"/>
  <c r="PR77" i="2"/>
  <c r="PP94" i="2"/>
  <c r="PV100" i="2"/>
  <c r="PX83" i="2"/>
  <c r="PP31" i="2"/>
  <c r="QG35" i="2"/>
  <c r="PQ46" i="2"/>
  <c r="PV31" i="2"/>
  <c r="PO82" i="2"/>
  <c r="PW60" i="2"/>
  <c r="QH76" i="2"/>
  <c r="QC36" i="2"/>
  <c r="QH48" i="2"/>
  <c r="QB82" i="2"/>
  <c r="PR94" i="2"/>
  <c r="QH74" i="2"/>
  <c r="PZ58" i="2"/>
  <c r="QH64" i="2"/>
  <c r="QC32" i="2"/>
  <c r="PY37" i="2"/>
  <c r="I9" i="6" s="1" a="1"/>
  <c r="I9" i="6" s="1"/>
  <c r="K9" i="6" s="1" a="1"/>
  <c r="K9" i="6" s="1"/>
  <c r="PS67" i="2"/>
  <c r="PZ49" i="2"/>
  <c r="QE39" i="2"/>
  <c r="QC81" i="2"/>
  <c r="PW89" i="2"/>
  <c r="QC66" i="2"/>
  <c r="PX59" i="2"/>
  <c r="PY58" i="2"/>
  <c r="I30" i="6" s="1" a="1"/>
  <c r="I30" i="6" s="1"/>
  <c r="K30" i="6" s="1" a="1"/>
  <c r="K30" i="6" s="1"/>
  <c r="PT40" i="2"/>
  <c r="PQ83" i="2"/>
  <c r="QA79" i="2"/>
  <c r="QC43" i="2"/>
  <c r="PQ42" i="2"/>
  <c r="PY56" i="2"/>
  <c r="I28" i="6" s="1" a="1"/>
  <c r="I28" i="6" s="1"/>
  <c r="K28" i="6" s="1" a="1"/>
  <c r="K28" i="6" s="1"/>
  <c r="PZ101" i="2"/>
  <c r="PX44" i="2"/>
  <c r="PY70" i="2"/>
  <c r="I42" i="6" s="1" a="1"/>
  <c r="I42" i="6" s="1"/>
  <c r="K42" i="6" s="1" a="1"/>
  <c r="K42" i="6" s="1"/>
  <c r="QG33" i="2"/>
  <c r="PO34" i="2"/>
  <c r="QH63" i="2"/>
  <c r="QE36" i="2"/>
  <c r="PT87" i="2"/>
  <c r="PQ37" i="2"/>
  <c r="PR60" i="2"/>
  <c r="QE34" i="2"/>
  <c r="PV33" i="2"/>
  <c r="QF50" i="2"/>
  <c r="PW101" i="2"/>
  <c r="QE77" i="2"/>
  <c r="QG76" i="2"/>
  <c r="PQ50" i="2"/>
  <c r="QB63" i="2"/>
  <c r="PW84" i="2"/>
  <c r="PV36" i="2"/>
  <c r="PR59" i="2"/>
  <c r="PT82" i="2"/>
  <c r="PR40" i="2"/>
  <c r="PV72" i="2"/>
  <c r="PV56" i="2"/>
  <c r="PQ102" i="2"/>
  <c r="PZ77" i="2"/>
  <c r="PO88" i="2"/>
  <c r="PZ56" i="2"/>
  <c r="PU105" i="2"/>
  <c r="PO66" i="2"/>
  <c r="PP98" i="2"/>
  <c r="PY55" i="2"/>
  <c r="I27" i="6" s="1" a="1"/>
  <c r="I27" i="6" s="1"/>
  <c r="K27" i="6" s="1" a="1"/>
  <c r="K27" i="6" s="1"/>
  <c r="PT99" i="2"/>
  <c r="QG51" i="2"/>
  <c r="QB99" i="2"/>
  <c r="PZ94" i="2"/>
  <c r="QG36" i="2"/>
  <c r="PV45" i="2"/>
  <c r="PY79" i="2"/>
  <c r="I51" i="6" s="1" a="1"/>
  <c r="I51" i="6" s="1"/>
  <c r="K51" i="6" s="1" a="1"/>
  <c r="K51" i="6" s="1"/>
  <c r="PQ59" i="2"/>
  <c r="PX96" i="2"/>
  <c r="QB45" i="2"/>
  <c r="QA47" i="2"/>
  <c r="PO68" i="2"/>
  <c r="QE86" i="2"/>
  <c r="PV43" i="2"/>
  <c r="PX47" i="2"/>
  <c r="QC94" i="2"/>
  <c r="PO72" i="2"/>
  <c r="PY38" i="2"/>
  <c r="I10" i="6" s="1" a="1"/>
  <c r="I10" i="6" s="1"/>
  <c r="K10" i="6" s="1" a="1"/>
  <c r="K10" i="6" s="1"/>
  <c r="PR34" i="2"/>
  <c r="QF52" i="2"/>
  <c r="PV66" i="2"/>
  <c r="PV92" i="2"/>
  <c r="PY46" i="2"/>
  <c r="I18" i="6" s="1" a="1"/>
  <c r="I18" i="6" s="1"/>
  <c r="K18" i="6" s="1" a="1"/>
  <c r="K18" i="6" s="1"/>
  <c r="PR31" i="2"/>
  <c r="PT89" i="2"/>
  <c r="QA51" i="2"/>
  <c r="PZ82" i="2"/>
  <c r="QB102" i="2"/>
  <c r="QH40" i="2"/>
  <c r="QC102" i="2"/>
  <c r="PR35" i="2"/>
  <c r="QD84" i="2"/>
  <c r="PP80" i="2"/>
  <c r="PX71" i="2"/>
  <c r="PQ94" i="2"/>
  <c r="PU53" i="2"/>
  <c r="PY95" i="2"/>
  <c r="I67" i="6" s="1" a="1"/>
  <c r="I67" i="6" s="1"/>
  <c r="K67" i="6" s="1" a="1"/>
  <c r="K67" i="6" s="1"/>
  <c r="PX91" i="2"/>
  <c r="PU69" i="2"/>
  <c r="QD68" i="2"/>
  <c r="QF101" i="2"/>
  <c r="QB79" i="2"/>
  <c r="QE62" i="2"/>
  <c r="PN28" i="2"/>
  <c r="PN29" i="2" s="1"/>
  <c r="QL52" i="2" l="1"/>
  <c r="QL85" i="2"/>
  <c r="K60" i="4" a="1"/>
  <c r="K60" i="4" s="1"/>
  <c r="K73" i="4" a="1"/>
  <c r="K73" i="4" s="1"/>
  <c r="QL36" i="2"/>
  <c r="QL49" i="2"/>
  <c r="QL37" i="2"/>
  <c r="QL65" i="2"/>
  <c r="QL92" i="2"/>
  <c r="QL103" i="2"/>
  <c r="QL79" i="2"/>
  <c r="F51" i="11" s="1" a="1"/>
  <c r="F51" i="11" s="1"/>
  <c r="QL58" i="2"/>
  <c r="QL75" i="2"/>
  <c r="QL104" i="2"/>
  <c r="QL57" i="2"/>
  <c r="QL51" i="2"/>
  <c r="QL68" i="2"/>
  <c r="QL64" i="2"/>
  <c r="QL42" i="2"/>
  <c r="QL101" i="2"/>
  <c r="QL99" i="2"/>
  <c r="QL41" i="2"/>
  <c r="QL44" i="2"/>
  <c r="F16" i="11" s="1" a="1"/>
  <c r="F16" i="11" s="1"/>
  <c r="QL63" i="2"/>
  <c r="QL88" i="2"/>
  <c r="QL61" i="2"/>
  <c r="QL77" i="2"/>
  <c r="QL100" i="2"/>
  <c r="QL62" i="2"/>
  <c r="QL35" i="2"/>
  <c r="QL50" i="2"/>
  <c r="QL98" i="2"/>
  <c r="QL72" i="2"/>
  <c r="QL39" i="2"/>
  <c r="QL95" i="2"/>
  <c r="F67" i="11" s="1" a="1"/>
  <c r="F67" i="11" s="1"/>
  <c r="QL87" i="2"/>
  <c r="F59" i="11" s="1" a="1"/>
  <c r="F59" i="11" s="1"/>
  <c r="QL102" i="2"/>
  <c r="QL69" i="2"/>
  <c r="QL43" i="2"/>
  <c r="QL60" i="2"/>
  <c r="QL67" i="2"/>
  <c r="QL59" i="2"/>
  <c r="QL40" i="2"/>
  <c r="QL47" i="2"/>
  <c r="QL94" i="2"/>
  <c r="QL84" i="2"/>
  <c r="QL74" i="2"/>
  <c r="QL55" i="2"/>
  <c r="F27" i="11" s="1" a="1"/>
  <c r="F27" i="11" s="1"/>
  <c r="QL91" i="2"/>
  <c r="QL48" i="2"/>
  <c r="C20" i="11" s="1" a="1"/>
  <c r="C20" i="11" s="1"/>
  <c r="QL81" i="2"/>
  <c r="QL82" i="2"/>
  <c r="QL45" i="2"/>
  <c r="QL78" i="2"/>
  <c r="QL97" i="2"/>
  <c r="QL80" i="2"/>
  <c r="QL93" i="2"/>
  <c r="QL46" i="2"/>
  <c r="QL56" i="2"/>
  <c r="QL32" i="2"/>
  <c r="F4" i="11" s="1" a="1"/>
  <c r="F4" i="11" s="1"/>
  <c r="QL73" i="2"/>
  <c r="QL70" i="2"/>
  <c r="QL71" i="2"/>
  <c r="QL96" i="2"/>
  <c r="QL89" i="2"/>
  <c r="QL38" i="2"/>
  <c r="QL66" i="2"/>
  <c r="QL76" i="2"/>
  <c r="QL34" i="2"/>
  <c r="QL53" i="2"/>
  <c r="QL90" i="2"/>
  <c r="F62" i="11" s="1" a="1"/>
  <c r="F62" i="11" s="1"/>
  <c r="QL83" i="2"/>
  <c r="F55" i="11" s="1" a="1"/>
  <c r="F55" i="11" s="1"/>
  <c r="QL105" i="2"/>
  <c r="QL86" i="2"/>
  <c r="QL31" i="2"/>
  <c r="QL33" i="2"/>
  <c r="H32" i="9" a="1"/>
  <c r="H32" i="9" s="1"/>
  <c r="H59" i="9" a="1"/>
  <c r="H59" i="9" s="1"/>
  <c r="K15" i="4" a="1"/>
  <c r="K15" i="4" s="1"/>
  <c r="K70" i="4" a="1"/>
  <c r="K70" i="4" s="1"/>
  <c r="H62" i="9" a="1"/>
  <c r="H62" i="9" s="1"/>
  <c r="H19" i="9" a="1"/>
  <c r="H19" i="9" s="1"/>
  <c r="K82" i="4" a="1"/>
  <c r="K82" i="4" s="1"/>
  <c r="H8" i="9" a="1"/>
  <c r="H8" i="9" s="1"/>
  <c r="H5" i="9" a="1"/>
  <c r="H5" i="9" s="1"/>
  <c r="K53" i="4" a="1"/>
  <c r="K53" i="4" s="1"/>
  <c r="H69" i="9" a="1"/>
  <c r="H69" i="9" s="1"/>
  <c r="K47" i="4" a="1"/>
  <c r="K47" i="4" s="1"/>
  <c r="QJ104" i="2"/>
  <c r="QJ32" i="2"/>
  <c r="QJ79" i="2"/>
  <c r="F51" i="6" s="1" a="1"/>
  <c r="F51" i="6" s="1"/>
  <c r="QJ55" i="2"/>
  <c r="QJ76" i="2"/>
  <c r="QJ93" i="2"/>
  <c r="F65" i="6" s="1" a="1"/>
  <c r="F65" i="6" s="1"/>
  <c r="QJ68" i="2"/>
  <c r="QJ82" i="2"/>
  <c r="QJ67" i="2"/>
  <c r="QJ64" i="2"/>
  <c r="QJ66" i="2"/>
  <c r="QJ86" i="2"/>
  <c r="QJ78" i="2"/>
  <c r="QJ74" i="2"/>
  <c r="QJ47" i="2"/>
  <c r="F19" i="6" s="1" a="1"/>
  <c r="F19" i="6" s="1"/>
  <c r="QJ51" i="2"/>
  <c r="QJ57" i="2"/>
  <c r="QJ83" i="2"/>
  <c r="F55" i="6" s="1" a="1"/>
  <c r="F55" i="6" s="1"/>
  <c r="QJ40" i="2"/>
  <c r="QJ43" i="2"/>
  <c r="QJ53" i="2"/>
  <c r="QJ87" i="2"/>
  <c r="QJ97" i="2"/>
  <c r="QJ62" i="2"/>
  <c r="QJ39" i="2"/>
  <c r="QJ69" i="2"/>
  <c r="QJ49" i="2"/>
  <c r="F21" i="6" s="1" a="1"/>
  <c r="F21" i="6" s="1"/>
  <c r="QJ94" i="2"/>
  <c r="QJ95" i="2"/>
  <c r="QJ61" i="2"/>
  <c r="F33" i="6" s="1" a="1"/>
  <c r="F33" i="6" s="1"/>
  <c r="QJ31" i="2"/>
  <c r="F3" i="6" s="1" a="1"/>
  <c r="F3" i="6" s="1"/>
  <c r="QJ33" i="2"/>
  <c r="F5" i="6" s="1" a="1"/>
  <c r="F5" i="6" s="1"/>
  <c r="QJ59" i="2"/>
  <c r="QJ48" i="2"/>
  <c r="QJ75" i="2"/>
  <c r="QJ85" i="2"/>
  <c r="F57" i="6" s="1" a="1"/>
  <c r="F57" i="6" s="1"/>
  <c r="QJ72" i="2"/>
  <c r="QJ92" i="2"/>
  <c r="QJ65" i="2"/>
  <c r="F37" i="6" s="1" a="1"/>
  <c r="F37" i="6" s="1"/>
  <c r="QJ50" i="2"/>
  <c r="QJ91" i="2"/>
  <c r="QJ63" i="2"/>
  <c r="F35" i="6" s="1" a="1"/>
  <c r="F35" i="6" s="1"/>
  <c r="QJ81" i="2"/>
  <c r="QJ56" i="2"/>
  <c r="QJ105" i="2"/>
  <c r="QJ60" i="2"/>
  <c r="F32" i="6" s="1" a="1"/>
  <c r="F32" i="6" s="1"/>
  <c r="QJ58" i="2"/>
  <c r="QJ70" i="2"/>
  <c r="F42" i="6" s="1" a="1"/>
  <c r="F42" i="6" s="1"/>
  <c r="QJ84" i="2"/>
  <c r="QJ42" i="2"/>
  <c r="QJ37" i="2"/>
  <c r="QJ36" i="2"/>
  <c r="F8" i="6" s="1" a="1"/>
  <c r="F8" i="6" s="1"/>
  <c r="QJ99" i="2"/>
  <c r="QJ34" i="2"/>
  <c r="QJ103" i="2"/>
  <c r="QJ90" i="2"/>
  <c r="QJ73" i="2"/>
  <c r="QJ89" i="2"/>
  <c r="QJ100" i="2"/>
  <c r="QJ102" i="2"/>
  <c r="F74" i="6" s="1" a="1"/>
  <c r="F74" i="6" s="1"/>
  <c r="QJ96" i="2"/>
  <c r="F68" i="6" s="1" a="1"/>
  <c r="F68" i="6" s="1"/>
  <c r="QJ101" i="2"/>
  <c r="F73" i="6" s="1" a="1"/>
  <c r="F73" i="6" s="1"/>
  <c r="QJ46" i="2"/>
  <c r="QJ35" i="2"/>
  <c r="QJ44" i="2"/>
  <c r="F16" i="6" s="1" a="1"/>
  <c r="F16" i="6" s="1"/>
  <c r="QJ80" i="2"/>
  <c r="F52" i="6" s="1" a="1"/>
  <c r="F52" i="6" s="1"/>
  <c r="QJ71" i="2"/>
  <c r="QJ77" i="2"/>
  <c r="F49" i="6" s="1" a="1"/>
  <c r="F49" i="6" s="1"/>
  <c r="QJ88" i="2"/>
  <c r="QJ38" i="2"/>
  <c r="QJ52" i="2"/>
  <c r="QJ45" i="2"/>
  <c r="QJ98" i="2"/>
  <c r="F70" i="6" s="1" a="1"/>
  <c r="F70" i="6" s="1"/>
  <c r="QJ41" i="2"/>
  <c r="QJ54" i="2"/>
  <c r="F26" i="6" s="1" a="1"/>
  <c r="F26" i="6" s="1"/>
  <c r="QI31" i="2"/>
  <c r="H7" i="9" a="1"/>
  <c r="H7" i="9" s="1"/>
  <c r="H36" i="9" a="1"/>
  <c r="H36" i="9" s="1"/>
  <c r="H53" i="9" a="1"/>
  <c r="H53" i="9" s="1"/>
  <c r="H45" i="9" a="1"/>
  <c r="H45" i="9" s="1"/>
  <c r="H47" i="9" a="1"/>
  <c r="H47" i="9" s="1"/>
  <c r="H71" i="9" a="1"/>
  <c r="H71" i="9" s="1"/>
  <c r="H48" i="9" a="1"/>
  <c r="H48" i="9" s="1"/>
  <c r="H76" i="9" a="1"/>
  <c r="H76" i="9" s="1"/>
  <c r="K69" i="4" a="1"/>
  <c r="K69" i="4" s="1"/>
  <c r="K32" i="4" a="1"/>
  <c r="K32" i="4" s="1"/>
  <c r="F24" i="11" a="1"/>
  <c r="F24" i="11" s="1"/>
  <c r="K57" i="4" a="1"/>
  <c r="K57" i="4" s="1"/>
  <c r="F53" i="11" a="1"/>
  <c r="F53" i="11" s="1"/>
  <c r="F50" i="11" a="1"/>
  <c r="F50" i="11" s="1"/>
  <c r="F12" i="11" a="1"/>
  <c r="F12" i="11" s="1"/>
  <c r="F9" i="11" a="1"/>
  <c r="F9" i="11" s="1"/>
  <c r="K14" i="4" a="1"/>
  <c r="K14" i="4" s="1"/>
  <c r="F57" i="11" a="1"/>
  <c r="F57" i="11" s="1"/>
  <c r="K11" i="4" a="1"/>
  <c r="K11" i="4" s="1"/>
  <c r="F25" i="11" a="1"/>
  <c r="F25" i="11" s="1"/>
  <c r="F43" i="11" a="1"/>
  <c r="F43" i="11" s="1"/>
  <c r="F6" i="11" a="1"/>
  <c r="F6" i="11" s="1"/>
  <c r="F74" i="11" a="1"/>
  <c r="F74" i="11" s="1"/>
  <c r="F49" i="11" a="1"/>
  <c r="F49" i="11" s="1"/>
  <c r="F21" i="11" a="1"/>
  <c r="F21" i="11" s="1"/>
  <c r="F52" i="11" a="1"/>
  <c r="F52" i="11" s="1"/>
  <c r="F45" i="11" a="1"/>
  <c r="F45" i="11" s="1"/>
  <c r="F70" i="11" a="1"/>
  <c r="F70" i="11" s="1"/>
  <c r="F61" i="11" a="1"/>
  <c r="F61" i="11" s="1"/>
  <c r="F10" i="11" a="1"/>
  <c r="F10" i="11" s="1"/>
  <c r="F36" i="11" a="1"/>
  <c r="F36" i="11" s="1"/>
  <c r="F39" i="11" a="1"/>
  <c r="F39" i="11" s="1"/>
  <c r="F44" i="11" a="1"/>
  <c r="F44" i="11" s="1"/>
  <c r="F23" i="11" a="1"/>
  <c r="F23" i="11" s="1"/>
  <c r="F33" i="11" a="1"/>
  <c r="F33" i="11" s="1"/>
  <c r="F30" i="11" a="1"/>
  <c r="F30" i="11" s="1"/>
  <c r="F47" i="11" a="1"/>
  <c r="F47" i="11" s="1"/>
  <c r="F64" i="11" a="1"/>
  <c r="F64" i="11" s="1"/>
  <c r="F75" i="11" a="1"/>
  <c r="F75" i="11" s="1"/>
  <c r="F66" i="11" a="1"/>
  <c r="F66" i="11" s="1"/>
  <c r="F76" i="11" a="1"/>
  <c r="F76" i="11" s="1"/>
  <c r="F42" i="11" a="1"/>
  <c r="F42" i="11" s="1"/>
  <c r="F38" i="11" a="1"/>
  <c r="F38" i="11" s="1"/>
  <c r="F22" i="11" a="1"/>
  <c r="F22" i="11" s="1"/>
  <c r="F28" i="11" a="1"/>
  <c r="F28" i="11" s="1"/>
  <c r="K66" i="4" a="1"/>
  <c r="K66" i="4" s="1"/>
  <c r="F60" i="11" a="1"/>
  <c r="F60" i="11" s="1"/>
  <c r="F69" i="11" a="1"/>
  <c r="F69" i="11" s="1"/>
  <c r="F13" i="11" a="1"/>
  <c r="F13" i="11" s="1"/>
  <c r="F41" i="11" a="1"/>
  <c r="F41" i="11" s="1"/>
  <c r="F58" i="11" a="1"/>
  <c r="F58" i="11" s="1"/>
  <c r="F48" i="11" a="1"/>
  <c r="F48" i="11" s="1"/>
  <c r="F15" i="11" a="1"/>
  <c r="F15" i="11" s="1"/>
  <c r="F68" i="11" a="1"/>
  <c r="F68" i="11" s="1"/>
  <c r="F37" i="11" a="1"/>
  <c r="F37" i="11" s="1"/>
  <c r="F56" i="11" a="1"/>
  <c r="F56" i="11" s="1"/>
  <c r="F32" i="11" a="1"/>
  <c r="F32" i="11" s="1"/>
  <c r="F77" i="11" a="1"/>
  <c r="F77" i="11" s="1"/>
  <c r="F17" i="11" a="1"/>
  <c r="F17" i="11" s="1"/>
  <c r="F31" i="11" a="1"/>
  <c r="F31" i="11" s="1"/>
  <c r="F73" i="11" a="1"/>
  <c r="F73" i="11" s="1"/>
  <c r="F63" i="11" a="1"/>
  <c r="F63" i="11" s="1"/>
  <c r="F71" i="11" a="1"/>
  <c r="F71" i="11" s="1"/>
  <c r="F65" i="11" a="1"/>
  <c r="F65" i="11" s="1"/>
  <c r="F18" i="11" a="1"/>
  <c r="F18" i="11" s="1"/>
  <c r="F40" i="11" a="1"/>
  <c r="F40" i="11" s="1"/>
  <c r="F46" i="11" a="1"/>
  <c r="F46" i="11" s="1"/>
  <c r="F35" i="11" a="1"/>
  <c r="F35" i="11" s="1"/>
  <c r="F19" i="11" a="1"/>
  <c r="F19" i="11" s="1"/>
  <c r="F54" i="11" a="1"/>
  <c r="F54" i="11" s="1"/>
  <c r="F14" i="11" a="1"/>
  <c r="F14" i="11" s="1"/>
  <c r="F29" i="11" a="1"/>
  <c r="F29" i="11" s="1"/>
  <c r="F11" i="11" a="1"/>
  <c r="F11" i="11" s="1"/>
  <c r="F5" i="11" a="1"/>
  <c r="F5" i="11" s="1"/>
  <c r="F5" i="9" s="1" a="1"/>
  <c r="F5" i="9" s="1"/>
  <c r="H63" i="9" a="1"/>
  <c r="H63" i="9" s="1"/>
  <c r="H64" i="9" a="1"/>
  <c r="H64" i="9" s="1"/>
  <c r="H16" i="9" a="1"/>
  <c r="H16" i="9" s="1"/>
  <c r="H23" i="9" a="1"/>
  <c r="H23" i="9" s="1"/>
  <c r="H6" i="9" a="1"/>
  <c r="H6" i="9" s="1"/>
  <c r="H17" i="9" a="1"/>
  <c r="H17" i="9" s="1"/>
  <c r="H44" i="9" a="1"/>
  <c r="H44" i="9" s="1"/>
  <c r="H38" i="9" a="1"/>
  <c r="H38" i="9" s="1"/>
  <c r="H75" i="9" a="1"/>
  <c r="H75" i="9" s="1"/>
  <c r="H29" i="9" a="1"/>
  <c r="H29" i="9" s="1"/>
  <c r="H33" i="9" a="1"/>
  <c r="H33" i="9" s="1"/>
  <c r="K12" i="4" a="1"/>
  <c r="K12" i="4" s="1"/>
  <c r="K48" i="4" a="1"/>
  <c r="K48" i="4" s="1"/>
  <c r="K83" i="4" a="1"/>
  <c r="K83" i="4" s="1"/>
  <c r="K59" i="4" a="1"/>
  <c r="K59" i="4" s="1"/>
  <c r="K79" i="4" a="1"/>
  <c r="K79" i="4" s="1"/>
  <c r="H65" i="9" a="1"/>
  <c r="H65" i="9" s="1"/>
  <c r="K33" i="4" a="1"/>
  <c r="K33" i="4" s="1"/>
  <c r="K54" i="4" a="1"/>
  <c r="K54" i="4" s="1"/>
  <c r="K58" i="4" a="1"/>
  <c r="K58" i="4" s="1"/>
  <c r="K26" i="4" a="1"/>
  <c r="K26" i="4" s="1"/>
  <c r="K74" i="4" a="1"/>
  <c r="K74" i="4" s="1"/>
  <c r="K34" i="4" a="1"/>
  <c r="K34" i="4" s="1"/>
  <c r="K67" i="4" a="1"/>
  <c r="K67" i="4" s="1"/>
  <c r="K18" i="4" a="1"/>
  <c r="K18" i="4" s="1"/>
  <c r="D56" i="4" a="1"/>
  <c r="D56" i="4" s="1"/>
  <c r="H22" i="9" a="1"/>
  <c r="H22" i="9" s="1"/>
  <c r="H68" i="9" a="1"/>
  <c r="H68" i="9" s="1"/>
  <c r="H10" i="9" a="1"/>
  <c r="H10" i="9" s="1"/>
  <c r="H31" i="9" a="1"/>
  <c r="H31" i="9" s="1"/>
  <c r="H42" i="9" a="1"/>
  <c r="H42" i="9" s="1"/>
  <c r="H28" i="9" a="1"/>
  <c r="H28" i="9" s="1"/>
  <c r="H27" i="9" a="1"/>
  <c r="H27" i="9" s="1"/>
  <c r="K10" i="4" a="1"/>
  <c r="K10" i="4" s="1"/>
  <c r="H25" i="9" a="1"/>
  <c r="H25" i="9" s="1"/>
  <c r="H12" i="9" a="1"/>
  <c r="H12" i="9" s="1"/>
  <c r="H52" i="9" a="1"/>
  <c r="H52" i="9" s="1"/>
  <c r="H73" i="9" a="1"/>
  <c r="H73" i="9" s="1"/>
  <c r="H41" i="9" a="1"/>
  <c r="H41" i="9" s="1"/>
  <c r="H15" i="9" a="1"/>
  <c r="H15" i="9" s="1"/>
  <c r="H21" i="9" a="1"/>
  <c r="H21" i="9" s="1"/>
  <c r="H46" i="9" a="1"/>
  <c r="H46" i="9" s="1"/>
  <c r="H54" i="9" a="1"/>
  <c r="H54" i="9" s="1"/>
  <c r="H14" i="9" a="1"/>
  <c r="H14" i="9" s="1"/>
  <c r="H67" i="9" a="1"/>
  <c r="H67" i="9" s="1"/>
  <c r="H61" i="9" a="1"/>
  <c r="H61" i="9" s="1"/>
  <c r="H51" i="9" a="1"/>
  <c r="H51" i="9" s="1"/>
  <c r="H49" i="9" a="1"/>
  <c r="H49" i="9" s="1"/>
  <c r="H77" i="9" a="1"/>
  <c r="H77" i="9" s="1"/>
  <c r="H72" i="9" a="1"/>
  <c r="H72" i="9" s="1"/>
  <c r="H30" i="9" a="1"/>
  <c r="H30" i="9" s="1"/>
  <c r="H50" i="9" a="1"/>
  <c r="H50" i="9" s="1"/>
  <c r="H20" i="9" a="1"/>
  <c r="H20" i="9" s="1"/>
  <c r="H70" i="9" a="1"/>
  <c r="H70" i="9" s="1"/>
  <c r="H58" i="9" a="1"/>
  <c r="H58" i="9" s="1"/>
  <c r="H24" i="9" a="1"/>
  <c r="H24" i="9" s="1"/>
  <c r="H34" i="9" a="1"/>
  <c r="H34" i="9" s="1"/>
  <c r="H26" i="9" a="1"/>
  <c r="H26" i="9" s="1"/>
  <c r="H66" i="9" a="1"/>
  <c r="H66" i="9" s="1"/>
  <c r="H55" i="9" a="1"/>
  <c r="H55" i="9" s="1"/>
  <c r="H11" i="9" a="1"/>
  <c r="H11" i="9" s="1"/>
  <c r="H57" i="9" a="1"/>
  <c r="H57" i="9" s="1"/>
  <c r="H35" i="9" a="1"/>
  <c r="H35" i="9" s="1"/>
  <c r="H9" i="9" a="1"/>
  <c r="H9" i="9" s="1"/>
  <c r="H74" i="9" a="1"/>
  <c r="H74" i="9" s="1"/>
  <c r="H60" i="9" a="1"/>
  <c r="H60" i="9" s="1"/>
  <c r="K22" i="4" a="1"/>
  <c r="K22" i="4" s="1"/>
  <c r="K19" i="4" a="1"/>
  <c r="K19" i="4" s="1"/>
  <c r="K43" i="4" a="1"/>
  <c r="K43" i="4" s="1"/>
  <c r="H56" i="9" a="1"/>
  <c r="H56" i="9" s="1"/>
  <c r="K29" i="4" a="1"/>
  <c r="K29" i="4" s="1"/>
  <c r="K41" i="4" a="1"/>
  <c r="K41" i="4" s="1"/>
  <c r="K49" i="4" a="1"/>
  <c r="K49" i="4" s="1"/>
  <c r="K27" i="4" a="1"/>
  <c r="K27" i="4" s="1"/>
  <c r="K75" i="4" a="1"/>
  <c r="K75" i="4" s="1"/>
  <c r="K35" i="4" a="1"/>
  <c r="K35" i="4" s="1"/>
  <c r="K42" i="4" a="1"/>
  <c r="K42" i="4" s="1"/>
  <c r="K71" i="4" a="1"/>
  <c r="K71" i="4" s="1"/>
  <c r="K51" i="4" a="1"/>
  <c r="K51" i="4" s="1"/>
  <c r="H18" i="9" a="1"/>
  <c r="H18" i="9" s="1"/>
  <c r="H13" i="9" a="1"/>
  <c r="H13" i="9" s="1"/>
  <c r="K72" i="4" a="1"/>
  <c r="K72" i="4" s="1"/>
  <c r="K31" i="4" a="1"/>
  <c r="K31" i="4" s="1"/>
  <c r="K30" i="4" a="1"/>
  <c r="K30" i="4" s="1"/>
  <c r="K55" i="4" a="1"/>
  <c r="K55" i="4" s="1"/>
  <c r="H43" i="9" a="1"/>
  <c r="H43" i="9" s="1"/>
  <c r="H4" i="9" a="1"/>
  <c r="H4" i="9" s="1"/>
  <c r="K17" i="4" a="1"/>
  <c r="K17" i="4" s="1"/>
  <c r="K38" i="4" a="1"/>
  <c r="K38" i="4" s="1"/>
  <c r="K56" i="4" a="1"/>
  <c r="K56" i="4" s="1"/>
  <c r="K78" i="4" a="1"/>
  <c r="K78" i="4" s="1"/>
  <c r="K24" i="4" a="1"/>
  <c r="K24" i="4" s="1"/>
  <c r="K9" i="4" a="1"/>
  <c r="K9" i="4" s="1"/>
  <c r="K80" i="4" a="1"/>
  <c r="K80" i="4" s="1"/>
  <c r="K46" i="4" a="1"/>
  <c r="K46" i="4" s="1"/>
  <c r="K20" i="4" a="1"/>
  <c r="K20" i="4" s="1"/>
  <c r="K44" i="4" a="1"/>
  <c r="K44" i="4" s="1"/>
  <c r="K37" i="4" a="1"/>
  <c r="K37" i="4" s="1"/>
  <c r="K40" i="4" a="1"/>
  <c r="K40" i="4" s="1"/>
  <c r="K13" i="4" a="1"/>
  <c r="K13" i="4" s="1"/>
  <c r="K50" i="4" a="1"/>
  <c r="K50" i="4" s="1"/>
  <c r="H37" i="9" a="1"/>
  <c r="H37" i="9" s="1"/>
  <c r="K63" i="4" a="1"/>
  <c r="K63" i="4" s="1"/>
  <c r="K62" i="4" a="1"/>
  <c r="K62" i="4" s="1"/>
  <c r="K76" i="4" a="1"/>
  <c r="K76" i="4" s="1"/>
  <c r="K21" i="4" a="1"/>
  <c r="K21" i="4" s="1"/>
  <c r="K52" i="4" a="1"/>
  <c r="K52" i="4" s="1"/>
  <c r="K25" i="4" a="1"/>
  <c r="K25" i="4" s="1"/>
  <c r="K64" i="4" a="1"/>
  <c r="K64" i="4" s="1"/>
  <c r="H40" i="9" a="1"/>
  <c r="H40" i="9" s="1"/>
  <c r="K36" i="4" a="1"/>
  <c r="K36" i="4" s="1"/>
  <c r="K23" i="4" a="1"/>
  <c r="K23" i="4" s="1"/>
  <c r="K28" i="4" a="1"/>
  <c r="K28" i="4" s="1"/>
  <c r="H53" i="6" a="1"/>
  <c r="H53" i="6" s="1"/>
  <c r="G49" i="6" a="1"/>
  <c r="G49" i="6" s="1"/>
  <c r="H45" i="6" a="1"/>
  <c r="H45" i="6" s="1"/>
  <c r="G71" i="6" a="1"/>
  <c r="G71" i="6" s="1"/>
  <c r="G15" i="6" a="1"/>
  <c r="G15" i="6" s="1"/>
  <c r="G21" i="6" a="1"/>
  <c r="G21" i="6" s="1"/>
  <c r="G57" i="6" a="1"/>
  <c r="G57" i="6" s="1"/>
  <c r="G34" i="6" a="1"/>
  <c r="G34" i="6" s="1"/>
  <c r="H65" i="6" a="1"/>
  <c r="H65" i="6" s="1"/>
  <c r="G75" i="6" a="1"/>
  <c r="G75" i="6" s="1"/>
  <c r="H66" i="6" a="1"/>
  <c r="H66" i="6" s="1"/>
  <c r="H25" i="6" a="1"/>
  <c r="H25" i="6" s="1"/>
  <c r="G19" i="6" a="1"/>
  <c r="G19" i="6" s="1"/>
  <c r="G41" i="6" a="1"/>
  <c r="G41" i="6" s="1"/>
  <c r="G7" i="6" a="1"/>
  <c r="G7" i="6" s="1"/>
  <c r="G7" i="9" a="1"/>
  <c r="G7" i="9" s="1"/>
  <c r="H11" i="6" a="1"/>
  <c r="H11" i="6" s="1"/>
  <c r="G13" i="6" a="1"/>
  <c r="G13" i="6" s="1"/>
  <c r="H72" i="6" a="1"/>
  <c r="H72" i="6" s="1"/>
  <c r="H61" i="6" a="1"/>
  <c r="H61" i="6" s="1"/>
  <c r="H67" i="6" a="1"/>
  <c r="H67" i="6" s="1"/>
  <c r="H58" i="6" a="1"/>
  <c r="H58" i="6" s="1"/>
  <c r="G48" i="6" a="1"/>
  <c r="G48" i="6" s="1"/>
  <c r="H14" i="6" a="1"/>
  <c r="H14" i="6" s="1"/>
  <c r="G74" i="6" a="1"/>
  <c r="G74" i="6" s="1"/>
  <c r="H26" i="6" a="1"/>
  <c r="H26" i="6" s="1"/>
  <c r="H71" i="6" a="1"/>
  <c r="H71" i="6" s="1"/>
  <c r="G47" i="6" a="1"/>
  <c r="G47" i="6" s="1"/>
  <c r="G17" i="6" a="1"/>
  <c r="G17" i="6" s="1"/>
  <c r="G58" i="6" a="1"/>
  <c r="G58" i="6" s="1"/>
  <c r="H50" i="6" a="1"/>
  <c r="H50" i="6" s="1"/>
  <c r="G72" i="6" a="1"/>
  <c r="G72" i="6" s="1"/>
  <c r="G46" i="6" a="1"/>
  <c r="G46" i="6" s="1"/>
  <c r="H73" i="6" a="1"/>
  <c r="H73" i="6" s="1"/>
  <c r="G73" i="6" a="1"/>
  <c r="G73" i="6" s="1"/>
  <c r="H40" i="6" a="1"/>
  <c r="H40" i="6" s="1"/>
  <c r="H22" i="6" a="1"/>
  <c r="H22" i="6" s="1"/>
  <c r="G42" i="6" a="1"/>
  <c r="G42" i="6" s="1"/>
  <c r="G65" i="6" a="1"/>
  <c r="G65" i="6" s="1"/>
  <c r="G70" i="6" a="1"/>
  <c r="G70" i="6" s="1"/>
  <c r="H51" i="6" a="1"/>
  <c r="H51" i="6" s="1"/>
  <c r="H70" i="6" a="1"/>
  <c r="H70" i="6" s="1"/>
  <c r="G40" i="6" a="1"/>
  <c r="G40" i="6" s="1"/>
  <c r="G44" i="6" a="1"/>
  <c r="G44" i="6" s="1"/>
  <c r="G53" i="6" a="1"/>
  <c r="G53" i="6" s="1"/>
  <c r="H75" i="6" a="1"/>
  <c r="H75" i="6" s="1"/>
  <c r="H4" i="6" a="1"/>
  <c r="H4" i="6" s="1"/>
  <c r="G4" i="6" a="1"/>
  <c r="G4" i="6" s="1"/>
  <c r="G4" i="9" a="1"/>
  <c r="G4" i="9" s="1"/>
  <c r="G10" i="6" a="1"/>
  <c r="G10" i="6" s="1"/>
  <c r="H60" i="6" a="1"/>
  <c r="H60" i="6" s="1"/>
  <c r="G54" i="6" a="1"/>
  <c r="G54" i="6" s="1"/>
  <c r="G26" i="6" a="1"/>
  <c r="G26" i="6" s="1"/>
  <c r="G12" i="6" a="1"/>
  <c r="G12" i="6" s="1"/>
  <c r="G63" i="6" a="1"/>
  <c r="G63" i="6" s="1"/>
  <c r="H32" i="6" a="1"/>
  <c r="H32" i="6" s="1"/>
  <c r="H44" i="6" a="1"/>
  <c r="H44" i="6" s="1"/>
  <c r="H43" i="6" a="1"/>
  <c r="H43" i="6" s="1"/>
  <c r="G35" i="6" a="1"/>
  <c r="G35" i="6" s="1"/>
  <c r="H30" i="6" a="1"/>
  <c r="H30" i="6" s="1"/>
  <c r="AH17" i="4"/>
  <c r="AL17" i="4"/>
  <c r="H68" i="6" a="1"/>
  <c r="H68" i="6" s="1"/>
  <c r="H59" i="6" a="1"/>
  <c r="H59" i="6" s="1"/>
  <c r="H77" i="6" a="1"/>
  <c r="H77" i="6" s="1"/>
  <c r="H10" i="6" a="1"/>
  <c r="H10" i="6" s="1"/>
  <c r="G18" i="6" a="1"/>
  <c r="G18" i="6" s="1"/>
  <c r="H24" i="6" a="1"/>
  <c r="H24" i="6" s="1"/>
  <c r="H9" i="6" a="1"/>
  <c r="H9" i="6" s="1"/>
  <c r="G50" i="6" a="1"/>
  <c r="G50" i="6" s="1"/>
  <c r="G56" i="6" a="1"/>
  <c r="G56" i="6" s="1"/>
  <c r="H74" i="6" a="1"/>
  <c r="H74" i="6" s="1"/>
  <c r="H18" i="6" a="1"/>
  <c r="H18" i="6" s="1"/>
  <c r="H48" i="6" a="1"/>
  <c r="H48" i="6" s="1"/>
  <c r="G32" i="6" a="1"/>
  <c r="G32" i="6" s="1"/>
  <c r="H54" i="6" a="1"/>
  <c r="H54" i="6" s="1"/>
  <c r="H27" i="6" a="1"/>
  <c r="H27" i="6" s="1"/>
  <c r="H12" i="6" a="1"/>
  <c r="H12" i="6" s="1"/>
  <c r="H69" i="6" a="1"/>
  <c r="H69" i="6" s="1"/>
  <c r="H13" i="6" a="1"/>
  <c r="H13" i="6" s="1"/>
  <c r="G38" i="6" a="1"/>
  <c r="G38" i="6" s="1"/>
  <c r="H19" i="6" a="1"/>
  <c r="H19" i="6" s="1"/>
  <c r="H35" i="6" a="1"/>
  <c r="H35" i="6" s="1"/>
  <c r="G9" i="6" a="1"/>
  <c r="G9" i="6" s="1"/>
  <c r="G22" i="6" a="1"/>
  <c r="G22" i="6" s="1"/>
  <c r="H47" i="6" a="1"/>
  <c r="H47" i="6" s="1"/>
  <c r="H42" i="6" a="1"/>
  <c r="H42" i="6" s="1"/>
  <c r="H39" i="6" a="1"/>
  <c r="H39" i="6" s="1"/>
  <c r="G31" i="6" a="1"/>
  <c r="G31" i="6" s="1"/>
  <c r="H33" i="6" a="1"/>
  <c r="H33" i="6" s="1"/>
  <c r="G45" i="6" a="1"/>
  <c r="G45" i="6" s="1"/>
  <c r="G37" i="6" a="1"/>
  <c r="G37" i="6" s="1"/>
  <c r="G68" i="6" a="1"/>
  <c r="G68" i="6" s="1"/>
  <c r="H28" i="6" a="1"/>
  <c r="H28" i="6" s="1"/>
  <c r="H15" i="6" a="1"/>
  <c r="H15" i="6" s="1"/>
  <c r="G67" i="6" a="1"/>
  <c r="G67" i="6" s="1"/>
  <c r="H34" i="6" a="1"/>
  <c r="H34" i="6" s="1"/>
  <c r="H37" i="6" a="1"/>
  <c r="H37" i="6" s="1"/>
  <c r="G76" i="6" a="1"/>
  <c r="G76" i="6" s="1"/>
  <c r="H76" i="6" a="1"/>
  <c r="H76" i="6" s="1"/>
  <c r="H5" i="6" a="1"/>
  <c r="H5" i="6" s="1"/>
  <c r="G77" i="6" a="1"/>
  <c r="G77" i="6" s="1"/>
  <c r="H23" i="6" a="1"/>
  <c r="H23" i="6" s="1"/>
  <c r="G59" i="6" a="1"/>
  <c r="G59" i="6" s="1"/>
  <c r="H41" i="6" a="1"/>
  <c r="H41" i="6" s="1"/>
  <c r="H31" i="6" a="1"/>
  <c r="H31" i="6" s="1"/>
  <c r="H7" i="6" a="1"/>
  <c r="H7" i="6" s="1"/>
  <c r="H63" i="6" a="1"/>
  <c r="H63" i="6" s="1"/>
  <c r="H8" i="6" a="1"/>
  <c r="H8" i="6" s="1"/>
  <c r="G11" i="6" a="1"/>
  <c r="G11" i="6" s="1"/>
  <c r="G60" i="6" a="1"/>
  <c r="G60" i="6" s="1"/>
  <c r="G55" i="6" a="1"/>
  <c r="G55" i="6" s="1"/>
  <c r="H64" i="6" a="1"/>
  <c r="H64" i="6" s="1"/>
  <c r="G16" i="6" a="1"/>
  <c r="G16" i="6" s="1"/>
  <c r="G69" i="6" a="1"/>
  <c r="G69" i="6" s="1"/>
  <c r="G27" i="6" a="1"/>
  <c r="G27" i="6" s="1"/>
  <c r="G39" i="6" a="1"/>
  <c r="G39" i="6" s="1"/>
  <c r="G24" i="6" a="1"/>
  <c r="G24" i="6" s="1"/>
  <c r="H55" i="6" a="1"/>
  <c r="H55" i="6" s="1"/>
  <c r="H29" i="6" a="1"/>
  <c r="H29" i="6" s="1"/>
  <c r="H21" i="6" a="1"/>
  <c r="H21" i="6" s="1"/>
  <c r="H16" i="6" a="1"/>
  <c r="H16" i="6" s="1"/>
  <c r="G33" i="6" a="1"/>
  <c r="G33" i="6" s="1"/>
  <c r="H62" i="6" a="1"/>
  <c r="H62" i="6" s="1"/>
  <c r="G29" i="6" a="1"/>
  <c r="G29" i="6" s="1"/>
  <c r="G8" i="9" a="1"/>
  <c r="G8" i="9" s="1"/>
  <c r="G8" i="6" a="1"/>
  <c r="G8" i="6" s="1"/>
  <c r="G30" i="6" a="1"/>
  <c r="G30" i="6" s="1"/>
  <c r="H49" i="6" a="1"/>
  <c r="H49" i="6" s="1"/>
  <c r="G28" i="6" a="1"/>
  <c r="G28" i="6" s="1"/>
  <c r="G51" i="6" a="1"/>
  <c r="G51" i="6" s="1"/>
  <c r="H36" i="6" a="1"/>
  <c r="H36" i="6" s="1"/>
  <c r="G62" i="6" a="1"/>
  <c r="G62" i="6" s="1"/>
  <c r="G5" i="6" a="1"/>
  <c r="G5" i="6" s="1"/>
  <c r="G5" i="9" a="1"/>
  <c r="G5" i="9" s="1"/>
  <c r="H46" i="6" a="1"/>
  <c r="H46" i="6" s="1"/>
  <c r="G20" i="6" a="1"/>
  <c r="G20" i="6" s="1"/>
  <c r="F72" i="6" a="1"/>
  <c r="F72" i="6" s="1"/>
  <c r="F64" i="6" a="1"/>
  <c r="F64" i="6" s="1"/>
  <c r="F27" i="6" a="1"/>
  <c r="F27" i="6" s="1"/>
  <c r="F71" i="6" a="1"/>
  <c r="F71" i="6" s="1"/>
  <c r="F63" i="6" a="1"/>
  <c r="F63" i="6" s="1"/>
  <c r="F46" i="6" a="1"/>
  <c r="F46" i="6" s="1"/>
  <c r="F62" i="6" a="1"/>
  <c r="F62" i="6" s="1"/>
  <c r="F77" i="6" a="1"/>
  <c r="F77" i="6" s="1"/>
  <c r="F34" i="6" a="1"/>
  <c r="F34" i="6" s="1"/>
  <c r="F66" i="6" a="1"/>
  <c r="F66" i="6" s="1"/>
  <c r="F67" i="6" a="1"/>
  <c r="F67" i="6" s="1"/>
  <c r="F38" i="6" a="1"/>
  <c r="F38" i="6" s="1"/>
  <c r="F45" i="6" a="1"/>
  <c r="F45" i="6" s="1"/>
  <c r="F23" i="6" a="1"/>
  <c r="F23" i="6" s="1"/>
  <c r="F59" i="6" a="1"/>
  <c r="F59" i="6" s="1"/>
  <c r="F53" i="6" a="1"/>
  <c r="F53" i="6" s="1"/>
  <c r="F11" i="6" a="1"/>
  <c r="F11" i="6" s="1"/>
  <c r="F40" i="6" a="1"/>
  <c r="F40" i="6" s="1"/>
  <c r="F44" i="6" a="1"/>
  <c r="F44" i="6" s="1"/>
  <c r="F20" i="6" a="1"/>
  <c r="F20" i="6" s="1"/>
  <c r="F25" i="6" a="1"/>
  <c r="F25" i="6" s="1"/>
  <c r="F56" i="6" a="1"/>
  <c r="F56" i="6" s="1"/>
  <c r="H56" i="6" a="1"/>
  <c r="H56" i="6" s="1"/>
  <c r="G66" i="6" a="1"/>
  <c r="G66" i="6" s="1"/>
  <c r="H20" i="6" a="1"/>
  <c r="H20" i="6" s="1"/>
  <c r="G64" i="6" a="1"/>
  <c r="G64" i="6" s="1"/>
  <c r="G43" i="6" a="1"/>
  <c r="G43" i="6" s="1"/>
  <c r="G23" i="6" a="1"/>
  <c r="G23" i="6" s="1"/>
  <c r="G14" i="6" a="1"/>
  <c r="G14" i="6" s="1"/>
  <c r="H17" i="6" a="1"/>
  <c r="H17" i="6" s="1"/>
  <c r="G25" i="6" a="1"/>
  <c r="G25" i="6" s="1"/>
  <c r="G61" i="6" a="1"/>
  <c r="G61" i="6" s="1"/>
  <c r="H52" i="6" a="1"/>
  <c r="H52" i="6" s="1"/>
  <c r="G52" i="6" a="1"/>
  <c r="G52" i="6" s="1"/>
  <c r="H57" i="6" a="1"/>
  <c r="H57" i="6" s="1"/>
  <c r="H38" i="6" a="1"/>
  <c r="H38" i="6" s="1"/>
  <c r="G36" i="6" a="1"/>
  <c r="G36" i="6" s="1"/>
  <c r="F39" i="6" a="1"/>
  <c r="F39" i="6" s="1"/>
  <c r="F48" i="6" a="1"/>
  <c r="F48" i="6" s="1"/>
  <c r="F24" i="6" a="1"/>
  <c r="F24" i="6" s="1"/>
  <c r="F30" i="6" a="1"/>
  <c r="F30" i="6" s="1"/>
  <c r="F50" i="6" a="1"/>
  <c r="F50" i="6" s="1"/>
  <c r="F28" i="6" a="1"/>
  <c r="F28" i="6" s="1"/>
  <c r="QI65" i="2"/>
  <c r="QI63" i="2"/>
  <c r="QI54" i="2"/>
  <c r="QI57" i="2"/>
  <c r="QI86" i="2"/>
  <c r="QI74" i="2"/>
  <c r="QI77" i="2"/>
  <c r="QI37" i="2"/>
  <c r="QI98" i="2"/>
  <c r="QI103" i="2"/>
  <c r="QI72" i="2"/>
  <c r="QI67" i="2"/>
  <c r="QI71" i="2"/>
  <c r="QI33" i="2"/>
  <c r="QI70" i="2"/>
  <c r="QI52" i="2"/>
  <c r="QI80" i="2"/>
  <c r="QI82" i="2"/>
  <c r="QI88" i="2"/>
  <c r="I6" i="6" a="1"/>
  <c r="I6" i="6" s="1"/>
  <c r="K6" i="6" s="1" a="1"/>
  <c r="K6" i="6" s="1"/>
  <c r="QI62" i="2"/>
  <c r="QI64" i="2"/>
  <c r="QI90" i="2"/>
  <c r="QI43" i="2"/>
  <c r="QI66" i="2"/>
  <c r="QI46" i="2"/>
  <c r="QI87" i="2"/>
  <c r="QI79" i="2"/>
  <c r="QI102" i="2"/>
  <c r="QI35" i="2"/>
  <c r="QI92" i="2"/>
  <c r="QI99" i="2"/>
  <c r="QI84" i="2"/>
  <c r="QI44" i="2"/>
  <c r="QI50" i="2"/>
  <c r="QI105" i="2"/>
  <c r="QI55" i="2"/>
  <c r="QI78" i="2"/>
  <c r="QI59" i="2"/>
  <c r="QI76" i="2"/>
  <c r="QI48" i="2"/>
  <c r="QI83" i="2"/>
  <c r="QI93" i="2"/>
  <c r="QI97" i="2"/>
  <c r="QI96" i="2"/>
  <c r="QI100" i="2"/>
  <c r="QI75" i="2"/>
  <c r="QI91" i="2"/>
  <c r="QI34" i="2"/>
  <c r="QI49" i="2"/>
  <c r="QI39" i="2"/>
  <c r="C11" i="6" s="1" a="1"/>
  <c r="C11" i="6" s="1"/>
  <c r="D11" i="6" s="1" a="1"/>
  <c r="D11" i="6" s="1"/>
  <c r="QI69" i="2"/>
  <c r="QI32" i="2"/>
  <c r="QI40" i="2"/>
  <c r="G6" i="9" a="1"/>
  <c r="G6" i="9" s="1"/>
  <c r="G6" i="6" a="1"/>
  <c r="G6" i="6" s="1"/>
  <c r="QI104" i="2"/>
  <c r="QI58" i="2"/>
  <c r="QI47" i="2"/>
  <c r="QI36" i="2"/>
  <c r="QI45" i="2"/>
  <c r="QI42" i="2"/>
  <c r="QI73" i="2"/>
  <c r="QI60" i="2"/>
  <c r="QI68" i="2"/>
  <c r="QI89" i="2"/>
  <c r="QI94" i="2"/>
  <c r="QI53" i="2"/>
  <c r="QI51" i="2"/>
  <c r="QI101" i="2"/>
  <c r="QI95" i="2"/>
  <c r="QI41" i="2"/>
  <c r="QI56" i="2"/>
  <c r="QI61" i="2"/>
  <c r="QI38" i="2"/>
  <c r="QI85" i="2"/>
  <c r="QI81" i="2"/>
  <c r="D22" i="4" l="1" a="1"/>
  <c r="D22" i="4" s="1"/>
  <c r="C34" i="11" a="1"/>
  <c r="C34" i="11" s="1"/>
  <c r="F34" i="11" a="1"/>
  <c r="F34" i="11" s="1"/>
  <c r="D9" i="4" a="1"/>
  <c r="D9" i="4" s="1"/>
  <c r="F3" i="11" a="1"/>
  <c r="F3" i="11" s="1"/>
  <c r="F3" i="9" s="1" a="1"/>
  <c r="F3" i="9" s="1"/>
  <c r="D26" i="4" a="1"/>
  <c r="D26" i="4" s="1"/>
  <c r="F20" i="11" a="1"/>
  <c r="F20" i="11" s="1"/>
  <c r="D78" i="4" a="1"/>
  <c r="D78" i="4" s="1"/>
  <c r="F72" i="11" a="1"/>
  <c r="F72" i="11" s="1"/>
  <c r="F72" i="9" s="1" a="1"/>
  <c r="F72" i="9" s="1"/>
  <c r="D14" i="4" a="1"/>
  <c r="D14" i="4" s="1"/>
  <c r="F8" i="11" a="1"/>
  <c r="F8" i="11" s="1"/>
  <c r="F8" i="9" s="1" a="1"/>
  <c r="F8" i="9" s="1"/>
  <c r="D13" i="4" a="1"/>
  <c r="D13" i="4" s="1"/>
  <c r="F7" i="11" a="1"/>
  <c r="F7" i="11" s="1"/>
  <c r="F7" i="9" s="1" a="1"/>
  <c r="F7" i="9" s="1"/>
  <c r="C26" i="11" a="1"/>
  <c r="C26" i="11" s="1"/>
  <c r="F26" i="11" a="1"/>
  <c r="F26" i="11" s="1"/>
  <c r="D32" i="4" a="1"/>
  <c r="D32" i="4" s="1"/>
  <c r="D40" i="4" a="1"/>
  <c r="D40" i="4" s="1"/>
  <c r="C7" i="11" a="1"/>
  <c r="C7" i="11" s="1"/>
  <c r="C8" i="11" a="1"/>
  <c r="C8" i="11" s="1"/>
  <c r="C72" i="11" a="1"/>
  <c r="C72" i="11" s="1"/>
  <c r="J72" i="11" s="1"/>
  <c r="C16" i="11" a="1"/>
  <c r="C16" i="11" s="1"/>
  <c r="D16" i="11" s="1" a="1"/>
  <c r="D16" i="11" s="1"/>
  <c r="C50" i="11" a="1"/>
  <c r="C50" i="11" s="1"/>
  <c r="J50" i="11" s="1"/>
  <c r="C3" i="11" a="1"/>
  <c r="C3" i="11" s="1"/>
  <c r="D3" i="11" s="1" a="1"/>
  <c r="D3" i="11" s="1"/>
  <c r="D35" i="4" a="1"/>
  <c r="D35" i="4" s="1"/>
  <c r="C29" i="11" a="1"/>
  <c r="C29" i="11" s="1"/>
  <c r="C45" i="11" a="1"/>
  <c r="C45" i="11" s="1"/>
  <c r="D51" i="4" a="1"/>
  <c r="D51" i="4" s="1"/>
  <c r="D47" i="4" a="1"/>
  <c r="D47" i="4" s="1"/>
  <c r="C41" i="11" a="1"/>
  <c r="C41" i="11" s="1"/>
  <c r="D80" i="4" a="1"/>
  <c r="D80" i="4" s="1"/>
  <c r="C74" i="11" a="1"/>
  <c r="C74" i="11" s="1"/>
  <c r="D20" i="4" a="1"/>
  <c r="D20" i="4" s="1"/>
  <c r="C14" i="11" a="1"/>
  <c r="C14" i="11" s="1"/>
  <c r="D38" i="4" a="1"/>
  <c r="D38" i="4" s="1"/>
  <c r="C32" i="11" a="1"/>
  <c r="C32" i="11" s="1"/>
  <c r="D21" i="4" a="1"/>
  <c r="D21" i="4" s="1"/>
  <c r="C15" i="11" a="1"/>
  <c r="C15" i="11" s="1"/>
  <c r="D33" i="4" a="1"/>
  <c r="D33" i="4" s="1"/>
  <c r="C27" i="11" a="1"/>
  <c r="C27" i="11" s="1"/>
  <c r="D37" i="4" a="1"/>
  <c r="D37" i="4" s="1"/>
  <c r="C31" i="11" a="1"/>
  <c r="C31" i="11" s="1"/>
  <c r="D11" i="4" a="1"/>
  <c r="D11" i="4" s="1"/>
  <c r="C5" i="11" a="1"/>
  <c r="C5" i="11" s="1"/>
  <c r="C73" i="11" a="1"/>
  <c r="C73" i="11" s="1"/>
  <c r="D79" i="4" a="1"/>
  <c r="D79" i="4" s="1"/>
  <c r="C30" i="11" a="1"/>
  <c r="C30" i="11" s="1"/>
  <c r="D36" i="4" a="1"/>
  <c r="D36" i="4" s="1"/>
  <c r="D10" i="4" a="1"/>
  <c r="D10" i="4" s="1"/>
  <c r="C4" i="11" a="1"/>
  <c r="C4" i="11" s="1"/>
  <c r="C47" i="11" a="1"/>
  <c r="C47" i="11" s="1"/>
  <c r="D53" i="4" a="1"/>
  <c r="D53" i="4" s="1"/>
  <c r="C36" i="11" a="1"/>
  <c r="C36" i="11" s="1"/>
  <c r="D42" i="4" a="1"/>
  <c r="D42" i="4" s="1"/>
  <c r="D46" i="4" a="1"/>
  <c r="D46" i="4" s="1"/>
  <c r="C40" i="11" a="1"/>
  <c r="C40" i="11" s="1"/>
  <c r="D83" i="4" a="1"/>
  <c r="D83" i="4" s="1"/>
  <c r="C77" i="11" a="1"/>
  <c r="C77" i="11" s="1"/>
  <c r="D24" i="4" a="1"/>
  <c r="D24" i="4" s="1"/>
  <c r="C18" i="11" a="1"/>
  <c r="C18" i="11" s="1"/>
  <c r="D49" i="4" a="1"/>
  <c r="D49" i="4" s="1"/>
  <c r="C43" i="11" a="1"/>
  <c r="C43" i="11" s="1"/>
  <c r="D70" i="4" a="1"/>
  <c r="D70" i="4" s="1"/>
  <c r="C64" i="11" a="1"/>
  <c r="C64" i="11" s="1"/>
  <c r="C48" i="11" a="1"/>
  <c r="C48" i="11" s="1"/>
  <c r="D54" i="4" a="1"/>
  <c r="D54" i="4" s="1"/>
  <c r="D52" i="4" a="1"/>
  <c r="D52" i="4" s="1"/>
  <c r="C46" i="11" a="1"/>
  <c r="C46" i="11" s="1"/>
  <c r="D61" i="4" a="1"/>
  <c r="D61" i="4" s="1"/>
  <c r="C55" i="11" a="1"/>
  <c r="C55" i="11" s="1"/>
  <c r="D76" i="4" a="1"/>
  <c r="D76" i="4" s="1"/>
  <c r="C70" i="11" a="1"/>
  <c r="C70" i="11" s="1"/>
  <c r="D28" i="4" a="1"/>
  <c r="D28" i="4" s="1"/>
  <c r="C22" i="11" a="1"/>
  <c r="C22" i="11" s="1"/>
  <c r="D58" i="4" a="1"/>
  <c r="D58" i="4" s="1"/>
  <c r="C52" i="11" a="1"/>
  <c r="C52" i="11" s="1"/>
  <c r="C65" i="11" a="1"/>
  <c r="C65" i="11" s="1"/>
  <c r="D71" i="4" a="1"/>
  <c r="D71" i="4" s="1"/>
  <c r="C49" i="11" a="1"/>
  <c r="C49" i="11" s="1"/>
  <c r="D55" i="4" a="1"/>
  <c r="D55" i="4" s="1"/>
  <c r="D50" i="4" a="1"/>
  <c r="D50" i="4" s="1"/>
  <c r="C44" i="11" a="1"/>
  <c r="C44" i="11" s="1"/>
  <c r="C37" i="11" a="1"/>
  <c r="C37" i="11" s="1"/>
  <c r="D43" i="4" a="1"/>
  <c r="D43" i="4" s="1"/>
  <c r="D60" i="4" a="1"/>
  <c r="D60" i="4" s="1"/>
  <c r="C54" i="11" a="1"/>
  <c r="C54" i="11" s="1"/>
  <c r="D39" i="4" a="1"/>
  <c r="D39" i="4" s="1"/>
  <c r="C33" i="11" a="1"/>
  <c r="C33" i="11" s="1"/>
  <c r="D48" i="4" a="1"/>
  <c r="D48" i="4" s="1"/>
  <c r="C42" i="11" a="1"/>
  <c r="C42" i="11" s="1"/>
  <c r="C56" i="11" a="1"/>
  <c r="C56" i="11" s="1"/>
  <c r="D62" i="4" a="1"/>
  <c r="D62" i="4" s="1"/>
  <c r="D59" i="4" a="1"/>
  <c r="D59" i="4" s="1"/>
  <c r="C53" i="11" a="1"/>
  <c r="C53" i="11" s="1"/>
  <c r="D8" i="11" a="1"/>
  <c r="D8" i="11" s="1"/>
  <c r="I8" i="11"/>
  <c r="J8" i="11"/>
  <c r="C21" i="11" a="1"/>
  <c r="C21" i="11" s="1"/>
  <c r="D27" i="4" a="1"/>
  <c r="D27" i="4" s="1"/>
  <c r="D68" i="4" a="1"/>
  <c r="D68" i="4" s="1"/>
  <c r="C62" i="11" a="1"/>
  <c r="C62" i="11" s="1"/>
  <c r="C19" i="11" a="1"/>
  <c r="C19" i="11" s="1"/>
  <c r="D25" i="4" a="1"/>
  <c r="D25" i="4" s="1"/>
  <c r="C9" i="11" a="1"/>
  <c r="C9" i="11" s="1"/>
  <c r="D15" i="4" a="1"/>
  <c r="D15" i="4" s="1"/>
  <c r="C75" i="11" a="1"/>
  <c r="C75" i="11" s="1"/>
  <c r="D81" i="4" a="1"/>
  <c r="D81" i="4" s="1"/>
  <c r="D44" i="4" a="1"/>
  <c r="D44" i="4" s="1"/>
  <c r="C38" i="11" a="1"/>
  <c r="C38" i="11" s="1"/>
  <c r="D7" i="11" a="1"/>
  <c r="D7" i="11" s="1"/>
  <c r="I7" i="11"/>
  <c r="D7" i="9" s="1" a="1"/>
  <c r="D7" i="9" s="1"/>
  <c r="J7" i="11"/>
  <c r="E7" i="9" s="1" a="1"/>
  <c r="E7" i="9" s="1"/>
  <c r="C63" i="11" a="1"/>
  <c r="C63" i="11" s="1"/>
  <c r="D69" i="4" a="1"/>
  <c r="D69" i="4" s="1"/>
  <c r="D29" i="4" a="1"/>
  <c r="D29" i="4" s="1"/>
  <c r="C23" i="11" a="1"/>
  <c r="C23" i="11" s="1"/>
  <c r="D30" i="4" a="1"/>
  <c r="D30" i="4" s="1"/>
  <c r="C24" i="11" a="1"/>
  <c r="C24" i="11" s="1"/>
  <c r="D75" i="4" a="1"/>
  <c r="D75" i="4" s="1"/>
  <c r="C69" i="11" a="1"/>
  <c r="C69" i="11" s="1"/>
  <c r="C13" i="11" a="1"/>
  <c r="C13" i="11" s="1"/>
  <c r="D19" i="4" a="1"/>
  <c r="D19" i="4" s="1"/>
  <c r="C66" i="11" a="1"/>
  <c r="C66" i="11" s="1"/>
  <c r="D72" i="4" a="1"/>
  <c r="D72" i="4" s="1"/>
  <c r="D16" i="4" a="1"/>
  <c r="D16" i="4" s="1"/>
  <c r="C10" i="11" a="1"/>
  <c r="C10" i="11" s="1"/>
  <c r="D74" i="4" a="1"/>
  <c r="D74" i="4" s="1"/>
  <c r="C68" i="11" a="1"/>
  <c r="C68" i="11" s="1"/>
  <c r="D66" i="4" a="1"/>
  <c r="D66" i="4" s="1"/>
  <c r="C60" i="11" a="1"/>
  <c r="C60" i="11" s="1"/>
  <c r="C57" i="11" a="1"/>
  <c r="C57" i="11" s="1"/>
  <c r="D63" i="4" a="1"/>
  <c r="D63" i="4" s="1"/>
  <c r="C39" i="11" a="1"/>
  <c r="C39" i="11" s="1"/>
  <c r="D45" i="4" a="1"/>
  <c r="D45" i="4" s="1"/>
  <c r="C12" i="11" a="1"/>
  <c r="C12" i="11" s="1"/>
  <c r="D18" i="4" a="1"/>
  <c r="D18" i="4" s="1"/>
  <c r="D34" i="11" a="1"/>
  <c r="D34" i="11" s="1"/>
  <c r="I34" i="11"/>
  <c r="J34" i="11"/>
  <c r="D26" i="11" a="1"/>
  <c r="D26" i="11" s="1"/>
  <c r="J26" i="11"/>
  <c r="I26" i="11"/>
  <c r="C28" i="11" a="1"/>
  <c r="C28" i="11" s="1"/>
  <c r="D34" i="4" a="1"/>
  <c r="D34" i="4" s="1"/>
  <c r="D82" i="4" a="1"/>
  <c r="D82" i="4" s="1"/>
  <c r="C76" i="11" a="1"/>
  <c r="C76" i="11" s="1"/>
  <c r="C71" i="11" a="1"/>
  <c r="C71" i="11" s="1"/>
  <c r="D77" i="4" a="1"/>
  <c r="D77" i="4" s="1"/>
  <c r="C61" i="11" a="1"/>
  <c r="C61" i="11" s="1"/>
  <c r="D67" i="4" a="1"/>
  <c r="D67" i="4" s="1"/>
  <c r="D64" i="4" a="1"/>
  <c r="D64" i="4" s="1"/>
  <c r="C58" i="11" a="1"/>
  <c r="C58" i="11" s="1"/>
  <c r="C67" i="11" a="1"/>
  <c r="C67" i="11" s="1"/>
  <c r="D73" i="4" a="1"/>
  <c r="D73" i="4" s="1"/>
  <c r="D41" i="4" a="1"/>
  <c r="D41" i="4" s="1"/>
  <c r="C35" i="11" a="1"/>
  <c r="C35" i="11" s="1"/>
  <c r="D23" i="4" a="1"/>
  <c r="D23" i="4" s="1"/>
  <c r="C17" i="11" a="1"/>
  <c r="C17" i="11" s="1"/>
  <c r="D31" i="4" a="1"/>
  <c r="D31" i="4" s="1"/>
  <c r="C25" i="11" a="1"/>
  <c r="C25" i="11" s="1"/>
  <c r="D57" i="4" a="1"/>
  <c r="D57" i="4" s="1"/>
  <c r="C51" i="11" a="1"/>
  <c r="C51" i="11" s="1"/>
  <c r="D65" i="4" a="1"/>
  <c r="D65" i="4" s="1"/>
  <c r="C59" i="11" a="1"/>
  <c r="C59" i="11" s="1"/>
  <c r="D20" i="11" a="1"/>
  <c r="D20" i="11" s="1"/>
  <c r="J20" i="11"/>
  <c r="I20" i="11"/>
  <c r="D12" i="4" a="1"/>
  <c r="D12" i="4" s="1"/>
  <c r="C6" i="11" a="1"/>
  <c r="C6" i="11" s="1"/>
  <c r="G24" i="9" a="1"/>
  <c r="G24" i="9" s="1"/>
  <c r="G43" i="9" a="1"/>
  <c r="G43" i="9" s="1"/>
  <c r="G55" i="9" a="1"/>
  <c r="G55" i="9" s="1"/>
  <c r="F14" i="9" a="1"/>
  <c r="F14" i="9" s="1"/>
  <c r="G52" i="9" a="1"/>
  <c r="G52" i="9" s="1"/>
  <c r="F63" i="9" a="1"/>
  <c r="F63" i="9" s="1"/>
  <c r="G26" i="9" a="1"/>
  <c r="G26" i="9" s="1"/>
  <c r="G10" i="9" a="1"/>
  <c r="G10" i="9" s="1"/>
  <c r="G57" i="9" a="1"/>
  <c r="G57" i="9" s="1"/>
  <c r="G60" i="9" a="1"/>
  <c r="G60" i="9" s="1"/>
  <c r="F65" i="9" a="1"/>
  <c r="F65" i="9" s="1"/>
  <c r="G28" i="9" a="1"/>
  <c r="G28" i="9" s="1"/>
  <c r="G13" i="9" a="1"/>
  <c r="G13" i="9" s="1"/>
  <c r="F52" i="9" a="1"/>
  <c r="F52" i="9" s="1"/>
  <c r="G40" i="9" a="1"/>
  <c r="G40" i="9" s="1"/>
  <c r="G9" i="9" a="1"/>
  <c r="G9" i="9" s="1"/>
  <c r="F67" i="9" a="1"/>
  <c r="F67" i="9" s="1"/>
  <c r="G70" i="9" a="1"/>
  <c r="G70" i="9" s="1"/>
  <c r="G67" i="9" a="1"/>
  <c r="G67" i="9" s="1"/>
  <c r="G33" i="9" a="1"/>
  <c r="G33" i="9" s="1"/>
  <c r="F28" i="9" a="1"/>
  <c r="F28" i="9" s="1"/>
  <c r="G31" i="9" a="1"/>
  <c r="G31" i="9" s="1"/>
  <c r="G77" i="9" a="1"/>
  <c r="G77" i="9" s="1"/>
  <c r="F53" i="9" a="1"/>
  <c r="F53" i="9" s="1"/>
  <c r="G53" i="9" a="1"/>
  <c r="G53" i="9" s="1"/>
  <c r="G46" i="9" a="1"/>
  <c r="G46" i="9" s="1"/>
  <c r="F21" i="9" a="1"/>
  <c r="F21" i="9" s="1"/>
  <c r="G75" i="9" a="1"/>
  <c r="G75" i="9" s="1"/>
  <c r="G27" i="9" a="1"/>
  <c r="G27" i="9" s="1"/>
  <c r="G11" i="9" a="1"/>
  <c r="G11" i="9" s="1"/>
  <c r="G63" i="9" a="1"/>
  <c r="G63" i="9" s="1"/>
  <c r="F48" i="9" a="1"/>
  <c r="F48" i="9" s="1"/>
  <c r="F57" i="9" a="1"/>
  <c r="F57" i="9" s="1"/>
  <c r="F45" i="9" a="1"/>
  <c r="F45" i="9" s="1"/>
  <c r="F69" i="9" a="1"/>
  <c r="F69" i="9" s="1"/>
  <c r="F33" i="9" a="1"/>
  <c r="F33" i="9" s="1"/>
  <c r="G21" i="9" a="1"/>
  <c r="G21" i="9" s="1"/>
  <c r="G41" i="9" a="1"/>
  <c r="G41" i="9" s="1"/>
  <c r="G71" i="9" a="1"/>
  <c r="G71" i="9" s="1"/>
  <c r="F15" i="9" a="1"/>
  <c r="F15" i="9" s="1"/>
  <c r="G35" i="9" a="1"/>
  <c r="G35" i="9" s="1"/>
  <c r="F38" i="9" a="1"/>
  <c r="F38" i="9" s="1"/>
  <c r="F31" i="9" a="1"/>
  <c r="F31" i="9" s="1"/>
  <c r="G50" i="9" a="1"/>
  <c r="G50" i="9" s="1"/>
  <c r="G23" i="9" a="1"/>
  <c r="G23" i="9" s="1"/>
  <c r="G58" i="9" a="1"/>
  <c r="G58" i="9" s="1"/>
  <c r="G49" i="9" a="1"/>
  <c r="G49" i="9" s="1"/>
  <c r="G12" i="9" a="1"/>
  <c r="G12" i="9" s="1"/>
  <c r="F60" i="9" a="1"/>
  <c r="F60" i="9" s="1"/>
  <c r="G45" i="9" a="1"/>
  <c r="G45" i="9" s="1"/>
  <c r="G47" i="9" a="1"/>
  <c r="G47" i="9" s="1"/>
  <c r="G17" i="9" a="1"/>
  <c r="G17" i="9" s="1"/>
  <c r="G16" i="9" a="1"/>
  <c r="G16" i="9" s="1"/>
  <c r="G39" i="9" a="1"/>
  <c r="G39" i="9" s="1"/>
  <c r="F64" i="9" a="1"/>
  <c r="F64" i="9" s="1"/>
  <c r="F50" i="9" a="1"/>
  <c r="F50" i="9" s="1"/>
  <c r="F30" i="9" a="1"/>
  <c r="F30" i="9" s="1"/>
  <c r="G25" i="9" a="1"/>
  <c r="G25" i="9" s="1"/>
  <c r="F24" i="9" a="1"/>
  <c r="F24" i="9" s="1"/>
  <c r="F74" i="9" a="1"/>
  <c r="F74" i="9" s="1"/>
  <c r="F46" i="9" a="1"/>
  <c r="F46" i="9" s="1"/>
  <c r="F37" i="9" a="1"/>
  <c r="F37" i="9" s="1"/>
  <c r="F55" i="9" a="1"/>
  <c r="F55" i="9" s="1"/>
  <c r="G30" i="9" a="1"/>
  <c r="G30" i="9" s="1"/>
  <c r="F11" i="9" a="1"/>
  <c r="F11" i="9" s="1"/>
  <c r="G59" i="9" a="1"/>
  <c r="G59" i="9" s="1"/>
  <c r="F19" i="9" a="1"/>
  <c r="F19" i="9" s="1"/>
  <c r="G73" i="9" a="1"/>
  <c r="G73" i="9" s="1"/>
  <c r="G69" i="9" a="1"/>
  <c r="G69" i="9" s="1"/>
  <c r="G72" i="9" a="1"/>
  <c r="G72" i="9" s="1"/>
  <c r="G22" i="9" a="1"/>
  <c r="G22" i="9" s="1"/>
  <c r="G38" i="9" a="1"/>
  <c r="G38" i="9" s="1"/>
  <c r="F73" i="9" a="1"/>
  <c r="F73" i="9" s="1"/>
  <c r="G48" i="9" a="1"/>
  <c r="G48" i="9" s="1"/>
  <c r="G74" i="9" a="1"/>
  <c r="G74" i="9" s="1"/>
  <c r="F61" i="9" a="1"/>
  <c r="F61" i="9" s="1"/>
  <c r="G20" i="9" a="1"/>
  <c r="G20" i="9" s="1"/>
  <c r="F66" i="9" a="1"/>
  <c r="F66" i="9" s="1"/>
  <c r="F47" i="9" a="1"/>
  <c r="F47" i="9" s="1"/>
  <c r="G51" i="9" a="1"/>
  <c r="G51" i="9" s="1"/>
  <c r="G19" i="9" a="1"/>
  <c r="G19" i="9" s="1"/>
  <c r="G18" i="9" a="1"/>
  <c r="G18" i="9" s="1"/>
  <c r="F51" i="9" a="1"/>
  <c r="F51" i="9" s="1"/>
  <c r="G36" i="9" a="1"/>
  <c r="G36" i="9" s="1"/>
  <c r="G68" i="9" a="1"/>
  <c r="G68" i="9" s="1"/>
  <c r="G32" i="9" a="1"/>
  <c r="G32" i="9" s="1"/>
  <c r="F71" i="9" a="1"/>
  <c r="F71" i="9" s="1"/>
  <c r="F16" i="9" a="1"/>
  <c r="F16" i="9" s="1"/>
  <c r="G66" i="9" a="1"/>
  <c r="G66" i="9" s="1"/>
  <c r="F58" i="9" a="1"/>
  <c r="F58" i="9" s="1"/>
  <c r="F34" i="9" a="1"/>
  <c r="F34" i="9" s="1"/>
  <c r="F68" i="9" a="1"/>
  <c r="F68" i="9" s="1"/>
  <c r="F27" i="9" a="1"/>
  <c r="F27" i="9" s="1"/>
  <c r="G29" i="9" a="1"/>
  <c r="G29" i="9" s="1"/>
  <c r="G54" i="9" a="1"/>
  <c r="G54" i="9" s="1"/>
  <c r="F42" i="9" a="1"/>
  <c r="F42" i="9" s="1"/>
  <c r="G62" i="9" a="1"/>
  <c r="G62" i="9" s="1"/>
  <c r="G15" i="9" a="1"/>
  <c r="G15" i="9" s="1"/>
  <c r="F44" i="9" a="1"/>
  <c r="F44" i="9" s="1"/>
  <c r="G37" i="9" a="1"/>
  <c r="G37" i="9" s="1"/>
  <c r="F35" i="9" a="1"/>
  <c r="F35" i="9" s="1"/>
  <c r="G14" i="9" a="1"/>
  <c r="G14" i="9" s="1"/>
  <c r="G44" i="9" a="1"/>
  <c r="G44" i="9" s="1"/>
  <c r="G42" i="9" a="1"/>
  <c r="G42" i="9" s="1"/>
  <c r="G61" i="9" a="1"/>
  <c r="G61" i="9" s="1"/>
  <c r="F70" i="9" a="1"/>
  <c r="F70" i="9" s="1"/>
  <c r="F32" i="9" a="1"/>
  <c r="F32" i="9" s="1"/>
  <c r="G65" i="9" a="1"/>
  <c r="G65" i="9" s="1"/>
  <c r="G64" i="9" a="1"/>
  <c r="G64" i="9" s="1"/>
  <c r="G34" i="9" a="1"/>
  <c r="G34" i="9" s="1"/>
  <c r="F40" i="9" a="1"/>
  <c r="F40" i="9" s="1"/>
  <c r="F59" i="9" a="1"/>
  <c r="F59" i="9" s="1"/>
  <c r="G56" i="9" a="1"/>
  <c r="G56" i="9" s="1"/>
  <c r="G76" i="9" a="1"/>
  <c r="G76" i="9" s="1"/>
  <c r="F17" i="9" a="1"/>
  <c r="F17" i="9" s="1"/>
  <c r="F12" i="9" a="1"/>
  <c r="F12" i="9" s="1"/>
  <c r="F4" i="6" a="1"/>
  <c r="F4" i="6" s="1"/>
  <c r="F4" i="9" a="1"/>
  <c r="F4" i="9" s="1"/>
  <c r="F25" i="9" a="1"/>
  <c r="F25" i="9" s="1"/>
  <c r="F17" i="6" a="1"/>
  <c r="F17" i="6" s="1"/>
  <c r="F20" i="9" a="1"/>
  <c r="F20" i="9" s="1"/>
  <c r="F12" i="6" a="1"/>
  <c r="F12" i="6" s="1"/>
  <c r="F60" i="6" a="1"/>
  <c r="F60" i="6" s="1"/>
  <c r="F58" i="6" a="1"/>
  <c r="F58" i="6" s="1"/>
  <c r="F61" i="6" a="1"/>
  <c r="F61" i="6" s="1"/>
  <c r="F56" i="9" a="1"/>
  <c r="F56" i="9" s="1"/>
  <c r="F69" i="6" a="1"/>
  <c r="F69" i="6" s="1"/>
  <c r="F62" i="9" a="1"/>
  <c r="F62" i="9" s="1"/>
  <c r="Y17" i="4"/>
  <c r="AA17" i="4" s="1"/>
  <c r="AI17" i="4"/>
  <c r="AK17" i="4" s="1"/>
  <c r="R17" i="4"/>
  <c r="T17" i="4" s="1"/>
  <c r="N17" i="4"/>
  <c r="U17" i="4"/>
  <c r="W17" i="4" s="1"/>
  <c r="X17" i="4"/>
  <c r="AB17" i="4"/>
  <c r="AD17" i="4" s="1"/>
  <c r="F47" i="6" a="1"/>
  <c r="F47" i="6" s="1"/>
  <c r="F14" i="6" a="1"/>
  <c r="F14" i="6" s="1"/>
  <c r="F23" i="9" a="1"/>
  <c r="F23" i="9" s="1"/>
  <c r="F26" i="9" a="1"/>
  <c r="F26" i="9" s="1"/>
  <c r="F77" i="9" a="1"/>
  <c r="F77" i="9" s="1"/>
  <c r="F49" i="9" a="1"/>
  <c r="F49" i="9" s="1"/>
  <c r="F15" i="6" a="1"/>
  <c r="F15" i="6" s="1"/>
  <c r="F39" i="9" a="1"/>
  <c r="F39" i="9" s="1"/>
  <c r="C53" i="6" a="1"/>
  <c r="C53" i="6" s="1"/>
  <c r="D53" i="6" s="1" a="1"/>
  <c r="D53" i="6" s="1"/>
  <c r="C57" i="6" a="1"/>
  <c r="C57" i="6" s="1"/>
  <c r="D57" i="6" s="1" a="1"/>
  <c r="D57" i="6" s="1"/>
  <c r="C10" i="6" a="1"/>
  <c r="C10" i="6" s="1"/>
  <c r="D10" i="6" s="1" a="1"/>
  <c r="D10" i="6" s="1"/>
  <c r="C33" i="6" a="1"/>
  <c r="C33" i="6" s="1"/>
  <c r="D33" i="6" s="1" a="1"/>
  <c r="D33" i="6" s="1"/>
  <c r="C28" i="6" a="1"/>
  <c r="C28" i="6" s="1"/>
  <c r="D28" i="6" s="1" a="1"/>
  <c r="D28" i="6" s="1"/>
  <c r="C13" i="6" a="1"/>
  <c r="C13" i="6" s="1"/>
  <c r="D13" i="6" s="1" a="1"/>
  <c r="D13" i="6" s="1"/>
  <c r="C67" i="6" a="1"/>
  <c r="C67" i="6" s="1"/>
  <c r="D67" i="6" s="1" a="1"/>
  <c r="D67" i="6" s="1"/>
  <c r="C73" i="6" a="1"/>
  <c r="C73" i="6" s="1"/>
  <c r="D73" i="6" s="1" a="1"/>
  <c r="D73" i="6" s="1"/>
  <c r="C23" i="6" a="1"/>
  <c r="C23" i="6" s="1"/>
  <c r="D23" i="6" s="1" a="1"/>
  <c r="D23" i="6" s="1"/>
  <c r="C25" i="6" a="1"/>
  <c r="C25" i="6" s="1"/>
  <c r="D25" i="6" s="1" a="1"/>
  <c r="D25" i="6" s="1"/>
  <c r="C66" i="6" a="1"/>
  <c r="C66" i="6" s="1"/>
  <c r="D66" i="6" s="1" a="1"/>
  <c r="D66" i="6" s="1"/>
  <c r="C61" i="6" a="1"/>
  <c r="C61" i="6" s="1"/>
  <c r="D61" i="6" s="1" a="1"/>
  <c r="D61" i="6" s="1"/>
  <c r="C40" i="6" a="1"/>
  <c r="C40" i="6" s="1"/>
  <c r="D40" i="6" s="1" a="1"/>
  <c r="D40" i="6" s="1"/>
  <c r="C32" i="6" a="1"/>
  <c r="C32" i="6" s="1"/>
  <c r="D32" i="6" s="1" a="1"/>
  <c r="D32" i="6" s="1"/>
  <c r="C45" i="6" a="1"/>
  <c r="C45" i="6" s="1"/>
  <c r="D45" i="6" s="1" a="1"/>
  <c r="D45" i="6" s="1"/>
  <c r="C14" i="6" a="1"/>
  <c r="C14" i="6" s="1"/>
  <c r="D14" i="6" s="1" a="1"/>
  <c r="D14" i="6" s="1"/>
  <c r="C17" i="6" a="1"/>
  <c r="C17" i="6" s="1"/>
  <c r="D17" i="6" s="1" a="1"/>
  <c r="D17" i="6" s="1"/>
  <c r="C8" i="6" a="1"/>
  <c r="C8" i="6" s="1"/>
  <c r="D8" i="6" s="1" a="1"/>
  <c r="D8" i="6" s="1"/>
  <c r="C19" i="6" a="1"/>
  <c r="C19" i="6" s="1"/>
  <c r="D19" i="6" s="1" a="1"/>
  <c r="D19" i="6" s="1"/>
  <c r="C30" i="6" a="1"/>
  <c r="C30" i="6" s="1"/>
  <c r="D30" i="6" s="1" a="1"/>
  <c r="D30" i="6" s="1"/>
  <c r="C76" i="6" a="1"/>
  <c r="C76" i="6" s="1"/>
  <c r="D76" i="6" s="1" a="1"/>
  <c r="D76" i="6" s="1"/>
  <c r="C12" i="6" a="1"/>
  <c r="C12" i="6" s="1"/>
  <c r="D12" i="6" s="1" a="1"/>
  <c r="D12" i="6" s="1"/>
  <c r="C4" i="6" a="1"/>
  <c r="C4" i="6" s="1"/>
  <c r="D4" i="6" s="1" a="1"/>
  <c r="D4" i="6" s="1"/>
  <c r="C41" i="6" a="1"/>
  <c r="C41" i="6" s="1"/>
  <c r="D41" i="6" s="1" a="1"/>
  <c r="D41" i="6" s="1"/>
  <c r="C21" i="6" a="1"/>
  <c r="C21" i="6" s="1"/>
  <c r="D21" i="6" s="1" a="1"/>
  <c r="D21" i="6" s="1"/>
  <c r="C6" i="6" a="1"/>
  <c r="C6" i="6" s="1"/>
  <c r="D6" i="6" s="1" a="1"/>
  <c r="D6" i="6" s="1"/>
  <c r="C63" i="6" a="1"/>
  <c r="C63" i="6" s="1"/>
  <c r="D63" i="6" s="1" a="1"/>
  <c r="D63" i="6" s="1"/>
  <c r="C47" i="6" a="1"/>
  <c r="C47" i="6" s="1"/>
  <c r="D47" i="6" s="1" a="1"/>
  <c r="D47" i="6" s="1"/>
  <c r="C72" i="6" a="1"/>
  <c r="C72" i="6" s="1"/>
  <c r="D72" i="6" s="1" a="1"/>
  <c r="D72" i="6" s="1"/>
  <c r="C68" i="6" a="1"/>
  <c r="C68" i="6" s="1"/>
  <c r="D68" i="6" s="1" a="1"/>
  <c r="D68" i="6" s="1"/>
  <c r="C69" i="6" a="1"/>
  <c r="C69" i="6" s="1"/>
  <c r="D69" i="6" s="1" a="1"/>
  <c r="D69" i="6" s="1"/>
  <c r="C65" i="6" a="1"/>
  <c r="C65" i="6" s="1"/>
  <c r="D65" i="6" s="1" a="1"/>
  <c r="D65" i="6" s="1"/>
  <c r="C55" i="6" a="1"/>
  <c r="C55" i="6" s="1"/>
  <c r="D55" i="6" s="1" a="1"/>
  <c r="D55" i="6" s="1"/>
  <c r="C20" i="6" a="1"/>
  <c r="C20" i="6" s="1"/>
  <c r="D20" i="6" s="1" a="1"/>
  <c r="D20" i="6" s="1"/>
  <c r="C48" i="6" a="1"/>
  <c r="C48" i="6" s="1"/>
  <c r="D48" i="6" s="1" a="1"/>
  <c r="D48" i="6" s="1"/>
  <c r="C31" i="6" a="1"/>
  <c r="C31" i="6" s="1"/>
  <c r="D31" i="6" s="1" a="1"/>
  <c r="D31" i="6" s="1"/>
  <c r="C50" i="6" a="1"/>
  <c r="C50" i="6" s="1"/>
  <c r="D50" i="6" s="1" a="1"/>
  <c r="D50" i="6" s="1"/>
  <c r="C27" i="6" a="1"/>
  <c r="C27" i="6" s="1"/>
  <c r="D27" i="6" s="1" a="1"/>
  <c r="D27" i="6" s="1"/>
  <c r="C77" i="6" a="1"/>
  <c r="C77" i="6" s="1"/>
  <c r="D77" i="6" s="1" a="1"/>
  <c r="D77" i="6" s="1"/>
  <c r="C22" i="6" a="1"/>
  <c r="C22" i="6" s="1"/>
  <c r="D22" i="6" s="1" a="1"/>
  <c r="D22" i="6" s="1"/>
  <c r="C16" i="6" a="1"/>
  <c r="C16" i="6" s="1"/>
  <c r="D16" i="6" s="1" a="1"/>
  <c r="D16" i="6" s="1"/>
  <c r="C56" i="6" a="1"/>
  <c r="C56" i="6" s="1"/>
  <c r="D56" i="6" s="1" a="1"/>
  <c r="D56" i="6" s="1"/>
  <c r="C71" i="6" a="1"/>
  <c r="C71" i="6" s="1"/>
  <c r="D71" i="6" s="1" a="1"/>
  <c r="D71" i="6" s="1"/>
  <c r="C64" i="6" a="1"/>
  <c r="C64" i="6" s="1"/>
  <c r="D64" i="6" s="1" a="1"/>
  <c r="D64" i="6" s="1"/>
  <c r="C7" i="6" a="1"/>
  <c r="C7" i="6" s="1"/>
  <c r="D7" i="6" s="1" a="1"/>
  <c r="D7" i="6" s="1"/>
  <c r="C74" i="6" a="1"/>
  <c r="C74" i="6" s="1"/>
  <c r="D74" i="6" s="1" a="1"/>
  <c r="D74" i="6" s="1"/>
  <c r="C51" i="6" a="1"/>
  <c r="C51" i="6" s="1"/>
  <c r="D51" i="6" s="1" a="1"/>
  <c r="D51" i="6" s="1"/>
  <c r="C59" i="6" a="1"/>
  <c r="C59" i="6" s="1"/>
  <c r="D59" i="6" s="1" a="1"/>
  <c r="D59" i="6" s="1"/>
  <c r="C18" i="6" a="1"/>
  <c r="C18" i="6" s="1"/>
  <c r="D18" i="6" s="1" a="1"/>
  <c r="D18" i="6" s="1"/>
  <c r="C38" i="6" a="1"/>
  <c r="C38" i="6" s="1"/>
  <c r="D38" i="6" s="1" a="1"/>
  <c r="D38" i="6" s="1"/>
  <c r="C15" i="6" a="1"/>
  <c r="C15" i="6" s="1"/>
  <c r="D15" i="6" s="1" a="1"/>
  <c r="D15" i="6" s="1"/>
  <c r="C62" i="6" a="1"/>
  <c r="C62" i="6" s="1"/>
  <c r="D62" i="6" s="1" a="1"/>
  <c r="D62" i="6" s="1"/>
  <c r="C36" i="6" a="1"/>
  <c r="C36" i="6" s="1"/>
  <c r="D36" i="6" s="1" a="1"/>
  <c r="D36" i="6" s="1"/>
  <c r="C34" i="6" a="1"/>
  <c r="C34" i="6" s="1"/>
  <c r="D34" i="6" s="1" a="1"/>
  <c r="D34" i="6" s="1"/>
  <c r="C60" i="6" a="1"/>
  <c r="C60" i="6" s="1"/>
  <c r="D60" i="6" s="1" a="1"/>
  <c r="D60" i="6" s="1"/>
  <c r="C54" i="6" a="1"/>
  <c r="C54" i="6" s="1"/>
  <c r="D54" i="6" s="1" a="1"/>
  <c r="D54" i="6" s="1"/>
  <c r="C52" i="6" a="1"/>
  <c r="C52" i="6" s="1"/>
  <c r="D52" i="6" s="1" a="1"/>
  <c r="D52" i="6" s="1"/>
  <c r="C24" i="6" a="1"/>
  <c r="C24" i="6" s="1"/>
  <c r="D24" i="6" s="1" a="1"/>
  <c r="D24" i="6" s="1"/>
  <c r="C42" i="6" a="1"/>
  <c r="C42" i="6" s="1"/>
  <c r="D42" i="6" s="1" a="1"/>
  <c r="D42" i="6" s="1"/>
  <c r="C5" i="6" a="1"/>
  <c r="C5" i="6" s="1"/>
  <c r="D5" i="6" s="1" a="1"/>
  <c r="D5" i="6" s="1"/>
  <c r="C43" i="6" a="1"/>
  <c r="C43" i="6" s="1"/>
  <c r="D43" i="6" s="1" a="1"/>
  <c r="D43" i="6" s="1"/>
  <c r="C39" i="6" a="1"/>
  <c r="C39" i="6" s="1"/>
  <c r="D39" i="6" s="1" a="1"/>
  <c r="D39" i="6" s="1"/>
  <c r="C44" i="6" a="1"/>
  <c r="C44" i="6" s="1"/>
  <c r="D44" i="6" s="1" a="1"/>
  <c r="D44" i="6" s="1"/>
  <c r="C75" i="6" a="1"/>
  <c r="C75" i="6" s="1"/>
  <c r="D75" i="6" s="1" a="1"/>
  <c r="D75" i="6" s="1"/>
  <c r="C70" i="6" a="1"/>
  <c r="C70" i="6" s="1"/>
  <c r="D70" i="6" s="1" a="1"/>
  <c r="D70" i="6" s="1"/>
  <c r="C9" i="6" a="1"/>
  <c r="C9" i="6" s="1"/>
  <c r="D9" i="6" s="1" a="1"/>
  <c r="D9" i="6" s="1"/>
  <c r="C49" i="6" a="1"/>
  <c r="C49" i="6" s="1"/>
  <c r="D49" i="6" s="1" a="1"/>
  <c r="D49" i="6" s="1"/>
  <c r="C46" i="6" a="1"/>
  <c r="C46" i="6" s="1"/>
  <c r="D46" i="6" s="1" a="1"/>
  <c r="D46" i="6" s="1"/>
  <c r="C58" i="6" a="1"/>
  <c r="C58" i="6" s="1"/>
  <c r="D58" i="6" s="1" a="1"/>
  <c r="D58" i="6" s="1"/>
  <c r="C29" i="6" a="1"/>
  <c r="C29" i="6" s="1"/>
  <c r="D29" i="6" s="1" a="1"/>
  <c r="D29" i="6" s="1"/>
  <c r="C26" i="6" a="1"/>
  <c r="C26" i="6" s="1"/>
  <c r="D26" i="6" s="1" a="1"/>
  <c r="D26" i="6" s="1"/>
  <c r="C35" i="6" a="1"/>
  <c r="C35" i="6" s="1"/>
  <c r="D35" i="6" s="1" a="1"/>
  <c r="D35" i="6" s="1"/>
  <c r="C37" i="6" a="1"/>
  <c r="C37" i="6" s="1"/>
  <c r="D37" i="6" s="1" a="1"/>
  <c r="D37" i="6" s="1"/>
  <c r="F76" i="9" a="1"/>
  <c r="F76" i="9" s="1"/>
  <c r="F76" i="6" a="1"/>
  <c r="F76" i="6" s="1"/>
  <c r="F29" i="9" a="1"/>
  <c r="F29" i="9" s="1"/>
  <c r="F29" i="6" a="1"/>
  <c r="F29" i="6" s="1"/>
  <c r="F13" i="6" a="1"/>
  <c r="F13" i="6" s="1"/>
  <c r="F13" i="9" a="1"/>
  <c r="F13" i="9" s="1"/>
  <c r="F18" i="9" a="1"/>
  <c r="F18" i="9" s="1"/>
  <c r="F18" i="6" a="1"/>
  <c r="F18" i="6" s="1"/>
  <c r="F6" i="6" a="1"/>
  <c r="F6" i="6" s="1"/>
  <c r="F6" i="9" a="1"/>
  <c r="F6" i="9" s="1"/>
  <c r="F75" i="9" a="1"/>
  <c r="F75" i="9" s="1"/>
  <c r="F75" i="6" a="1"/>
  <c r="F75" i="6" s="1"/>
  <c r="F54" i="6" a="1"/>
  <c r="F54" i="6" s="1"/>
  <c r="F54" i="9" a="1"/>
  <c r="F54" i="9" s="1"/>
  <c r="F31" i="6" a="1"/>
  <c r="F31" i="6" s="1"/>
  <c r="F36" i="9" a="1"/>
  <c r="F36" i="9" s="1"/>
  <c r="F36" i="6" a="1"/>
  <c r="F36" i="6" s="1"/>
  <c r="F9" i="6" a="1"/>
  <c r="F9" i="6" s="1"/>
  <c r="F9" i="9" a="1"/>
  <c r="F9" i="9" s="1"/>
  <c r="F10" i="9" a="1"/>
  <c r="F10" i="9" s="1"/>
  <c r="F10" i="6" a="1"/>
  <c r="F10" i="6" s="1"/>
  <c r="F41" i="9" a="1"/>
  <c r="F41" i="9" s="1"/>
  <c r="F41" i="6" a="1"/>
  <c r="F41" i="6" s="1"/>
  <c r="F7" i="6" a="1"/>
  <c r="F7" i="6" s="1"/>
  <c r="F22" i="6" a="1"/>
  <c r="F22" i="6" s="1"/>
  <c r="F22" i="9" a="1"/>
  <c r="F22" i="9" s="1"/>
  <c r="F43" i="9" a="1"/>
  <c r="F43" i="9" s="1"/>
  <c r="F43" i="6" a="1"/>
  <c r="F43" i="6" s="1"/>
  <c r="I16" i="11" l="1"/>
  <c r="J16" i="11"/>
  <c r="I50" i="11"/>
  <c r="D50" i="11" a="1"/>
  <c r="D50" i="11" s="1"/>
  <c r="D72" i="11" a="1"/>
  <c r="D72" i="11" s="1"/>
  <c r="C11" i="9" a="1"/>
  <c r="C11" i="9" s="1"/>
  <c r="O11" i="9" s="1" a="1"/>
  <c r="O11" i="9" s="1"/>
  <c r="R11" i="9" s="1" a="1"/>
  <c r="R11" i="9" s="1"/>
  <c r="U11" i="9" s="1"/>
  <c r="V11" i="9" s="1" a="1"/>
  <c r="V11" i="9" s="1"/>
  <c r="I72" i="11"/>
  <c r="I3" i="11"/>
  <c r="D3" i="9" s="1" a="1"/>
  <c r="D3" i="9" s="1"/>
  <c r="J3" i="11"/>
  <c r="E3" i="9" s="1" a="1"/>
  <c r="E3" i="9" s="1"/>
  <c r="D63" i="11" a="1"/>
  <c r="D63" i="11" s="1"/>
  <c r="I63" i="11"/>
  <c r="J63" i="11"/>
  <c r="E63" i="9" s="1" a="1"/>
  <c r="E63" i="9" s="1"/>
  <c r="D6" i="11" a="1"/>
  <c r="D6" i="11" s="1"/>
  <c r="J6" i="11"/>
  <c r="E6" i="9" s="1" a="1"/>
  <c r="E6" i="9" s="1"/>
  <c r="I6" i="11"/>
  <c r="D6" i="9" s="1" a="1"/>
  <c r="D6" i="9" s="1"/>
  <c r="D33" i="11" a="1"/>
  <c r="D33" i="11" s="1"/>
  <c r="J33" i="11"/>
  <c r="E33" i="9" s="1" a="1"/>
  <c r="E33" i="9" s="1"/>
  <c r="I33" i="11"/>
  <c r="D33" i="9" s="1" a="1"/>
  <c r="D33" i="9" s="1"/>
  <c r="D65" i="11" a="1"/>
  <c r="D65" i="11" s="1"/>
  <c r="J65" i="11"/>
  <c r="E65" i="9" s="1" a="1"/>
  <c r="E65" i="9" s="1"/>
  <c r="I65" i="11"/>
  <c r="D65" i="9" s="1" a="1"/>
  <c r="D65" i="9" s="1"/>
  <c r="D46" i="11" a="1"/>
  <c r="D46" i="11" s="1"/>
  <c r="I46" i="11"/>
  <c r="D46" i="9" s="1" a="1"/>
  <c r="D46" i="9" s="1"/>
  <c r="J46" i="11"/>
  <c r="E46" i="9" s="1" a="1"/>
  <c r="E46" i="9" s="1"/>
  <c r="D40" i="11" a="1"/>
  <c r="D40" i="11" s="1"/>
  <c r="J40" i="11"/>
  <c r="E40" i="9" s="1" a="1"/>
  <c r="E40" i="9" s="1"/>
  <c r="I40" i="11"/>
  <c r="D40" i="9" s="1" a="1"/>
  <c r="D40" i="9" s="1"/>
  <c r="D5" i="11" a="1"/>
  <c r="D5" i="11" s="1"/>
  <c r="J5" i="11"/>
  <c r="E5" i="9" s="1" a="1"/>
  <c r="E5" i="9" s="1"/>
  <c r="I5" i="11"/>
  <c r="D5" i="9" s="1" a="1"/>
  <c r="D5" i="9" s="1"/>
  <c r="D74" i="11" a="1"/>
  <c r="D74" i="11" s="1"/>
  <c r="J74" i="11"/>
  <c r="E74" i="9" s="1" a="1"/>
  <c r="E74" i="9" s="1"/>
  <c r="I74" i="11"/>
  <c r="D74" i="9" s="1" a="1"/>
  <c r="D74" i="9" s="1"/>
  <c r="D35" i="11" a="1"/>
  <c r="D35" i="11" s="1"/>
  <c r="I35" i="11"/>
  <c r="D35" i="9" s="1" a="1"/>
  <c r="D35" i="9" s="1"/>
  <c r="J35" i="11"/>
  <c r="E35" i="9" s="1" a="1"/>
  <c r="E35" i="9" s="1"/>
  <c r="D71" i="11" a="1"/>
  <c r="D71" i="11" s="1"/>
  <c r="I71" i="11"/>
  <c r="D71" i="9" s="1" a="1"/>
  <c r="D71" i="9" s="1"/>
  <c r="J71" i="11"/>
  <c r="E71" i="9" s="1" a="1"/>
  <c r="E71" i="9" s="1"/>
  <c r="D12" i="11" a="1"/>
  <c r="D12" i="11" s="1"/>
  <c r="I12" i="11"/>
  <c r="D12" i="9" s="1" a="1"/>
  <c r="D12" i="9" s="1"/>
  <c r="J12" i="11"/>
  <c r="E12" i="9" s="1" a="1"/>
  <c r="E12" i="9" s="1"/>
  <c r="D66" i="11" a="1"/>
  <c r="D66" i="11" s="1"/>
  <c r="J66" i="11"/>
  <c r="E66" i="9" s="1" a="1"/>
  <c r="E66" i="9" s="1"/>
  <c r="I66" i="11"/>
  <c r="D66" i="9" s="1" a="1"/>
  <c r="D66" i="9" s="1"/>
  <c r="D52" i="11" a="1"/>
  <c r="D52" i="11" s="1"/>
  <c r="I52" i="11"/>
  <c r="D52" i="9" s="1" a="1"/>
  <c r="D52" i="9" s="1"/>
  <c r="J52" i="11"/>
  <c r="E52" i="9" s="1" a="1"/>
  <c r="E52" i="9" s="1"/>
  <c r="D76" i="11" a="1"/>
  <c r="D76" i="11" s="1"/>
  <c r="I76" i="11"/>
  <c r="D76" i="9" s="1" a="1"/>
  <c r="D76" i="9" s="1"/>
  <c r="J76" i="11"/>
  <c r="E76" i="9" s="1" a="1"/>
  <c r="E76" i="9" s="1"/>
  <c r="D21" i="11" a="1"/>
  <c r="D21" i="11" s="1"/>
  <c r="J21" i="11"/>
  <c r="E21" i="9" s="1" a="1"/>
  <c r="E21" i="9" s="1"/>
  <c r="I21" i="11"/>
  <c r="D21" i="9" s="1" a="1"/>
  <c r="D21" i="9" s="1"/>
  <c r="D54" i="11" a="1"/>
  <c r="D54" i="11" s="1"/>
  <c r="I54" i="11"/>
  <c r="D54" i="9" s="1" a="1"/>
  <c r="D54" i="9" s="1"/>
  <c r="J54" i="11"/>
  <c r="E54" i="9" s="1" a="1"/>
  <c r="E54" i="9" s="1"/>
  <c r="D31" i="11" a="1"/>
  <c r="D31" i="11" s="1"/>
  <c r="J31" i="11"/>
  <c r="E31" i="9" s="1" a="1"/>
  <c r="E31" i="9" s="1"/>
  <c r="I31" i="11"/>
  <c r="D31" i="9" s="1" a="1"/>
  <c r="D31" i="9" s="1"/>
  <c r="D41" i="11" a="1"/>
  <c r="D41" i="11" s="1"/>
  <c r="I41" i="11"/>
  <c r="D41" i="9" s="1" a="1"/>
  <c r="D41" i="9" s="1"/>
  <c r="J41" i="11"/>
  <c r="E41" i="9" s="1" a="1"/>
  <c r="E41" i="9" s="1"/>
  <c r="D39" i="11" a="1"/>
  <c r="D39" i="11" s="1"/>
  <c r="I39" i="11"/>
  <c r="D39" i="9" s="1" a="1"/>
  <c r="D39" i="9" s="1"/>
  <c r="J39" i="11"/>
  <c r="E39" i="9" s="1" a="1"/>
  <c r="E39" i="9" s="1"/>
  <c r="D13" i="11" a="1"/>
  <c r="D13" i="11" s="1"/>
  <c r="I13" i="11"/>
  <c r="D13" i="9" s="1" a="1"/>
  <c r="D13" i="9" s="1"/>
  <c r="J13" i="11"/>
  <c r="E13" i="9" s="1" a="1"/>
  <c r="E13" i="9" s="1"/>
  <c r="D38" i="11" a="1"/>
  <c r="D38" i="11" s="1"/>
  <c r="I38" i="11"/>
  <c r="D38" i="9" s="1" a="1"/>
  <c r="D38" i="9" s="1"/>
  <c r="J38" i="11"/>
  <c r="E38" i="9" s="1" a="1"/>
  <c r="E38" i="9" s="1"/>
  <c r="D22" i="11" a="1"/>
  <c r="D22" i="11" s="1"/>
  <c r="J22" i="11"/>
  <c r="E22" i="9" s="1" a="1"/>
  <c r="E22" i="9" s="1"/>
  <c r="I22" i="11"/>
  <c r="D22" i="9" s="1" a="1"/>
  <c r="D22" i="9" s="1"/>
  <c r="D48" i="11" a="1"/>
  <c r="D48" i="11" s="1"/>
  <c r="I48" i="11"/>
  <c r="D48" i="9" s="1" a="1"/>
  <c r="D48" i="9" s="1"/>
  <c r="J48" i="11"/>
  <c r="E48" i="9" s="1" a="1"/>
  <c r="E48" i="9" s="1"/>
  <c r="D36" i="11" a="1"/>
  <c r="D36" i="11" s="1"/>
  <c r="I36" i="11"/>
  <c r="D36" i="9" s="1" a="1"/>
  <c r="D36" i="9" s="1"/>
  <c r="J36" i="11"/>
  <c r="E36" i="9" s="1" a="1"/>
  <c r="E36" i="9" s="1"/>
  <c r="D17" i="11" a="1"/>
  <c r="D17" i="11" s="1"/>
  <c r="I17" i="11"/>
  <c r="D17" i="9" s="1" a="1"/>
  <c r="D17" i="9" s="1"/>
  <c r="J17" i="11"/>
  <c r="E17" i="9" s="1" a="1"/>
  <c r="E17" i="9" s="1"/>
  <c r="D69" i="11" a="1"/>
  <c r="D69" i="11" s="1"/>
  <c r="I69" i="11"/>
  <c r="D69" i="9" s="1" a="1"/>
  <c r="D69" i="9" s="1"/>
  <c r="J69" i="11"/>
  <c r="E69" i="9" s="1" a="1"/>
  <c r="E69" i="9" s="1"/>
  <c r="D64" i="11" a="1"/>
  <c r="D64" i="11" s="1"/>
  <c r="J64" i="11"/>
  <c r="E64" i="9" s="1" a="1"/>
  <c r="E64" i="9" s="1"/>
  <c r="I64" i="11"/>
  <c r="D64" i="9" s="1" a="1"/>
  <c r="D64" i="9" s="1"/>
  <c r="D27" i="11" a="1"/>
  <c r="D27" i="11" s="1"/>
  <c r="I27" i="11"/>
  <c r="D27" i="9" s="1" a="1"/>
  <c r="D27" i="9" s="1"/>
  <c r="J27" i="11"/>
  <c r="E27" i="9" s="1" a="1"/>
  <c r="E27" i="9" s="1"/>
  <c r="D62" i="11" a="1"/>
  <c r="D62" i="11" s="1"/>
  <c r="J62" i="11"/>
  <c r="E62" i="9" s="1" a="1"/>
  <c r="E62" i="9" s="1"/>
  <c r="I62" i="11"/>
  <c r="D62" i="9" s="1" a="1"/>
  <c r="D62" i="9" s="1"/>
  <c r="D59" i="11" a="1"/>
  <c r="D59" i="11" s="1"/>
  <c r="I59" i="11"/>
  <c r="D59" i="9" s="1" a="1"/>
  <c r="D59" i="9" s="1"/>
  <c r="J59" i="11"/>
  <c r="E59" i="9" s="1" a="1"/>
  <c r="E59" i="9" s="1"/>
  <c r="D28" i="11" a="1"/>
  <c r="D28" i="11" s="1"/>
  <c r="J28" i="11"/>
  <c r="E28" i="9" s="1" a="1"/>
  <c r="E28" i="9" s="1"/>
  <c r="I28" i="11"/>
  <c r="D28" i="9" s="1" a="1"/>
  <c r="D28" i="9" s="1"/>
  <c r="D57" i="11" a="1"/>
  <c r="D57" i="11" s="1"/>
  <c r="I57" i="11"/>
  <c r="D57" i="9" s="1" a="1"/>
  <c r="D57" i="9" s="1"/>
  <c r="J57" i="11"/>
  <c r="E57" i="9" s="1" a="1"/>
  <c r="E57" i="9" s="1"/>
  <c r="D37" i="11" a="1"/>
  <c r="D37" i="11" s="1"/>
  <c r="I37" i="11"/>
  <c r="D37" i="9" s="1" a="1"/>
  <c r="D37" i="9" s="1"/>
  <c r="J37" i="11"/>
  <c r="E37" i="9" s="1" a="1"/>
  <c r="E37" i="9" s="1"/>
  <c r="D47" i="11" a="1"/>
  <c r="D47" i="11" s="1"/>
  <c r="I47" i="11"/>
  <c r="D47" i="9" s="1" a="1"/>
  <c r="D47" i="9" s="1"/>
  <c r="J47" i="11"/>
  <c r="E47" i="9" s="1" a="1"/>
  <c r="E47" i="9" s="1"/>
  <c r="D45" i="11" a="1"/>
  <c r="D45" i="11" s="1"/>
  <c r="I45" i="11"/>
  <c r="D45" i="9" s="1" a="1"/>
  <c r="D45" i="9" s="1"/>
  <c r="J45" i="11"/>
  <c r="E45" i="9" s="1" a="1"/>
  <c r="E45" i="9" s="1"/>
  <c r="D60" i="11" a="1"/>
  <c r="D60" i="11" s="1"/>
  <c r="I60" i="11"/>
  <c r="D60" i="9" s="1" a="1"/>
  <c r="D60" i="9" s="1"/>
  <c r="J60" i="11"/>
  <c r="E60" i="9" s="1" a="1"/>
  <c r="E60" i="9" s="1"/>
  <c r="D24" i="11" a="1"/>
  <c r="D24" i="11" s="1"/>
  <c r="I24" i="11"/>
  <c r="D24" i="9" s="1" a="1"/>
  <c r="D24" i="9" s="1"/>
  <c r="J24" i="11"/>
  <c r="E24" i="9" s="1" a="1"/>
  <c r="E24" i="9" s="1"/>
  <c r="D75" i="11" a="1"/>
  <c r="D75" i="11" s="1"/>
  <c r="I75" i="11"/>
  <c r="D75" i="9" s="1" a="1"/>
  <c r="D75" i="9" s="1"/>
  <c r="J75" i="11"/>
  <c r="E75" i="9" s="1" a="1"/>
  <c r="E75" i="9" s="1"/>
  <c r="D53" i="11" a="1"/>
  <c r="D53" i="11" s="1"/>
  <c r="J53" i="11"/>
  <c r="E53" i="9" s="1" a="1"/>
  <c r="E53" i="9" s="1"/>
  <c r="I53" i="11"/>
  <c r="D53" i="9" s="1" a="1"/>
  <c r="D53" i="9" s="1"/>
  <c r="D43" i="11" a="1"/>
  <c r="D43" i="11" s="1"/>
  <c r="I43" i="11"/>
  <c r="D43" i="9" s="1" a="1"/>
  <c r="D43" i="9" s="1"/>
  <c r="J43" i="11"/>
  <c r="E43" i="9" s="1" a="1"/>
  <c r="E43" i="9" s="1"/>
  <c r="D4" i="11" a="1"/>
  <c r="D4" i="11" s="1"/>
  <c r="I4" i="11"/>
  <c r="D4" i="9" s="1" a="1"/>
  <c r="D4" i="9" s="1"/>
  <c r="J4" i="11"/>
  <c r="E4" i="9" s="1" a="1"/>
  <c r="E4" i="9" s="1"/>
  <c r="D15" i="11" a="1"/>
  <c r="D15" i="11" s="1"/>
  <c r="I15" i="11"/>
  <c r="D15" i="9" s="1" a="1"/>
  <c r="D15" i="9" s="1"/>
  <c r="J15" i="11"/>
  <c r="E15" i="9" s="1" a="1"/>
  <c r="E15" i="9" s="1"/>
  <c r="D51" i="11" a="1"/>
  <c r="D51" i="11" s="1"/>
  <c r="I51" i="11"/>
  <c r="D51" i="9" s="1" a="1"/>
  <c r="D51" i="9" s="1"/>
  <c r="J51" i="11"/>
  <c r="E51" i="9" s="1" a="1"/>
  <c r="E51" i="9" s="1"/>
  <c r="D67" i="11" a="1"/>
  <c r="D67" i="11" s="1"/>
  <c r="J67" i="11"/>
  <c r="E67" i="9" s="1" a="1"/>
  <c r="E67" i="9" s="1"/>
  <c r="I67" i="11"/>
  <c r="D67" i="9" s="1" a="1"/>
  <c r="D67" i="9" s="1"/>
  <c r="D44" i="11" a="1"/>
  <c r="D44" i="11" s="1"/>
  <c r="I44" i="11"/>
  <c r="D44" i="9" s="1" a="1"/>
  <c r="D44" i="9" s="1"/>
  <c r="J44" i="11"/>
  <c r="E44" i="9" s="1" a="1"/>
  <c r="E44" i="9" s="1"/>
  <c r="D73" i="11" a="1"/>
  <c r="D73" i="11" s="1"/>
  <c r="I73" i="11"/>
  <c r="D73" i="9" s="1" a="1"/>
  <c r="D73" i="9" s="1"/>
  <c r="J73" i="11"/>
  <c r="E73" i="9" s="1" a="1"/>
  <c r="E73" i="9" s="1"/>
  <c r="D58" i="11" a="1"/>
  <c r="D58" i="11" s="1"/>
  <c r="I58" i="11"/>
  <c r="D58" i="9" s="1" a="1"/>
  <c r="D58" i="9" s="1"/>
  <c r="J58" i="11"/>
  <c r="E58" i="9" s="1" a="1"/>
  <c r="E58" i="9" s="1"/>
  <c r="D68" i="11" a="1"/>
  <c r="D68" i="11" s="1"/>
  <c r="I68" i="11"/>
  <c r="D68" i="9" s="1" a="1"/>
  <c r="D68" i="9" s="1"/>
  <c r="J68" i="11"/>
  <c r="E68" i="9" s="1" a="1"/>
  <c r="E68" i="9" s="1"/>
  <c r="D23" i="11" a="1"/>
  <c r="D23" i="11" s="1"/>
  <c r="J23" i="11"/>
  <c r="E23" i="9" s="1" a="1"/>
  <c r="E23" i="9" s="1"/>
  <c r="I23" i="11"/>
  <c r="D23" i="9" s="1" a="1"/>
  <c r="D23" i="9" s="1"/>
  <c r="D9" i="11" a="1"/>
  <c r="D9" i="11" s="1"/>
  <c r="I9" i="11"/>
  <c r="D9" i="9" s="1" a="1"/>
  <c r="D9" i="9" s="1"/>
  <c r="J9" i="11"/>
  <c r="E9" i="9" s="1" a="1"/>
  <c r="E9" i="9" s="1"/>
  <c r="D70" i="11" a="1"/>
  <c r="D70" i="11" s="1"/>
  <c r="J70" i="11"/>
  <c r="E70" i="9" s="1" a="1"/>
  <c r="E70" i="9" s="1"/>
  <c r="I70" i="11"/>
  <c r="D70" i="9" s="1" a="1"/>
  <c r="D70" i="9" s="1"/>
  <c r="D18" i="11" a="1"/>
  <c r="D18" i="11" s="1"/>
  <c r="J18" i="11"/>
  <c r="E18" i="9" s="1" a="1"/>
  <c r="E18" i="9" s="1"/>
  <c r="I18" i="11"/>
  <c r="D18" i="9" s="1" a="1"/>
  <c r="D18" i="9" s="1"/>
  <c r="D32" i="11" a="1"/>
  <c r="D32" i="11" s="1"/>
  <c r="I32" i="11"/>
  <c r="D32" i="9" s="1" a="1"/>
  <c r="D32" i="9" s="1"/>
  <c r="J32" i="11"/>
  <c r="E32" i="9" s="1" a="1"/>
  <c r="E32" i="9" s="1"/>
  <c r="D25" i="11" a="1"/>
  <c r="D25" i="11" s="1"/>
  <c r="I25" i="11"/>
  <c r="D25" i="9" s="1" a="1"/>
  <c r="D25" i="9" s="1"/>
  <c r="J25" i="11"/>
  <c r="E25" i="9" s="1" a="1"/>
  <c r="E25" i="9" s="1"/>
  <c r="D56" i="11" a="1"/>
  <c r="D56" i="11" s="1"/>
  <c r="I56" i="11"/>
  <c r="D56" i="9" s="1" a="1"/>
  <c r="D56" i="9" s="1"/>
  <c r="J56" i="11"/>
  <c r="E56" i="9" s="1" a="1"/>
  <c r="E56" i="9" s="1"/>
  <c r="D30" i="11" a="1"/>
  <c r="D30" i="11" s="1"/>
  <c r="J30" i="11"/>
  <c r="E30" i="9" s="1" a="1"/>
  <c r="E30" i="9" s="1"/>
  <c r="I30" i="11"/>
  <c r="D30" i="9" s="1" a="1"/>
  <c r="D30" i="9" s="1"/>
  <c r="D29" i="11" a="1"/>
  <c r="D29" i="11" s="1"/>
  <c r="J29" i="11"/>
  <c r="E29" i="9" s="1" a="1"/>
  <c r="E29" i="9" s="1"/>
  <c r="I29" i="11"/>
  <c r="D29" i="9" s="1" a="1"/>
  <c r="D29" i="9" s="1"/>
  <c r="D61" i="11" a="1"/>
  <c r="D61" i="11" s="1"/>
  <c r="J61" i="11"/>
  <c r="E61" i="9" s="1" a="1"/>
  <c r="E61" i="9" s="1"/>
  <c r="I61" i="11"/>
  <c r="D61" i="9" s="1" a="1"/>
  <c r="D61" i="9" s="1"/>
  <c r="D10" i="11" a="1"/>
  <c r="D10" i="11" s="1"/>
  <c r="J10" i="11"/>
  <c r="E10" i="9" s="1" a="1"/>
  <c r="E10" i="9" s="1"/>
  <c r="I10" i="11"/>
  <c r="D10" i="9" s="1" a="1"/>
  <c r="D10" i="9" s="1"/>
  <c r="D19" i="11" a="1"/>
  <c r="D19" i="11" s="1"/>
  <c r="J19" i="11"/>
  <c r="E19" i="9" s="1" a="1"/>
  <c r="E19" i="9" s="1"/>
  <c r="I19" i="11"/>
  <c r="D19" i="9" s="1" a="1"/>
  <c r="D19" i="9" s="1"/>
  <c r="D42" i="11" a="1"/>
  <c r="D42" i="11" s="1"/>
  <c r="I42" i="11"/>
  <c r="D42" i="9" s="1" a="1"/>
  <c r="D42" i="9" s="1"/>
  <c r="J42" i="11"/>
  <c r="E42" i="9" s="1" a="1"/>
  <c r="E42" i="9" s="1"/>
  <c r="D49" i="11" a="1"/>
  <c r="D49" i="11" s="1"/>
  <c r="J49" i="11"/>
  <c r="E49" i="9" s="1" a="1"/>
  <c r="E49" i="9" s="1"/>
  <c r="I49" i="11"/>
  <c r="D49" i="9" s="1" a="1"/>
  <c r="D49" i="9" s="1"/>
  <c r="D55" i="11" a="1"/>
  <c r="D55" i="11" s="1"/>
  <c r="I55" i="11"/>
  <c r="D55" i="9" s="1" a="1"/>
  <c r="D55" i="9" s="1"/>
  <c r="J55" i="11"/>
  <c r="E55" i="9" s="1" a="1"/>
  <c r="E55" i="9" s="1"/>
  <c r="D77" i="11" a="1"/>
  <c r="D77" i="11" s="1"/>
  <c r="J77" i="11"/>
  <c r="E77" i="9" s="1" a="1"/>
  <c r="E77" i="9" s="1"/>
  <c r="I77" i="11"/>
  <c r="D77" i="9" s="1" a="1"/>
  <c r="D77" i="9" s="1"/>
  <c r="D14" i="11" a="1"/>
  <c r="D14" i="11" s="1"/>
  <c r="I14" i="11"/>
  <c r="D14" i="9" s="1" a="1"/>
  <c r="D14" i="9" s="1"/>
  <c r="J14" i="11"/>
  <c r="E14" i="9" s="1" a="1"/>
  <c r="E14" i="9" s="1"/>
  <c r="C7" i="9" a="1"/>
  <c r="C7" i="9" s="1"/>
  <c r="M7" i="9" s="1" a="1"/>
  <c r="M7" i="9" s="1"/>
  <c r="AM17" i="4"/>
  <c r="AE17" i="4"/>
  <c r="AG17" i="4" s="1"/>
  <c r="N43" i="4"/>
  <c r="M43" i="4"/>
  <c r="N41" i="4"/>
  <c r="M41" i="4"/>
  <c r="N32" i="4"/>
  <c r="M32" i="4"/>
  <c r="D26" i="9" a="1"/>
  <c r="D26" i="9" s="1"/>
  <c r="E26" i="9" a="1"/>
  <c r="E26" i="9" s="1"/>
  <c r="N35" i="4"/>
  <c r="M35" i="4"/>
  <c r="N64" i="4"/>
  <c r="M64" i="4"/>
  <c r="N52" i="4"/>
  <c r="M52" i="4"/>
  <c r="N55" i="4"/>
  <c r="M55" i="4"/>
  <c r="N15" i="4"/>
  <c r="M15" i="4"/>
  <c r="N76" i="4"/>
  <c r="M76" i="4"/>
  <c r="M81" i="4"/>
  <c r="N81" i="4"/>
  <c r="N50" i="4"/>
  <c r="M50" i="4"/>
  <c r="M45" i="4"/>
  <c r="N45" i="4"/>
  <c r="N49" i="4"/>
  <c r="M49" i="4"/>
  <c r="N11" i="4"/>
  <c r="M11" i="4"/>
  <c r="N48" i="4"/>
  <c r="M48" i="4"/>
  <c r="N30" i="4"/>
  <c r="M30" i="4"/>
  <c r="N58" i="4"/>
  <c r="M58" i="4"/>
  <c r="N60" i="4"/>
  <c r="M60" i="4"/>
  <c r="N66" i="4"/>
  <c r="M66" i="4"/>
  <c r="N40" i="4"/>
  <c r="M40" i="4"/>
  <c r="D34" i="9" a="1"/>
  <c r="D34" i="9" s="1"/>
  <c r="E34" i="9" a="1"/>
  <c r="E34" i="9" s="1"/>
  <c r="N42" i="4"/>
  <c r="M42" i="4"/>
  <c r="N68" i="4"/>
  <c r="M68" i="4"/>
  <c r="N21" i="4"/>
  <c r="M21" i="4"/>
  <c r="N44" i="4"/>
  <c r="M44" i="4"/>
  <c r="N24" i="4"/>
  <c r="M24" i="4"/>
  <c r="N65" i="4"/>
  <c r="M65" i="4"/>
  <c r="N57" i="4"/>
  <c r="M57" i="4"/>
  <c r="N80" i="4"/>
  <c r="M80" i="4"/>
  <c r="N13" i="4"/>
  <c r="M13" i="4"/>
  <c r="N70" i="4"/>
  <c r="M70" i="4"/>
  <c r="N77" i="4"/>
  <c r="M77" i="4"/>
  <c r="N62" i="4"/>
  <c r="M62" i="4"/>
  <c r="M22" i="4"/>
  <c r="N22" i="4"/>
  <c r="D16" i="9" a="1"/>
  <c r="D16" i="9" s="1"/>
  <c r="E16" i="9" a="1"/>
  <c r="E16" i="9" s="1"/>
  <c r="N28" i="4"/>
  <c r="M28" i="4"/>
  <c r="N83" i="4"/>
  <c r="M83" i="4"/>
  <c r="N33" i="4"/>
  <c r="M33" i="4"/>
  <c r="N56" i="4"/>
  <c r="M56" i="4"/>
  <c r="E50" i="9" a="1"/>
  <c r="E50" i="9" s="1"/>
  <c r="D50" i="9" a="1"/>
  <c r="D50" i="9" s="1"/>
  <c r="M37" i="4"/>
  <c r="N37" i="4"/>
  <c r="M54" i="4"/>
  <c r="N54" i="4"/>
  <c r="N26" i="4"/>
  <c r="M26" i="4"/>
  <c r="E20" i="9" a="1"/>
  <c r="E20" i="9" s="1"/>
  <c r="D20" i="9" a="1"/>
  <c r="D20" i="9" s="1"/>
  <c r="M61" i="4"/>
  <c r="N61" i="4"/>
  <c r="N71" i="4"/>
  <c r="M71" i="4"/>
  <c r="N75" i="4"/>
  <c r="M75" i="4"/>
  <c r="N74" i="4"/>
  <c r="M74" i="4"/>
  <c r="N78" i="4"/>
  <c r="M78" i="4"/>
  <c r="E72" i="9" a="1"/>
  <c r="E72" i="9" s="1"/>
  <c r="D72" i="9" a="1"/>
  <c r="D72" i="9" s="1"/>
  <c r="N53" i="4"/>
  <c r="M53" i="4"/>
  <c r="D63" i="9" a="1"/>
  <c r="D63" i="9" s="1"/>
  <c r="M69" i="4"/>
  <c r="N69" i="4"/>
  <c r="M12" i="4"/>
  <c r="N12" i="4"/>
  <c r="N27" i="4"/>
  <c r="M27" i="4"/>
  <c r="N47" i="4"/>
  <c r="M47" i="4"/>
  <c r="P10" i="4"/>
  <c r="O10" i="4"/>
  <c r="M10" i="4"/>
  <c r="N10" i="4"/>
  <c r="N18" i="4"/>
  <c r="M18" i="4"/>
  <c r="N82" i="4"/>
  <c r="M82" i="4"/>
  <c r="M36" i="4"/>
  <c r="N36" i="4"/>
  <c r="N25" i="4"/>
  <c r="M25" i="4"/>
  <c r="N14" i="4"/>
  <c r="M14" i="4"/>
  <c r="E8" i="9" a="1"/>
  <c r="E8" i="9" s="1"/>
  <c r="D8" i="9" a="1"/>
  <c r="D8" i="9" s="1"/>
  <c r="N23" i="4"/>
  <c r="M23" i="4"/>
  <c r="N20" i="4"/>
  <c r="M20" i="4"/>
  <c r="N51" i="4"/>
  <c r="M51" i="4"/>
  <c r="N38" i="4"/>
  <c r="M38" i="4"/>
  <c r="N46" i="4"/>
  <c r="M46" i="4"/>
  <c r="M67" i="4"/>
  <c r="N67" i="4"/>
  <c r="N72" i="4"/>
  <c r="M72" i="4"/>
  <c r="N31" i="4"/>
  <c r="M31" i="4"/>
  <c r="N29" i="4"/>
  <c r="M29" i="4"/>
  <c r="N79" i="4"/>
  <c r="M79" i="4"/>
  <c r="N73" i="4"/>
  <c r="M73" i="4"/>
  <c r="M19" i="4"/>
  <c r="N19" i="4"/>
  <c r="N34" i="4"/>
  <c r="M34" i="4"/>
  <c r="N39" i="4"/>
  <c r="M39" i="4"/>
  <c r="N16" i="4"/>
  <c r="M16" i="4"/>
  <c r="N63" i="4"/>
  <c r="M63" i="4"/>
  <c r="N59" i="4"/>
  <c r="M59" i="4"/>
  <c r="M11" i="9" l="1" a="1"/>
  <c r="M11" i="9" s="1"/>
  <c r="K11" i="9" a="1"/>
  <c r="K11" i="9" s="1"/>
  <c r="I11" i="9" a="1"/>
  <c r="I11" i="9" s="1"/>
  <c r="J11" i="9" s="1"/>
  <c r="C6" i="9" a="1"/>
  <c r="C6" i="9" s="1"/>
  <c r="K6" i="9" s="1" a="1"/>
  <c r="K6" i="9" s="1"/>
  <c r="C4" i="9" a="1"/>
  <c r="C4" i="9" s="1"/>
  <c r="I4" i="9" s="1" a="1"/>
  <c r="I4" i="9" s="1"/>
  <c r="J4" i="9" s="1"/>
  <c r="W11" i="9" a="1"/>
  <c r="W11" i="9" s="1"/>
  <c r="Q11" i="9" a="1"/>
  <c r="Q11" i="9" s="1"/>
  <c r="S11" i="9" s="1" a="1"/>
  <c r="S11" i="9" s="1"/>
  <c r="Q11" i="11" s="1" a="1"/>
  <c r="Q11" i="11" s="1"/>
  <c r="R11" i="11" s="1" a="1"/>
  <c r="R11" i="11" s="1"/>
  <c r="X11" i="6" s="1" a="1"/>
  <c r="X11" i="6" s="1"/>
  <c r="C10" i="9" a="1"/>
  <c r="C10" i="9" s="1"/>
  <c r="C70" i="9" a="1"/>
  <c r="C70" i="9" s="1"/>
  <c r="C5" i="9" a="1"/>
  <c r="C5" i="9" s="1"/>
  <c r="I5" i="9" s="1" a="1"/>
  <c r="I5" i="9" s="1"/>
  <c r="J5" i="9" s="1"/>
  <c r="C46" i="9" a="1"/>
  <c r="C46" i="9" s="1"/>
  <c r="C76" i="9" a="1"/>
  <c r="C76" i="9" s="1"/>
  <c r="C41" i="9" a="1"/>
  <c r="C41" i="9" s="1"/>
  <c r="M41" i="9" s="1" a="1"/>
  <c r="M41" i="9" s="1"/>
  <c r="C17" i="9" a="1"/>
  <c r="C17" i="9" s="1"/>
  <c r="O17" i="9" s="1" a="1"/>
  <c r="O17" i="9" s="1"/>
  <c r="R17" i="9" s="1" a="1"/>
  <c r="R17" i="9" s="1"/>
  <c r="Q17" i="9" s="1" a="1"/>
  <c r="Q17" i="9" s="1"/>
  <c r="S17" i="9" s="1" a="1"/>
  <c r="S17" i="9" s="1"/>
  <c r="Q17" i="11" s="1" a="1"/>
  <c r="Q17" i="11" s="1"/>
  <c r="R17" i="11" s="1" a="1"/>
  <c r="R17" i="11" s="1"/>
  <c r="X17" i="6" s="1" a="1"/>
  <c r="X17" i="6" s="1"/>
  <c r="C29" i="9" a="1"/>
  <c r="C29" i="9" s="1"/>
  <c r="I29" i="9" s="1" a="1"/>
  <c r="I29" i="9" s="1"/>
  <c r="J29" i="9" s="1"/>
  <c r="C72" i="9" a="1"/>
  <c r="C72" i="9" s="1"/>
  <c r="C65" i="9" a="1"/>
  <c r="C65" i="9" s="1"/>
  <c r="I65" i="9" s="1" a="1"/>
  <c r="I65" i="9" s="1"/>
  <c r="J65" i="9" s="1"/>
  <c r="C56" i="9" a="1"/>
  <c r="C56" i="9" s="1"/>
  <c r="C18" i="9" a="1"/>
  <c r="C18" i="9" s="1"/>
  <c r="C32" i="9" a="1"/>
  <c r="C32" i="9" s="1"/>
  <c r="I32" i="9" s="1" a="1"/>
  <c r="I32" i="9" s="1"/>
  <c r="J32" i="9" s="1"/>
  <c r="C36" i="9" a="1"/>
  <c r="C36" i="9" s="1"/>
  <c r="C54" i="9" a="1"/>
  <c r="C54" i="9" s="1"/>
  <c r="K54" i="9" s="1" a="1"/>
  <c r="K54" i="9" s="1"/>
  <c r="C13" i="9" a="1"/>
  <c r="C13" i="9" s="1"/>
  <c r="C21" i="9" a="1"/>
  <c r="C21" i="9" s="1"/>
  <c r="I21" i="9" s="1" a="1"/>
  <c r="I21" i="9" s="1"/>
  <c r="J21" i="9" s="1"/>
  <c r="C64" i="9" a="1"/>
  <c r="C64" i="9" s="1"/>
  <c r="K64" i="9" s="1" a="1"/>
  <c r="K64" i="9" s="1"/>
  <c r="C68" i="9" a="1"/>
  <c r="C68" i="9" s="1"/>
  <c r="C55" i="9" a="1"/>
  <c r="C55" i="9" s="1"/>
  <c r="C74" i="9" a="1"/>
  <c r="C74" i="9" s="1"/>
  <c r="M74" i="9" s="1" a="1"/>
  <c r="M74" i="9" s="1"/>
  <c r="C9" i="9" a="1"/>
  <c r="C9" i="9" s="1"/>
  <c r="I9" i="9" s="1" a="1"/>
  <c r="I9" i="9" s="1"/>
  <c r="J9" i="9" s="1"/>
  <c r="C73" i="9" a="1"/>
  <c r="C73" i="9" s="1"/>
  <c r="C38" i="9" a="1"/>
  <c r="C38" i="9" s="1"/>
  <c r="O38" i="9" s="1" a="1"/>
  <c r="O38" i="9" s="1"/>
  <c r="R38" i="9" s="1" a="1"/>
  <c r="R38" i="9" s="1"/>
  <c r="W38" i="9" s="1" a="1"/>
  <c r="W38" i="9" s="1"/>
  <c r="C19" i="9" a="1"/>
  <c r="C19" i="9" s="1"/>
  <c r="M19" i="9" s="1" a="1"/>
  <c r="M19" i="9" s="1"/>
  <c r="C67" i="9" a="1"/>
  <c r="C67" i="9" s="1"/>
  <c r="O67" i="9" s="1" a="1"/>
  <c r="O67" i="9" s="1"/>
  <c r="R67" i="9" s="1" a="1"/>
  <c r="R67" i="9" s="1"/>
  <c r="Q67" i="9" s="1" a="1"/>
  <c r="Q67" i="9" s="1"/>
  <c r="S67" i="9" s="1" a="1"/>
  <c r="S67" i="9" s="1"/>
  <c r="Q67" i="11" s="1" a="1"/>
  <c r="Q67" i="11" s="1"/>
  <c r="R67" i="11" s="1" a="1"/>
  <c r="R67" i="11" s="1"/>
  <c r="X67" i="6" s="1" a="1"/>
  <c r="X67" i="6" s="1"/>
  <c r="C34" i="9" a="1"/>
  <c r="C34" i="9" s="1"/>
  <c r="C52" i="9" a="1"/>
  <c r="C52" i="9" s="1"/>
  <c r="O52" i="9" s="1" a="1"/>
  <c r="O52" i="9" s="1"/>
  <c r="R52" i="9" s="1" a="1"/>
  <c r="R52" i="9" s="1"/>
  <c r="C25" i="9" a="1"/>
  <c r="C25" i="9" s="1"/>
  <c r="C24" i="9" a="1"/>
  <c r="C24" i="9" s="1"/>
  <c r="K24" i="9" s="1" a="1"/>
  <c r="K24" i="9" s="1"/>
  <c r="C45" i="9" a="1"/>
  <c r="C45" i="9" s="1"/>
  <c r="C8" i="9" a="1"/>
  <c r="C8" i="9" s="1"/>
  <c r="C75" i="9" a="1"/>
  <c r="C75" i="9" s="1"/>
  <c r="C22" i="9" a="1"/>
  <c r="C22" i="9" s="1"/>
  <c r="C71" i="9" a="1"/>
  <c r="C71" i="9" s="1"/>
  <c r="K71" i="9" s="1" a="1"/>
  <c r="K71" i="9" s="1"/>
  <c r="C42" i="9" a="1"/>
  <c r="C42" i="9" s="1"/>
  <c r="K42" i="9" s="1" a="1"/>
  <c r="K42" i="9" s="1"/>
  <c r="C23" i="9" a="1"/>
  <c r="C23" i="9" s="1"/>
  <c r="C14" i="9" a="1"/>
  <c r="C14" i="9" s="1"/>
  <c r="C39" i="9" a="1"/>
  <c r="C39" i="9" s="1"/>
  <c r="K39" i="9" s="1" a="1"/>
  <c r="K39" i="9" s="1"/>
  <c r="C57" i="9" a="1"/>
  <c r="C57" i="9" s="1"/>
  <c r="C28" i="9" a="1"/>
  <c r="C28" i="9" s="1"/>
  <c r="K28" i="9" s="1" a="1"/>
  <c r="K28" i="9" s="1"/>
  <c r="L11" i="9"/>
  <c r="N11" i="9" s="1"/>
  <c r="P11" i="9" s="1"/>
  <c r="O11" i="11" s="1" a="1"/>
  <c r="O11" i="11" s="1"/>
  <c r="P11" i="11" s="1"/>
  <c r="S11" i="6" s="1" a="1"/>
  <c r="S11" i="6" s="1"/>
  <c r="T11" i="6" s="1"/>
  <c r="C48" i="9" a="1"/>
  <c r="C48" i="9" s="1"/>
  <c r="C44" i="9" a="1"/>
  <c r="C44" i="9" s="1"/>
  <c r="K44" i="9" s="1" a="1"/>
  <c r="K44" i="9" s="1"/>
  <c r="C59" i="9" a="1"/>
  <c r="C59" i="9" s="1"/>
  <c r="I59" i="9" s="1" a="1"/>
  <c r="I59" i="9" s="1"/>
  <c r="J59" i="9" s="1"/>
  <c r="C31" i="9" a="1"/>
  <c r="C31" i="9" s="1"/>
  <c r="I31" i="9" s="1" a="1"/>
  <c r="I31" i="9" s="1"/>
  <c r="J31" i="9" s="1"/>
  <c r="C26" i="9" a="1"/>
  <c r="C26" i="9" s="1"/>
  <c r="O26" i="9" s="1" a="1"/>
  <c r="O26" i="9" s="1"/>
  <c r="R26" i="9" s="1" a="1"/>
  <c r="R26" i="9" s="1"/>
  <c r="Q26" i="9" s="1" a="1"/>
  <c r="Q26" i="9" s="1"/>
  <c r="S26" i="9" s="1" a="1"/>
  <c r="S26" i="9" s="1"/>
  <c r="Q26" i="11" s="1" a="1"/>
  <c r="Q26" i="11" s="1"/>
  <c r="R26" i="11" s="1" a="1"/>
  <c r="R26" i="11" s="1"/>
  <c r="X26" i="6" s="1" a="1"/>
  <c r="X26" i="6" s="1"/>
  <c r="C47" i="9" a="1"/>
  <c r="C47" i="9" s="1"/>
  <c r="K47" i="9" s="1" a="1"/>
  <c r="K47" i="9" s="1"/>
  <c r="C69" i="9" a="1"/>
  <c r="C69" i="9" s="1"/>
  <c r="C66" i="9" a="1"/>
  <c r="C66" i="9" s="1"/>
  <c r="C30" i="9" a="1"/>
  <c r="C30" i="9" s="1"/>
  <c r="C51" i="9" a="1"/>
  <c r="C51" i="9" s="1"/>
  <c r="M51" i="9" s="1" a="1"/>
  <c r="M51" i="9" s="1"/>
  <c r="C58" i="9" a="1"/>
  <c r="C58" i="9" s="1"/>
  <c r="M58" i="9" s="1" a="1"/>
  <c r="M58" i="9" s="1"/>
  <c r="C35" i="9" a="1"/>
  <c r="C35" i="9" s="1"/>
  <c r="O35" i="9" s="1" a="1"/>
  <c r="O35" i="9" s="1"/>
  <c r="R35" i="9" s="1" a="1"/>
  <c r="R35" i="9" s="1"/>
  <c r="W35" i="9" s="1" a="1"/>
  <c r="W35" i="9" s="1"/>
  <c r="C27" i="9" a="1"/>
  <c r="C27" i="9" s="1"/>
  <c r="O27" i="9" s="1" a="1"/>
  <c r="O27" i="9" s="1"/>
  <c r="R27" i="9" s="1" a="1"/>
  <c r="R27" i="9" s="1"/>
  <c r="Q27" i="9" s="1" a="1"/>
  <c r="Q27" i="9" s="1"/>
  <c r="S27" i="9" s="1" a="1"/>
  <c r="S27" i="9" s="1"/>
  <c r="Q27" i="11" s="1" a="1"/>
  <c r="Q27" i="11" s="1"/>
  <c r="R27" i="11" s="1" a="1"/>
  <c r="R27" i="11" s="1"/>
  <c r="X27" i="6" s="1" a="1"/>
  <c r="X27" i="6" s="1"/>
  <c r="C16" i="9" a="1"/>
  <c r="C16" i="9" s="1"/>
  <c r="O16" i="9" s="1" a="1"/>
  <c r="O16" i="9" s="1"/>
  <c r="R16" i="9" s="1" a="1"/>
  <c r="R16" i="9" s="1"/>
  <c r="C15" i="9" a="1"/>
  <c r="C15" i="9" s="1"/>
  <c r="C49" i="9" a="1"/>
  <c r="C49" i="9" s="1"/>
  <c r="C37" i="9" a="1"/>
  <c r="C37" i="9" s="1"/>
  <c r="C77" i="9" a="1"/>
  <c r="C77" i="9" s="1"/>
  <c r="C43" i="9" a="1"/>
  <c r="C43" i="9" s="1"/>
  <c r="K43" i="9" s="1" a="1"/>
  <c r="K43" i="9" s="1"/>
  <c r="C61" i="9" a="1"/>
  <c r="C61" i="9" s="1"/>
  <c r="I61" i="9" s="1" a="1"/>
  <c r="I61" i="9" s="1"/>
  <c r="J61" i="9" s="1"/>
  <c r="C63" i="9" a="1"/>
  <c r="C63" i="9" s="1"/>
  <c r="K63" i="9" s="1" a="1"/>
  <c r="K63" i="9" s="1"/>
  <c r="C62" i="9" a="1"/>
  <c r="C62" i="9" s="1"/>
  <c r="I62" i="9" s="1" a="1"/>
  <c r="I62" i="9" s="1"/>
  <c r="J62" i="9" s="1"/>
  <c r="C60" i="9" a="1"/>
  <c r="C60" i="9" s="1"/>
  <c r="O60" i="9" s="1" a="1"/>
  <c r="O60" i="9" s="1"/>
  <c r="R60" i="9" s="1" a="1"/>
  <c r="R60" i="9" s="1"/>
  <c r="Q60" i="9" s="1" a="1"/>
  <c r="Q60" i="9" s="1"/>
  <c r="S60" i="9" s="1" a="1"/>
  <c r="S60" i="9" s="1"/>
  <c r="Q60" i="11" s="1" a="1"/>
  <c r="Q60" i="11" s="1"/>
  <c r="R60" i="11" s="1" a="1"/>
  <c r="R60" i="11" s="1"/>
  <c r="X60" i="6" s="1" a="1"/>
  <c r="X60" i="6" s="1"/>
  <c r="C33" i="9" a="1"/>
  <c r="C33" i="9" s="1"/>
  <c r="O33" i="9" s="1" a="1"/>
  <c r="O33" i="9" s="1"/>
  <c r="R33" i="9" s="1" a="1"/>
  <c r="R33" i="9" s="1"/>
  <c r="U33" i="9" s="1"/>
  <c r="V33" i="9" s="1" a="1"/>
  <c r="V33" i="9" s="1"/>
  <c r="C20" i="9" a="1"/>
  <c r="C20" i="9" s="1"/>
  <c r="M20" i="9" s="1" a="1"/>
  <c r="M20" i="9" s="1"/>
  <c r="C50" i="9" a="1"/>
  <c r="C50" i="9" s="1"/>
  <c r="C53" i="9" a="1"/>
  <c r="C53" i="9" s="1"/>
  <c r="M53" i="9" s="1" a="1"/>
  <c r="M53" i="9" s="1"/>
  <c r="C40" i="9" a="1"/>
  <c r="C40" i="9" s="1"/>
  <c r="O40" i="9" s="1" a="1"/>
  <c r="O40" i="9" s="1"/>
  <c r="R40" i="9" s="1" a="1"/>
  <c r="R40" i="9" s="1"/>
  <c r="U40" i="9" s="1"/>
  <c r="V40" i="9" s="1" a="1"/>
  <c r="V40" i="9" s="1"/>
  <c r="C12" i="9" a="1"/>
  <c r="C12" i="9" s="1"/>
  <c r="K12" i="9" s="1" a="1"/>
  <c r="K12" i="9" s="1"/>
  <c r="K7" i="9" a="1"/>
  <c r="K7" i="9" s="1"/>
  <c r="O7" i="9" a="1"/>
  <c r="O7" i="9" s="1"/>
  <c r="R7" i="9" s="1" a="1"/>
  <c r="R7" i="9" s="1"/>
  <c r="Q7" i="9" s="1" a="1"/>
  <c r="Q7" i="9" s="1"/>
  <c r="S7" i="9" s="1" a="1"/>
  <c r="S7" i="9" s="1"/>
  <c r="Q7" i="11" s="1" a="1"/>
  <c r="Q7" i="11" s="1"/>
  <c r="R7" i="11" s="1" a="1"/>
  <c r="R7" i="11" s="1"/>
  <c r="X7" i="6" s="1" a="1"/>
  <c r="X7" i="6" s="1"/>
  <c r="I7" i="9" a="1"/>
  <c r="I7" i="9" s="1"/>
  <c r="J7" i="9" s="1"/>
  <c r="I6" i="9" a="1"/>
  <c r="I6" i="9" s="1"/>
  <c r="J6" i="9" s="1"/>
  <c r="L6" i="9" s="1"/>
  <c r="M6" i="9" a="1"/>
  <c r="M6" i="9" s="1"/>
  <c r="O6" i="9" a="1"/>
  <c r="O6" i="9" s="1"/>
  <c r="R6" i="9" s="1" a="1"/>
  <c r="R6" i="9" s="1"/>
  <c r="Q6" i="9" s="1" a="1"/>
  <c r="Q6" i="9" s="1"/>
  <c r="S6" i="9" s="1" a="1"/>
  <c r="S6" i="9" s="1"/>
  <c r="Q6" i="11" s="1" a="1"/>
  <c r="Q6" i="11" s="1"/>
  <c r="R6" i="11" s="1" a="1"/>
  <c r="R6" i="11" s="1"/>
  <c r="X6" i="6" s="1" a="1"/>
  <c r="X6" i="6" s="1"/>
  <c r="I10" i="9" a="1"/>
  <c r="I10" i="9" s="1"/>
  <c r="J10" i="9" s="1"/>
  <c r="X11" i="9"/>
  <c r="Y11" i="9" s="1"/>
  <c r="Z11" i="9" s="1" a="1"/>
  <c r="Z11" i="9" s="1"/>
  <c r="Q10" i="4"/>
  <c r="X59" i="4"/>
  <c r="AH59" i="4"/>
  <c r="Y59" i="4"/>
  <c r="AA59" i="4" s="1"/>
  <c r="U59" i="4"/>
  <c r="W59" i="4" s="1"/>
  <c r="AI59" i="4"/>
  <c r="R59" i="4"/>
  <c r="T59" i="4" s="1"/>
  <c r="AC59" i="4"/>
  <c r="AF59" i="4" s="1"/>
  <c r="AN59" i="4" s="1"/>
  <c r="N53" i="11" s="1" a="1"/>
  <c r="N53" i="11" s="1"/>
  <c r="AB59" i="4"/>
  <c r="AL59" i="4"/>
  <c r="AL63" i="4"/>
  <c r="AB63" i="4"/>
  <c r="AC63" i="4"/>
  <c r="AF63" i="4" s="1"/>
  <c r="AN63" i="4" s="1"/>
  <c r="N57" i="11" s="1" a="1"/>
  <c r="N57" i="11" s="1"/>
  <c r="AH63" i="4"/>
  <c r="X63" i="4"/>
  <c r="R63" i="4"/>
  <c r="T63" i="4" s="1"/>
  <c r="AI63" i="4"/>
  <c r="Y63" i="4"/>
  <c r="AA63" i="4" s="1"/>
  <c r="U63" i="4"/>
  <c r="W63" i="4" s="1"/>
  <c r="X16" i="4"/>
  <c r="AB16" i="4"/>
  <c r="AC16" i="4"/>
  <c r="AF16" i="4" s="1"/>
  <c r="AN16" i="4" s="1"/>
  <c r="N10" i="11" s="1" a="1"/>
  <c r="N10" i="11" s="1"/>
  <c r="Y16" i="4"/>
  <c r="AA16" i="4" s="1"/>
  <c r="R16" i="4"/>
  <c r="T16" i="4" s="1"/>
  <c r="AI16" i="4"/>
  <c r="U16" i="4"/>
  <c r="W16" i="4" s="1"/>
  <c r="AH16" i="4"/>
  <c r="AL16" i="4"/>
  <c r="U39" i="4"/>
  <c r="Y39" i="4"/>
  <c r="V39" i="4"/>
  <c r="S39" i="4"/>
  <c r="Z39" i="4"/>
  <c r="R39" i="4"/>
  <c r="AB39" i="4"/>
  <c r="AJ39" i="4"/>
  <c r="AH39" i="4"/>
  <c r="X39" i="4"/>
  <c r="AL39" i="4"/>
  <c r="AC39" i="4"/>
  <c r="AI39" i="4"/>
  <c r="AC34" i="4"/>
  <c r="AF34" i="4" s="1"/>
  <c r="AN34" i="4" s="1"/>
  <c r="N28" i="11" s="1" a="1"/>
  <c r="N28" i="11" s="1"/>
  <c r="AL34" i="4"/>
  <c r="AB34" i="4"/>
  <c r="X34" i="4"/>
  <c r="AH34" i="4"/>
  <c r="Y34" i="4"/>
  <c r="AA34" i="4" s="1"/>
  <c r="AI34" i="4"/>
  <c r="U34" i="4"/>
  <c r="W34" i="4" s="1"/>
  <c r="R34" i="4"/>
  <c r="T34" i="4" s="1"/>
  <c r="AH19" i="4"/>
  <c r="X19" i="4"/>
  <c r="AL19" i="4"/>
  <c r="AC19" i="4"/>
  <c r="AF19" i="4" s="1"/>
  <c r="AN19" i="4" s="1"/>
  <c r="N13" i="11" s="1" a="1"/>
  <c r="N13" i="11" s="1"/>
  <c r="AB19" i="4"/>
  <c r="AI19" i="4"/>
  <c r="R19" i="4"/>
  <c r="T19" i="4" s="1"/>
  <c r="U19" i="4"/>
  <c r="W19" i="4" s="1"/>
  <c r="Y19" i="4"/>
  <c r="AA19" i="4" s="1"/>
  <c r="U73" i="4"/>
  <c r="W73" i="4" s="1"/>
  <c r="Y73" i="4"/>
  <c r="AA73" i="4" s="1"/>
  <c r="AI73" i="4"/>
  <c r="X73" i="4"/>
  <c r="AC73" i="4"/>
  <c r="AF73" i="4" s="1"/>
  <c r="AN73" i="4" s="1"/>
  <c r="N67" i="11" s="1" a="1"/>
  <c r="N67" i="11" s="1"/>
  <c r="AL73" i="4"/>
  <c r="AB73" i="4"/>
  <c r="AH73" i="4"/>
  <c r="R73" i="4"/>
  <c r="T73" i="4" s="1"/>
  <c r="AH79" i="4"/>
  <c r="U79" i="4"/>
  <c r="W79" i="4" s="1"/>
  <c r="AI79" i="4"/>
  <c r="R79" i="4"/>
  <c r="T79" i="4" s="1"/>
  <c r="Y79" i="4"/>
  <c r="AA79" i="4" s="1"/>
  <c r="X79" i="4"/>
  <c r="AB79" i="4"/>
  <c r="AL79" i="4"/>
  <c r="AC79" i="4"/>
  <c r="AF79" i="4" s="1"/>
  <c r="AN79" i="4" s="1"/>
  <c r="N73" i="11" s="1" a="1"/>
  <c r="N73" i="11" s="1"/>
  <c r="AH29" i="4"/>
  <c r="X29" i="4"/>
  <c r="AB29" i="4"/>
  <c r="AC29" i="4"/>
  <c r="AF29" i="4" s="1"/>
  <c r="AN29" i="4" s="1"/>
  <c r="N23" i="11" s="1" a="1"/>
  <c r="N23" i="11" s="1"/>
  <c r="AL29" i="4"/>
  <c r="R29" i="4"/>
  <c r="T29" i="4" s="1"/>
  <c r="U29" i="4"/>
  <c r="W29" i="4" s="1"/>
  <c r="AI29" i="4"/>
  <c r="Y29" i="4"/>
  <c r="AA29" i="4" s="1"/>
  <c r="AC31" i="4"/>
  <c r="AF31" i="4" s="1"/>
  <c r="AN31" i="4" s="1"/>
  <c r="N25" i="11" s="1" a="1"/>
  <c r="N25" i="11" s="1"/>
  <c r="AH31" i="4"/>
  <c r="AL31" i="4"/>
  <c r="U31" i="4"/>
  <c r="W31" i="4" s="1"/>
  <c r="Y31" i="4"/>
  <c r="AA31" i="4" s="1"/>
  <c r="AI31" i="4"/>
  <c r="R31" i="4"/>
  <c r="T31" i="4" s="1"/>
  <c r="X31" i="4"/>
  <c r="AB31" i="4"/>
  <c r="AL72" i="4"/>
  <c r="AB72" i="4"/>
  <c r="AC72" i="4"/>
  <c r="AF72" i="4" s="1"/>
  <c r="AN72" i="4" s="1"/>
  <c r="N66" i="11" s="1" a="1"/>
  <c r="N66" i="11" s="1"/>
  <c r="AH72" i="4"/>
  <c r="X72" i="4"/>
  <c r="R72" i="4"/>
  <c r="T72" i="4" s="1"/>
  <c r="Y72" i="4"/>
  <c r="AA72" i="4" s="1"/>
  <c r="U72" i="4"/>
  <c r="W72" i="4" s="1"/>
  <c r="AI72" i="4"/>
  <c r="R67" i="4"/>
  <c r="T67" i="4" s="1"/>
  <c r="AI67" i="4"/>
  <c r="X67" i="4"/>
  <c r="AB67" i="4"/>
  <c r="AC67" i="4"/>
  <c r="AF67" i="4" s="1"/>
  <c r="AN67" i="4" s="1"/>
  <c r="N61" i="11" s="1" a="1"/>
  <c r="N61" i="11" s="1"/>
  <c r="AL67" i="4"/>
  <c r="AH67" i="4"/>
  <c r="Y67" i="4"/>
  <c r="AA67" i="4" s="1"/>
  <c r="U67" i="4"/>
  <c r="W67" i="4" s="1"/>
  <c r="AB46" i="4"/>
  <c r="AC46" i="4"/>
  <c r="AF46" i="4" s="1"/>
  <c r="AN46" i="4" s="1"/>
  <c r="N40" i="11" s="1" a="1"/>
  <c r="N40" i="11" s="1"/>
  <c r="X46" i="4"/>
  <c r="AH46" i="4"/>
  <c r="AL46" i="4"/>
  <c r="R46" i="4"/>
  <c r="T46" i="4" s="1"/>
  <c r="U46" i="4"/>
  <c r="W46" i="4" s="1"/>
  <c r="AI46" i="4"/>
  <c r="Y46" i="4"/>
  <c r="AA46" i="4" s="1"/>
  <c r="AI38" i="4"/>
  <c r="R38" i="4"/>
  <c r="T38" i="4" s="1"/>
  <c r="Y38" i="4"/>
  <c r="AA38" i="4" s="1"/>
  <c r="U38" i="4"/>
  <c r="W38" i="4" s="1"/>
  <c r="X38" i="4"/>
  <c r="AC38" i="4"/>
  <c r="AF38" i="4" s="1"/>
  <c r="AN38" i="4" s="1"/>
  <c r="N32" i="11" s="1" a="1"/>
  <c r="N32" i="11" s="1"/>
  <c r="AL38" i="4"/>
  <c r="AB38" i="4"/>
  <c r="AH38" i="4"/>
  <c r="AL51" i="4"/>
  <c r="R51" i="4"/>
  <c r="T51" i="4" s="1"/>
  <c r="AI51" i="4"/>
  <c r="Y51" i="4"/>
  <c r="AA51" i="4" s="1"/>
  <c r="U51" i="4"/>
  <c r="W51" i="4" s="1"/>
  <c r="AH51" i="4"/>
  <c r="X51" i="4"/>
  <c r="AB51" i="4"/>
  <c r="AC51" i="4"/>
  <c r="AF51" i="4" s="1"/>
  <c r="AN51" i="4" s="1"/>
  <c r="N45" i="11" s="1" a="1"/>
  <c r="N45" i="11" s="1"/>
  <c r="AC20" i="4"/>
  <c r="AH20" i="4"/>
  <c r="X20" i="4"/>
  <c r="AL20" i="4"/>
  <c r="U20" i="4"/>
  <c r="AJ20" i="4"/>
  <c r="AI20" i="4"/>
  <c r="S20" i="4"/>
  <c r="Y20" i="4"/>
  <c r="Z20" i="4"/>
  <c r="R20" i="4"/>
  <c r="AB20" i="4"/>
  <c r="V20" i="4"/>
  <c r="AI23" i="4"/>
  <c r="U23" i="4"/>
  <c r="W23" i="4" s="1"/>
  <c r="Y23" i="4"/>
  <c r="AA23" i="4" s="1"/>
  <c r="AB23" i="4"/>
  <c r="AC23" i="4"/>
  <c r="AF23" i="4" s="1"/>
  <c r="AN23" i="4" s="1"/>
  <c r="N17" i="11" s="1" a="1"/>
  <c r="N17" i="11" s="1"/>
  <c r="AH23" i="4"/>
  <c r="AL23" i="4"/>
  <c r="X23" i="4"/>
  <c r="R23" i="4"/>
  <c r="T23" i="4" s="1"/>
  <c r="U14" i="4"/>
  <c r="S14" i="4"/>
  <c r="Y14" i="4"/>
  <c r="Z14" i="4"/>
  <c r="V14" i="4"/>
  <c r="AI14" i="4"/>
  <c r="X14" i="4"/>
  <c r="AJ14" i="4"/>
  <c r="AL14" i="4"/>
  <c r="AH14" i="4"/>
  <c r="AC14" i="4"/>
  <c r="AB14" i="4"/>
  <c r="R14" i="4"/>
  <c r="V25" i="4"/>
  <c r="AI25" i="4"/>
  <c r="R25" i="4"/>
  <c r="Z25" i="4"/>
  <c r="AJ25" i="4"/>
  <c r="AL25" i="4"/>
  <c r="U25" i="4"/>
  <c r="AB25" i="4"/>
  <c r="AC25" i="4"/>
  <c r="X25" i="4"/>
  <c r="AH25" i="4"/>
  <c r="S25" i="4"/>
  <c r="Y25" i="4"/>
  <c r="X36" i="4"/>
  <c r="AH36" i="4"/>
  <c r="AL36" i="4"/>
  <c r="AB36" i="4"/>
  <c r="AC36" i="4"/>
  <c r="AF36" i="4" s="1"/>
  <c r="AN36" i="4" s="1"/>
  <c r="N30" i="11" s="1" a="1"/>
  <c r="N30" i="11" s="1"/>
  <c r="Y36" i="4"/>
  <c r="AA36" i="4" s="1"/>
  <c r="R36" i="4"/>
  <c r="T36" i="4" s="1"/>
  <c r="U36" i="4"/>
  <c r="W36" i="4" s="1"/>
  <c r="AI36" i="4"/>
  <c r="Y82" i="4"/>
  <c r="AA82" i="4" s="1"/>
  <c r="R82" i="4"/>
  <c r="T82" i="4" s="1"/>
  <c r="U82" i="4"/>
  <c r="W82" i="4" s="1"/>
  <c r="AI82" i="4"/>
  <c r="AH82" i="4"/>
  <c r="AL82" i="4"/>
  <c r="AB82" i="4"/>
  <c r="AC82" i="4"/>
  <c r="AF82" i="4" s="1"/>
  <c r="AN82" i="4" s="1"/>
  <c r="N76" i="11" s="1" a="1"/>
  <c r="N76" i="11" s="1"/>
  <c r="X82" i="4"/>
  <c r="AH18" i="4"/>
  <c r="X18" i="4"/>
  <c r="AL18" i="4"/>
  <c r="AB18" i="4"/>
  <c r="AC18" i="4"/>
  <c r="AF18" i="4" s="1"/>
  <c r="AN18" i="4" s="1"/>
  <c r="N12" i="11" s="1" a="1"/>
  <c r="N12" i="11" s="1"/>
  <c r="R18" i="4"/>
  <c r="T18" i="4" s="1"/>
  <c r="U18" i="4"/>
  <c r="W18" i="4" s="1"/>
  <c r="AI18" i="4"/>
  <c r="Y18" i="4"/>
  <c r="AA18" i="4" s="1"/>
  <c r="AH10" i="4"/>
  <c r="X10" i="4"/>
  <c r="AL10" i="4"/>
  <c r="U10" i="4"/>
  <c r="S10" i="4"/>
  <c r="AJ10" i="4"/>
  <c r="Z10" i="4"/>
  <c r="Y10" i="4"/>
  <c r="R10" i="4"/>
  <c r="V10" i="4"/>
  <c r="AB10" i="4"/>
  <c r="AC10" i="4"/>
  <c r="AI10" i="4"/>
  <c r="Y47" i="4"/>
  <c r="AA47" i="4" s="1"/>
  <c r="R47" i="4"/>
  <c r="T47" i="4" s="1"/>
  <c r="U47" i="4"/>
  <c r="W47" i="4" s="1"/>
  <c r="AI47" i="4"/>
  <c r="X47" i="4"/>
  <c r="AL47" i="4"/>
  <c r="AB47" i="4"/>
  <c r="AC47" i="4"/>
  <c r="AF47" i="4" s="1"/>
  <c r="AN47" i="4" s="1"/>
  <c r="N41" i="11" s="1" a="1"/>
  <c r="N41" i="11" s="1"/>
  <c r="AH47" i="4"/>
  <c r="AI27" i="4"/>
  <c r="U27" i="4"/>
  <c r="W27" i="4" s="1"/>
  <c r="X27" i="4"/>
  <c r="AB27" i="4"/>
  <c r="AL27" i="4"/>
  <c r="AC27" i="4"/>
  <c r="AF27" i="4" s="1"/>
  <c r="AN27" i="4" s="1"/>
  <c r="N21" i="11" s="1" a="1"/>
  <c r="N21" i="11" s="1"/>
  <c r="AH27" i="4"/>
  <c r="R27" i="4"/>
  <c r="T27" i="4" s="1"/>
  <c r="Y27" i="4"/>
  <c r="AA27" i="4" s="1"/>
  <c r="Y12" i="4"/>
  <c r="S12" i="4"/>
  <c r="V12" i="4"/>
  <c r="AC12" i="4"/>
  <c r="U12" i="4"/>
  <c r="X12" i="4"/>
  <c r="AH12" i="4"/>
  <c r="AL12" i="4"/>
  <c r="AB12" i="4"/>
  <c r="Z12" i="4"/>
  <c r="AI12" i="4"/>
  <c r="AJ12" i="4"/>
  <c r="R12" i="4"/>
  <c r="AI69" i="4"/>
  <c r="Y69" i="4"/>
  <c r="AA69" i="4" s="1"/>
  <c r="U69" i="4"/>
  <c r="W69" i="4" s="1"/>
  <c r="AB69" i="4"/>
  <c r="AC69" i="4"/>
  <c r="AF69" i="4" s="1"/>
  <c r="AN69" i="4" s="1"/>
  <c r="N63" i="11" s="1" a="1"/>
  <c r="N63" i="11" s="1"/>
  <c r="X69" i="4"/>
  <c r="AL69" i="4"/>
  <c r="AH69" i="4"/>
  <c r="R69" i="4"/>
  <c r="T69" i="4" s="1"/>
  <c r="X53" i="4"/>
  <c r="AC53" i="4"/>
  <c r="AI53" i="4"/>
  <c r="S53" i="4"/>
  <c r="V53" i="4"/>
  <c r="R53" i="4"/>
  <c r="Z53" i="4"/>
  <c r="U53" i="4"/>
  <c r="Y53" i="4"/>
  <c r="AH53" i="4"/>
  <c r="AJ53" i="4"/>
  <c r="AL53" i="4"/>
  <c r="AB53" i="4"/>
  <c r="AC78" i="4"/>
  <c r="AF78" i="4" s="1"/>
  <c r="AN78" i="4" s="1"/>
  <c r="N72" i="11" s="1" a="1"/>
  <c r="N72" i="11" s="1"/>
  <c r="AH78" i="4"/>
  <c r="R78" i="4"/>
  <c r="T78" i="4" s="1"/>
  <c r="Y78" i="4"/>
  <c r="AA78" i="4" s="1"/>
  <c r="U78" i="4"/>
  <c r="W78" i="4" s="1"/>
  <c r="AI78" i="4"/>
  <c r="AL78" i="4"/>
  <c r="AB78" i="4"/>
  <c r="X78" i="4"/>
  <c r="AH74" i="4"/>
  <c r="X74" i="4"/>
  <c r="AC74" i="4"/>
  <c r="AF74" i="4" s="1"/>
  <c r="AN74" i="4" s="1"/>
  <c r="N68" i="11" s="1" a="1"/>
  <c r="N68" i="11" s="1"/>
  <c r="AL74" i="4"/>
  <c r="AB74" i="4"/>
  <c r="AI74" i="4"/>
  <c r="U74" i="4"/>
  <c r="W74" i="4" s="1"/>
  <c r="Y74" i="4"/>
  <c r="AA74" i="4" s="1"/>
  <c r="R74" i="4"/>
  <c r="T74" i="4" s="1"/>
  <c r="AC75" i="4"/>
  <c r="AF75" i="4" s="1"/>
  <c r="AN75" i="4" s="1"/>
  <c r="N69" i="11" s="1" a="1"/>
  <c r="N69" i="11" s="1"/>
  <c r="Y75" i="4"/>
  <c r="AA75" i="4" s="1"/>
  <c r="R75" i="4"/>
  <c r="T75" i="4" s="1"/>
  <c r="U75" i="4"/>
  <c r="W75" i="4" s="1"/>
  <c r="AI75" i="4"/>
  <c r="AH75" i="4"/>
  <c r="X75" i="4"/>
  <c r="AL75" i="4"/>
  <c r="AB75" i="4"/>
  <c r="R71" i="4"/>
  <c r="T71" i="4" s="1"/>
  <c r="X71" i="4"/>
  <c r="AL71" i="4"/>
  <c r="AB71" i="4"/>
  <c r="AC71" i="4"/>
  <c r="AF71" i="4" s="1"/>
  <c r="AN71" i="4" s="1"/>
  <c r="N65" i="11" s="1" a="1"/>
  <c r="N65" i="11" s="1"/>
  <c r="AH71" i="4"/>
  <c r="U71" i="4"/>
  <c r="W71" i="4" s="1"/>
  <c r="Y71" i="4"/>
  <c r="AA71" i="4" s="1"/>
  <c r="AI71" i="4"/>
  <c r="AH61" i="4"/>
  <c r="AI61" i="4"/>
  <c r="Y61" i="4"/>
  <c r="AA61" i="4" s="1"/>
  <c r="R61" i="4"/>
  <c r="T61" i="4" s="1"/>
  <c r="U61" i="4"/>
  <c r="W61" i="4" s="1"/>
  <c r="X61" i="4"/>
  <c r="AL61" i="4"/>
  <c r="AB61" i="4"/>
  <c r="AC61" i="4"/>
  <c r="AF61" i="4" s="1"/>
  <c r="AN61" i="4" s="1"/>
  <c r="N55" i="11" s="1" a="1"/>
  <c r="N55" i="11" s="1"/>
  <c r="AL26" i="4"/>
  <c r="AB26" i="4"/>
  <c r="R26" i="4"/>
  <c r="T26" i="4" s="1"/>
  <c r="U26" i="4"/>
  <c r="W26" i="4" s="1"/>
  <c r="Y26" i="4"/>
  <c r="AA26" i="4" s="1"/>
  <c r="AI26" i="4"/>
  <c r="AC26" i="4"/>
  <c r="AF26" i="4" s="1"/>
  <c r="AN26" i="4" s="1"/>
  <c r="N20" i="11" s="1" a="1"/>
  <c r="N20" i="11" s="1"/>
  <c r="AH26" i="4"/>
  <c r="X26" i="4"/>
  <c r="R54" i="4"/>
  <c r="T54" i="4" s="1"/>
  <c r="U54" i="4"/>
  <c r="W54" i="4" s="1"/>
  <c r="X54" i="4"/>
  <c r="AH54" i="4"/>
  <c r="AL54" i="4"/>
  <c r="AC54" i="4"/>
  <c r="AF54" i="4" s="1"/>
  <c r="AN54" i="4" s="1"/>
  <c r="N48" i="11" s="1" a="1"/>
  <c r="N48" i="11" s="1"/>
  <c r="AB54" i="4"/>
  <c r="Y54" i="4"/>
  <c r="AA54" i="4" s="1"/>
  <c r="AI54" i="4"/>
  <c r="AH37" i="4"/>
  <c r="AL37" i="4"/>
  <c r="R37" i="4"/>
  <c r="T37" i="4" s="1"/>
  <c r="U37" i="4"/>
  <c r="W37" i="4" s="1"/>
  <c r="Y37" i="4"/>
  <c r="AA37" i="4" s="1"/>
  <c r="AI37" i="4"/>
  <c r="AC37" i="4"/>
  <c r="AF37" i="4" s="1"/>
  <c r="AN37" i="4" s="1"/>
  <c r="N31" i="11" s="1" a="1"/>
  <c r="N31" i="11" s="1"/>
  <c r="AB37" i="4"/>
  <c r="X37" i="4"/>
  <c r="AL56" i="4"/>
  <c r="AH56" i="4"/>
  <c r="AB56" i="4"/>
  <c r="AC56" i="4"/>
  <c r="AF56" i="4" s="1"/>
  <c r="AN56" i="4" s="1"/>
  <c r="N50" i="11" s="1" a="1"/>
  <c r="N50" i="11" s="1"/>
  <c r="U56" i="4"/>
  <c r="W56" i="4" s="1"/>
  <c r="Y56" i="4"/>
  <c r="AA56" i="4" s="1"/>
  <c r="AI56" i="4"/>
  <c r="R56" i="4"/>
  <c r="T56" i="4" s="1"/>
  <c r="X56" i="4"/>
  <c r="X33" i="4"/>
  <c r="AH33" i="4"/>
  <c r="AL33" i="4"/>
  <c r="AB33" i="4"/>
  <c r="AC33" i="4"/>
  <c r="AF33" i="4" s="1"/>
  <c r="AN33" i="4" s="1"/>
  <c r="N27" i="11" s="1" a="1"/>
  <c r="N27" i="11" s="1"/>
  <c r="Y33" i="4"/>
  <c r="AA33" i="4" s="1"/>
  <c r="R33" i="4"/>
  <c r="T33" i="4" s="1"/>
  <c r="U33" i="4"/>
  <c r="W33" i="4" s="1"/>
  <c r="AI33" i="4"/>
  <c r="AB83" i="4"/>
  <c r="AL83" i="4"/>
  <c r="AC83" i="4"/>
  <c r="Z83" i="4"/>
  <c r="V83" i="4"/>
  <c r="R83" i="4"/>
  <c r="AI83" i="4"/>
  <c r="Y83" i="4"/>
  <c r="U83" i="4"/>
  <c r="S83" i="4"/>
  <c r="X83" i="4"/>
  <c r="AJ83" i="4"/>
  <c r="AH83" i="4"/>
  <c r="AC28" i="4"/>
  <c r="AF28" i="4" s="1"/>
  <c r="AN28" i="4" s="1"/>
  <c r="N22" i="11" s="1" a="1"/>
  <c r="N22" i="11" s="1"/>
  <c r="AH28" i="4"/>
  <c r="X28" i="4"/>
  <c r="AL28" i="4"/>
  <c r="AB28" i="4"/>
  <c r="AI28" i="4"/>
  <c r="Y28" i="4"/>
  <c r="AA28" i="4" s="1"/>
  <c r="U28" i="4"/>
  <c r="W28" i="4" s="1"/>
  <c r="R28" i="4"/>
  <c r="T28" i="4" s="1"/>
  <c r="AB22" i="4"/>
  <c r="AC22" i="4"/>
  <c r="AF22" i="4" s="1"/>
  <c r="AN22" i="4" s="1"/>
  <c r="N16" i="11" s="1" a="1"/>
  <c r="N16" i="11" s="1"/>
  <c r="AH22" i="4"/>
  <c r="X22" i="4"/>
  <c r="AL22" i="4"/>
  <c r="R22" i="4"/>
  <c r="T22" i="4" s="1"/>
  <c r="U22" i="4"/>
  <c r="W22" i="4" s="1"/>
  <c r="Y22" i="4"/>
  <c r="AA22" i="4" s="1"/>
  <c r="AI22" i="4"/>
  <c r="AC62" i="4"/>
  <c r="AF62" i="4" s="1"/>
  <c r="AN62" i="4" s="1"/>
  <c r="N56" i="11" s="1" a="1"/>
  <c r="N56" i="11" s="1"/>
  <c r="AB62" i="4"/>
  <c r="AH62" i="4"/>
  <c r="X62" i="4"/>
  <c r="AL62" i="4"/>
  <c r="Y62" i="4"/>
  <c r="AA62" i="4" s="1"/>
  <c r="U62" i="4"/>
  <c r="W62" i="4" s="1"/>
  <c r="AI62" i="4"/>
  <c r="R62" i="4"/>
  <c r="T62" i="4" s="1"/>
  <c r="AC77" i="4"/>
  <c r="AF77" i="4" s="1"/>
  <c r="AN77" i="4" s="1"/>
  <c r="N71" i="11" s="1" a="1"/>
  <c r="N71" i="11" s="1"/>
  <c r="AH77" i="4"/>
  <c r="AL77" i="4"/>
  <c r="AB77" i="4"/>
  <c r="X77" i="4"/>
  <c r="R77" i="4"/>
  <c r="T77" i="4" s="1"/>
  <c r="AI77" i="4"/>
  <c r="Y77" i="4"/>
  <c r="AA77" i="4" s="1"/>
  <c r="U77" i="4"/>
  <c r="W77" i="4" s="1"/>
  <c r="AL70" i="4"/>
  <c r="AB70" i="4"/>
  <c r="AC70" i="4"/>
  <c r="AF70" i="4" s="1"/>
  <c r="AN70" i="4" s="1"/>
  <c r="N64" i="11" s="1" a="1"/>
  <c r="N64" i="11" s="1"/>
  <c r="AH70" i="4"/>
  <c r="R70" i="4"/>
  <c r="T70" i="4" s="1"/>
  <c r="AI70" i="4"/>
  <c r="Y70" i="4"/>
  <c r="AA70" i="4" s="1"/>
  <c r="U70" i="4"/>
  <c r="W70" i="4" s="1"/>
  <c r="X70" i="4"/>
  <c r="Z13" i="4"/>
  <c r="AJ13" i="4"/>
  <c r="AH13" i="4"/>
  <c r="S13" i="4"/>
  <c r="AB13" i="4"/>
  <c r="AC13" i="4"/>
  <c r="X13" i="4"/>
  <c r="AL13" i="4"/>
  <c r="Y13" i="4"/>
  <c r="R13" i="4"/>
  <c r="V13" i="4"/>
  <c r="U13" i="4"/>
  <c r="AI13" i="4"/>
  <c r="AC80" i="4"/>
  <c r="AF80" i="4" s="1"/>
  <c r="AN80" i="4" s="1"/>
  <c r="N74" i="11" s="1" a="1"/>
  <c r="N74" i="11" s="1"/>
  <c r="AH80" i="4"/>
  <c r="AB80" i="4"/>
  <c r="R80" i="4"/>
  <c r="T80" i="4" s="1"/>
  <c r="AI80" i="4"/>
  <c r="U80" i="4"/>
  <c r="W80" i="4" s="1"/>
  <c r="Y80" i="4"/>
  <c r="AA80" i="4" s="1"/>
  <c r="X80" i="4"/>
  <c r="AL80" i="4"/>
  <c r="R57" i="4"/>
  <c r="T57" i="4" s="1"/>
  <c r="AI57" i="4"/>
  <c r="Y57" i="4"/>
  <c r="AA57" i="4" s="1"/>
  <c r="U57" i="4"/>
  <c r="W57" i="4" s="1"/>
  <c r="AL57" i="4"/>
  <c r="AB57" i="4"/>
  <c r="AH57" i="4"/>
  <c r="AC57" i="4"/>
  <c r="AF57" i="4" s="1"/>
  <c r="AN57" i="4" s="1"/>
  <c r="N51" i="11" s="1" a="1"/>
  <c r="N51" i="11" s="1"/>
  <c r="X57" i="4"/>
  <c r="AL65" i="4"/>
  <c r="AB65" i="4"/>
  <c r="AC65" i="4"/>
  <c r="AF65" i="4" s="1"/>
  <c r="AN65" i="4" s="1"/>
  <c r="N59" i="11" s="1" a="1"/>
  <c r="N59" i="11" s="1"/>
  <c r="AI65" i="4"/>
  <c r="R65" i="4"/>
  <c r="T65" i="4" s="1"/>
  <c r="Y65" i="4"/>
  <c r="AA65" i="4" s="1"/>
  <c r="U65" i="4"/>
  <c r="W65" i="4" s="1"/>
  <c r="AH65" i="4"/>
  <c r="X65" i="4"/>
  <c r="AL24" i="4"/>
  <c r="AB24" i="4"/>
  <c r="AH24" i="4"/>
  <c r="X24" i="4"/>
  <c r="AC24" i="4"/>
  <c r="AF24" i="4" s="1"/>
  <c r="AN24" i="4" s="1"/>
  <c r="N18" i="11" s="1" a="1"/>
  <c r="N18" i="11" s="1"/>
  <c r="AI24" i="4"/>
  <c r="U24" i="4"/>
  <c r="W24" i="4" s="1"/>
  <c r="R24" i="4"/>
  <c r="T24" i="4" s="1"/>
  <c r="Y24" i="4"/>
  <c r="AA24" i="4" s="1"/>
  <c r="AB44" i="4"/>
  <c r="AC44" i="4"/>
  <c r="AF44" i="4" s="1"/>
  <c r="AN44" i="4" s="1"/>
  <c r="N38" i="11" s="1" a="1"/>
  <c r="N38" i="11" s="1"/>
  <c r="AH44" i="4"/>
  <c r="AL44" i="4"/>
  <c r="X44" i="4"/>
  <c r="Y44" i="4"/>
  <c r="AA44" i="4" s="1"/>
  <c r="R44" i="4"/>
  <c r="T44" i="4" s="1"/>
  <c r="U44" i="4"/>
  <c r="W44" i="4" s="1"/>
  <c r="AI44" i="4"/>
  <c r="R21" i="4"/>
  <c r="U21" i="4"/>
  <c r="AJ21" i="4"/>
  <c r="AI21" i="4"/>
  <c r="AB21" i="4"/>
  <c r="Y21" i="4"/>
  <c r="AL21" i="4"/>
  <c r="X21" i="4"/>
  <c r="AC21" i="4"/>
  <c r="AH21" i="4"/>
  <c r="S21" i="4"/>
  <c r="V21" i="4"/>
  <c r="Z21" i="4"/>
  <c r="AI68" i="4"/>
  <c r="AC68" i="4"/>
  <c r="AF68" i="4" s="1"/>
  <c r="AN68" i="4" s="1"/>
  <c r="N62" i="11" s="1" a="1"/>
  <c r="N62" i="11" s="1"/>
  <c r="X68" i="4"/>
  <c r="AL68" i="4"/>
  <c r="AB68" i="4"/>
  <c r="AH68" i="4"/>
  <c r="R68" i="4"/>
  <c r="T68" i="4" s="1"/>
  <c r="U68" i="4"/>
  <c r="W68" i="4" s="1"/>
  <c r="Y68" i="4"/>
  <c r="AA68" i="4" s="1"/>
  <c r="U42" i="4"/>
  <c r="W42" i="4" s="1"/>
  <c r="AC42" i="4"/>
  <c r="AF42" i="4" s="1"/>
  <c r="AN42" i="4" s="1"/>
  <c r="N36" i="11" s="1" a="1"/>
  <c r="N36" i="11" s="1"/>
  <c r="AH42" i="4"/>
  <c r="X42" i="4"/>
  <c r="AB42" i="4"/>
  <c r="AL42" i="4"/>
  <c r="Y42" i="4"/>
  <c r="AA42" i="4" s="1"/>
  <c r="R42" i="4"/>
  <c r="T42" i="4" s="1"/>
  <c r="AI42" i="4"/>
  <c r="AB40" i="4"/>
  <c r="R40" i="4"/>
  <c r="T40" i="4" s="1"/>
  <c r="Y40" i="4"/>
  <c r="AA40" i="4" s="1"/>
  <c r="AI40" i="4"/>
  <c r="U40" i="4"/>
  <c r="W40" i="4" s="1"/>
  <c r="AC40" i="4"/>
  <c r="AF40" i="4" s="1"/>
  <c r="AN40" i="4" s="1"/>
  <c r="N34" i="11" s="1" a="1"/>
  <c r="N34" i="11" s="1"/>
  <c r="AH40" i="4"/>
  <c r="X40" i="4"/>
  <c r="AL40" i="4"/>
  <c r="AL66" i="4"/>
  <c r="AC66" i="4"/>
  <c r="AF66" i="4" s="1"/>
  <c r="AN66" i="4" s="1"/>
  <c r="N60" i="11" s="1" a="1"/>
  <c r="N60" i="11" s="1"/>
  <c r="AB66" i="4"/>
  <c r="X66" i="4"/>
  <c r="Y66" i="4"/>
  <c r="AA66" i="4" s="1"/>
  <c r="R66" i="4"/>
  <c r="T66" i="4" s="1"/>
  <c r="AI66" i="4"/>
  <c r="U66" i="4"/>
  <c r="W66" i="4" s="1"/>
  <c r="AH66" i="4"/>
  <c r="AB60" i="4"/>
  <c r="AH60" i="4"/>
  <c r="AC60" i="4"/>
  <c r="AF60" i="4" s="1"/>
  <c r="AN60" i="4" s="1"/>
  <c r="N54" i="11" s="1" a="1"/>
  <c r="N54" i="11" s="1"/>
  <c r="X60" i="4"/>
  <c r="Y60" i="4"/>
  <c r="AA60" i="4" s="1"/>
  <c r="AI60" i="4"/>
  <c r="U60" i="4"/>
  <c r="W60" i="4" s="1"/>
  <c r="R60" i="4"/>
  <c r="T60" i="4" s="1"/>
  <c r="AL60" i="4"/>
  <c r="AB58" i="4"/>
  <c r="AC58" i="4"/>
  <c r="AF58" i="4" s="1"/>
  <c r="AN58" i="4" s="1"/>
  <c r="N52" i="11" s="1" a="1"/>
  <c r="N52" i="11" s="1"/>
  <c r="AH58" i="4"/>
  <c r="AL58" i="4"/>
  <c r="AI58" i="4"/>
  <c r="R58" i="4"/>
  <c r="T58" i="4" s="1"/>
  <c r="U58" i="4"/>
  <c r="W58" i="4" s="1"/>
  <c r="Y58" i="4"/>
  <c r="AA58" i="4" s="1"/>
  <c r="X58" i="4"/>
  <c r="Y30" i="4"/>
  <c r="AA30" i="4" s="1"/>
  <c r="R30" i="4"/>
  <c r="T30" i="4" s="1"/>
  <c r="U30" i="4"/>
  <c r="W30" i="4" s="1"/>
  <c r="AL30" i="4"/>
  <c r="X30" i="4"/>
  <c r="AB30" i="4"/>
  <c r="AC30" i="4"/>
  <c r="AF30" i="4" s="1"/>
  <c r="AN30" i="4" s="1"/>
  <c r="N24" i="11" s="1" a="1"/>
  <c r="N24" i="11" s="1"/>
  <c r="AH30" i="4"/>
  <c r="AI30" i="4"/>
  <c r="Y48" i="4"/>
  <c r="AA48" i="4" s="1"/>
  <c r="R48" i="4"/>
  <c r="T48" i="4" s="1"/>
  <c r="U48" i="4"/>
  <c r="W48" i="4" s="1"/>
  <c r="AI48" i="4"/>
  <c r="AH48" i="4"/>
  <c r="X48" i="4"/>
  <c r="AC48" i="4"/>
  <c r="AF48" i="4" s="1"/>
  <c r="AN48" i="4" s="1"/>
  <c r="N42" i="11" s="1" a="1"/>
  <c r="N42" i="11" s="1"/>
  <c r="AB48" i="4"/>
  <c r="AL48" i="4"/>
  <c r="AC11" i="4"/>
  <c r="Z11" i="4"/>
  <c r="AH11" i="4"/>
  <c r="X11" i="4"/>
  <c r="AL11" i="4"/>
  <c r="AB11" i="4"/>
  <c r="U11" i="4"/>
  <c r="AJ11" i="4"/>
  <c r="R11" i="4"/>
  <c r="S11" i="4"/>
  <c r="V11" i="4"/>
  <c r="AI11" i="4"/>
  <c r="Y11" i="4"/>
  <c r="AL49" i="4"/>
  <c r="AB49" i="4"/>
  <c r="AC49" i="4"/>
  <c r="AF49" i="4" s="1"/>
  <c r="AN49" i="4" s="1"/>
  <c r="N43" i="11" s="1" a="1"/>
  <c r="N43" i="11" s="1"/>
  <c r="X49" i="4"/>
  <c r="AH49" i="4"/>
  <c r="U49" i="4"/>
  <c r="W49" i="4" s="1"/>
  <c r="R49" i="4"/>
  <c r="T49" i="4" s="1"/>
  <c r="AI49" i="4"/>
  <c r="Y49" i="4"/>
  <c r="AA49" i="4" s="1"/>
  <c r="AL45" i="4"/>
  <c r="AB45" i="4"/>
  <c r="AC45" i="4"/>
  <c r="AF45" i="4" s="1"/>
  <c r="AN45" i="4" s="1"/>
  <c r="N39" i="11" s="1" a="1"/>
  <c r="N39" i="11" s="1"/>
  <c r="AH45" i="4"/>
  <c r="U45" i="4"/>
  <c r="W45" i="4" s="1"/>
  <c r="Y45" i="4"/>
  <c r="AA45" i="4" s="1"/>
  <c r="R45" i="4"/>
  <c r="T45" i="4" s="1"/>
  <c r="AI45" i="4"/>
  <c r="X45" i="4"/>
  <c r="V50" i="4"/>
  <c r="AI50" i="4"/>
  <c r="R50" i="4"/>
  <c r="AJ50" i="4"/>
  <c r="Z50" i="4"/>
  <c r="AB50" i="4"/>
  <c r="S50" i="4"/>
  <c r="AL50" i="4"/>
  <c r="X50" i="4"/>
  <c r="AH50" i="4"/>
  <c r="AC50" i="4"/>
  <c r="Y50" i="4"/>
  <c r="U50" i="4"/>
  <c r="AL81" i="4"/>
  <c r="AB81" i="4"/>
  <c r="AC81" i="4"/>
  <c r="AF81" i="4" s="1"/>
  <c r="AN81" i="4" s="1"/>
  <c r="N75" i="11" s="1" a="1"/>
  <c r="N75" i="11" s="1"/>
  <c r="AH81" i="4"/>
  <c r="X81" i="4"/>
  <c r="AI81" i="4"/>
  <c r="R81" i="4"/>
  <c r="T81" i="4" s="1"/>
  <c r="U81" i="4"/>
  <c r="W81" i="4" s="1"/>
  <c r="Y81" i="4"/>
  <c r="AA81" i="4" s="1"/>
  <c r="R76" i="4"/>
  <c r="T76" i="4" s="1"/>
  <c r="AI76" i="4"/>
  <c r="AB76" i="4"/>
  <c r="AC76" i="4"/>
  <c r="AF76" i="4" s="1"/>
  <c r="AN76" i="4" s="1"/>
  <c r="N70" i="11" s="1" a="1"/>
  <c r="N70" i="11" s="1"/>
  <c r="AL76" i="4"/>
  <c r="AH76" i="4"/>
  <c r="X76" i="4"/>
  <c r="U76" i="4"/>
  <c r="W76" i="4" s="1"/>
  <c r="Y76" i="4"/>
  <c r="AA76" i="4" s="1"/>
  <c r="U15" i="4"/>
  <c r="W15" i="4" s="1"/>
  <c r="Y15" i="4"/>
  <c r="AA15" i="4" s="1"/>
  <c r="AI15" i="4"/>
  <c r="R15" i="4"/>
  <c r="T15" i="4" s="1"/>
  <c r="X15" i="4"/>
  <c r="AL15" i="4"/>
  <c r="AB15" i="4"/>
  <c r="AC15" i="4"/>
  <c r="AF15" i="4" s="1"/>
  <c r="AN15" i="4" s="1"/>
  <c r="N9" i="11" s="1" a="1"/>
  <c r="N9" i="11" s="1"/>
  <c r="AH15" i="4"/>
  <c r="AH55" i="4"/>
  <c r="U55" i="4"/>
  <c r="W55" i="4" s="1"/>
  <c r="Y55" i="4"/>
  <c r="AA55" i="4" s="1"/>
  <c r="R55" i="4"/>
  <c r="T55" i="4" s="1"/>
  <c r="AI55" i="4"/>
  <c r="X55" i="4"/>
  <c r="AL55" i="4"/>
  <c r="AB55" i="4"/>
  <c r="AC55" i="4"/>
  <c r="AF55" i="4" s="1"/>
  <c r="AN55" i="4" s="1"/>
  <c r="N49" i="11" s="1" a="1"/>
  <c r="N49" i="11" s="1"/>
  <c r="AH52" i="4"/>
  <c r="X52" i="4"/>
  <c r="AL52" i="4"/>
  <c r="AB52" i="4"/>
  <c r="AC52" i="4"/>
  <c r="AF52" i="4" s="1"/>
  <c r="AN52" i="4" s="1"/>
  <c r="N46" i="11" s="1" a="1"/>
  <c r="N46" i="11" s="1"/>
  <c r="R52" i="4"/>
  <c r="T52" i="4" s="1"/>
  <c r="AI52" i="4"/>
  <c r="Y52" i="4"/>
  <c r="AA52" i="4" s="1"/>
  <c r="U52" i="4"/>
  <c r="W52" i="4" s="1"/>
  <c r="U64" i="4"/>
  <c r="W64" i="4" s="1"/>
  <c r="AH64" i="4"/>
  <c r="AB64" i="4"/>
  <c r="AC64" i="4"/>
  <c r="AF64" i="4" s="1"/>
  <c r="AN64" i="4" s="1"/>
  <c r="N58" i="11" s="1" a="1"/>
  <c r="N58" i="11" s="1"/>
  <c r="AL64" i="4"/>
  <c r="X64" i="4"/>
  <c r="R64" i="4"/>
  <c r="T64" i="4" s="1"/>
  <c r="Y64" i="4"/>
  <c r="AA64" i="4" s="1"/>
  <c r="AI64" i="4"/>
  <c r="R35" i="4"/>
  <c r="T35" i="4" s="1"/>
  <c r="Y35" i="4"/>
  <c r="AA35" i="4" s="1"/>
  <c r="X35" i="4"/>
  <c r="AL35" i="4"/>
  <c r="AB35" i="4"/>
  <c r="AC35" i="4"/>
  <c r="AF35" i="4" s="1"/>
  <c r="AN35" i="4" s="1"/>
  <c r="N29" i="11" s="1" a="1"/>
  <c r="N29" i="11" s="1"/>
  <c r="AH35" i="4"/>
  <c r="U35" i="4"/>
  <c r="W35" i="4" s="1"/>
  <c r="AI35" i="4"/>
  <c r="AI32" i="4"/>
  <c r="U32" i="4"/>
  <c r="W32" i="4" s="1"/>
  <c r="X32" i="4"/>
  <c r="AB32" i="4"/>
  <c r="AC32" i="4"/>
  <c r="AF32" i="4" s="1"/>
  <c r="AN32" i="4" s="1"/>
  <c r="N26" i="11" s="1" a="1"/>
  <c r="N26" i="11" s="1"/>
  <c r="AL32" i="4"/>
  <c r="AH32" i="4"/>
  <c r="R32" i="4"/>
  <c r="T32" i="4" s="1"/>
  <c r="Y32" i="4"/>
  <c r="AA32" i="4" s="1"/>
  <c r="AH41" i="4"/>
  <c r="X41" i="4"/>
  <c r="AL41" i="4"/>
  <c r="AB41" i="4"/>
  <c r="AC41" i="4"/>
  <c r="AF41" i="4" s="1"/>
  <c r="AN41" i="4" s="1"/>
  <c r="N35" i="11" s="1" a="1"/>
  <c r="N35" i="11" s="1"/>
  <c r="AI41" i="4"/>
  <c r="Y41" i="4"/>
  <c r="AA41" i="4" s="1"/>
  <c r="R41" i="4"/>
  <c r="T41" i="4" s="1"/>
  <c r="U41" i="4"/>
  <c r="W41" i="4" s="1"/>
  <c r="R43" i="4"/>
  <c r="T43" i="4" s="1"/>
  <c r="U43" i="4"/>
  <c r="W43" i="4" s="1"/>
  <c r="AH43" i="4"/>
  <c r="AC43" i="4"/>
  <c r="AF43" i="4" s="1"/>
  <c r="AN43" i="4" s="1"/>
  <c r="N37" i="11" s="1" a="1"/>
  <c r="N37" i="11" s="1"/>
  <c r="AB43" i="4"/>
  <c r="AL43" i="4"/>
  <c r="X43" i="4"/>
  <c r="AI43" i="4"/>
  <c r="Y43" i="4"/>
  <c r="AA43" i="4" s="1"/>
  <c r="M4" i="9" l="1" a="1"/>
  <c r="M4" i="9" s="1"/>
  <c r="K4" i="9" a="1"/>
  <c r="K4" i="9" s="1"/>
  <c r="L4" i="9" s="1"/>
  <c r="O4" i="9" a="1"/>
  <c r="O4" i="9" s="1"/>
  <c r="R4" i="9" s="1" a="1"/>
  <c r="R4" i="9" s="1"/>
  <c r="Q4" i="9" s="1" a="1"/>
  <c r="Q4" i="9" s="1"/>
  <c r="S4" i="9" s="1" a="1"/>
  <c r="S4" i="9" s="1"/>
  <c r="Q4" i="11" s="1" a="1"/>
  <c r="Q4" i="11" s="1"/>
  <c r="R4" i="11" s="1" a="1"/>
  <c r="R4" i="11" s="1"/>
  <c r="X4" i="6" s="1" a="1"/>
  <c r="X4" i="6" s="1"/>
  <c r="O5" i="9" a="1"/>
  <c r="O5" i="9" s="1"/>
  <c r="R5" i="9" s="1" a="1"/>
  <c r="R5" i="9" s="1"/>
  <c r="Q5" i="9" s="1" a="1"/>
  <c r="Q5" i="9" s="1"/>
  <c r="S5" i="9" s="1" a="1"/>
  <c r="S5" i="9" s="1"/>
  <c r="Q5" i="11" s="1" a="1"/>
  <c r="Q5" i="11" s="1"/>
  <c r="R5" i="11" s="1" a="1"/>
  <c r="R5" i="11" s="1"/>
  <c r="X5" i="6" s="1" a="1"/>
  <c r="X5" i="6" s="1"/>
  <c r="K5" i="9" a="1"/>
  <c r="K5" i="9" s="1"/>
  <c r="L5" i="9" s="1"/>
  <c r="M5" i="9" a="1"/>
  <c r="M5" i="9" s="1"/>
  <c r="W6" i="9" a="1"/>
  <c r="W6" i="9" s="1"/>
  <c r="O29" i="9" a="1"/>
  <c r="O29" i="9" s="1"/>
  <c r="R29" i="9" s="1" a="1"/>
  <c r="R29" i="9" s="1"/>
  <c r="U29" i="9" s="1"/>
  <c r="V29" i="9" s="1" a="1"/>
  <c r="V29" i="9" s="1"/>
  <c r="M29" i="9" a="1"/>
  <c r="M29" i="9" s="1"/>
  <c r="K29" i="9" a="1"/>
  <c r="K29" i="9" s="1"/>
  <c r="L29" i="9" s="1"/>
  <c r="N29" i="9" s="1"/>
  <c r="P29" i="9" s="1"/>
  <c r="O29" i="11" s="1" a="1"/>
  <c r="O29" i="11" s="1"/>
  <c r="P29" i="11" s="1"/>
  <c r="S29" i="6" s="1" a="1"/>
  <c r="S29" i="6" s="1"/>
  <c r="T29" i="6" s="1"/>
  <c r="U6" i="9"/>
  <c r="V6" i="9" s="1" a="1"/>
  <c r="V6" i="9" s="1"/>
  <c r="X6" i="9" s="1"/>
  <c r="Y6" i="9" s="1"/>
  <c r="Z6" i="9" s="1" a="1"/>
  <c r="Z6" i="9" s="1"/>
  <c r="K31" i="9" a="1"/>
  <c r="K31" i="9" s="1"/>
  <c r="L31" i="9" s="1"/>
  <c r="K9" i="9" a="1"/>
  <c r="K9" i="9" s="1"/>
  <c r="L9" i="9" s="1"/>
  <c r="O31" i="9" a="1"/>
  <c r="O31" i="9" s="1"/>
  <c r="R31" i="9" s="1" a="1"/>
  <c r="R31" i="9" s="1"/>
  <c r="Q31" i="9" s="1" a="1"/>
  <c r="Q31" i="9" s="1"/>
  <c r="S31" i="9" s="1" a="1"/>
  <c r="S31" i="9" s="1"/>
  <c r="Q31" i="11" s="1" a="1"/>
  <c r="Q31" i="11" s="1"/>
  <c r="R31" i="11" s="1" a="1"/>
  <c r="R31" i="11" s="1"/>
  <c r="X31" i="6" s="1" a="1"/>
  <c r="X31" i="6" s="1"/>
  <c r="O9" i="9" a="1"/>
  <c r="O9" i="9" s="1"/>
  <c r="R9" i="9" s="1" a="1"/>
  <c r="R9" i="9" s="1"/>
  <c r="M9" i="9" a="1"/>
  <c r="M9" i="9" s="1"/>
  <c r="M26" i="9" a="1"/>
  <c r="M26" i="9" s="1"/>
  <c r="I38" i="9" a="1"/>
  <c r="I38" i="9" s="1"/>
  <c r="J38" i="9" s="1"/>
  <c r="K38" i="9" a="1"/>
  <c r="K38" i="9" s="1"/>
  <c r="O47" i="9" a="1"/>
  <c r="O47" i="9" s="1"/>
  <c r="R47" i="9" s="1" a="1"/>
  <c r="R47" i="9" s="1"/>
  <c r="U47" i="9" s="1"/>
  <c r="V47" i="9" s="1" a="1"/>
  <c r="V47" i="9" s="1"/>
  <c r="M32" i="9" a="1"/>
  <c r="M32" i="9" s="1"/>
  <c r="O32" i="9" a="1"/>
  <c r="O32" i="9" s="1"/>
  <c r="R32" i="9" s="1" a="1"/>
  <c r="R32" i="9" s="1"/>
  <c r="U32" i="9" s="1"/>
  <c r="V32" i="9" s="1" a="1"/>
  <c r="V32" i="9" s="1"/>
  <c r="K67" i="9" a="1"/>
  <c r="K67" i="9" s="1"/>
  <c r="W17" i="9" a="1"/>
  <c r="W17" i="9" s="1"/>
  <c r="M67" i="9" a="1"/>
  <c r="M67" i="9" s="1"/>
  <c r="N6" i="9"/>
  <c r="P6" i="9" s="1"/>
  <c r="O6" i="11" s="1" a="1"/>
  <c r="O6" i="11" s="1"/>
  <c r="W52" i="9" a="1"/>
  <c r="W52" i="9" s="1"/>
  <c r="U52" i="9"/>
  <c r="V52" i="9" s="1" a="1"/>
  <c r="V52" i="9" s="1"/>
  <c r="Q52" i="9" a="1"/>
  <c r="Q52" i="9" s="1"/>
  <c r="S52" i="9" s="1" a="1"/>
  <c r="S52" i="9" s="1"/>
  <c r="Q52" i="11" s="1" a="1"/>
  <c r="Q52" i="11" s="1"/>
  <c r="R52" i="11" s="1" a="1"/>
  <c r="R52" i="11" s="1"/>
  <c r="X52" i="6" s="1" a="1"/>
  <c r="X52" i="6" s="1"/>
  <c r="O51" i="9" a="1"/>
  <c r="O51" i="9" s="1"/>
  <c r="R51" i="9" s="1" a="1"/>
  <c r="R51" i="9" s="1"/>
  <c r="Q51" i="9" s="1" a="1"/>
  <c r="Q51" i="9" s="1"/>
  <c r="S51" i="9" s="1" a="1"/>
  <c r="S51" i="9" s="1"/>
  <c r="Q51" i="11" s="1" a="1"/>
  <c r="Q51" i="11" s="1"/>
  <c r="R51" i="11" s="1" a="1"/>
  <c r="R51" i="11" s="1"/>
  <c r="X51" i="6" s="1" a="1"/>
  <c r="X51" i="6" s="1"/>
  <c r="W26" i="9" a="1"/>
  <c r="W26" i="9" s="1"/>
  <c r="U26" i="9"/>
  <c r="V26" i="9" s="1" a="1"/>
  <c r="V26" i="9" s="1"/>
  <c r="Q38" i="9" a="1"/>
  <c r="Q38" i="9" s="1"/>
  <c r="S38" i="9" s="1" a="1"/>
  <c r="S38" i="9" s="1"/>
  <c r="Q38" i="11" s="1" a="1"/>
  <c r="Q38" i="11" s="1"/>
  <c r="R38" i="11" s="1" a="1"/>
  <c r="R38" i="11" s="1"/>
  <c r="X38" i="6" s="1" a="1"/>
  <c r="X38" i="6" s="1"/>
  <c r="I58" i="9" a="1"/>
  <c r="I58" i="9" s="1"/>
  <c r="J58" i="9" s="1"/>
  <c r="L7" i="9"/>
  <c r="N7" i="9" s="1"/>
  <c r="P7" i="9" s="1"/>
  <c r="O7" i="11" s="1" a="1"/>
  <c r="O7" i="11" s="1"/>
  <c r="M28" i="9" a="1"/>
  <c r="M28" i="9" s="1"/>
  <c r="U67" i="9"/>
  <c r="V67" i="9" s="1" a="1"/>
  <c r="V67" i="9" s="1"/>
  <c r="Q16" i="9" a="1"/>
  <c r="Q16" i="9" s="1"/>
  <c r="S16" i="9" s="1" a="1"/>
  <c r="S16" i="9" s="1"/>
  <c r="Q16" i="11" s="1" a="1"/>
  <c r="Q16" i="11" s="1"/>
  <c r="R16" i="11" s="1" a="1"/>
  <c r="R16" i="11" s="1"/>
  <c r="X16" i="6" s="1" a="1"/>
  <c r="X16" i="6" s="1"/>
  <c r="W16" i="9" a="1"/>
  <c r="W16" i="9" s="1"/>
  <c r="W67" i="9" a="1"/>
  <c r="W67" i="9" s="1"/>
  <c r="W4" i="9" a="1"/>
  <c r="W4" i="9" s="1"/>
  <c r="N11" i="6" a="1"/>
  <c r="N11" i="6" s="1"/>
  <c r="Q11" i="6" s="1"/>
  <c r="R11" i="6" s="1"/>
  <c r="W7" i="9" a="1"/>
  <c r="W7" i="9" s="1"/>
  <c r="U60" i="9"/>
  <c r="V60" i="9" s="1" a="1"/>
  <c r="V60" i="9" s="1"/>
  <c r="U17" i="9"/>
  <c r="V17" i="9" s="1" a="1"/>
  <c r="V17" i="9" s="1"/>
  <c r="W60" i="9" a="1"/>
  <c r="W60" i="9" s="1"/>
  <c r="U7" i="9"/>
  <c r="V7" i="9" s="1" a="1"/>
  <c r="V7" i="9" s="1"/>
  <c r="U38" i="9"/>
  <c r="V38" i="9" s="1" a="1"/>
  <c r="V38" i="9" s="1"/>
  <c r="X38" i="9" s="1"/>
  <c r="Y38" i="9" s="1"/>
  <c r="Z38" i="9" s="1" a="1"/>
  <c r="Z38" i="9" s="1"/>
  <c r="U4" i="9"/>
  <c r="V4" i="9" s="1" a="1"/>
  <c r="V4" i="9" s="1"/>
  <c r="W33" i="9" a="1"/>
  <c r="W33" i="9" s="1"/>
  <c r="X33" i="9" s="1"/>
  <c r="Y33" i="9" s="1"/>
  <c r="Z33" i="9" s="1" a="1"/>
  <c r="Z33" i="9" s="1"/>
  <c r="Q33" i="9" a="1"/>
  <c r="Q33" i="9" s="1"/>
  <c r="S33" i="9" s="1" a="1"/>
  <c r="S33" i="9" s="1"/>
  <c r="Q33" i="11" s="1" a="1"/>
  <c r="Q33" i="11" s="1"/>
  <c r="R33" i="11" s="1" a="1"/>
  <c r="R33" i="11" s="1"/>
  <c r="X33" i="6" s="1" a="1"/>
  <c r="X33" i="6" s="1"/>
  <c r="O20" i="9" a="1"/>
  <c r="O20" i="9" s="1"/>
  <c r="R20" i="9" s="1" a="1"/>
  <c r="R20" i="9" s="1"/>
  <c r="M24" i="9" a="1"/>
  <c r="M24" i="9" s="1"/>
  <c r="N4" i="9"/>
  <c r="P4" i="9" s="1"/>
  <c r="O4" i="11" s="1" a="1"/>
  <c r="O4" i="11" s="1"/>
  <c r="I67" i="9" a="1"/>
  <c r="I67" i="9" s="1"/>
  <c r="J67" i="9" s="1"/>
  <c r="W29" i="9" a="1"/>
  <c r="W29" i="9" s="1"/>
  <c r="X29" i="9" s="1"/>
  <c r="Y29" i="9" s="1"/>
  <c r="Z29" i="9" s="1" a="1"/>
  <c r="Z29" i="9" s="1"/>
  <c r="K21" i="9" a="1"/>
  <c r="K21" i="9" s="1"/>
  <c r="L21" i="9" s="1"/>
  <c r="O21" i="9" a="1"/>
  <c r="O21" i="9" s="1"/>
  <c r="R21" i="9" s="1" a="1"/>
  <c r="R21" i="9" s="1"/>
  <c r="K26" i="9" a="1"/>
  <c r="K26" i="9" s="1"/>
  <c r="K32" i="9" a="1"/>
  <c r="K32" i="9" s="1"/>
  <c r="L32" i="9" s="1"/>
  <c r="K35" i="9" a="1"/>
  <c r="K35" i="9" s="1"/>
  <c r="M40" i="9" a="1"/>
  <c r="M40" i="9" s="1"/>
  <c r="I40" i="9" a="1"/>
  <c r="I40" i="9" s="1"/>
  <c r="J40" i="9" s="1"/>
  <c r="I35" i="9" a="1"/>
  <c r="I35" i="9" s="1"/>
  <c r="J35" i="9" s="1"/>
  <c r="M47" i="9" a="1"/>
  <c r="M47" i="9" s="1"/>
  <c r="U35" i="9"/>
  <c r="V35" i="9" s="1" a="1"/>
  <c r="V35" i="9" s="1"/>
  <c r="X35" i="9" s="1"/>
  <c r="Y35" i="9" s="1"/>
  <c r="Z35" i="9" s="1" a="1"/>
  <c r="Z35" i="9" s="1"/>
  <c r="Q35" i="9" a="1"/>
  <c r="Q35" i="9" s="1"/>
  <c r="S35" i="9" s="1" a="1"/>
  <c r="S35" i="9" s="1"/>
  <c r="Q35" i="11" s="1" a="1"/>
  <c r="Q35" i="11" s="1"/>
  <c r="R35" i="11" s="1" a="1"/>
  <c r="R35" i="11" s="1"/>
  <c r="X35" i="6" s="1" a="1"/>
  <c r="X35" i="6" s="1"/>
  <c r="W40" i="9" a="1"/>
  <c r="W40" i="9" s="1"/>
  <c r="X40" i="9" s="1"/>
  <c r="Y40" i="9" s="1"/>
  <c r="Z40" i="9" s="1" a="1"/>
  <c r="Z40" i="9" s="1"/>
  <c r="M35" i="9" a="1"/>
  <c r="M35" i="9" s="1"/>
  <c r="U16" i="9"/>
  <c r="V16" i="9" s="1" a="1"/>
  <c r="V16" i="9" s="1"/>
  <c r="Q40" i="9" a="1"/>
  <c r="Q40" i="9" s="1"/>
  <c r="S40" i="9" s="1" a="1"/>
  <c r="S40" i="9" s="1"/>
  <c r="Q40" i="11" s="1" a="1"/>
  <c r="Q40" i="11" s="1"/>
  <c r="R40" i="11" s="1" a="1"/>
  <c r="R40" i="11" s="1"/>
  <c r="X40" i="6" s="1" a="1"/>
  <c r="X40" i="6" s="1"/>
  <c r="K20" i="9" a="1"/>
  <c r="K20" i="9" s="1"/>
  <c r="I20" i="9" a="1"/>
  <c r="I20" i="9" s="1"/>
  <c r="J20" i="9" s="1"/>
  <c r="M21" i="9" a="1"/>
  <c r="M21" i="9" s="1"/>
  <c r="K58" i="9" a="1"/>
  <c r="K58" i="9" s="1"/>
  <c r="I26" i="9" a="1"/>
  <c r="I26" i="9" s="1"/>
  <c r="J26" i="9" s="1"/>
  <c r="M38" i="9" a="1"/>
  <c r="M38" i="9" s="1"/>
  <c r="W50" i="4"/>
  <c r="O53" i="9" a="1"/>
  <c r="O53" i="9" s="1"/>
  <c r="R53" i="9" s="1" a="1"/>
  <c r="R53" i="9" s="1"/>
  <c r="K53" i="9" a="1"/>
  <c r="K53" i="9" s="1"/>
  <c r="O71" i="9" a="1"/>
  <c r="O71" i="9" s="1"/>
  <c r="R71" i="9" s="1" a="1"/>
  <c r="R71" i="9" s="1"/>
  <c r="Q71" i="9" s="1" a="1"/>
  <c r="Q71" i="9" s="1"/>
  <c r="S71" i="9" s="1" a="1"/>
  <c r="S71" i="9" s="1"/>
  <c r="Q71" i="11" s="1" a="1"/>
  <c r="Q71" i="11" s="1"/>
  <c r="R71" i="11" s="1" a="1"/>
  <c r="R71" i="11" s="1"/>
  <c r="X71" i="6" s="1" a="1"/>
  <c r="X71" i="6" s="1"/>
  <c r="M71" i="9" a="1"/>
  <c r="M71" i="9" s="1"/>
  <c r="O42" i="9" a="1"/>
  <c r="O42" i="9" s="1"/>
  <c r="R42" i="9" s="1" a="1"/>
  <c r="R42" i="9" s="1"/>
  <c r="O10" i="9" a="1"/>
  <c r="O10" i="9" s="1"/>
  <c r="R10" i="9" s="1" a="1"/>
  <c r="R10" i="9" s="1"/>
  <c r="Q10" i="9" s="1" a="1"/>
  <c r="Q10" i="9" s="1"/>
  <c r="S10" i="9" s="1" a="1"/>
  <c r="S10" i="9" s="1"/>
  <c r="Q10" i="11" s="1" a="1"/>
  <c r="Q10" i="11" s="1"/>
  <c r="R10" i="11" s="1" a="1"/>
  <c r="R10" i="11" s="1"/>
  <c r="X10" i="6" s="1" a="1"/>
  <c r="X10" i="6" s="1"/>
  <c r="K62" i="9" a="1"/>
  <c r="K62" i="9" s="1"/>
  <c r="L62" i="9" s="1"/>
  <c r="K74" i="9" a="1"/>
  <c r="K74" i="9" s="1"/>
  <c r="K19" i="9" a="1"/>
  <c r="K19" i="9" s="1"/>
  <c r="I52" i="9" a="1"/>
  <c r="I52" i="9" s="1"/>
  <c r="J52" i="9" s="1"/>
  <c r="AD48" i="4"/>
  <c r="AM48" i="4" s="1"/>
  <c r="M52" i="9" a="1"/>
  <c r="M52" i="9" s="1"/>
  <c r="M31" i="9" a="1"/>
  <c r="M31" i="9" s="1"/>
  <c r="O54" i="9" a="1"/>
  <c r="O54" i="9" s="1"/>
  <c r="R54" i="9" s="1" a="1"/>
  <c r="R54" i="9" s="1"/>
  <c r="Q54" i="9" s="1" a="1"/>
  <c r="Q54" i="9" s="1"/>
  <c r="S54" i="9" s="1" a="1"/>
  <c r="S54" i="9" s="1"/>
  <c r="Q54" i="11" s="1" a="1"/>
  <c r="Q54" i="11" s="1"/>
  <c r="R54" i="11" s="1" a="1"/>
  <c r="R54" i="11" s="1"/>
  <c r="X54" i="6" s="1" a="1"/>
  <c r="X54" i="6" s="1"/>
  <c r="I74" i="9" a="1"/>
  <c r="I74" i="9" s="1"/>
  <c r="J74" i="9" s="1"/>
  <c r="M17" i="9" a="1"/>
  <c r="M17" i="9" s="1"/>
  <c r="O74" i="9" a="1"/>
  <c r="O74" i="9" s="1"/>
  <c r="R74" i="9" s="1" a="1"/>
  <c r="R74" i="9" s="1"/>
  <c r="K27" i="9" a="1"/>
  <c r="K27" i="9" s="1"/>
  <c r="I43" i="9" a="1"/>
  <c r="I43" i="9" s="1"/>
  <c r="J43" i="9" s="1"/>
  <c r="L43" i="9" s="1"/>
  <c r="M39" i="9" a="1"/>
  <c r="M39" i="9" s="1"/>
  <c r="U27" i="9"/>
  <c r="V27" i="9" s="1" a="1"/>
  <c r="V27" i="9" s="1"/>
  <c r="M43" i="9" a="1"/>
  <c r="M43" i="9" s="1"/>
  <c r="W27" i="9" a="1"/>
  <c r="W27" i="9" s="1"/>
  <c r="I39" i="9" a="1"/>
  <c r="I39" i="9" s="1"/>
  <c r="J39" i="9" s="1"/>
  <c r="L39" i="9" s="1"/>
  <c r="O43" i="9" a="1"/>
  <c r="O43" i="9" s="1"/>
  <c r="R43" i="9" s="1" a="1"/>
  <c r="R43" i="9" s="1"/>
  <c r="W43" i="9" s="1" a="1"/>
  <c r="W43" i="9" s="1"/>
  <c r="I27" i="9" a="1"/>
  <c r="I27" i="9" s="1"/>
  <c r="J27" i="9" s="1"/>
  <c r="M27" i="9" a="1"/>
  <c r="M27" i="9" s="1"/>
  <c r="O39" i="9" a="1"/>
  <c r="O39" i="9" s="1"/>
  <c r="R39" i="9" s="1" a="1"/>
  <c r="R39" i="9" s="1"/>
  <c r="M63" i="9" a="1"/>
  <c r="M63" i="9" s="1"/>
  <c r="I17" i="9" a="1"/>
  <c r="I17" i="9" s="1"/>
  <c r="J17" i="9" s="1"/>
  <c r="I44" i="9" a="1"/>
  <c r="I44" i="9" s="1"/>
  <c r="J44" i="9" s="1"/>
  <c r="L44" i="9" s="1"/>
  <c r="I53" i="9" a="1"/>
  <c r="I53" i="9" s="1"/>
  <c r="J53" i="9" s="1"/>
  <c r="I63" i="9" a="1"/>
  <c r="I63" i="9" s="1"/>
  <c r="J63" i="9" s="1"/>
  <c r="L63" i="9" s="1"/>
  <c r="AD62" i="4"/>
  <c r="AM62" i="4" s="1"/>
  <c r="K52" i="9" a="1"/>
  <c r="K52" i="9" s="1"/>
  <c r="O63" i="9" a="1"/>
  <c r="O63" i="9" s="1"/>
  <c r="R63" i="9" s="1" a="1"/>
  <c r="R63" i="9" s="1"/>
  <c r="I71" i="9" a="1"/>
  <c r="I71" i="9" s="1"/>
  <c r="J71" i="9" s="1"/>
  <c r="L71" i="9" s="1"/>
  <c r="K17" i="9" a="1"/>
  <c r="K17" i="9" s="1"/>
  <c r="AD33" i="4"/>
  <c r="AM33" i="4" s="1"/>
  <c r="K61" i="9" a="1"/>
  <c r="K61" i="9" s="1"/>
  <c r="L61" i="9" s="1"/>
  <c r="K40" i="9" a="1"/>
  <c r="K40" i="9" s="1"/>
  <c r="I47" i="9" a="1"/>
  <c r="I47" i="9" s="1"/>
  <c r="J47" i="9" s="1"/>
  <c r="L47" i="9" s="1"/>
  <c r="AD43" i="4"/>
  <c r="O65" i="9" a="1"/>
  <c r="O65" i="9" s="1"/>
  <c r="R65" i="9" s="1" a="1"/>
  <c r="R65" i="9" s="1"/>
  <c r="O41" i="9" a="1"/>
  <c r="O41" i="9" s="1"/>
  <c r="R41" i="9" s="1" a="1"/>
  <c r="R41" i="9" s="1"/>
  <c r="I41" i="9" a="1"/>
  <c r="I41" i="9" s="1"/>
  <c r="J41" i="9" s="1"/>
  <c r="O12" i="9" a="1"/>
  <c r="O12" i="9" s="1"/>
  <c r="R12" i="9" s="1" a="1"/>
  <c r="R12" i="9" s="1"/>
  <c r="Q12" i="9" s="1" a="1"/>
  <c r="Q12" i="9" s="1"/>
  <c r="S12" i="9" s="1" a="1"/>
  <c r="S12" i="9" s="1"/>
  <c r="Q12" i="11" s="1" a="1"/>
  <c r="Q12" i="11" s="1"/>
  <c r="R12" i="11" s="1" a="1"/>
  <c r="R12" i="11" s="1"/>
  <c r="X12" i="6" s="1" a="1"/>
  <c r="X12" i="6" s="1"/>
  <c r="K41" i="9" a="1"/>
  <c r="K41" i="9" s="1"/>
  <c r="M12" i="9" a="1"/>
  <c r="M12" i="9" s="1"/>
  <c r="I12" i="9" a="1"/>
  <c r="I12" i="9" s="1"/>
  <c r="J12" i="9" s="1"/>
  <c r="L12" i="9" s="1"/>
  <c r="M59" i="9" a="1"/>
  <c r="M59" i="9" s="1"/>
  <c r="AA50" i="4"/>
  <c r="AD66" i="4"/>
  <c r="AM66" i="4" s="1"/>
  <c r="W13" i="4"/>
  <c r="O64" i="9" a="1"/>
  <c r="O64" i="9" s="1"/>
  <c r="R64" i="9" s="1" a="1"/>
  <c r="R64" i="9" s="1"/>
  <c r="AK77" i="4"/>
  <c r="M16" i="9" a="1"/>
  <c r="M16" i="9" s="1"/>
  <c r="K16" i="9" a="1"/>
  <c r="K16" i="9" s="1"/>
  <c r="W83" i="4"/>
  <c r="M60" i="9" a="1"/>
  <c r="M60" i="9" s="1"/>
  <c r="W5" i="9" a="1"/>
  <c r="W5" i="9" s="1"/>
  <c r="AD18" i="4"/>
  <c r="AM18" i="4" s="1"/>
  <c r="AD64" i="4"/>
  <c r="AM64" i="4" s="1"/>
  <c r="AD38" i="4"/>
  <c r="AM38" i="4" s="1"/>
  <c r="AK75" i="4"/>
  <c r="AD70" i="4"/>
  <c r="AM70" i="4" s="1"/>
  <c r="AD75" i="4"/>
  <c r="AM75" i="4" s="1"/>
  <c r="K60" i="9" a="1"/>
  <c r="K60" i="9" s="1"/>
  <c r="I60" i="9" a="1"/>
  <c r="I60" i="9" s="1"/>
  <c r="J60" i="9" s="1"/>
  <c r="I16" i="9" a="1"/>
  <c r="I16" i="9" s="1"/>
  <c r="J16" i="9" s="1"/>
  <c r="AD13" i="4"/>
  <c r="AM13" i="4" s="1"/>
  <c r="AK24" i="4"/>
  <c r="AD79" i="4"/>
  <c r="AM79" i="4" s="1"/>
  <c r="M44" i="9" a="1"/>
  <c r="M44" i="9" s="1"/>
  <c r="AD37" i="4"/>
  <c r="AM37" i="4" s="1"/>
  <c r="K33" i="9" a="1"/>
  <c r="K33" i="9" s="1"/>
  <c r="AK57" i="4"/>
  <c r="AD28" i="4"/>
  <c r="AM28" i="4" s="1"/>
  <c r="AD76" i="4"/>
  <c r="AM76" i="4" s="1"/>
  <c r="AK40" i="4"/>
  <c r="AD25" i="4"/>
  <c r="AM25" i="4" s="1"/>
  <c r="O44" i="9" a="1"/>
  <c r="O44" i="9" s="1"/>
  <c r="R44" i="9" s="1" a="1"/>
  <c r="R44" i="9" s="1"/>
  <c r="AD23" i="4"/>
  <c r="AM23" i="4" s="1"/>
  <c r="AK27" i="4"/>
  <c r="I33" i="9" a="1"/>
  <c r="I33" i="9" s="1"/>
  <c r="J33" i="9" s="1"/>
  <c r="AD40" i="4"/>
  <c r="AM40" i="4" s="1"/>
  <c r="AK13" i="4"/>
  <c r="AK61" i="4"/>
  <c r="W20" i="4"/>
  <c r="M33" i="9" a="1"/>
  <c r="M33" i="9" s="1"/>
  <c r="O58" i="9" a="1"/>
  <c r="O58" i="9" s="1"/>
  <c r="R58" i="9" s="1" a="1"/>
  <c r="R58" i="9" s="1"/>
  <c r="AK32" i="4"/>
  <c r="AE11" i="4"/>
  <c r="AF21" i="4"/>
  <c r="AN21" i="4" s="1"/>
  <c r="N15" i="11" s="1" a="1"/>
  <c r="N15" i="11" s="1"/>
  <c r="AD47" i="4"/>
  <c r="AM47" i="4" s="1"/>
  <c r="AD10" i="4"/>
  <c r="AM10" i="4" s="1"/>
  <c r="AD31" i="4"/>
  <c r="AM31" i="4" s="1"/>
  <c r="I24" i="9" a="1"/>
  <c r="I24" i="9" s="1"/>
  <c r="J24" i="9" s="1"/>
  <c r="L24" i="9" s="1"/>
  <c r="O24" i="9" a="1"/>
  <c r="O24" i="9" s="1"/>
  <c r="R24" i="9" s="1" a="1"/>
  <c r="R24" i="9" s="1"/>
  <c r="AF83" i="4"/>
  <c r="AN83" i="4" s="1"/>
  <c r="N77" i="11" s="1" a="1"/>
  <c r="N77" i="11" s="1"/>
  <c r="I19" i="9" a="1"/>
  <c r="I19" i="9" s="1"/>
  <c r="J19" i="9" s="1"/>
  <c r="O19" i="9" a="1"/>
  <c r="O19" i="9" s="1"/>
  <c r="R19" i="9" s="1" a="1"/>
  <c r="R19" i="9" s="1"/>
  <c r="AD74" i="4"/>
  <c r="AM74" i="4" s="1"/>
  <c r="AF25" i="4"/>
  <c r="AN25" i="4" s="1"/>
  <c r="N19" i="11" s="1" a="1"/>
  <c r="N19" i="11" s="1"/>
  <c r="AK25" i="4"/>
  <c r="AD55" i="4"/>
  <c r="AM55" i="4" s="1"/>
  <c r="AK59" i="4"/>
  <c r="AD34" i="4"/>
  <c r="AM34" i="4" s="1"/>
  <c r="AD19" i="4"/>
  <c r="AM19" i="4" s="1"/>
  <c r="AE39" i="4"/>
  <c r="AK72" i="4"/>
  <c r="O28" i="9" a="1"/>
  <c r="O28" i="9" s="1"/>
  <c r="R28" i="9" s="1" a="1"/>
  <c r="R28" i="9" s="1"/>
  <c r="I28" i="9" a="1"/>
  <c r="I28" i="9" s="1"/>
  <c r="J28" i="9" s="1"/>
  <c r="L28" i="9" s="1"/>
  <c r="AD15" i="4"/>
  <c r="AM15" i="4" s="1"/>
  <c r="AD58" i="4"/>
  <c r="AM58" i="4" s="1"/>
  <c r="AD60" i="4"/>
  <c r="AM60" i="4" s="1"/>
  <c r="AD68" i="4"/>
  <c r="AM68" i="4" s="1"/>
  <c r="AD78" i="4"/>
  <c r="AM78" i="4" s="1"/>
  <c r="AA53" i="4"/>
  <c r="AA12" i="4"/>
  <c r="AD20" i="4"/>
  <c r="AM20" i="4" s="1"/>
  <c r="K65" i="9" a="1"/>
  <c r="K65" i="9" s="1"/>
  <c r="L65" i="9" s="1"/>
  <c r="M65" i="9" a="1"/>
  <c r="M65" i="9" s="1"/>
  <c r="AK11" i="4"/>
  <c r="AK83" i="4"/>
  <c r="AD83" i="4"/>
  <c r="AM83" i="4" s="1"/>
  <c r="W53" i="4"/>
  <c r="AK47" i="4"/>
  <c r="AD36" i="4"/>
  <c r="AM36" i="4" s="1"/>
  <c r="T20" i="4"/>
  <c r="AD51" i="4"/>
  <c r="AM51" i="4" s="1"/>
  <c r="AK73" i="4"/>
  <c r="AK39" i="4"/>
  <c r="M64" i="9" a="1"/>
  <c r="M64" i="9" s="1"/>
  <c r="I64" i="9" a="1"/>
  <c r="I64" i="9" s="1"/>
  <c r="J64" i="9" s="1"/>
  <c r="L64" i="9" s="1"/>
  <c r="AK23" i="4"/>
  <c r="AD73" i="4"/>
  <c r="AM73" i="4" s="1"/>
  <c r="AK16" i="4"/>
  <c r="AD45" i="4"/>
  <c r="AM45" i="4" s="1"/>
  <c r="AA11" i="4"/>
  <c r="AD42" i="4"/>
  <c r="AM42" i="4" s="1"/>
  <c r="AD26" i="4"/>
  <c r="AM26" i="4" s="1"/>
  <c r="T53" i="4"/>
  <c r="AK36" i="4"/>
  <c r="O61" i="9" a="1"/>
  <c r="O61" i="9" s="1"/>
  <c r="R61" i="9" s="1" a="1"/>
  <c r="R61" i="9" s="1"/>
  <c r="M61" i="9" a="1"/>
  <c r="M61" i="9" s="1"/>
  <c r="AK30" i="4"/>
  <c r="AD44" i="4"/>
  <c r="AM44" i="4" s="1"/>
  <c r="AE10" i="4"/>
  <c r="AD46" i="4"/>
  <c r="AM46" i="4" s="1"/>
  <c r="AE29" i="4"/>
  <c r="AG29" i="4" s="1"/>
  <c r="M10" i="9" a="1"/>
  <c r="M10" i="9" s="1"/>
  <c r="K10" i="9" a="1"/>
  <c r="K10" i="9" s="1"/>
  <c r="L10" i="9" s="1"/>
  <c r="T83" i="4"/>
  <c r="AD53" i="4"/>
  <c r="AM53" i="4" s="1"/>
  <c r="AD69" i="4"/>
  <c r="AM69" i="4" s="1"/>
  <c r="W12" i="4"/>
  <c r="AA39" i="4"/>
  <c r="M73" i="9" a="1"/>
  <c r="M73" i="9" s="1"/>
  <c r="K73" i="9" a="1"/>
  <c r="K73" i="9" s="1"/>
  <c r="O73" i="9" a="1"/>
  <c r="O73" i="9" s="1"/>
  <c r="R73" i="9" s="1" a="1"/>
  <c r="R73" i="9" s="1"/>
  <c r="I73" i="9" a="1"/>
  <c r="I73" i="9" s="1"/>
  <c r="J73" i="9" s="1"/>
  <c r="O62" i="9" a="1"/>
  <c r="O62" i="9" s="1"/>
  <c r="R62" i="9" s="1" a="1"/>
  <c r="R62" i="9" s="1"/>
  <c r="M62" i="9" a="1"/>
  <c r="M62" i="9" s="1"/>
  <c r="I54" i="9" a="1"/>
  <c r="I54" i="9" s="1"/>
  <c r="J54" i="9" s="1"/>
  <c r="L54" i="9" s="1"/>
  <c r="M54" i="9" a="1"/>
  <c r="M54" i="9" s="1"/>
  <c r="AK35" i="4"/>
  <c r="AK81" i="4"/>
  <c r="AE13" i="4"/>
  <c r="AK56" i="4"/>
  <c r="AF10" i="4"/>
  <c r="AN10" i="4" s="1"/>
  <c r="N4" i="11" s="1" a="1"/>
  <c r="N4" i="11" s="1"/>
  <c r="AK38" i="4"/>
  <c r="AD29" i="4"/>
  <c r="AM29" i="4" s="1"/>
  <c r="AE66" i="4"/>
  <c r="AG66" i="4" s="1"/>
  <c r="O59" i="9" a="1"/>
  <c r="O59" i="9" s="1"/>
  <c r="R59" i="9" s="1" a="1"/>
  <c r="R59" i="9" s="1"/>
  <c r="K59" i="9" a="1"/>
  <c r="K59" i="9" s="1"/>
  <c r="L59" i="9" s="1"/>
  <c r="I51" i="9" a="1"/>
  <c r="I51" i="9" s="1"/>
  <c r="J51" i="9" s="1"/>
  <c r="K51" i="9" a="1"/>
  <c r="K51" i="9" s="1"/>
  <c r="AK15" i="4"/>
  <c r="M42" i="9" a="1"/>
  <c r="M42" i="9" s="1"/>
  <c r="I42" i="9" a="1"/>
  <c r="I42" i="9" s="1"/>
  <c r="J42" i="9" s="1"/>
  <c r="L42" i="9" s="1"/>
  <c r="AK68" i="4"/>
  <c r="AE77" i="4"/>
  <c r="AG77" i="4" s="1"/>
  <c r="AK28" i="4"/>
  <c r="AK53" i="4"/>
  <c r="AF12" i="4"/>
  <c r="AN12" i="4" s="1"/>
  <c r="N6" i="11" s="1" a="1"/>
  <c r="N6" i="11" s="1"/>
  <c r="W25" i="4"/>
  <c r="AK67" i="4"/>
  <c r="AE60" i="4"/>
  <c r="AG60" i="4" s="1"/>
  <c r="M25" i="9" a="1"/>
  <c r="M25" i="9" s="1"/>
  <c r="K25" i="9" a="1"/>
  <c r="K25" i="9" s="1"/>
  <c r="I25" i="9" a="1"/>
  <c r="I25" i="9" s="1"/>
  <c r="J25" i="9" s="1"/>
  <c r="O25" i="9" a="1"/>
  <c r="O25" i="9" s="1"/>
  <c r="R25" i="9" s="1" a="1"/>
  <c r="R25" i="9" s="1"/>
  <c r="AE47" i="4"/>
  <c r="AG47" i="4" s="1"/>
  <c r="AK76" i="4"/>
  <c r="AK50" i="4"/>
  <c r="AK44" i="4"/>
  <c r="AD80" i="4"/>
  <c r="AM80" i="4" s="1"/>
  <c r="AK70" i="4"/>
  <c r="AD77" i="4"/>
  <c r="AM77" i="4" s="1"/>
  <c r="AA83" i="4"/>
  <c r="AK26" i="4"/>
  <c r="AD61" i="4"/>
  <c r="AM61" i="4" s="1"/>
  <c r="AD16" i="4"/>
  <c r="AM16" i="4" s="1"/>
  <c r="AD63" i="4"/>
  <c r="AM63" i="4" s="1"/>
  <c r="K48" i="9" a="1"/>
  <c r="K48" i="9" s="1"/>
  <c r="I48" i="9" a="1"/>
  <c r="I48" i="9" s="1"/>
  <c r="J48" i="9" s="1"/>
  <c r="M48" i="9" a="1"/>
  <c r="M48" i="9" s="1"/>
  <c r="O48" i="9" a="1"/>
  <c r="O48" i="9" s="1"/>
  <c r="R48" i="9" s="1" a="1"/>
  <c r="R48" i="9" s="1"/>
  <c r="AE83" i="4"/>
  <c r="AE58" i="4"/>
  <c r="AG58" i="4" s="1"/>
  <c r="AE31" i="4"/>
  <c r="AG31" i="4" s="1"/>
  <c r="AE70" i="4"/>
  <c r="AG70" i="4" s="1"/>
  <c r="I14" i="9" a="1"/>
  <c r="I14" i="9" s="1"/>
  <c r="J14" i="9" s="1"/>
  <c r="M14" i="9" a="1"/>
  <c r="M14" i="9" s="1"/>
  <c r="K14" i="9" a="1"/>
  <c r="K14" i="9" s="1"/>
  <c r="O14" i="9" a="1"/>
  <c r="O14" i="9" s="1"/>
  <c r="R14" i="9" s="1" a="1"/>
  <c r="R14" i="9" s="1"/>
  <c r="AE40" i="4"/>
  <c r="AG40" i="4" s="1"/>
  <c r="AE61" i="4"/>
  <c r="AG61" i="4" s="1"/>
  <c r="O76" i="9" a="1"/>
  <c r="O76" i="9" s="1"/>
  <c r="R76" i="9" s="1" a="1"/>
  <c r="R76" i="9" s="1"/>
  <c r="M76" i="9" a="1"/>
  <c r="M76" i="9" s="1"/>
  <c r="K76" i="9" a="1"/>
  <c r="K76" i="9" s="1"/>
  <c r="I76" i="9" a="1"/>
  <c r="I76" i="9" s="1"/>
  <c r="J76" i="9" s="1"/>
  <c r="AE57" i="4"/>
  <c r="AG57" i="4" s="1"/>
  <c r="O77" i="9" a="1"/>
  <c r="O77" i="9" s="1"/>
  <c r="R77" i="9" s="1" a="1"/>
  <c r="R77" i="9" s="1"/>
  <c r="K77" i="9" a="1"/>
  <c r="K77" i="9" s="1"/>
  <c r="M77" i="9" a="1"/>
  <c r="M77" i="9" s="1"/>
  <c r="I77" i="9" a="1"/>
  <c r="I77" i="9" s="1"/>
  <c r="J77" i="9" s="1"/>
  <c r="W21" i="4"/>
  <c r="AD24" i="4"/>
  <c r="AM24" i="4" s="1"/>
  <c r="AD65" i="4"/>
  <c r="AM65" i="4" s="1"/>
  <c r="AK80" i="4"/>
  <c r="AK62" i="4"/>
  <c r="AK22" i="4"/>
  <c r="AD54" i="4"/>
  <c r="AM54" i="4" s="1"/>
  <c r="W10" i="4"/>
  <c r="AK18" i="4"/>
  <c r="AA20" i="4"/>
  <c r="W39" i="4"/>
  <c r="I69" i="9" a="1"/>
  <c r="I69" i="9" s="1"/>
  <c r="J69" i="9" s="1"/>
  <c r="K69" i="9" a="1"/>
  <c r="K69" i="9" s="1"/>
  <c r="M69" i="9" a="1"/>
  <c r="M69" i="9" s="1"/>
  <c r="O69" i="9" a="1"/>
  <c r="O69" i="9" s="1"/>
  <c r="R69" i="9" s="1" a="1"/>
  <c r="R69" i="9" s="1"/>
  <c r="O18" i="9" a="1"/>
  <c r="O18" i="9" s="1"/>
  <c r="R18" i="9" s="1" a="1"/>
  <c r="R18" i="9" s="1"/>
  <c r="K18" i="9" a="1"/>
  <c r="K18" i="9" s="1"/>
  <c r="I18" i="9" a="1"/>
  <c r="I18" i="9" s="1"/>
  <c r="J18" i="9" s="1"/>
  <c r="M18" i="9" a="1"/>
  <c r="M18" i="9" s="1"/>
  <c r="K13" i="9" a="1"/>
  <c r="K13" i="9" s="1"/>
  <c r="I13" i="9" a="1"/>
  <c r="I13" i="9" s="1"/>
  <c r="J13" i="9" s="1"/>
  <c r="O13" i="9" a="1"/>
  <c r="O13" i="9" s="1"/>
  <c r="R13" i="9" s="1" a="1"/>
  <c r="R13" i="9" s="1"/>
  <c r="M13" i="9" a="1"/>
  <c r="M13" i="9" s="1"/>
  <c r="AE68" i="4"/>
  <c r="AG68" i="4" s="1"/>
  <c r="AE59" i="4"/>
  <c r="AG59" i="4" s="1"/>
  <c r="AE63" i="4"/>
  <c r="AG63" i="4" s="1"/>
  <c r="AE42" i="4"/>
  <c r="AG42" i="4" s="1"/>
  <c r="AE45" i="4"/>
  <c r="AG45" i="4" s="1"/>
  <c r="O15" i="9" a="1"/>
  <c r="O15" i="9" s="1"/>
  <c r="R15" i="9" s="1" a="1"/>
  <c r="R15" i="9" s="1"/>
  <c r="I15" i="9" a="1"/>
  <c r="I15" i="9" s="1"/>
  <c r="J15" i="9" s="1"/>
  <c r="K15" i="9" a="1"/>
  <c r="K15" i="9" s="1"/>
  <c r="M15" i="9" a="1"/>
  <c r="M15" i="9" s="1"/>
  <c r="AE44" i="4"/>
  <c r="AG44" i="4" s="1"/>
  <c r="AE56" i="4"/>
  <c r="AG56" i="4" s="1"/>
  <c r="AE36" i="4"/>
  <c r="AG36" i="4" s="1"/>
  <c r="AK66" i="4"/>
  <c r="T21" i="4"/>
  <c r="AK71" i="4"/>
  <c r="AF20" i="4"/>
  <c r="AN20" i="4" s="1"/>
  <c r="N14" i="11" s="1" a="1"/>
  <c r="N14" i="11" s="1"/>
  <c r="AE69" i="4"/>
  <c r="AG69" i="4" s="1"/>
  <c r="AE62" i="4"/>
  <c r="AG62" i="4" s="1"/>
  <c r="AE65" i="4"/>
  <c r="AG65" i="4" s="1"/>
  <c r="AE22" i="4"/>
  <c r="AG22" i="4" s="1"/>
  <c r="AE24" i="4"/>
  <c r="AG24" i="4" s="1"/>
  <c r="AE20" i="4"/>
  <c r="AE19" i="4"/>
  <c r="AG19" i="4" s="1"/>
  <c r="K56" i="9" a="1"/>
  <c r="K56" i="9" s="1"/>
  <c r="I56" i="9" a="1"/>
  <c r="I56" i="9" s="1"/>
  <c r="J56" i="9" s="1"/>
  <c r="O56" i="9" a="1"/>
  <c r="O56" i="9" s="1"/>
  <c r="R56" i="9" s="1" a="1"/>
  <c r="R56" i="9" s="1"/>
  <c r="M56" i="9" a="1"/>
  <c r="M56" i="9" s="1"/>
  <c r="AE80" i="4"/>
  <c r="AG80" i="4" s="1"/>
  <c r="O36" i="9" a="1"/>
  <c r="O36" i="9" s="1"/>
  <c r="R36" i="9" s="1" a="1"/>
  <c r="R36" i="9" s="1"/>
  <c r="K36" i="9" a="1"/>
  <c r="K36" i="9" s="1"/>
  <c r="I36" i="9" a="1"/>
  <c r="I36" i="9" s="1"/>
  <c r="J36" i="9" s="1"/>
  <c r="M36" i="9" a="1"/>
  <c r="M36" i="9" s="1"/>
  <c r="AF13" i="4"/>
  <c r="AN13" i="4" s="1"/>
  <c r="N7" i="11" s="1" a="1"/>
  <c r="N7" i="11" s="1"/>
  <c r="AD22" i="4"/>
  <c r="AM22" i="4" s="1"/>
  <c r="T12" i="4"/>
  <c r="T25" i="4"/>
  <c r="AA14" i="4"/>
  <c r="I57" i="9" a="1"/>
  <c r="I57" i="9" s="1"/>
  <c r="J57" i="9" s="1"/>
  <c r="K57" i="9" a="1"/>
  <c r="K57" i="9" s="1"/>
  <c r="M57" i="9" a="1"/>
  <c r="M57" i="9" s="1"/>
  <c r="O57" i="9" a="1"/>
  <c r="O57" i="9" s="1"/>
  <c r="R57" i="9" s="1" a="1"/>
  <c r="R57" i="9" s="1"/>
  <c r="AE75" i="4"/>
  <c r="AG75" i="4" s="1"/>
  <c r="AE28" i="4"/>
  <c r="AG28" i="4" s="1"/>
  <c r="AM43" i="4"/>
  <c r="AD35" i="4"/>
  <c r="AM35" i="4" s="1"/>
  <c r="AD50" i="4"/>
  <c r="AM50" i="4" s="1"/>
  <c r="AK54" i="4"/>
  <c r="AD71" i="4"/>
  <c r="AM71" i="4" s="1"/>
  <c r="AK10" i="4"/>
  <c r="AF14" i="4"/>
  <c r="AN14" i="4" s="1"/>
  <c r="N8" i="11" s="1" a="1"/>
  <c r="N8" i="11" s="1"/>
  <c r="AK51" i="4"/>
  <c r="AE67" i="4"/>
  <c r="AG67" i="4" s="1"/>
  <c r="AE33" i="4"/>
  <c r="AG33" i="4" s="1"/>
  <c r="AE34" i="4"/>
  <c r="AG34" i="4" s="1"/>
  <c r="AE41" i="4"/>
  <c r="AG41" i="4" s="1"/>
  <c r="AE18" i="4"/>
  <c r="AG18" i="4" s="1"/>
  <c r="O50" i="9" a="1"/>
  <c r="O50" i="9" s="1"/>
  <c r="R50" i="9" s="1" a="1"/>
  <c r="R50" i="9" s="1"/>
  <c r="I50" i="9" a="1"/>
  <c r="I50" i="9" s="1"/>
  <c r="J50" i="9" s="1"/>
  <c r="M50" i="9" a="1"/>
  <c r="M50" i="9" s="1"/>
  <c r="K50" i="9" a="1"/>
  <c r="K50" i="9" s="1"/>
  <c r="AE71" i="4"/>
  <c r="AG71" i="4" s="1"/>
  <c r="AE51" i="4"/>
  <c r="AG51" i="4" s="1"/>
  <c r="AE37" i="4"/>
  <c r="AG37" i="4" s="1"/>
  <c r="AE35" i="4"/>
  <c r="AG35" i="4" s="1"/>
  <c r="AE78" i="4"/>
  <c r="AG78" i="4" s="1"/>
  <c r="AF50" i="4"/>
  <c r="AN50" i="4" s="1"/>
  <c r="N44" i="11" s="1" a="1"/>
  <c r="N44" i="11" s="1"/>
  <c r="AD81" i="4"/>
  <c r="AM81" i="4" s="1"/>
  <c r="AF11" i="4"/>
  <c r="AN11" i="4" s="1"/>
  <c r="N5" i="11" s="1" a="1"/>
  <c r="N5" i="11" s="1"/>
  <c r="AD41" i="4"/>
  <c r="AM41" i="4" s="1"/>
  <c r="AD52" i="4"/>
  <c r="AM52" i="4" s="1"/>
  <c r="AK49" i="4"/>
  <c r="T11" i="4"/>
  <c r="AD30" i="4"/>
  <c r="AM30" i="4" s="1"/>
  <c r="AK21" i="4"/>
  <c r="AD56" i="4"/>
  <c r="AM56" i="4" s="1"/>
  <c r="AA25" i="4"/>
  <c r="T14" i="4"/>
  <c r="W14" i="4"/>
  <c r="AK34" i="4"/>
  <c r="AE26" i="4"/>
  <c r="AG26" i="4" s="1"/>
  <c r="M22" i="9" a="1"/>
  <c r="M22" i="9" s="1"/>
  <c r="O22" i="9" a="1"/>
  <c r="O22" i="9" s="1"/>
  <c r="R22" i="9" s="1" a="1"/>
  <c r="R22" i="9" s="1"/>
  <c r="I22" i="9" a="1"/>
  <c r="I22" i="9" s="1"/>
  <c r="J22" i="9" s="1"/>
  <c r="K22" i="9" a="1"/>
  <c r="K22" i="9" s="1"/>
  <c r="O45" i="9" a="1"/>
  <c r="O45" i="9" s="1"/>
  <c r="R45" i="9" s="1" a="1"/>
  <c r="R45" i="9" s="1"/>
  <c r="M45" i="9" a="1"/>
  <c r="M45" i="9" s="1"/>
  <c r="I45" i="9" a="1"/>
  <c r="I45" i="9" s="1"/>
  <c r="J45" i="9" s="1"/>
  <c r="K45" i="9" a="1"/>
  <c r="K45" i="9" s="1"/>
  <c r="AE54" i="4"/>
  <c r="AG54" i="4" s="1"/>
  <c r="AE79" i="4"/>
  <c r="AG79" i="4" s="1"/>
  <c r="AE53" i="4"/>
  <c r="AE72" i="4"/>
  <c r="AG72" i="4" s="1"/>
  <c r="AE15" i="4"/>
  <c r="AG15" i="4" s="1"/>
  <c r="AK33" i="4"/>
  <c r="AK78" i="4"/>
  <c r="AD14" i="4"/>
  <c r="AM14" i="4" s="1"/>
  <c r="AK46" i="4"/>
  <c r="AD67" i="4"/>
  <c r="AM67" i="4" s="1"/>
  <c r="AD59" i="4"/>
  <c r="AM59" i="4" s="1"/>
  <c r="K46" i="9" a="1"/>
  <c r="K46" i="9" s="1"/>
  <c r="O46" i="9" a="1"/>
  <c r="O46" i="9" s="1"/>
  <c r="R46" i="9" s="1" a="1"/>
  <c r="R46" i="9" s="1"/>
  <c r="M46" i="9" a="1"/>
  <c r="M46" i="9" s="1"/>
  <c r="I46" i="9" a="1"/>
  <c r="I46" i="9" s="1"/>
  <c r="J46" i="9" s="1"/>
  <c r="AE32" i="4"/>
  <c r="AG32" i="4" s="1"/>
  <c r="AE74" i="4"/>
  <c r="AG74" i="4" s="1"/>
  <c r="AE12" i="4"/>
  <c r="AE52" i="4"/>
  <c r="AG52" i="4" s="1"/>
  <c r="M55" i="9" a="1"/>
  <c r="M55" i="9" s="1"/>
  <c r="I55" i="9" a="1"/>
  <c r="I55" i="9" s="1"/>
  <c r="J55" i="9" s="1"/>
  <c r="O55" i="9" a="1"/>
  <c r="O55" i="9" s="1"/>
  <c r="R55" i="9" s="1" a="1"/>
  <c r="R55" i="9" s="1"/>
  <c r="K55" i="9" a="1"/>
  <c r="K55" i="9" s="1"/>
  <c r="AE43" i="4"/>
  <c r="AG43" i="4" s="1"/>
  <c r="AE16" i="4"/>
  <c r="AG16" i="4" s="1"/>
  <c r="AE81" i="4"/>
  <c r="AG81" i="4" s="1"/>
  <c r="I30" i="9" a="1"/>
  <c r="I30" i="9" s="1"/>
  <c r="J30" i="9" s="1"/>
  <c r="M30" i="9" a="1"/>
  <c r="M30" i="9" s="1"/>
  <c r="O30" i="9" a="1"/>
  <c r="O30" i="9" s="1"/>
  <c r="R30" i="9" s="1" a="1"/>
  <c r="R30" i="9" s="1"/>
  <c r="K30" i="9" a="1"/>
  <c r="K30" i="9" s="1"/>
  <c r="AK43" i="4"/>
  <c r="AK64" i="4"/>
  <c r="T50" i="4"/>
  <c r="W11" i="4"/>
  <c r="AK65" i="4"/>
  <c r="AK37" i="4"/>
  <c r="AK74" i="4"/>
  <c r="AK69" i="4"/>
  <c r="AD12" i="4"/>
  <c r="AM12" i="4" s="1"/>
  <c r="AD82" i="4"/>
  <c r="AM82" i="4" s="1"/>
  <c r="AD39" i="4"/>
  <c r="AM39" i="4" s="1"/>
  <c r="AE76" i="4"/>
  <c r="AG76" i="4" s="1"/>
  <c r="O34" i="9" a="1"/>
  <c r="O34" i="9" s="1"/>
  <c r="R34" i="9" s="1" a="1"/>
  <c r="R34" i="9" s="1"/>
  <c r="I34" i="9" a="1"/>
  <c r="I34" i="9" s="1"/>
  <c r="J34" i="9" s="1"/>
  <c r="M34" i="9" a="1"/>
  <c r="M34" i="9" s="1"/>
  <c r="K34" i="9" a="1"/>
  <c r="K34" i="9" s="1"/>
  <c r="I75" i="9" a="1"/>
  <c r="I75" i="9" s="1"/>
  <c r="J75" i="9" s="1"/>
  <c r="K75" i="9" a="1"/>
  <c r="K75" i="9" s="1"/>
  <c r="M75" i="9" a="1"/>
  <c r="M75" i="9" s="1"/>
  <c r="O75" i="9" a="1"/>
  <c r="O75" i="9" s="1"/>
  <c r="R75" i="9" s="1" a="1"/>
  <c r="R75" i="9" s="1"/>
  <c r="O66" i="9" a="1"/>
  <c r="O66" i="9" s="1"/>
  <c r="R66" i="9" s="1" a="1"/>
  <c r="R66" i="9" s="1"/>
  <c r="M66" i="9" a="1"/>
  <c r="M66" i="9" s="1"/>
  <c r="I66" i="9" a="1"/>
  <c r="I66" i="9" s="1"/>
  <c r="J66" i="9" s="1"/>
  <c r="K66" i="9" a="1"/>
  <c r="K66" i="9" s="1"/>
  <c r="M70" i="9" a="1"/>
  <c r="M70" i="9" s="1"/>
  <c r="I70" i="9" a="1"/>
  <c r="I70" i="9" s="1"/>
  <c r="J70" i="9" s="1"/>
  <c r="K70" i="9" a="1"/>
  <c r="K70" i="9" s="1"/>
  <c r="O70" i="9" a="1"/>
  <c r="O70" i="9" s="1"/>
  <c r="R70" i="9" s="1" a="1"/>
  <c r="R70" i="9" s="1"/>
  <c r="K72" i="9" a="1"/>
  <c r="K72" i="9" s="1"/>
  <c r="I72" i="9" a="1"/>
  <c r="I72" i="9" s="1"/>
  <c r="J72" i="9" s="1"/>
  <c r="M72" i="9" a="1"/>
  <c r="M72" i="9" s="1"/>
  <c r="O72" i="9" a="1"/>
  <c r="O72" i="9" s="1"/>
  <c r="R72" i="9" s="1" a="1"/>
  <c r="R72" i="9" s="1"/>
  <c r="AE21" i="4"/>
  <c r="AD32" i="4"/>
  <c r="AM32" i="4" s="1"/>
  <c r="AK41" i="4"/>
  <c r="AK52" i="4"/>
  <c r="AK55" i="4"/>
  <c r="AD49" i="4"/>
  <c r="AM49" i="4" s="1"/>
  <c r="AD11" i="4"/>
  <c r="AM11" i="4" s="1"/>
  <c r="AK58" i="4"/>
  <c r="AK42" i="4"/>
  <c r="AF53" i="4"/>
  <c r="AN53" i="4" s="1"/>
  <c r="N47" i="11" s="1" a="1"/>
  <c r="N47" i="11" s="1"/>
  <c r="T10" i="4"/>
  <c r="AK14" i="4"/>
  <c r="AK20" i="4"/>
  <c r="AD72" i="4"/>
  <c r="AM72" i="4" s="1"/>
  <c r="AK31" i="4"/>
  <c r="T39" i="4"/>
  <c r="AE55" i="4"/>
  <c r="AG55" i="4" s="1"/>
  <c r="K37" i="9" a="1"/>
  <c r="K37" i="9" s="1"/>
  <c r="M37" i="9" a="1"/>
  <c r="M37" i="9" s="1"/>
  <c r="I37" i="9" a="1"/>
  <c r="I37" i="9" s="1"/>
  <c r="J37" i="9" s="1"/>
  <c r="O37" i="9" a="1"/>
  <c r="O37" i="9" s="1"/>
  <c r="R37" i="9" s="1" a="1"/>
  <c r="R37" i="9" s="1"/>
  <c r="AE23" i="4"/>
  <c r="AG23" i="4" s="1"/>
  <c r="AE14" i="4"/>
  <c r="AE50" i="4"/>
  <c r="AE64" i="4"/>
  <c r="AG64" i="4" s="1"/>
  <c r="AK45" i="4"/>
  <c r="AK48" i="4"/>
  <c r="AK60" i="4"/>
  <c r="AA21" i="4"/>
  <c r="AD57" i="4"/>
  <c r="AM57" i="4" s="1"/>
  <c r="T13" i="4"/>
  <c r="AK12" i="4"/>
  <c r="AD27" i="4"/>
  <c r="AM27" i="4" s="1"/>
  <c r="AA10" i="4"/>
  <c r="AK82" i="4"/>
  <c r="AK29" i="4"/>
  <c r="AK79" i="4"/>
  <c r="AK19" i="4"/>
  <c r="AE49" i="4"/>
  <c r="AG49" i="4" s="1"/>
  <c r="AE82" i="4"/>
  <c r="AG82" i="4" s="1"/>
  <c r="AE46" i="4"/>
  <c r="AG46" i="4" s="1"/>
  <c r="K49" i="9" a="1"/>
  <c r="K49" i="9" s="1"/>
  <c r="O49" i="9" a="1"/>
  <c r="O49" i="9" s="1"/>
  <c r="R49" i="9" s="1" a="1"/>
  <c r="R49" i="9" s="1"/>
  <c r="I49" i="9" a="1"/>
  <c r="I49" i="9" s="1"/>
  <c r="J49" i="9" s="1"/>
  <c r="M49" i="9" a="1"/>
  <c r="M49" i="9" s="1"/>
  <c r="M68" i="9" a="1"/>
  <c r="M68" i="9" s="1"/>
  <c r="O68" i="9" a="1"/>
  <c r="O68" i="9" s="1"/>
  <c r="R68" i="9" s="1" a="1"/>
  <c r="R68" i="9" s="1"/>
  <c r="K68" i="9" a="1"/>
  <c r="K68" i="9" s="1"/>
  <c r="I68" i="9" a="1"/>
  <c r="I68" i="9" s="1"/>
  <c r="J68" i="9" s="1"/>
  <c r="O23" i="9" a="1"/>
  <c r="O23" i="9" s="1"/>
  <c r="R23" i="9" s="1" a="1"/>
  <c r="R23" i="9" s="1"/>
  <c r="I23" i="9" a="1"/>
  <c r="I23" i="9" s="1"/>
  <c r="J23" i="9" s="1"/>
  <c r="M23" i="9" a="1"/>
  <c r="M23" i="9" s="1"/>
  <c r="K23" i="9" a="1"/>
  <c r="K23" i="9" s="1"/>
  <c r="AD21" i="4"/>
  <c r="AM21" i="4" s="1"/>
  <c r="AA13" i="4"/>
  <c r="AF39" i="4"/>
  <c r="AN39" i="4" s="1"/>
  <c r="N33" i="11" s="1" a="1"/>
  <c r="N33" i="11" s="1"/>
  <c r="AK63" i="4"/>
  <c r="K8" i="9" a="1"/>
  <c r="K8" i="9" s="1"/>
  <c r="I8" i="9" a="1"/>
  <c r="I8" i="9" s="1"/>
  <c r="J8" i="9" s="1"/>
  <c r="O8" i="9" a="1"/>
  <c r="O8" i="9" s="1"/>
  <c r="R8" i="9" s="1" a="1"/>
  <c r="R8" i="9" s="1"/>
  <c r="M8" i="9" a="1"/>
  <c r="M8" i="9" s="1"/>
  <c r="AE27" i="4"/>
  <c r="AG27" i="4" s="1"/>
  <c r="AE38" i="4"/>
  <c r="AG38" i="4" s="1"/>
  <c r="AE48" i="4"/>
  <c r="AG48" i="4" s="1"/>
  <c r="AE25" i="4"/>
  <c r="AE30" i="4"/>
  <c r="AG30" i="4" s="1"/>
  <c r="AE73" i="4"/>
  <c r="AG73" i="4" s="1"/>
  <c r="N5" i="9" l="1"/>
  <c r="P5" i="9" s="1"/>
  <c r="O5" i="11" s="1" a="1"/>
  <c r="O5" i="11" s="1"/>
  <c r="P5" i="11" s="1"/>
  <c r="S5" i="6" s="1" a="1"/>
  <c r="S5" i="6" s="1"/>
  <c r="T5" i="6" s="1"/>
  <c r="X17" i="9"/>
  <c r="Y17" i="9" s="1"/>
  <c r="Z17" i="9" s="1" a="1"/>
  <c r="Z17" i="9" s="1"/>
  <c r="Q29" i="9" a="1"/>
  <c r="Q29" i="9" s="1"/>
  <c r="S29" i="9" s="1" a="1"/>
  <c r="S29" i="9" s="1"/>
  <c r="Q29" i="11" s="1" a="1"/>
  <c r="Q29" i="11" s="1"/>
  <c r="R29" i="11" s="1" a="1"/>
  <c r="R29" i="11" s="1"/>
  <c r="X29" i="6" s="1" a="1"/>
  <c r="X29" i="6" s="1"/>
  <c r="U5" i="9"/>
  <c r="V5" i="9" s="1" a="1"/>
  <c r="V5" i="9" s="1"/>
  <c r="N9" i="9"/>
  <c r="P9" i="9" s="1"/>
  <c r="O9" i="11" s="1" a="1"/>
  <c r="O9" i="11" s="1"/>
  <c r="P9" i="11" s="1"/>
  <c r="S9" i="6" s="1" a="1"/>
  <c r="S9" i="6" s="1"/>
  <c r="T9" i="6" s="1"/>
  <c r="N9" i="6" s="1" a="1"/>
  <c r="N9" i="6" s="1"/>
  <c r="W31" i="9" a="1"/>
  <c r="W31" i="9" s="1"/>
  <c r="L38" i="9"/>
  <c r="N38" i="9" s="1"/>
  <c r="P38" i="9" s="1"/>
  <c r="O38" i="11" s="1" a="1"/>
  <c r="O38" i="11" s="1"/>
  <c r="P38" i="11" s="1"/>
  <c r="S38" i="6" s="1" a="1"/>
  <c r="S38" i="6" s="1"/>
  <c r="T38" i="6" s="1"/>
  <c r="N38" i="6" s="1" a="1"/>
  <c r="N38" i="6" s="1"/>
  <c r="Q38" i="6" s="1"/>
  <c r="R38" i="6" s="1"/>
  <c r="U31" i="9"/>
  <c r="V31" i="9" s="1" a="1"/>
  <c r="V31" i="9" s="1"/>
  <c r="W47" i="9" a="1"/>
  <c r="W47" i="9" s="1"/>
  <c r="X47" i="9" s="1"/>
  <c r="Y47" i="9" s="1"/>
  <c r="Z47" i="9" s="1" a="1"/>
  <c r="Z47" i="9" s="1"/>
  <c r="N32" i="9"/>
  <c r="P32" i="9" s="1"/>
  <c r="O32" i="11" s="1" a="1"/>
  <c r="O32" i="11" s="1"/>
  <c r="P32" i="11" s="1"/>
  <c r="S32" i="6" s="1" a="1"/>
  <c r="S32" i="6" s="1"/>
  <c r="T32" i="6" s="1"/>
  <c r="N32" i="6" s="1" a="1"/>
  <c r="N32" i="6" s="1"/>
  <c r="Q32" i="6" s="1"/>
  <c r="R32" i="6" s="1"/>
  <c r="L67" i="9"/>
  <c r="N67" i="9" s="1"/>
  <c r="P67" i="9" s="1"/>
  <c r="O67" i="11" s="1" a="1"/>
  <c r="O67" i="11" s="1"/>
  <c r="P67" i="11" s="1"/>
  <c r="S67" i="6" s="1" a="1"/>
  <c r="S67" i="6" s="1"/>
  <c r="T67" i="6" s="1"/>
  <c r="N67" i="6" s="1" a="1"/>
  <c r="N67" i="6" s="1"/>
  <c r="Q67" i="6" s="1"/>
  <c r="R67" i="6" s="1"/>
  <c r="P4" i="11"/>
  <c r="S4" i="6" s="1" a="1"/>
  <c r="S4" i="6" s="1"/>
  <c r="T4" i="6" s="1"/>
  <c r="N4" i="6" s="1" a="1"/>
  <c r="N4" i="6" s="1"/>
  <c r="Q4" i="6" s="1"/>
  <c r="R4" i="6" s="1"/>
  <c r="L58" i="9"/>
  <c r="N58" i="9" s="1"/>
  <c r="P58" i="9" s="1"/>
  <c r="O58" i="11" s="1" a="1"/>
  <c r="O58" i="11" s="1"/>
  <c r="P58" i="11" s="1"/>
  <c r="S58" i="6" s="1" a="1"/>
  <c r="S58" i="6" s="1"/>
  <c r="T58" i="6" s="1"/>
  <c r="Q9" i="9" a="1"/>
  <c r="Q9" i="9" s="1"/>
  <c r="S9" i="9" s="1" a="1"/>
  <c r="S9" i="9" s="1"/>
  <c r="Q9" i="11" s="1" a="1"/>
  <c r="Q9" i="11" s="1"/>
  <c r="R9" i="11" s="1" a="1"/>
  <c r="R9" i="11" s="1"/>
  <c r="X9" i="6" s="1" a="1"/>
  <c r="X9" i="6" s="1"/>
  <c r="W9" i="9" a="1"/>
  <c r="W9" i="9" s="1"/>
  <c r="U9" i="9"/>
  <c r="V9" i="9" s="1" a="1"/>
  <c r="V9" i="9" s="1"/>
  <c r="X52" i="9"/>
  <c r="Y52" i="9" s="1"/>
  <c r="Z52" i="9" s="1" a="1"/>
  <c r="Z52" i="9" s="1"/>
  <c r="X60" i="9"/>
  <c r="Y60" i="9" s="1"/>
  <c r="Z60" i="9" s="1" a="1"/>
  <c r="Z60" i="9" s="1"/>
  <c r="AG25" i="4"/>
  <c r="Q47" i="9" a="1"/>
  <c r="Q47" i="9" s="1"/>
  <c r="S47" i="9" s="1" a="1"/>
  <c r="S47" i="9" s="1"/>
  <c r="Q47" i="11" s="1" a="1"/>
  <c r="Q47" i="11" s="1"/>
  <c r="R47" i="11" s="1" a="1"/>
  <c r="R47" i="11" s="1"/>
  <c r="X47" i="6" s="1" a="1"/>
  <c r="X47" i="6" s="1"/>
  <c r="Q32" i="9" a="1"/>
  <c r="Q32" i="9" s="1"/>
  <c r="S32" i="9" s="1" a="1"/>
  <c r="S32" i="9" s="1"/>
  <c r="Q32" i="11" s="1" a="1"/>
  <c r="Q32" i="11" s="1"/>
  <c r="R32" i="11" s="1" a="1"/>
  <c r="R32" i="11" s="1"/>
  <c r="X32" i="6" s="1" a="1"/>
  <c r="X32" i="6" s="1"/>
  <c r="U51" i="9"/>
  <c r="V51" i="9" s="1" a="1"/>
  <c r="V51" i="9" s="1"/>
  <c r="W32" i="9" a="1"/>
  <c r="W32" i="9" s="1"/>
  <c r="X32" i="9" s="1"/>
  <c r="Y32" i="9" s="1"/>
  <c r="Z32" i="9" s="1" a="1"/>
  <c r="Z32" i="9" s="1"/>
  <c r="X67" i="9"/>
  <c r="Y67" i="9" s="1"/>
  <c r="Z67" i="9" s="1" a="1"/>
  <c r="Z67" i="9" s="1"/>
  <c r="X16" i="9"/>
  <c r="Y16" i="9" s="1"/>
  <c r="Z16" i="9" s="1" a="1"/>
  <c r="Z16" i="9" s="1"/>
  <c r="W51" i="9" a="1"/>
  <c r="W51" i="9" s="1"/>
  <c r="X26" i="9"/>
  <c r="Y26" i="9" s="1"/>
  <c r="Z26" i="9" s="1" a="1"/>
  <c r="Z26" i="9" s="1"/>
  <c r="L19" i="9"/>
  <c r="N19" i="9" s="1"/>
  <c r="P19" i="9" s="1"/>
  <c r="O19" i="11" s="1" a="1"/>
  <c r="O19" i="11" s="1"/>
  <c r="P19" i="11" s="1"/>
  <c r="S19" i="6" s="1" a="1"/>
  <c r="S19" i="6" s="1"/>
  <c r="T19" i="6" s="1"/>
  <c r="L35" i="9"/>
  <c r="N35" i="9" s="1"/>
  <c r="P35" i="9" s="1"/>
  <c r="O35" i="11" s="1" a="1"/>
  <c r="O35" i="11" s="1"/>
  <c r="P35" i="11" s="1"/>
  <c r="S35" i="6" s="1" a="1"/>
  <c r="S35" i="6" s="1"/>
  <c r="T35" i="6" s="1"/>
  <c r="N28" i="9"/>
  <c r="P28" i="9" s="1"/>
  <c r="O28" i="11" s="1" a="1"/>
  <c r="O28" i="11" s="1"/>
  <c r="P28" i="11" s="1"/>
  <c r="S28" i="6" s="1" a="1"/>
  <c r="S28" i="6" s="1"/>
  <c r="T28" i="6" s="1"/>
  <c r="X7" i="9"/>
  <c r="Y7" i="9" s="1"/>
  <c r="Z7" i="9" s="1" a="1"/>
  <c r="Z7" i="9" s="1"/>
  <c r="X4" i="9"/>
  <c r="Y4" i="9" s="1"/>
  <c r="Z4" i="9" s="1" a="1"/>
  <c r="Z4" i="9" s="1"/>
  <c r="N71" i="9"/>
  <c r="P71" i="9" s="1"/>
  <c r="O71" i="11" s="1" a="1"/>
  <c r="O71" i="11" s="1"/>
  <c r="P71" i="11" s="1"/>
  <c r="S71" i="6" s="1" a="1"/>
  <c r="S71" i="6" s="1"/>
  <c r="T71" i="6" s="1"/>
  <c r="P6" i="11"/>
  <c r="S6" i="6" s="1" a="1"/>
  <c r="S6" i="6" s="1"/>
  <c r="N6" i="6" s="1" a="1"/>
  <c r="N6" i="6" s="1"/>
  <c r="Q6" i="6" s="1"/>
  <c r="R6" i="6" s="1"/>
  <c r="N31" i="9"/>
  <c r="P31" i="9" s="1"/>
  <c r="O31" i="11" s="1" a="1"/>
  <c r="O31" i="11" s="1"/>
  <c r="P31" i="11" s="1"/>
  <c r="S31" i="6" s="1" a="1"/>
  <c r="S31" i="6" s="1"/>
  <c r="T31" i="6" s="1"/>
  <c r="N31" i="6" s="1" a="1"/>
  <c r="N31" i="6" s="1"/>
  <c r="Q31" i="6" s="1"/>
  <c r="R31" i="6" s="1"/>
  <c r="L26" i="9"/>
  <c r="N26" i="9" s="1"/>
  <c r="P26" i="9" s="1"/>
  <c r="O26" i="11" s="1" a="1"/>
  <c r="O26" i="11" s="1"/>
  <c r="P26" i="11" s="1"/>
  <c r="S26" i="6" s="1" a="1"/>
  <c r="S26" i="6" s="1"/>
  <c r="T26" i="6" s="1"/>
  <c r="N26" i="6" s="1" a="1"/>
  <c r="N26" i="6" s="1"/>
  <c r="Q26" i="6" s="1"/>
  <c r="R26" i="6" s="1"/>
  <c r="P7" i="11"/>
  <c r="S7" i="6" s="1" a="1"/>
  <c r="S7" i="6" s="1"/>
  <c r="T7" i="6" s="1"/>
  <c r="N7" i="6" s="1" a="1"/>
  <c r="N7" i="6" s="1"/>
  <c r="Q7" i="6" s="1"/>
  <c r="R7" i="6" s="1"/>
  <c r="N29" i="6" a="1"/>
  <c r="N29" i="6" s="1"/>
  <c r="Q29" i="6" s="1"/>
  <c r="R29" i="6" s="1"/>
  <c r="L41" i="9"/>
  <c r="N41" i="9" s="1"/>
  <c r="P41" i="9" s="1"/>
  <c r="O41" i="11" s="1" a="1"/>
  <c r="O41" i="11" s="1"/>
  <c r="P41" i="11" s="1"/>
  <c r="S41" i="6" s="1" a="1"/>
  <c r="S41" i="6" s="1"/>
  <c r="T41" i="6" s="1"/>
  <c r="N24" i="9"/>
  <c r="P24" i="9" s="1"/>
  <c r="O24" i="11" s="1" a="1"/>
  <c r="O24" i="11" s="1"/>
  <c r="P24" i="11" s="1"/>
  <c r="S24" i="6" s="1" a="1"/>
  <c r="S24" i="6" s="1"/>
  <c r="T24" i="6" s="1"/>
  <c r="AG21" i="4"/>
  <c r="AG12" i="4"/>
  <c r="N63" i="9"/>
  <c r="P63" i="9" s="1"/>
  <c r="O63" i="11" s="1" a="1"/>
  <c r="O63" i="11" s="1"/>
  <c r="P63" i="11" s="1"/>
  <c r="S63" i="6" s="1" a="1"/>
  <c r="S63" i="6" s="1"/>
  <c r="T63" i="6" s="1"/>
  <c r="N21" i="9"/>
  <c r="P21" i="9" s="1"/>
  <c r="O21" i="11" s="1" a="1"/>
  <c r="O21" i="11" s="1"/>
  <c r="P21" i="11" s="1"/>
  <c r="S21" i="6" s="1" a="1"/>
  <c r="S21" i="6" s="1"/>
  <c r="T21" i="6" s="1"/>
  <c r="Q20" i="9" a="1"/>
  <c r="Q20" i="9" s="1"/>
  <c r="S20" i="9" s="1" a="1"/>
  <c r="S20" i="9" s="1"/>
  <c r="Q20" i="11" s="1" a="1"/>
  <c r="Q20" i="11" s="1"/>
  <c r="R20" i="11" s="1" a="1"/>
  <c r="R20" i="11" s="1"/>
  <c r="X20" i="6" s="1" a="1"/>
  <c r="X20" i="6" s="1"/>
  <c r="U20" i="9"/>
  <c r="V20" i="9" s="1" a="1"/>
  <c r="V20" i="9" s="1"/>
  <c r="W20" i="9" a="1"/>
  <c r="W20" i="9" s="1"/>
  <c r="U71" i="9"/>
  <c r="V71" i="9" s="1" a="1"/>
  <c r="V71" i="9" s="1"/>
  <c r="N47" i="9"/>
  <c r="P47" i="9" s="1"/>
  <c r="O47" i="11" s="1" a="1"/>
  <c r="O47" i="11" s="1"/>
  <c r="P47" i="11" s="1"/>
  <c r="S47" i="6" s="1" a="1"/>
  <c r="S47" i="6" s="1"/>
  <c r="T47" i="6" s="1"/>
  <c r="L20" i="9"/>
  <c r="N20" i="9" s="1"/>
  <c r="P20" i="9" s="1"/>
  <c r="O20" i="11" s="1" a="1"/>
  <c r="O20" i="11" s="1"/>
  <c r="P20" i="11" s="1"/>
  <c r="S20" i="6" s="1" a="1"/>
  <c r="S20" i="6" s="1"/>
  <c r="T20" i="6" s="1"/>
  <c r="U10" i="9"/>
  <c r="V10" i="9" s="1" a="1"/>
  <c r="V10" i="9" s="1"/>
  <c r="W10" i="9" a="1"/>
  <c r="W10" i="9" s="1"/>
  <c r="L40" i="9"/>
  <c r="N40" i="9" s="1"/>
  <c r="P40" i="9" s="1"/>
  <c r="O40" i="11" s="1" a="1"/>
  <c r="O40" i="11" s="1"/>
  <c r="P40" i="11" s="1"/>
  <c r="S40" i="6" s="1" a="1"/>
  <c r="S40" i="6" s="1"/>
  <c r="T40" i="6" s="1"/>
  <c r="L27" i="9"/>
  <c r="N27" i="9" s="1"/>
  <c r="P27" i="9" s="1"/>
  <c r="O27" i="11" s="1" a="1"/>
  <c r="O27" i="11" s="1"/>
  <c r="P27" i="11" s="1"/>
  <c r="S27" i="6" s="1" a="1"/>
  <c r="S27" i="6" s="1"/>
  <c r="T27" i="6" s="1"/>
  <c r="U21" i="9"/>
  <c r="V21" i="9" s="1" a="1"/>
  <c r="V21" i="9" s="1"/>
  <c r="W21" i="9" a="1"/>
  <c r="W21" i="9" s="1"/>
  <c r="Q21" i="9" a="1"/>
  <c r="Q21" i="9" s="1"/>
  <c r="S21" i="9" s="1" a="1"/>
  <c r="S21" i="9" s="1"/>
  <c r="Q21" i="11" s="1" a="1"/>
  <c r="Q21" i="11" s="1"/>
  <c r="R21" i="11" s="1" a="1"/>
  <c r="R21" i="11" s="1"/>
  <c r="X21" i="6" s="1" a="1"/>
  <c r="X21" i="6" s="1"/>
  <c r="U12" i="9"/>
  <c r="V12" i="9" s="1" a="1"/>
  <c r="V12" i="9" s="1"/>
  <c r="W12" i="9" a="1"/>
  <c r="W12" i="9" s="1"/>
  <c r="W71" i="9" a="1"/>
  <c r="W71" i="9" s="1"/>
  <c r="X5" i="9"/>
  <c r="Y5" i="9" s="1"/>
  <c r="Z5" i="9" s="1" a="1"/>
  <c r="Z5" i="9" s="1"/>
  <c r="N43" i="9"/>
  <c r="P43" i="9" s="1"/>
  <c r="O43" i="11" s="1" a="1"/>
  <c r="O43" i="11" s="1"/>
  <c r="P43" i="11" s="1"/>
  <c r="S43" i="6" s="1" a="1"/>
  <c r="S43" i="6" s="1"/>
  <c r="T43" i="6" s="1"/>
  <c r="N62" i="9"/>
  <c r="P62" i="9" s="1"/>
  <c r="O62" i="11" s="1" a="1"/>
  <c r="O62" i="11" s="1"/>
  <c r="P62" i="11" s="1"/>
  <c r="S62" i="6" s="1" a="1"/>
  <c r="S62" i="6" s="1"/>
  <c r="T62" i="6" s="1"/>
  <c r="L53" i="9"/>
  <c r="N53" i="9" s="1"/>
  <c r="P53" i="9" s="1"/>
  <c r="O53" i="11" s="1" a="1"/>
  <c r="O53" i="11" s="1"/>
  <c r="P53" i="11" s="1"/>
  <c r="S53" i="6" s="1" a="1"/>
  <c r="S53" i="6" s="1"/>
  <c r="T53" i="6" s="1"/>
  <c r="X27" i="9"/>
  <c r="Y27" i="9" s="1"/>
  <c r="Z27" i="9" s="1" a="1"/>
  <c r="Z27" i="9" s="1"/>
  <c r="W53" i="9" a="1"/>
  <c r="W53" i="9" s="1"/>
  <c r="Q53" i="9" a="1"/>
  <c r="Q53" i="9" s="1"/>
  <c r="S53" i="9" s="1" a="1"/>
  <c r="S53" i="9" s="1"/>
  <c r="Q53" i="11" s="1" a="1"/>
  <c r="Q53" i="11" s="1"/>
  <c r="R53" i="11" s="1" a="1"/>
  <c r="R53" i="11" s="1"/>
  <c r="X53" i="6" s="1" a="1"/>
  <c r="X53" i="6" s="1"/>
  <c r="U53" i="9"/>
  <c r="V53" i="9" s="1" a="1"/>
  <c r="V53" i="9" s="1"/>
  <c r="L52" i="9"/>
  <c r="N52" i="9" s="1"/>
  <c r="P52" i="9" s="1"/>
  <c r="O52" i="11" s="1" a="1"/>
  <c r="O52" i="11" s="1"/>
  <c r="P52" i="11" s="1"/>
  <c r="S52" i="6" s="1" a="1"/>
  <c r="S52" i="6" s="1"/>
  <c r="T52" i="6" s="1"/>
  <c r="N39" i="9"/>
  <c r="P39" i="9" s="1"/>
  <c r="O39" i="11" s="1" a="1"/>
  <c r="O39" i="11" s="1"/>
  <c r="P39" i="11" s="1"/>
  <c r="S39" i="6" s="1" a="1"/>
  <c r="S39" i="6" s="1"/>
  <c r="T39" i="6" s="1"/>
  <c r="L16" i="9"/>
  <c r="N16" i="9" s="1"/>
  <c r="P16" i="9" s="1"/>
  <c r="O16" i="11" s="1" a="1"/>
  <c r="O16" i="11" s="1"/>
  <c r="P16" i="11" s="1"/>
  <c r="S16" i="6" s="1" a="1"/>
  <c r="S16" i="6" s="1"/>
  <c r="T16" i="6" s="1"/>
  <c r="Q42" i="9" a="1"/>
  <c r="Q42" i="9" s="1"/>
  <c r="S42" i="9" s="1" a="1"/>
  <c r="S42" i="9" s="1"/>
  <c r="Q42" i="11" s="1" a="1"/>
  <c r="Q42" i="11" s="1"/>
  <c r="R42" i="11" s="1" a="1"/>
  <c r="R42" i="11" s="1"/>
  <c r="X42" i="6" s="1" a="1"/>
  <c r="X42" i="6" s="1"/>
  <c r="U42" i="9"/>
  <c r="V42" i="9" s="1" a="1"/>
  <c r="V42" i="9" s="1"/>
  <c r="W42" i="9" a="1"/>
  <c r="W42" i="9" s="1"/>
  <c r="L74" i="9"/>
  <c r="N74" i="9" s="1"/>
  <c r="P74" i="9" s="1"/>
  <c r="O74" i="11" s="1" a="1"/>
  <c r="O74" i="11" s="1"/>
  <c r="P74" i="11" s="1"/>
  <c r="S74" i="6" s="1" a="1"/>
  <c r="S74" i="6" s="1"/>
  <c r="T74" i="6" s="1"/>
  <c r="N59" i="9"/>
  <c r="P59" i="9" s="1"/>
  <c r="O59" i="11" s="1" a="1"/>
  <c r="O59" i="11" s="1"/>
  <c r="P59" i="11" s="1"/>
  <c r="S59" i="6" s="1" a="1"/>
  <c r="S59" i="6" s="1"/>
  <c r="T59" i="6" s="1"/>
  <c r="N44" i="9"/>
  <c r="P44" i="9" s="1"/>
  <c r="O44" i="11" s="1" a="1"/>
  <c r="O44" i="11" s="1"/>
  <c r="P44" i="11" s="1"/>
  <c r="S44" i="6" s="1" a="1"/>
  <c r="S44" i="6" s="1"/>
  <c r="T44" i="6" s="1"/>
  <c r="U54" i="9"/>
  <c r="V54" i="9" s="1" a="1"/>
  <c r="V54" i="9" s="1"/>
  <c r="W54" i="9" a="1"/>
  <c r="W54" i="9" s="1"/>
  <c r="L60" i="9"/>
  <c r="N60" i="9" s="1"/>
  <c r="P60" i="9" s="1"/>
  <c r="O60" i="11" s="1" a="1"/>
  <c r="O60" i="11" s="1"/>
  <c r="P60" i="11" s="1"/>
  <c r="S60" i="6" s="1" a="1"/>
  <c r="S60" i="6" s="1"/>
  <c r="T60" i="6" s="1"/>
  <c r="L17" i="9"/>
  <c r="N17" i="9" s="1"/>
  <c r="P17" i="9" s="1"/>
  <c r="O17" i="11" s="1" a="1"/>
  <c r="O17" i="11" s="1"/>
  <c r="P17" i="11" s="1"/>
  <c r="S17" i="6" s="1" a="1"/>
  <c r="S17" i="6" s="1"/>
  <c r="T17" i="6" s="1"/>
  <c r="W74" i="9" a="1"/>
  <c r="W74" i="9" s="1"/>
  <c r="Q74" i="9" a="1"/>
  <c r="Q74" i="9" s="1"/>
  <c r="S74" i="9" s="1" a="1"/>
  <c r="S74" i="9" s="1"/>
  <c r="Q74" i="11" s="1" a="1"/>
  <c r="Q74" i="11" s="1"/>
  <c r="R74" i="11" s="1" a="1"/>
  <c r="R74" i="11" s="1"/>
  <c r="X74" i="6" s="1" a="1"/>
  <c r="X74" i="6" s="1"/>
  <c r="U74" i="9"/>
  <c r="V74" i="9" s="1" a="1"/>
  <c r="V74" i="9" s="1"/>
  <c r="N12" i="9"/>
  <c r="P12" i="9" s="1"/>
  <c r="O12" i="11" s="1" a="1"/>
  <c r="O12" i="11" s="1"/>
  <c r="P12" i="11" s="1"/>
  <c r="S12" i="6" s="1" a="1"/>
  <c r="S12" i="6" s="1"/>
  <c r="T12" i="6" s="1"/>
  <c r="Q39" i="9" a="1"/>
  <c r="Q39" i="9" s="1"/>
  <c r="S39" i="9" s="1" a="1"/>
  <c r="S39" i="9" s="1"/>
  <c r="Q39" i="11" s="1" a="1"/>
  <c r="Q39" i="11" s="1"/>
  <c r="R39" i="11" s="1" a="1"/>
  <c r="R39" i="11" s="1"/>
  <c r="X39" i="6" s="1" a="1"/>
  <c r="X39" i="6" s="1"/>
  <c r="U39" i="9"/>
  <c r="V39" i="9" s="1" a="1"/>
  <c r="V39" i="9" s="1"/>
  <c r="W39" i="9" a="1"/>
  <c r="W39" i="9" s="1"/>
  <c r="U43" i="9"/>
  <c r="V43" i="9" s="1" a="1"/>
  <c r="V43" i="9" s="1"/>
  <c r="X43" i="9" s="1"/>
  <c r="Y43" i="9" s="1"/>
  <c r="Z43" i="9" s="1" a="1"/>
  <c r="Z43" i="9" s="1"/>
  <c r="Q43" i="9" a="1"/>
  <c r="Q43" i="9" s="1"/>
  <c r="S43" i="9" s="1" a="1"/>
  <c r="S43" i="9" s="1"/>
  <c r="Q43" i="11" s="1" a="1"/>
  <c r="Q43" i="11" s="1"/>
  <c r="R43" i="11" s="1" a="1"/>
  <c r="R43" i="11" s="1"/>
  <c r="X43" i="6" s="1" a="1"/>
  <c r="X43" i="6" s="1"/>
  <c r="L33" i="9"/>
  <c r="N33" i="9" s="1"/>
  <c r="P33" i="9" s="1"/>
  <c r="O33" i="11" s="1" a="1"/>
  <c r="O33" i="11" s="1"/>
  <c r="P33" i="11" s="1"/>
  <c r="S33" i="6" s="1" a="1"/>
  <c r="S33" i="6" s="1"/>
  <c r="T33" i="6" s="1"/>
  <c r="U63" i="9"/>
  <c r="V63" i="9" s="1" a="1"/>
  <c r="V63" i="9" s="1"/>
  <c r="Q63" i="9" a="1"/>
  <c r="Q63" i="9" s="1"/>
  <c r="S63" i="9" s="1" a="1"/>
  <c r="S63" i="9" s="1"/>
  <c r="Q63" i="11" s="1" a="1"/>
  <c r="Q63" i="11" s="1"/>
  <c r="R63" i="11" s="1" a="1"/>
  <c r="R63" i="11" s="1"/>
  <c r="X63" i="6" s="1" a="1"/>
  <c r="X63" i="6" s="1"/>
  <c r="W63" i="9" a="1"/>
  <c r="W63" i="9" s="1"/>
  <c r="W65" i="9" a="1"/>
  <c r="W65" i="9" s="1"/>
  <c r="Q65" i="9" a="1"/>
  <c r="Q65" i="9" s="1"/>
  <c r="S65" i="9" s="1" a="1"/>
  <c r="S65" i="9" s="1"/>
  <c r="Q65" i="11" s="1" a="1"/>
  <c r="Q65" i="11" s="1"/>
  <c r="R65" i="11" s="1" a="1"/>
  <c r="R65" i="11" s="1"/>
  <c r="X65" i="6" s="1" a="1"/>
  <c r="X65" i="6" s="1"/>
  <c r="U65" i="9"/>
  <c r="V65" i="9" s="1" a="1"/>
  <c r="V65" i="9" s="1"/>
  <c r="AG83" i="4"/>
  <c r="U41" i="9"/>
  <c r="V41" i="9" s="1" a="1"/>
  <c r="V41" i="9" s="1"/>
  <c r="Q41" i="9" a="1"/>
  <c r="Q41" i="9" s="1"/>
  <c r="S41" i="9" s="1" a="1"/>
  <c r="S41" i="9" s="1"/>
  <c r="Q41" i="11" s="1" a="1"/>
  <c r="Q41" i="11" s="1"/>
  <c r="R41" i="11" s="1" a="1"/>
  <c r="R41" i="11" s="1"/>
  <c r="X41" i="6" s="1" a="1"/>
  <c r="X41" i="6" s="1"/>
  <c r="W41" i="9" a="1"/>
  <c r="W41" i="9" s="1"/>
  <c r="W64" i="9" a="1"/>
  <c r="W64" i="9" s="1"/>
  <c r="Q64" i="9" a="1"/>
  <c r="Q64" i="9" s="1"/>
  <c r="S64" i="9" s="1" a="1"/>
  <c r="S64" i="9" s="1"/>
  <c r="Q64" i="11" s="1" a="1"/>
  <c r="Q64" i="11" s="1"/>
  <c r="R64" i="11" s="1" a="1"/>
  <c r="R64" i="11" s="1"/>
  <c r="X64" i="6" s="1" a="1"/>
  <c r="X64" i="6" s="1"/>
  <c r="U64" i="9"/>
  <c r="V64" i="9" s="1" a="1"/>
  <c r="V64" i="9" s="1"/>
  <c r="AG50" i="4"/>
  <c r="L49" i="9"/>
  <c r="N49" i="9" s="1"/>
  <c r="P49" i="9" s="1"/>
  <c r="O49" i="11" s="1" a="1"/>
  <c r="O49" i="11" s="1"/>
  <c r="P49" i="11" s="1"/>
  <c r="S49" i="6" s="1" a="1"/>
  <c r="S49" i="6" s="1"/>
  <c r="T49" i="6" s="1"/>
  <c r="N65" i="9"/>
  <c r="P65" i="9" s="1"/>
  <c r="O65" i="11" s="1" a="1"/>
  <c r="O65" i="11" s="1"/>
  <c r="P65" i="11" s="1"/>
  <c r="S65" i="6" s="1" a="1"/>
  <c r="S65" i="6" s="1"/>
  <c r="T65" i="6" s="1"/>
  <c r="AG14" i="4"/>
  <c r="N64" i="9"/>
  <c r="P64" i="9" s="1"/>
  <c r="O64" i="11" s="1" a="1"/>
  <c r="O64" i="11" s="1"/>
  <c r="P64" i="11" s="1"/>
  <c r="S64" i="6" s="1" a="1"/>
  <c r="S64" i="6" s="1"/>
  <c r="T64" i="6" s="1"/>
  <c r="N61" i="9"/>
  <c r="P61" i="9" s="1"/>
  <c r="O61" i="11" s="1" a="1"/>
  <c r="O61" i="11" s="1"/>
  <c r="P61" i="11" s="1"/>
  <c r="S61" i="6" s="1" a="1"/>
  <c r="S61" i="6" s="1"/>
  <c r="T61" i="6" s="1"/>
  <c r="U58" i="9"/>
  <c r="V58" i="9" s="1" a="1"/>
  <c r="V58" i="9" s="1"/>
  <c r="Q58" i="9" a="1"/>
  <c r="Q58" i="9" s="1"/>
  <c r="S58" i="9" s="1" a="1"/>
  <c r="S58" i="9" s="1"/>
  <c r="Q58" i="11" s="1" a="1"/>
  <c r="Q58" i="11" s="1"/>
  <c r="R58" i="11" s="1" a="1"/>
  <c r="R58" i="11" s="1"/>
  <c r="X58" i="6" s="1" a="1"/>
  <c r="X58" i="6" s="1"/>
  <c r="W58" i="9" a="1"/>
  <c r="W58" i="9" s="1"/>
  <c r="L13" i="9"/>
  <c r="N13" i="9" s="1"/>
  <c r="P13" i="9" s="1"/>
  <c r="O13" i="11" s="1" a="1"/>
  <c r="O13" i="11" s="1"/>
  <c r="P13" i="11" s="1"/>
  <c r="S13" i="6" s="1" a="1"/>
  <c r="S13" i="6" s="1"/>
  <c r="T13" i="6" s="1"/>
  <c r="W44" i="9" a="1"/>
  <c r="W44" i="9" s="1"/>
  <c r="Q44" i="9" a="1"/>
  <c r="Q44" i="9" s="1"/>
  <c r="S44" i="9" s="1" a="1"/>
  <c r="S44" i="9" s="1"/>
  <c r="Q44" i="11" s="1" a="1"/>
  <c r="Q44" i="11" s="1"/>
  <c r="R44" i="11" s="1" a="1"/>
  <c r="R44" i="11" s="1"/>
  <c r="X44" i="6" s="1" a="1"/>
  <c r="X44" i="6" s="1"/>
  <c r="U44" i="9"/>
  <c r="V44" i="9" s="1" a="1"/>
  <c r="V44" i="9" s="1"/>
  <c r="L14" i="9"/>
  <c r="N14" i="9" s="1"/>
  <c r="P14" i="9" s="1"/>
  <c r="O14" i="11" s="1" a="1"/>
  <c r="O14" i="11" s="1"/>
  <c r="P14" i="11" s="1"/>
  <c r="S14" i="6" s="1" a="1"/>
  <c r="S14" i="6" s="1"/>
  <c r="T14" i="6" s="1"/>
  <c r="L18" i="9"/>
  <c r="N18" i="9" s="1"/>
  <c r="P18" i="9" s="1"/>
  <c r="O18" i="11" s="1" a="1"/>
  <c r="O18" i="11" s="1"/>
  <c r="P18" i="11" s="1"/>
  <c r="S18" i="6" s="1" a="1"/>
  <c r="S18" i="6" s="1"/>
  <c r="T18" i="6" s="1"/>
  <c r="L37" i="9"/>
  <c r="N37" i="9" s="1"/>
  <c r="P37" i="9" s="1"/>
  <c r="O37" i="11" s="1" a="1"/>
  <c r="O37" i="11" s="1"/>
  <c r="P37" i="11" s="1"/>
  <c r="S37" i="6" s="1" a="1"/>
  <c r="S37" i="6" s="1"/>
  <c r="T37" i="6" s="1"/>
  <c r="U28" i="9"/>
  <c r="V28" i="9" s="1" a="1"/>
  <c r="V28" i="9" s="1"/>
  <c r="W28" i="9" a="1"/>
  <c r="W28" i="9" s="1"/>
  <c r="Q28" i="9" a="1"/>
  <c r="Q28" i="9" s="1"/>
  <c r="S28" i="9" s="1" a="1"/>
  <c r="S28" i="9" s="1"/>
  <c r="Q28" i="11" s="1" a="1"/>
  <c r="Q28" i="11" s="1"/>
  <c r="R28" i="11" s="1" a="1"/>
  <c r="R28" i="11" s="1"/>
  <c r="X28" i="6" s="1" a="1"/>
  <c r="X28" i="6" s="1"/>
  <c r="U24" i="9"/>
  <c r="V24" i="9" s="1" a="1"/>
  <c r="V24" i="9" s="1"/>
  <c r="Q24" i="9" a="1"/>
  <c r="Q24" i="9" s="1"/>
  <c r="S24" i="9" s="1" a="1"/>
  <c r="S24" i="9" s="1"/>
  <c r="Q24" i="11" s="1" a="1"/>
  <c r="Q24" i="11" s="1"/>
  <c r="R24" i="11" s="1" a="1"/>
  <c r="R24" i="11" s="1"/>
  <c r="X24" i="6" s="1" a="1"/>
  <c r="X24" i="6" s="1"/>
  <c r="W24" i="9" a="1"/>
  <c r="W24" i="9" s="1"/>
  <c r="AG10" i="4"/>
  <c r="L22" i="9"/>
  <c r="N22" i="9" s="1"/>
  <c r="P22" i="9" s="1"/>
  <c r="O22" i="11" s="1" a="1"/>
  <c r="O22" i="11" s="1"/>
  <c r="P22" i="11" s="1"/>
  <c r="S22" i="6" s="1" a="1"/>
  <c r="S22" i="6" s="1"/>
  <c r="T22" i="6" s="1"/>
  <c r="L69" i="9"/>
  <c r="N69" i="9" s="1"/>
  <c r="P69" i="9" s="1"/>
  <c r="O69" i="11" s="1" a="1"/>
  <c r="O69" i="11" s="1"/>
  <c r="P69" i="11" s="1"/>
  <c r="S69" i="6" s="1" a="1"/>
  <c r="S69" i="6" s="1"/>
  <c r="T69" i="6" s="1"/>
  <c r="W19" i="9" a="1"/>
  <c r="W19" i="9" s="1"/>
  <c r="U19" i="9"/>
  <c r="V19" i="9" s="1" a="1"/>
  <c r="V19" i="9" s="1"/>
  <c r="Q19" i="9" a="1"/>
  <c r="Q19" i="9" s="1"/>
  <c r="S19" i="9" s="1" a="1"/>
  <c r="S19" i="9" s="1"/>
  <c r="Q19" i="11" s="1" a="1"/>
  <c r="Q19" i="11" s="1"/>
  <c r="R19" i="11" s="1" a="1"/>
  <c r="R19" i="11" s="1"/>
  <c r="X19" i="6" s="1" a="1"/>
  <c r="X19" i="6" s="1"/>
  <c r="N42" i="9"/>
  <c r="P42" i="9" s="1"/>
  <c r="O42" i="11" s="1" a="1"/>
  <c r="O42" i="11" s="1"/>
  <c r="P42" i="11" s="1"/>
  <c r="S42" i="6" s="1" a="1"/>
  <c r="S42" i="6" s="1"/>
  <c r="T42" i="6" s="1"/>
  <c r="L66" i="9"/>
  <c r="N66" i="9" s="1"/>
  <c r="P66" i="9" s="1"/>
  <c r="O66" i="11" s="1" a="1"/>
  <c r="O66" i="11" s="1"/>
  <c r="P66" i="11" s="1"/>
  <c r="S66" i="6" s="1" a="1"/>
  <c r="S66" i="6" s="1"/>
  <c r="T66" i="6" s="1"/>
  <c r="N54" i="9"/>
  <c r="P54" i="9" s="1"/>
  <c r="O54" i="11" s="1" a="1"/>
  <c r="O54" i="11" s="1"/>
  <c r="P54" i="11" s="1"/>
  <c r="S54" i="6" s="1" a="1"/>
  <c r="S54" i="6" s="1"/>
  <c r="T54" i="6" s="1"/>
  <c r="L48" i="9"/>
  <c r="N48" i="9" s="1"/>
  <c r="P48" i="9" s="1"/>
  <c r="O48" i="11" s="1" a="1"/>
  <c r="O48" i="11" s="1"/>
  <c r="P48" i="11" s="1"/>
  <c r="S48" i="6" s="1" a="1"/>
  <c r="S48" i="6" s="1"/>
  <c r="T48" i="6" s="1"/>
  <c r="L25" i="9"/>
  <c r="N25" i="9" s="1"/>
  <c r="P25" i="9" s="1"/>
  <c r="O25" i="11" s="1" a="1"/>
  <c r="O25" i="11" s="1"/>
  <c r="P25" i="11" s="1"/>
  <c r="S25" i="6" s="1" a="1"/>
  <c r="S25" i="6" s="1"/>
  <c r="T25" i="6" s="1"/>
  <c r="L51" i="9"/>
  <c r="N51" i="9" s="1"/>
  <c r="P51" i="9" s="1"/>
  <c r="O51" i="11" s="1" a="1"/>
  <c r="O51" i="11" s="1"/>
  <c r="P51" i="11" s="1"/>
  <c r="S51" i="6" s="1" a="1"/>
  <c r="S51" i="6" s="1"/>
  <c r="T51" i="6" s="1"/>
  <c r="L30" i="9"/>
  <c r="N30" i="9" s="1"/>
  <c r="P30" i="9" s="1"/>
  <c r="O30" i="11" s="1" a="1"/>
  <c r="O30" i="11" s="1"/>
  <c r="P30" i="11" s="1"/>
  <c r="S30" i="6" s="1" a="1"/>
  <c r="S30" i="6" s="1"/>
  <c r="T30" i="6" s="1"/>
  <c r="L55" i="9"/>
  <c r="N55" i="9" s="1"/>
  <c r="P55" i="9" s="1"/>
  <c r="O55" i="11" s="1" a="1"/>
  <c r="O55" i="11" s="1"/>
  <c r="P55" i="11" s="1"/>
  <c r="S55" i="6" s="1" a="1"/>
  <c r="S55" i="6" s="1"/>
  <c r="T55" i="6" s="1"/>
  <c r="Q59" i="9" a="1"/>
  <c r="Q59" i="9" s="1"/>
  <c r="S59" i="9" s="1" a="1"/>
  <c r="S59" i="9" s="1"/>
  <c r="Q59" i="11" s="1" a="1"/>
  <c r="Q59" i="11" s="1"/>
  <c r="R59" i="11" s="1" a="1"/>
  <c r="R59" i="11" s="1"/>
  <c r="X59" i="6" s="1" a="1"/>
  <c r="X59" i="6" s="1"/>
  <c r="W59" i="9" a="1"/>
  <c r="W59" i="9" s="1"/>
  <c r="U59" i="9"/>
  <c r="V59" i="9" s="1" a="1"/>
  <c r="V59" i="9" s="1"/>
  <c r="L75" i="9"/>
  <c r="N75" i="9" s="1"/>
  <c r="P75" i="9" s="1"/>
  <c r="O75" i="11" s="1" a="1"/>
  <c r="O75" i="11" s="1"/>
  <c r="P75" i="11" s="1"/>
  <c r="S75" i="6" s="1" a="1"/>
  <c r="S75" i="6" s="1"/>
  <c r="T75" i="6" s="1"/>
  <c r="L15" i="9"/>
  <c r="N15" i="9" s="1"/>
  <c r="P15" i="9" s="1"/>
  <c r="O15" i="11" s="1" a="1"/>
  <c r="O15" i="11" s="1"/>
  <c r="P15" i="11" s="1"/>
  <c r="S15" i="6" s="1" a="1"/>
  <c r="S15" i="6" s="1"/>
  <c r="T15" i="6" s="1"/>
  <c r="Q62" i="9" a="1"/>
  <c r="Q62" i="9" s="1"/>
  <c r="S62" i="9" s="1" a="1"/>
  <c r="S62" i="9" s="1"/>
  <c r="Q62" i="11" s="1" a="1"/>
  <c r="Q62" i="11" s="1"/>
  <c r="R62" i="11" s="1" a="1"/>
  <c r="R62" i="11" s="1"/>
  <c r="X62" i="6" s="1" a="1"/>
  <c r="X62" i="6" s="1"/>
  <c r="U62" i="9"/>
  <c r="V62" i="9" s="1" a="1"/>
  <c r="V62" i="9" s="1"/>
  <c r="W62" i="9" a="1"/>
  <c r="W62" i="9" s="1"/>
  <c r="L23" i="9"/>
  <c r="N23" i="9" s="1"/>
  <c r="P23" i="9" s="1"/>
  <c r="O23" i="11" s="1" a="1"/>
  <c r="O23" i="11" s="1"/>
  <c r="P23" i="11" s="1"/>
  <c r="S23" i="6" s="1" a="1"/>
  <c r="S23" i="6" s="1"/>
  <c r="T23" i="6" s="1"/>
  <c r="L70" i="9"/>
  <c r="N70" i="9" s="1"/>
  <c r="P70" i="9" s="1"/>
  <c r="O70" i="11" s="1" a="1"/>
  <c r="O70" i="11" s="1"/>
  <c r="P70" i="11" s="1"/>
  <c r="S70" i="6" s="1" a="1"/>
  <c r="S70" i="6" s="1"/>
  <c r="T70" i="6" s="1"/>
  <c r="L34" i="9"/>
  <c r="N34" i="9" s="1"/>
  <c r="P34" i="9" s="1"/>
  <c r="O34" i="11" s="1" a="1"/>
  <c r="O34" i="11" s="1"/>
  <c r="P34" i="11" s="1"/>
  <c r="S34" i="6" s="1" a="1"/>
  <c r="S34" i="6" s="1"/>
  <c r="T34" i="6" s="1"/>
  <c r="L45" i="9"/>
  <c r="N45" i="9" s="1"/>
  <c r="P45" i="9" s="1"/>
  <c r="O45" i="11" s="1" a="1"/>
  <c r="O45" i="11" s="1"/>
  <c r="P45" i="11" s="1"/>
  <c r="S45" i="6" s="1" a="1"/>
  <c r="S45" i="6" s="1"/>
  <c r="T45" i="6" s="1"/>
  <c r="L50" i="9"/>
  <c r="N50" i="9" s="1"/>
  <c r="P50" i="9" s="1"/>
  <c r="O50" i="11" s="1" a="1"/>
  <c r="O50" i="11" s="1"/>
  <c r="P50" i="11" s="1"/>
  <c r="S50" i="6" s="1" a="1"/>
  <c r="S50" i="6" s="1"/>
  <c r="T50" i="6" s="1"/>
  <c r="L57" i="9"/>
  <c r="N57" i="9" s="1"/>
  <c r="P57" i="9" s="1"/>
  <c r="O57" i="11" s="1" a="1"/>
  <c r="O57" i="11" s="1"/>
  <c r="P57" i="11" s="1"/>
  <c r="S57" i="6" s="1" a="1"/>
  <c r="S57" i="6" s="1"/>
  <c r="T57" i="6" s="1"/>
  <c r="L36" i="9"/>
  <c r="N36" i="9" s="1"/>
  <c r="P36" i="9" s="1"/>
  <c r="O36" i="11" s="1" a="1"/>
  <c r="O36" i="11" s="1"/>
  <c r="P36" i="11" s="1"/>
  <c r="S36" i="6" s="1" a="1"/>
  <c r="S36" i="6" s="1"/>
  <c r="T36" i="6" s="1"/>
  <c r="L73" i="9"/>
  <c r="N73" i="9" s="1"/>
  <c r="P73" i="9" s="1"/>
  <c r="O73" i="11" s="1" a="1"/>
  <c r="O73" i="11" s="1"/>
  <c r="P73" i="11" s="1"/>
  <c r="S73" i="6" s="1" a="1"/>
  <c r="S73" i="6" s="1"/>
  <c r="T73" i="6" s="1"/>
  <c r="W73" i="9" a="1"/>
  <c r="W73" i="9" s="1"/>
  <c r="Q73" i="9" a="1"/>
  <c r="Q73" i="9" s="1"/>
  <c r="S73" i="9" s="1" a="1"/>
  <c r="S73" i="9" s="1"/>
  <c r="Q73" i="11" s="1" a="1"/>
  <c r="Q73" i="11" s="1"/>
  <c r="R73" i="11" s="1" a="1"/>
  <c r="R73" i="11" s="1"/>
  <c r="X73" i="6" s="1" a="1"/>
  <c r="X73" i="6" s="1"/>
  <c r="U73" i="9"/>
  <c r="V73" i="9" s="1" a="1"/>
  <c r="V73" i="9" s="1"/>
  <c r="Q61" i="9" a="1"/>
  <c r="Q61" i="9" s="1"/>
  <c r="S61" i="9" s="1" a="1"/>
  <c r="S61" i="9" s="1"/>
  <c r="Q61" i="11" s="1" a="1"/>
  <c r="Q61" i="11" s="1"/>
  <c r="R61" i="11" s="1" a="1"/>
  <c r="R61" i="11" s="1"/>
  <c r="X61" i="6" s="1" a="1"/>
  <c r="X61" i="6" s="1"/>
  <c r="W61" i="9" a="1"/>
  <c r="W61" i="9" s="1"/>
  <c r="U61" i="9"/>
  <c r="V61" i="9" s="1" a="1"/>
  <c r="V61" i="9" s="1"/>
  <c r="N10" i="9"/>
  <c r="P10" i="9" s="1"/>
  <c r="O10" i="11" s="1" a="1"/>
  <c r="O10" i="11" s="1"/>
  <c r="P10" i="11" s="1"/>
  <c r="S10" i="6" s="1" a="1"/>
  <c r="S10" i="6" s="1"/>
  <c r="Q37" i="9" a="1"/>
  <c r="Q37" i="9" s="1"/>
  <c r="S37" i="9" s="1" a="1"/>
  <c r="S37" i="9" s="1"/>
  <c r="Q37" i="11" s="1" a="1"/>
  <c r="Q37" i="11" s="1"/>
  <c r="R37" i="11" s="1" a="1"/>
  <c r="R37" i="11" s="1"/>
  <c r="X37" i="6" s="1" a="1"/>
  <c r="X37" i="6" s="1"/>
  <c r="U37" i="9"/>
  <c r="V37" i="9" s="1" a="1"/>
  <c r="V37" i="9" s="1"/>
  <c r="W37" i="9" a="1"/>
  <c r="W37" i="9" s="1"/>
  <c r="L8" i="9"/>
  <c r="N8" i="9" s="1"/>
  <c r="P8" i="9" s="1"/>
  <c r="O8" i="11" s="1" a="1"/>
  <c r="O8" i="11" s="1"/>
  <c r="P8" i="11" s="1"/>
  <c r="S8" i="6" s="1" a="1"/>
  <c r="S8" i="6" s="1"/>
  <c r="U66" i="9"/>
  <c r="V66" i="9" s="1" a="1"/>
  <c r="V66" i="9" s="1"/>
  <c r="Q66" i="9" a="1"/>
  <c r="Q66" i="9" s="1"/>
  <c r="S66" i="9" s="1" a="1"/>
  <c r="S66" i="9" s="1"/>
  <c r="Q66" i="11" s="1" a="1"/>
  <c r="Q66" i="11" s="1"/>
  <c r="R66" i="11" s="1" a="1"/>
  <c r="R66" i="11" s="1"/>
  <c r="X66" i="6" s="1" a="1"/>
  <c r="X66" i="6" s="1"/>
  <c r="W66" i="9" a="1"/>
  <c r="W66" i="9" s="1"/>
  <c r="W48" i="9" a="1"/>
  <c r="W48" i="9" s="1"/>
  <c r="U48" i="9"/>
  <c r="V48" i="9" s="1" a="1"/>
  <c r="V48" i="9" s="1"/>
  <c r="Q48" i="9" a="1"/>
  <c r="Q48" i="9" s="1"/>
  <c r="S48" i="9" s="1" a="1"/>
  <c r="S48" i="9" s="1"/>
  <c r="Q48" i="11" s="1" a="1"/>
  <c r="Q48" i="11" s="1"/>
  <c r="R48" i="11" s="1" a="1"/>
  <c r="R48" i="11" s="1"/>
  <c r="X48" i="6" s="1" a="1"/>
  <c r="X48" i="6" s="1"/>
  <c r="W72" i="9" a="1"/>
  <c r="W72" i="9" s="1"/>
  <c r="U72" i="9"/>
  <c r="V72" i="9" s="1" a="1"/>
  <c r="V72" i="9" s="1"/>
  <c r="Q72" i="9" a="1"/>
  <c r="Q72" i="9" s="1"/>
  <c r="S72" i="9" s="1" a="1"/>
  <c r="S72" i="9" s="1"/>
  <c r="Q72" i="11" s="1" a="1"/>
  <c r="Q72" i="11" s="1"/>
  <c r="R72" i="11" s="1" a="1"/>
  <c r="R72" i="11" s="1"/>
  <c r="X72" i="6" s="1" a="1"/>
  <c r="X72" i="6" s="1"/>
  <c r="W75" i="9" a="1"/>
  <c r="W75" i="9" s="1"/>
  <c r="U75" i="9"/>
  <c r="V75" i="9" s="1" a="1"/>
  <c r="V75" i="9" s="1"/>
  <c r="Q75" i="9" a="1"/>
  <c r="Q75" i="9" s="1"/>
  <c r="S75" i="9" s="1" a="1"/>
  <c r="S75" i="9" s="1"/>
  <c r="Q75" i="11" s="1" a="1"/>
  <c r="Q75" i="11" s="1"/>
  <c r="R75" i="11" s="1" a="1"/>
  <c r="R75" i="11" s="1"/>
  <c r="X75" i="6" s="1" a="1"/>
  <c r="X75" i="6" s="1"/>
  <c r="W55" i="9" a="1"/>
  <c r="W55" i="9" s="1"/>
  <c r="U55" i="9"/>
  <c r="V55" i="9" s="1" a="1"/>
  <c r="V55" i="9" s="1"/>
  <c r="Q55" i="9" a="1"/>
  <c r="Q55" i="9" s="1"/>
  <c r="S55" i="9" s="1" a="1"/>
  <c r="S55" i="9" s="1"/>
  <c r="Q55" i="11" s="1" a="1"/>
  <c r="Q55" i="11" s="1"/>
  <c r="R55" i="11" s="1" a="1"/>
  <c r="R55" i="11" s="1"/>
  <c r="X55" i="6" s="1" a="1"/>
  <c r="X55" i="6" s="1"/>
  <c r="Q22" i="9" a="1"/>
  <c r="Q22" i="9" s="1"/>
  <c r="S22" i="9" s="1" a="1"/>
  <c r="S22" i="9" s="1"/>
  <c r="Q22" i="11" s="1" a="1"/>
  <c r="Q22" i="11" s="1"/>
  <c r="R22" i="11" s="1" a="1"/>
  <c r="R22" i="11" s="1"/>
  <c r="X22" i="6" s="1" a="1"/>
  <c r="X22" i="6" s="1"/>
  <c r="U22" i="9"/>
  <c r="V22" i="9" s="1" a="1"/>
  <c r="V22" i="9" s="1"/>
  <c r="W22" i="9" a="1"/>
  <c r="W22" i="9" s="1"/>
  <c r="W76" i="9" a="1"/>
  <c r="W76" i="9" s="1"/>
  <c r="U76" i="9"/>
  <c r="V76" i="9" s="1" a="1"/>
  <c r="V76" i="9" s="1"/>
  <c r="Q76" i="9" a="1"/>
  <c r="Q76" i="9" s="1"/>
  <c r="S76" i="9" s="1" a="1"/>
  <c r="S76" i="9" s="1"/>
  <c r="Q76" i="11" s="1" a="1"/>
  <c r="Q76" i="11" s="1"/>
  <c r="R76" i="11" s="1" a="1"/>
  <c r="R76" i="11" s="1"/>
  <c r="X76" i="6" s="1" a="1"/>
  <c r="X76" i="6" s="1"/>
  <c r="Q25" i="9" a="1"/>
  <c r="Q25" i="9" s="1"/>
  <c r="S25" i="9" s="1" a="1"/>
  <c r="S25" i="9" s="1"/>
  <c r="Q25" i="11" s="1" a="1"/>
  <c r="Q25" i="11" s="1"/>
  <c r="R25" i="11" s="1" a="1"/>
  <c r="R25" i="11" s="1"/>
  <c r="X25" i="6" s="1" a="1"/>
  <c r="X25" i="6" s="1"/>
  <c r="W25" i="9" a="1"/>
  <c r="W25" i="9" s="1"/>
  <c r="U25" i="9"/>
  <c r="V25" i="9" s="1" a="1"/>
  <c r="V25" i="9" s="1"/>
  <c r="U56" i="9"/>
  <c r="V56" i="9" s="1" a="1"/>
  <c r="V56" i="9" s="1"/>
  <c r="Q56" i="9" a="1"/>
  <c r="Q56" i="9" s="1"/>
  <c r="S56" i="9" s="1" a="1"/>
  <c r="S56" i="9" s="1"/>
  <c r="Q56" i="11" s="1" a="1"/>
  <c r="Q56" i="11" s="1"/>
  <c r="R56" i="11" s="1" a="1"/>
  <c r="R56" i="11" s="1"/>
  <c r="X56" i="6" s="1" a="1"/>
  <c r="X56" i="6" s="1"/>
  <c r="W56" i="9" a="1"/>
  <c r="W56" i="9" s="1"/>
  <c r="W49" i="9" a="1"/>
  <c r="W49" i="9" s="1"/>
  <c r="U49" i="9"/>
  <c r="V49" i="9" s="1" a="1"/>
  <c r="V49" i="9" s="1"/>
  <c r="Q49" i="9" a="1"/>
  <c r="Q49" i="9" s="1"/>
  <c r="S49" i="9" s="1" a="1"/>
  <c r="S49" i="9" s="1"/>
  <c r="Q49" i="11" s="1" a="1"/>
  <c r="Q49" i="11" s="1"/>
  <c r="R49" i="11" s="1" a="1"/>
  <c r="R49" i="11" s="1"/>
  <c r="X49" i="6" s="1" a="1"/>
  <c r="X49" i="6" s="1"/>
  <c r="L72" i="9"/>
  <c r="N72" i="9" s="1"/>
  <c r="P72" i="9" s="1"/>
  <c r="O72" i="11" s="1" a="1"/>
  <c r="O72" i="11" s="1"/>
  <c r="P72" i="11" s="1"/>
  <c r="S72" i="6" s="1" a="1"/>
  <c r="S72" i="6" s="1"/>
  <c r="T72" i="6" s="1"/>
  <c r="W30" i="9" a="1"/>
  <c r="W30" i="9" s="1"/>
  <c r="U30" i="9"/>
  <c r="V30" i="9" s="1" a="1"/>
  <c r="V30" i="9" s="1"/>
  <c r="Q30" i="9" a="1"/>
  <c r="Q30" i="9" s="1"/>
  <c r="S30" i="9" s="1" a="1"/>
  <c r="S30" i="9" s="1"/>
  <c r="Q30" i="11" s="1" a="1"/>
  <c r="Q30" i="11" s="1"/>
  <c r="R30" i="11" s="1" a="1"/>
  <c r="R30" i="11" s="1"/>
  <c r="X30" i="6" s="1" a="1"/>
  <c r="X30" i="6" s="1"/>
  <c r="AG53" i="4"/>
  <c r="L56" i="9"/>
  <c r="N56" i="9" s="1"/>
  <c r="P56" i="9" s="1"/>
  <c r="O56" i="11" s="1" a="1"/>
  <c r="O56" i="11" s="1"/>
  <c r="P56" i="11" s="1"/>
  <c r="S56" i="6" s="1" a="1"/>
  <c r="S56" i="6" s="1"/>
  <c r="T56" i="6" s="1"/>
  <c r="Q13" i="9" a="1"/>
  <c r="Q13" i="9" s="1"/>
  <c r="S13" i="9" s="1" a="1"/>
  <c r="S13" i="9" s="1"/>
  <c r="Q13" i="11" s="1" a="1"/>
  <c r="Q13" i="11" s="1"/>
  <c r="R13" i="11" s="1" a="1"/>
  <c r="R13" i="11" s="1"/>
  <c r="X13" i="6" s="1" a="1"/>
  <c r="X13" i="6" s="1"/>
  <c r="U13" i="9"/>
  <c r="V13" i="9" s="1" a="1"/>
  <c r="V13" i="9" s="1"/>
  <c r="W13" i="9" a="1"/>
  <c r="W13" i="9" s="1"/>
  <c r="W57" i="9" a="1"/>
  <c r="W57" i="9" s="1"/>
  <c r="Q57" i="9" a="1"/>
  <c r="Q57" i="9" s="1"/>
  <c r="S57" i="9" s="1" a="1"/>
  <c r="S57" i="9" s="1"/>
  <c r="Q57" i="11" s="1" a="1"/>
  <c r="Q57" i="11" s="1"/>
  <c r="R57" i="11" s="1" a="1"/>
  <c r="R57" i="11" s="1"/>
  <c r="X57" i="6" s="1" a="1"/>
  <c r="X57" i="6" s="1"/>
  <c r="U57" i="9"/>
  <c r="V57" i="9" s="1" a="1"/>
  <c r="V57" i="9" s="1"/>
  <c r="U14" i="9"/>
  <c r="V14" i="9" s="1" a="1"/>
  <c r="V14" i="9" s="1"/>
  <c r="Q14" i="9" a="1"/>
  <c r="Q14" i="9" s="1"/>
  <c r="S14" i="9" s="1" a="1"/>
  <c r="S14" i="9" s="1"/>
  <c r="Q14" i="11" s="1" a="1"/>
  <c r="Q14" i="11" s="1"/>
  <c r="R14" i="11" s="1" a="1"/>
  <c r="R14" i="11" s="1"/>
  <c r="X14" i="6" s="1" a="1"/>
  <c r="X14" i="6" s="1"/>
  <c r="W14" i="9" a="1"/>
  <c r="W14" i="9" s="1"/>
  <c r="U70" i="9"/>
  <c r="V70" i="9" s="1" a="1"/>
  <c r="V70" i="9" s="1"/>
  <c r="Q70" i="9" a="1"/>
  <c r="Q70" i="9" s="1"/>
  <c r="S70" i="9" s="1" a="1"/>
  <c r="S70" i="9" s="1"/>
  <c r="Q70" i="11" s="1" a="1"/>
  <c r="Q70" i="11" s="1"/>
  <c r="R70" i="11" s="1" a="1"/>
  <c r="R70" i="11" s="1"/>
  <c r="X70" i="6" s="1" a="1"/>
  <c r="X70" i="6" s="1"/>
  <c r="W70" i="9" a="1"/>
  <c r="W70" i="9" s="1"/>
  <c r="L77" i="9"/>
  <c r="N77" i="9" s="1"/>
  <c r="P77" i="9" s="1"/>
  <c r="O77" i="11" s="1" a="1"/>
  <c r="O77" i="11" s="1"/>
  <c r="P77" i="11" s="1"/>
  <c r="S77" i="6" s="1" a="1"/>
  <c r="S77" i="6" s="1"/>
  <c r="T77" i="6" s="1"/>
  <c r="AG20" i="4"/>
  <c r="AG13" i="4"/>
  <c r="AG39" i="4"/>
  <c r="W23" i="9" a="1"/>
  <c r="W23" i="9" s="1"/>
  <c r="U23" i="9"/>
  <c r="V23" i="9" s="1" a="1"/>
  <c r="V23" i="9" s="1"/>
  <c r="Q23" i="9" a="1"/>
  <c r="Q23" i="9" s="1"/>
  <c r="S23" i="9" s="1" a="1"/>
  <c r="S23" i="9" s="1"/>
  <c r="Q23" i="11" s="1" a="1"/>
  <c r="Q23" i="11" s="1"/>
  <c r="R23" i="11" s="1" a="1"/>
  <c r="R23" i="11" s="1"/>
  <c r="X23" i="6" s="1" a="1"/>
  <c r="X23" i="6" s="1"/>
  <c r="U50" i="9"/>
  <c r="V50" i="9" s="1" a="1"/>
  <c r="V50" i="9" s="1"/>
  <c r="W50" i="9" a="1"/>
  <c r="W50" i="9" s="1"/>
  <c r="Q50" i="9" a="1"/>
  <c r="Q50" i="9" s="1"/>
  <c r="S50" i="9" s="1" a="1"/>
  <c r="S50" i="9" s="1"/>
  <c r="Q50" i="11" s="1" a="1"/>
  <c r="Q50" i="11" s="1"/>
  <c r="R50" i="11" s="1" a="1"/>
  <c r="R50" i="11" s="1"/>
  <c r="X50" i="6" s="1" a="1"/>
  <c r="X50" i="6" s="1"/>
  <c r="U15" i="9"/>
  <c r="V15" i="9" s="1" a="1"/>
  <c r="V15" i="9" s="1"/>
  <c r="W15" i="9" a="1"/>
  <c r="W15" i="9" s="1"/>
  <c r="Q15" i="9" a="1"/>
  <c r="Q15" i="9" s="1"/>
  <c r="S15" i="9" s="1" a="1"/>
  <c r="S15" i="9" s="1"/>
  <c r="Q15" i="11" s="1" a="1"/>
  <c r="Q15" i="11" s="1"/>
  <c r="R15" i="11" s="1" a="1"/>
  <c r="R15" i="11" s="1"/>
  <c r="X15" i="6" s="1" a="1"/>
  <c r="X15" i="6" s="1"/>
  <c r="U77" i="9"/>
  <c r="V77" i="9" s="1" a="1"/>
  <c r="V77" i="9" s="1"/>
  <c r="Q77" i="9" a="1"/>
  <c r="Q77" i="9" s="1"/>
  <c r="S77" i="9" s="1" a="1"/>
  <c r="S77" i="9" s="1"/>
  <c r="Q77" i="11" s="1" a="1"/>
  <c r="Q77" i="11" s="1"/>
  <c r="R77" i="11" s="1" a="1"/>
  <c r="R77" i="11" s="1"/>
  <c r="X77" i="6" s="1" a="1"/>
  <c r="X77" i="6" s="1"/>
  <c r="W77" i="9" a="1"/>
  <c r="W77" i="9" s="1"/>
  <c r="AG11" i="4"/>
  <c r="Q34" i="9" a="1"/>
  <c r="Q34" i="9" s="1"/>
  <c r="S34" i="9" s="1" a="1"/>
  <c r="S34" i="9" s="1"/>
  <c r="Q34" i="11" s="1" a="1"/>
  <c r="Q34" i="11" s="1"/>
  <c r="R34" i="11" s="1" a="1"/>
  <c r="R34" i="11" s="1"/>
  <c r="X34" i="6" s="1" a="1"/>
  <c r="X34" i="6" s="1"/>
  <c r="U34" i="9"/>
  <c r="V34" i="9" s="1" a="1"/>
  <c r="V34" i="9" s="1"/>
  <c r="W34" i="9" a="1"/>
  <c r="W34" i="9" s="1"/>
  <c r="L68" i="9"/>
  <c r="N68" i="9" s="1"/>
  <c r="P68" i="9" s="1"/>
  <c r="O68" i="11" s="1" a="1"/>
  <c r="O68" i="11" s="1"/>
  <c r="P68" i="11" s="1"/>
  <c r="S68" i="6" s="1" a="1"/>
  <c r="S68" i="6" s="1"/>
  <c r="T68" i="6" s="1"/>
  <c r="L46" i="9"/>
  <c r="N46" i="9" s="1"/>
  <c r="P46" i="9" s="1"/>
  <c r="O46" i="11" s="1" a="1"/>
  <c r="O46" i="11" s="1"/>
  <c r="P46" i="11" s="1"/>
  <c r="S46" i="6" s="1" a="1"/>
  <c r="S46" i="6" s="1"/>
  <c r="T46" i="6" s="1"/>
  <c r="W45" i="9" a="1"/>
  <c r="W45" i="9" s="1"/>
  <c r="U45" i="9"/>
  <c r="V45" i="9" s="1" a="1"/>
  <c r="V45" i="9" s="1"/>
  <c r="Q45" i="9" a="1"/>
  <c r="Q45" i="9" s="1"/>
  <c r="S45" i="9" s="1" a="1"/>
  <c r="S45" i="9" s="1"/>
  <c r="Q45" i="11" s="1" a="1"/>
  <c r="Q45" i="11" s="1"/>
  <c r="R45" i="11" s="1" a="1"/>
  <c r="R45" i="11" s="1"/>
  <c r="X45" i="6" s="1" a="1"/>
  <c r="X45" i="6" s="1"/>
  <c r="U36" i="9"/>
  <c r="V36" i="9" s="1" a="1"/>
  <c r="V36" i="9" s="1"/>
  <c r="W36" i="9" a="1"/>
  <c r="W36" i="9" s="1"/>
  <c r="Q36" i="9" a="1"/>
  <c r="Q36" i="9" s="1"/>
  <c r="S36" i="9" s="1" a="1"/>
  <c r="S36" i="9" s="1"/>
  <c r="Q36" i="11" s="1" a="1"/>
  <c r="Q36" i="11" s="1"/>
  <c r="R36" i="11" s="1" a="1"/>
  <c r="R36" i="11" s="1"/>
  <c r="X36" i="6" s="1" a="1"/>
  <c r="X36" i="6" s="1"/>
  <c r="U18" i="9"/>
  <c r="V18" i="9" s="1" a="1"/>
  <c r="V18" i="9" s="1"/>
  <c r="W18" i="9" a="1"/>
  <c r="W18" i="9" s="1"/>
  <c r="Q18" i="9" a="1"/>
  <c r="Q18" i="9" s="1"/>
  <c r="S18" i="9" s="1" a="1"/>
  <c r="S18" i="9" s="1"/>
  <c r="Q18" i="11" s="1" a="1"/>
  <c r="Q18" i="11" s="1"/>
  <c r="R18" i="11" s="1" a="1"/>
  <c r="R18" i="11" s="1"/>
  <c r="X18" i="6" s="1" a="1"/>
  <c r="X18" i="6" s="1"/>
  <c r="W69" i="9" a="1"/>
  <c r="W69" i="9" s="1"/>
  <c r="U69" i="9"/>
  <c r="V69" i="9" s="1" a="1"/>
  <c r="V69" i="9" s="1"/>
  <c r="Q69" i="9" a="1"/>
  <c r="Q69" i="9" s="1"/>
  <c r="S69" i="9" s="1" a="1"/>
  <c r="S69" i="9" s="1"/>
  <c r="Q69" i="11" s="1" a="1"/>
  <c r="Q69" i="11" s="1"/>
  <c r="R69" i="11" s="1" a="1"/>
  <c r="R69" i="11" s="1"/>
  <c r="X69" i="6" s="1" a="1"/>
  <c r="X69" i="6" s="1"/>
  <c r="L76" i="9"/>
  <c r="N76" i="9" s="1"/>
  <c r="P76" i="9" s="1"/>
  <c r="O76" i="11" s="1" a="1"/>
  <c r="O76" i="11" s="1"/>
  <c r="P76" i="11" s="1"/>
  <c r="S76" i="6" s="1" a="1"/>
  <c r="S76" i="6" s="1"/>
  <c r="T76" i="6" s="1"/>
  <c r="W8" i="9" a="1"/>
  <c r="W8" i="9" s="1"/>
  <c r="Q8" i="9" a="1"/>
  <c r="Q8" i="9" s="1"/>
  <c r="S8" i="9" s="1" a="1"/>
  <c r="S8" i="9" s="1"/>
  <c r="Q8" i="11" s="1" a="1"/>
  <c r="Q8" i="11" s="1"/>
  <c r="R8" i="11" s="1" a="1"/>
  <c r="R8" i="11" s="1"/>
  <c r="X8" i="6" s="1" a="1"/>
  <c r="X8" i="6" s="1"/>
  <c r="U8" i="9"/>
  <c r="V8" i="9" s="1" a="1"/>
  <c r="V8" i="9" s="1"/>
  <c r="Q68" i="9" a="1"/>
  <c r="Q68" i="9" s="1"/>
  <c r="S68" i="9" s="1" a="1"/>
  <c r="S68" i="9" s="1"/>
  <c r="Q68" i="11" s="1" a="1"/>
  <c r="Q68" i="11" s="1"/>
  <c r="R68" i="11" s="1" a="1"/>
  <c r="R68" i="11" s="1"/>
  <c r="X68" i="6" s="1" a="1"/>
  <c r="X68" i="6" s="1"/>
  <c r="U68" i="9"/>
  <c r="V68" i="9" s="1" a="1"/>
  <c r="V68" i="9" s="1"/>
  <c r="W68" i="9" a="1"/>
  <c r="W68" i="9" s="1"/>
  <c r="Q46" i="9" a="1"/>
  <c r="Q46" i="9" s="1"/>
  <c r="S46" i="9" s="1" a="1"/>
  <c r="S46" i="9" s="1"/>
  <c r="Q46" i="11" s="1" a="1"/>
  <c r="Q46" i="11" s="1"/>
  <c r="R46" i="11" s="1" a="1"/>
  <c r="R46" i="11" s="1"/>
  <c r="X46" i="6" s="1" a="1"/>
  <c r="X46" i="6" s="1"/>
  <c r="W46" i="9" a="1"/>
  <c r="W46" i="9" s="1"/>
  <c r="U46" i="9"/>
  <c r="V46" i="9" s="1" a="1"/>
  <c r="V46" i="9" s="1"/>
  <c r="X31" i="9" l="1"/>
  <c r="Y31" i="9" s="1"/>
  <c r="Z31" i="9" s="1" a="1"/>
  <c r="Z31" i="9" s="1"/>
  <c r="X51" i="9"/>
  <c r="Y51" i="9" s="1"/>
  <c r="Z51" i="9" s="1" a="1"/>
  <c r="Z51" i="9" s="1"/>
  <c r="X9" i="9"/>
  <c r="Y9" i="9" s="1"/>
  <c r="Z9" i="9" s="1" a="1"/>
  <c r="Z9" i="9" s="1"/>
  <c r="N76" i="6" a="1"/>
  <c r="N76" i="6" s="1"/>
  <c r="Q76" i="6" s="1"/>
  <c r="R76" i="6" s="1"/>
  <c r="N73" i="6" a="1"/>
  <c r="N73" i="6" s="1"/>
  <c r="Q73" i="6" s="1"/>
  <c r="R73" i="6" s="1"/>
  <c r="N15" i="6" a="1"/>
  <c r="N15" i="6" s="1"/>
  <c r="Q15" i="6" s="1"/>
  <c r="R15" i="6" s="1"/>
  <c r="N42" i="6" a="1"/>
  <c r="N42" i="6" s="1"/>
  <c r="Q42" i="6" s="1"/>
  <c r="R42" i="6" s="1"/>
  <c r="N61" i="6" a="1"/>
  <c r="N61" i="6" s="1"/>
  <c r="Q61" i="6" s="1"/>
  <c r="R61" i="6" s="1"/>
  <c r="N21" i="6" a="1"/>
  <c r="N21" i="6" s="1"/>
  <c r="Q21" i="6" s="1"/>
  <c r="R21" i="6" s="1"/>
  <c r="N66" i="6" a="1"/>
  <c r="N66" i="6" s="1"/>
  <c r="Q66" i="6" s="1"/>
  <c r="R66" i="6" s="1"/>
  <c r="N36" i="6" a="1"/>
  <c r="N36" i="6" s="1"/>
  <c r="Q36" i="6" s="1"/>
  <c r="R36" i="6" s="1"/>
  <c r="N75" i="6" a="1"/>
  <c r="N75" i="6" s="1"/>
  <c r="Q75" i="6" s="1"/>
  <c r="R75" i="6" s="1"/>
  <c r="N64" i="6" a="1"/>
  <c r="N64" i="6" s="1"/>
  <c r="Q64" i="6" s="1"/>
  <c r="R64" i="6" s="1"/>
  <c r="N5" i="6" a="1"/>
  <c r="N5" i="6" s="1"/>
  <c r="Q5" i="6" s="1"/>
  <c r="R5" i="6" s="1"/>
  <c r="N44" i="6" a="1"/>
  <c r="N44" i="6" s="1"/>
  <c r="Q44" i="6" s="1"/>
  <c r="R44" i="6" s="1"/>
  <c r="N41" i="6" a="1"/>
  <c r="N41" i="6" s="1"/>
  <c r="Q41" i="6" s="1"/>
  <c r="R41" i="6" s="1"/>
  <c r="N63" i="6" a="1"/>
  <c r="N63" i="6" s="1"/>
  <c r="Q63" i="6" s="1"/>
  <c r="R63" i="6" s="1"/>
  <c r="N46" i="6" a="1"/>
  <c r="N46" i="6" s="1"/>
  <c r="Q46" i="6" s="1"/>
  <c r="R46" i="6" s="1"/>
  <c r="N56" i="6" a="1"/>
  <c r="N56" i="6" s="1"/>
  <c r="Q56" i="6" s="1"/>
  <c r="R56" i="6" s="1"/>
  <c r="N68" i="6" a="1"/>
  <c r="N68" i="6" s="1"/>
  <c r="Q68" i="6" s="1"/>
  <c r="R68" i="6" s="1"/>
  <c r="N57" i="6" a="1"/>
  <c r="N57" i="6" s="1"/>
  <c r="Q57" i="6" s="1"/>
  <c r="R57" i="6" s="1"/>
  <c r="N58" i="6" a="1"/>
  <c r="N58" i="6" s="1"/>
  <c r="Q58" i="6" s="1"/>
  <c r="R58" i="6" s="1"/>
  <c r="N19" i="6" a="1"/>
  <c r="N19" i="6" s="1"/>
  <c r="Q19" i="6" s="1"/>
  <c r="R19" i="6" s="1"/>
  <c r="N59" i="6" a="1"/>
  <c r="N59" i="6" s="1"/>
  <c r="Q59" i="6" s="1"/>
  <c r="R59" i="6" s="1"/>
  <c r="N27" i="6" a="1"/>
  <c r="N27" i="6" s="1"/>
  <c r="Q27" i="6" s="1"/>
  <c r="R27" i="6" s="1"/>
  <c r="N71" i="6" a="1"/>
  <c r="N71" i="6" s="1"/>
  <c r="Q71" i="6" s="1"/>
  <c r="R71" i="6" s="1"/>
  <c r="N50" i="6" a="1"/>
  <c r="N50" i="6" s="1"/>
  <c r="Q50" i="6" s="1"/>
  <c r="R50" i="6" s="1"/>
  <c r="N18" i="6" a="1"/>
  <c r="N18" i="6" s="1"/>
  <c r="Q18" i="6" s="1"/>
  <c r="R18" i="6" s="1"/>
  <c r="N65" i="6" a="1"/>
  <c r="N65" i="6" s="1"/>
  <c r="Q65" i="6" s="1"/>
  <c r="R65" i="6" s="1"/>
  <c r="N74" i="6" a="1"/>
  <c r="N74" i="6" s="1"/>
  <c r="Q74" i="6" s="1"/>
  <c r="R74" i="6" s="1"/>
  <c r="N53" i="6" a="1"/>
  <c r="N53" i="6" s="1"/>
  <c r="Q53" i="6" s="1"/>
  <c r="R53" i="6" s="1"/>
  <c r="N40" i="6" a="1"/>
  <c r="N40" i="6" s="1"/>
  <c r="Q40" i="6" s="1"/>
  <c r="R40" i="6" s="1"/>
  <c r="N37" i="6" a="1"/>
  <c r="N37" i="6" s="1"/>
  <c r="Q37" i="6" s="1"/>
  <c r="R37" i="6" s="1"/>
  <c r="N45" i="6" a="1"/>
  <c r="N45" i="6" s="1"/>
  <c r="Q45" i="6" s="1"/>
  <c r="R45" i="6" s="1"/>
  <c r="N69" i="6" a="1"/>
  <c r="N69" i="6" s="1"/>
  <c r="Q69" i="6" s="1"/>
  <c r="R69" i="6" s="1"/>
  <c r="N14" i="6" a="1"/>
  <c r="N14" i="6" s="1"/>
  <c r="Q14" i="6" s="1"/>
  <c r="R14" i="6" s="1"/>
  <c r="N49" i="6" a="1"/>
  <c r="N49" i="6" s="1"/>
  <c r="Q49" i="6" s="1"/>
  <c r="R49" i="6" s="1"/>
  <c r="N62" i="6" a="1"/>
  <c r="N62" i="6" s="1"/>
  <c r="Q62" i="6" s="1"/>
  <c r="R62" i="6" s="1"/>
  <c r="N34" i="6" a="1"/>
  <c r="N34" i="6" s="1"/>
  <c r="Q34" i="6" s="1"/>
  <c r="R34" i="6" s="1"/>
  <c r="N55" i="6" a="1"/>
  <c r="N55" i="6" s="1"/>
  <c r="Q55" i="6" s="1"/>
  <c r="R55" i="6" s="1"/>
  <c r="N22" i="6" a="1"/>
  <c r="N22" i="6" s="1"/>
  <c r="Q22" i="6" s="1"/>
  <c r="R22" i="6" s="1"/>
  <c r="N28" i="6" a="1"/>
  <c r="N28" i="6" s="1"/>
  <c r="Q28" i="6" s="1"/>
  <c r="R28" i="6" s="1"/>
  <c r="N12" i="6" a="1"/>
  <c r="N12" i="6" s="1"/>
  <c r="Q12" i="6" s="1"/>
  <c r="R12" i="6" s="1"/>
  <c r="N43" i="6" a="1"/>
  <c r="N43" i="6" s="1"/>
  <c r="Q43" i="6" s="1"/>
  <c r="R43" i="6" s="1"/>
  <c r="N72" i="6" a="1"/>
  <c r="N72" i="6" s="1"/>
  <c r="Q72" i="6" s="1"/>
  <c r="R72" i="6" s="1"/>
  <c r="N70" i="6" a="1"/>
  <c r="N70" i="6" s="1"/>
  <c r="Q70" i="6" s="1"/>
  <c r="R70" i="6" s="1"/>
  <c r="N30" i="6" a="1"/>
  <c r="N30" i="6" s="1"/>
  <c r="Q30" i="6" s="1"/>
  <c r="R30" i="6" s="1"/>
  <c r="N20" i="6" a="1"/>
  <c r="N20" i="6" s="1"/>
  <c r="Q20" i="6" s="1"/>
  <c r="R20" i="6" s="1"/>
  <c r="N77" i="6" a="1"/>
  <c r="N77" i="6" s="1"/>
  <c r="Q77" i="6" s="1"/>
  <c r="R77" i="6" s="1"/>
  <c r="N47" i="6" a="1"/>
  <c r="N47" i="6" s="1"/>
  <c r="Q47" i="6" s="1"/>
  <c r="R47" i="6" s="1"/>
  <c r="N51" i="6" a="1"/>
  <c r="N51" i="6" s="1"/>
  <c r="Q51" i="6" s="1"/>
  <c r="R51" i="6" s="1"/>
  <c r="N16" i="6" a="1"/>
  <c r="N16" i="6" s="1"/>
  <c r="Q16" i="6" s="1"/>
  <c r="R16" i="6" s="1"/>
  <c r="N23" i="6" a="1"/>
  <c r="N23" i="6" s="1"/>
  <c r="Q23" i="6" s="1"/>
  <c r="R23" i="6" s="1"/>
  <c r="N25" i="6" a="1"/>
  <c r="N25" i="6" s="1"/>
  <c r="Q25" i="6" s="1"/>
  <c r="R25" i="6" s="1"/>
  <c r="N13" i="6" a="1"/>
  <c r="N13" i="6" s="1"/>
  <c r="Q13" i="6" s="1"/>
  <c r="R13" i="6" s="1"/>
  <c r="N39" i="6" a="1"/>
  <c r="N39" i="6" s="1"/>
  <c r="Q39" i="6" s="1"/>
  <c r="R39" i="6" s="1"/>
  <c r="N35" i="6" a="1"/>
  <c r="N35" i="6" s="1"/>
  <c r="Q35" i="6" s="1"/>
  <c r="R35" i="6" s="1"/>
  <c r="N48" i="6" a="1"/>
  <c r="N48" i="6" s="1"/>
  <c r="Q48" i="6" s="1"/>
  <c r="R48" i="6" s="1"/>
  <c r="N24" i="6" a="1"/>
  <c r="N24" i="6" s="1"/>
  <c r="Q24" i="6" s="1"/>
  <c r="R24" i="6" s="1"/>
  <c r="N17" i="6" a="1"/>
  <c r="N17" i="6" s="1"/>
  <c r="Q17" i="6" s="1"/>
  <c r="R17" i="6" s="1"/>
  <c r="N52" i="6" a="1"/>
  <c r="N52" i="6" s="1"/>
  <c r="Q52" i="6" s="1"/>
  <c r="R52" i="6" s="1"/>
  <c r="N54" i="6" a="1"/>
  <c r="N54" i="6" s="1"/>
  <c r="Q54" i="6" s="1"/>
  <c r="R54" i="6" s="1"/>
  <c r="N33" i="6" a="1"/>
  <c r="N33" i="6" s="1"/>
  <c r="Q33" i="6" s="1"/>
  <c r="R33" i="6" s="1"/>
  <c r="N60" i="6" a="1"/>
  <c r="N60" i="6" s="1"/>
  <c r="Q60" i="6" s="1"/>
  <c r="R60" i="6" s="1"/>
  <c r="Q9" i="6"/>
  <c r="R9" i="6" s="1"/>
  <c r="T8" i="6"/>
  <c r="T10" i="6"/>
  <c r="X71" i="9"/>
  <c r="Y71" i="9" s="1"/>
  <c r="Z71" i="9" s="1" a="1"/>
  <c r="Z71" i="9" s="1"/>
  <c r="X10" i="9"/>
  <c r="Y10" i="9" s="1"/>
  <c r="Z10" i="9" s="1" a="1"/>
  <c r="Z10" i="9" s="1"/>
  <c r="X12" i="9"/>
  <c r="Y12" i="9" s="1"/>
  <c r="Z12" i="9" s="1" a="1"/>
  <c r="Z12" i="9" s="1"/>
  <c r="X20" i="9"/>
  <c r="Y20" i="9" s="1"/>
  <c r="Z20" i="9" s="1" a="1"/>
  <c r="Z20" i="9" s="1"/>
  <c r="X21" i="9"/>
  <c r="Y21" i="9" s="1"/>
  <c r="Z21" i="9" s="1" a="1"/>
  <c r="Z21" i="9" s="1"/>
  <c r="X53" i="9"/>
  <c r="Y53" i="9" s="1"/>
  <c r="Z53" i="9" s="1" a="1"/>
  <c r="Z53" i="9" s="1"/>
  <c r="X74" i="9"/>
  <c r="Y74" i="9" s="1"/>
  <c r="Z74" i="9" s="1" a="1"/>
  <c r="Z74" i="9" s="1"/>
  <c r="X42" i="9"/>
  <c r="Y42" i="9" s="1"/>
  <c r="Z42" i="9" s="1" a="1"/>
  <c r="Z42" i="9" s="1"/>
  <c r="X14" i="9"/>
  <c r="Y14" i="9" s="1"/>
  <c r="Z14" i="9" s="1" a="1"/>
  <c r="Z14" i="9" s="1"/>
  <c r="X25" i="9"/>
  <c r="Y25" i="9" s="1"/>
  <c r="Z25" i="9" s="1" a="1"/>
  <c r="Z25" i="9" s="1"/>
  <c r="X54" i="9"/>
  <c r="Y54" i="9" s="1"/>
  <c r="Z54" i="9" s="1" a="1"/>
  <c r="Z54" i="9" s="1"/>
  <c r="X30" i="9"/>
  <c r="Y30" i="9" s="1"/>
  <c r="Z30" i="9" s="1" a="1"/>
  <c r="Z30" i="9" s="1"/>
  <c r="X39" i="9"/>
  <c r="Y39" i="9" s="1"/>
  <c r="Z39" i="9" s="1" a="1"/>
  <c r="Z39" i="9" s="1"/>
  <c r="X56" i="9"/>
  <c r="Y56" i="9" s="1"/>
  <c r="Z56" i="9" s="1" a="1"/>
  <c r="Z56" i="9" s="1"/>
  <c r="X73" i="9"/>
  <c r="Y73" i="9" s="1"/>
  <c r="Z73" i="9" s="1" a="1"/>
  <c r="Z73" i="9" s="1"/>
  <c r="X63" i="9"/>
  <c r="Y63" i="9" s="1"/>
  <c r="Z63" i="9" s="1" a="1"/>
  <c r="Z63" i="9" s="1"/>
  <c r="X65" i="9"/>
  <c r="Y65" i="9" s="1"/>
  <c r="Z65" i="9" s="1" a="1"/>
  <c r="Z65" i="9" s="1"/>
  <c r="X64" i="9"/>
  <c r="Y64" i="9" s="1"/>
  <c r="Z64" i="9" s="1" a="1"/>
  <c r="Z64" i="9" s="1"/>
  <c r="X41" i="9"/>
  <c r="Y41" i="9" s="1"/>
  <c r="Z41" i="9" s="1" a="1"/>
  <c r="Z41" i="9" s="1"/>
  <c r="X44" i="9"/>
  <c r="Y44" i="9" s="1"/>
  <c r="Z44" i="9" s="1" a="1"/>
  <c r="Z44" i="9" s="1"/>
  <c r="X69" i="9"/>
  <c r="Y69" i="9" s="1"/>
  <c r="Z69" i="9" s="1" a="1"/>
  <c r="Z69" i="9" s="1"/>
  <c r="X75" i="9"/>
  <c r="Y75" i="9" s="1"/>
  <c r="Z75" i="9" s="1" a="1"/>
  <c r="Z75" i="9" s="1"/>
  <c r="X50" i="9"/>
  <c r="Y50" i="9" s="1"/>
  <c r="Z50" i="9" s="1" a="1"/>
  <c r="Z50" i="9" s="1"/>
  <c r="X37" i="9"/>
  <c r="Y37" i="9" s="1"/>
  <c r="Z37" i="9" s="1" a="1"/>
  <c r="Z37" i="9" s="1"/>
  <c r="X15" i="9"/>
  <c r="Y15" i="9" s="1"/>
  <c r="Z15" i="9" s="1" a="1"/>
  <c r="Z15" i="9" s="1"/>
  <c r="X76" i="9"/>
  <c r="Y76" i="9" s="1"/>
  <c r="Z76" i="9" s="1" a="1"/>
  <c r="Z76" i="9" s="1"/>
  <c r="X72" i="9"/>
  <c r="Y72" i="9" s="1"/>
  <c r="Z72" i="9" s="1" a="1"/>
  <c r="Z72" i="9" s="1"/>
  <c r="X58" i="9"/>
  <c r="Y58" i="9" s="1"/>
  <c r="Z58" i="9" s="1" a="1"/>
  <c r="Z58" i="9" s="1"/>
  <c r="X23" i="9"/>
  <c r="Y23" i="9" s="1"/>
  <c r="Z23" i="9" s="1" a="1"/>
  <c r="Z23" i="9" s="1"/>
  <c r="R84" i="6"/>
  <c r="X8" i="9"/>
  <c r="Y8" i="9" s="1"/>
  <c r="Z8" i="9" s="1" a="1"/>
  <c r="Z8" i="9" s="1"/>
  <c r="X62" i="9"/>
  <c r="Y62" i="9" s="1"/>
  <c r="Z62" i="9" s="1" a="1"/>
  <c r="Z62" i="9" s="1"/>
  <c r="X24" i="9"/>
  <c r="Y24" i="9" s="1"/>
  <c r="Z24" i="9" s="1" a="1"/>
  <c r="Z24" i="9" s="1"/>
  <c r="X28" i="9"/>
  <c r="Y28" i="9" s="1"/>
  <c r="Z28" i="9" s="1" a="1"/>
  <c r="Z28" i="9" s="1"/>
  <c r="X61" i="9"/>
  <c r="Y61" i="9" s="1"/>
  <c r="Z61" i="9" s="1" a="1"/>
  <c r="Z61" i="9" s="1"/>
  <c r="X19" i="9"/>
  <c r="Y19" i="9" s="1"/>
  <c r="Z19" i="9" s="1" a="1"/>
  <c r="Z19" i="9" s="1"/>
  <c r="X57" i="9"/>
  <c r="Y57" i="9" s="1"/>
  <c r="Z57" i="9" s="1" a="1"/>
  <c r="Z57" i="9" s="1"/>
  <c r="X59" i="9"/>
  <c r="Y59" i="9" s="1"/>
  <c r="Z59" i="9" s="1" a="1"/>
  <c r="Z59" i="9" s="1"/>
  <c r="X77" i="9"/>
  <c r="Y77" i="9" s="1"/>
  <c r="Z77" i="9" s="1" a="1"/>
  <c r="Z77" i="9" s="1"/>
  <c r="X70" i="9"/>
  <c r="Y70" i="9" s="1"/>
  <c r="Z70" i="9" s="1" a="1"/>
  <c r="Z70" i="9" s="1"/>
  <c r="X34" i="9"/>
  <c r="Y34" i="9" s="1"/>
  <c r="Z34" i="9" s="1" a="1"/>
  <c r="Z34" i="9" s="1"/>
  <c r="X49" i="9"/>
  <c r="Y49" i="9" s="1"/>
  <c r="Z49" i="9" s="1" a="1"/>
  <c r="Z49" i="9" s="1"/>
  <c r="X22" i="9"/>
  <c r="Y22" i="9" s="1"/>
  <c r="Z22" i="9" s="1" a="1"/>
  <c r="Z22" i="9" s="1"/>
  <c r="X48" i="9"/>
  <c r="Y48" i="9" s="1"/>
  <c r="Z48" i="9" s="1" a="1"/>
  <c r="Z48" i="9" s="1"/>
  <c r="X13" i="9"/>
  <c r="Y13" i="9" s="1"/>
  <c r="Z13" i="9" s="1" a="1"/>
  <c r="Z13" i="9" s="1"/>
  <c r="X55" i="9"/>
  <c r="Y55" i="9" s="1"/>
  <c r="Z55" i="9" s="1" a="1"/>
  <c r="Z55" i="9" s="1"/>
  <c r="X36" i="9"/>
  <c r="Y36" i="9" s="1"/>
  <c r="Z36" i="9" s="1" a="1"/>
  <c r="Z36" i="9" s="1"/>
  <c r="X66" i="9"/>
  <c r="Y66" i="9" s="1"/>
  <c r="Z66" i="9" s="1" a="1"/>
  <c r="Z66" i="9" s="1"/>
  <c r="X18" i="9"/>
  <c r="Y18" i="9" s="1"/>
  <c r="Z18" i="9" s="1" a="1"/>
  <c r="Z18" i="9" s="1"/>
  <c r="X45" i="9"/>
  <c r="Y45" i="9" s="1"/>
  <c r="Z45" i="9" s="1" a="1"/>
  <c r="Z45" i="9" s="1"/>
  <c r="X68" i="9"/>
  <c r="Y68" i="9" s="1"/>
  <c r="Z68" i="9" s="1" a="1"/>
  <c r="Z68" i="9" s="1"/>
  <c r="X46" i="9"/>
  <c r="Y46" i="9" s="1"/>
  <c r="Z46" i="9" s="1" a="1"/>
  <c r="Z46" i="9" s="1"/>
  <c r="H3" i="9" a="1"/>
  <c r="H3" i="9" s="1"/>
  <c r="I3" i="6" a="1"/>
  <c r="I3" i="6" s="1"/>
  <c r="K3" i="6" s="1" a="1"/>
  <c r="K3" i="6" s="1"/>
  <c r="H3" i="6" a="1"/>
  <c r="H3" i="6" s="1"/>
  <c r="G3" i="6" a="1"/>
  <c r="G3" i="6" s="1"/>
  <c r="G3" i="9" a="1"/>
  <c r="G3" i="9" s="1"/>
  <c r="C3" i="6" a="1"/>
  <c r="C3" i="6" s="1"/>
  <c r="D3" i="6" s="1" a="1"/>
  <c r="D3" i="6" s="1"/>
  <c r="N10" i="6" l="1" a="1"/>
  <c r="N10" i="6" s="1"/>
  <c r="Q10" i="6" s="1"/>
  <c r="R10" i="6" s="1"/>
  <c r="N8" i="6" a="1"/>
  <c r="N8" i="6" s="1"/>
  <c r="Q8" i="6" s="1"/>
  <c r="R8" i="6" s="1"/>
  <c r="N9" i="4"/>
  <c r="M9" i="4" l="1"/>
  <c r="U9" i="4" s="1"/>
  <c r="O9" i="4"/>
  <c r="P9" i="4"/>
  <c r="AC9" i="4" l="1"/>
  <c r="R9" i="4"/>
  <c r="AL9" i="4"/>
  <c r="X9" i="4"/>
  <c r="AI9" i="4"/>
  <c r="AH9" i="4"/>
  <c r="S9" i="4"/>
  <c r="Z9" i="4"/>
  <c r="AJ9" i="4"/>
  <c r="Y9" i="4"/>
  <c r="AB9" i="4"/>
  <c r="V9" i="4"/>
  <c r="W9" i="4" s="1"/>
  <c r="C3" i="9" a="1"/>
  <c r="C3" i="9" s="1"/>
  <c r="O3" i="9" s="1" a="1"/>
  <c r="O3" i="9" s="1"/>
  <c r="R3" i="9" s="1" a="1"/>
  <c r="R3" i="9" s="1"/>
  <c r="Q9" i="4"/>
  <c r="AD9" i="4" l="1"/>
  <c r="AM9" i="4" s="1"/>
  <c r="AK9" i="4"/>
  <c r="AF9" i="4"/>
  <c r="AN9" i="4" s="1"/>
  <c r="N3" i="11" s="1" a="1"/>
  <c r="N3" i="11" s="1"/>
  <c r="AE9" i="4"/>
  <c r="T9" i="4"/>
  <c r="AA9" i="4"/>
  <c r="M3" i="9" a="1"/>
  <c r="M3" i="9" s="1"/>
  <c r="I3" i="9" a="1"/>
  <c r="I3" i="9" s="1"/>
  <c r="J3" i="9" s="1"/>
  <c r="K3" i="9" a="1"/>
  <c r="K3" i="9" s="1"/>
  <c r="Q3" i="9" a="1"/>
  <c r="Q3" i="9" s="1"/>
  <c r="S3" i="9" s="1" a="1"/>
  <c r="S3" i="9" s="1"/>
  <c r="Q3" i="11" s="1" a="1"/>
  <c r="Q3" i="11" s="1"/>
  <c r="R3" i="11" s="1" a="1"/>
  <c r="R3" i="11" s="1"/>
  <c r="X3" i="6" s="1" a="1"/>
  <c r="X3" i="6" s="1"/>
  <c r="X78" i="6" s="1"/>
  <c r="U3" i="9"/>
  <c r="V3" i="9" s="1" a="1"/>
  <c r="V3" i="9" s="1"/>
  <c r="W3" i="9" a="1"/>
  <c r="W3" i="9" s="1"/>
  <c r="AG9" i="4" l="1"/>
  <c r="L3" i="9"/>
  <c r="N3" i="9" s="1"/>
  <c r="P3" i="9" s="1"/>
  <c r="O3" i="11" s="1" a="1"/>
  <c r="O3" i="11" s="1"/>
  <c r="X3" i="9"/>
  <c r="Y3" i="9" s="1"/>
  <c r="Z3" i="9" s="1" a="1"/>
  <c r="Z3" i="9" s="1"/>
  <c r="P3" i="11" l="1"/>
  <c r="S3" i="6" s="1" a="1"/>
  <c r="S3" i="6" s="1"/>
  <c r="T3" i="6" l="1"/>
  <c r="N3" i="6" s="1" a="1"/>
  <c r="N3" i="6" s="1"/>
  <c r="Q3" i="6" s="1"/>
  <c r="S78" i="6"/>
  <c r="R83" i="6"/>
  <c r="R82" i="6" s="1"/>
  <c r="T78" i="6" l="1"/>
  <c r="R3" i="6"/>
  <c r="Q78" i="6"/>
  <c r="P83" i="6" l="1"/>
  <c r="R78" i="6"/>
  <c r="P84" i="6" l="1"/>
  <c r="P82" i="6" s="1"/>
  <c r="S82" i="6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tc={337436D3-502A-4DEE-B415-A995ED195B0C}</author>
    <author>tc={2C96AC90-90C0-4ED2-B6B6-F4673A7BEB95}</author>
    <author>100043227</author>
    <author>tc={C814901F-F912-43C5-9EC2-65EBFA59DAB1}</author>
    <author>tc={9EDE7648-4370-45AE-87F5-84978FF7C9D2}</author>
    <author>tc={2F13E767-D62E-4B83-881D-D9103A130411}</author>
    <author>tc={F6CFCD21-3A18-4E9B-90B9-140BE9CE0BC6}</author>
  </authors>
  <commentList>
    <comment ref="O3" authorId="0" shapeId="0" xr:uid="{337436D3-502A-4DEE-B415-A995ED195B0C}">
      <text>
        <t xml:space="preserve"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Porcentaje de riesgo de trabajo PATRON.
</t>
      </text>
    </comment>
    <comment ref="O4" authorId="1" shapeId="0" xr:uid="{2C96AC90-90C0-4ED2-B6B6-F4673A7BEB95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Obrero</t>
      </text>
    </comment>
    <comment ref="N12" authorId="2" shapeId="0" xr:uid="{3B46CDD5-8A62-481B-A69A-8CD7176FF3A1}">
      <text>
        <r>
          <rPr>
            <b/>
            <sz val="9"/>
            <color indexed="81"/>
            <rFont val="Tahoma"/>
            <family val="2"/>
          </rPr>
          <t>100043227:</t>
        </r>
        <r>
          <rPr>
            <sz val="9"/>
            <color indexed="81"/>
            <rFont val="Tahoma"/>
            <family val="2"/>
          </rPr>
          <t xml:space="preserve">
Se considera dividir a la mitad si se desea pagar solo 1 de los dos domingos fiscales.</t>
        </r>
      </text>
    </comment>
    <comment ref="C32" authorId="3" shapeId="0" xr:uid="{C814901F-F912-43C5-9EC2-65EBFA59DAB1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0 = NO, 1 = SI</t>
      </text>
    </comment>
    <comment ref="D32" authorId="4" shapeId="0" xr:uid="{9EDE7648-4370-45AE-87F5-84978FF7C9D2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Numero de alimentos por dia</t>
      </text>
    </comment>
    <comment ref="A123" authorId="5" shapeId="0" xr:uid="{2F13E767-D62E-4B83-881D-D9103A130411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Si se quiere cambiar los valores, se cambian directamente en la Hoja "Empleados".</t>
      </text>
    </comment>
    <comment ref="C123" authorId="6" shapeId="0" xr:uid="{F6CFCD21-3A18-4E9B-90B9-140BE9CE0BC6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Es el valor que se le da a las asistencias para pago de Nomina.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tc={79BD2EFA-021F-440A-ABFF-C71B0509FF39}</author>
    <author>tc={F1B4A687-BD1A-4CA9-8655-BFD5CE6EC3F5}</author>
  </authors>
  <commentList>
    <comment ref="G1" authorId="0" shapeId="0" xr:uid="{79BD2EFA-021F-440A-ABFF-C71B0509FF39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Es un calculo de 15 días de salario diario.</t>
      </text>
    </comment>
    <comment ref="H1" authorId="1" shapeId="0" xr:uid="{F1B4A687-BD1A-4CA9-8655-BFD5CE6EC3F5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Para fines de IMSS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tc={A8AE8366-FDA8-4B1F-9DFF-7699520435F4}</author>
    <author>tc={04BC31A3-F505-428E-BB22-FAB75511916A}</author>
    <author>tc={7FD4BBB9-D3F4-46CE-A404-23632D6BF17D}</author>
    <author>tc={44C22DE1-F390-4C94-8E7E-4D59314D7DB6}</author>
    <author>tc={11FBD81A-0441-4F30-B5E0-21440A5C0993}</author>
    <author>tc={68E80770-9B7C-44F7-A42E-B57B367336FA}</author>
    <author>tc={CE6B7A9A-EC7B-4F12-9BBA-2408AD502F2B}</author>
    <author>tc={D7D01C46-2025-4630-9FB7-8965CB3EAEDA}</author>
    <author>tc={4C2D1539-A44D-4032-A05A-459D4ED62C0D}</author>
    <author>tc={F5B5378E-744B-4A84-895E-9762865DA1B4}</author>
    <author>tc={DDF6601B-A3C3-413E-B2DD-E5308BB2FB0D}</author>
    <author>100043227</author>
    <author>tc={E801FE5F-5C99-40B9-B827-C6D7CFB576E2}</author>
  </authors>
  <commentList>
    <comment ref="B1" authorId="0" shapeId="0" xr:uid="{A8AE8366-FDA8-4B1F-9DFF-7699520435F4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NO CAMBIAR EL AñO</t>
      </text>
    </comment>
    <comment ref="A3" authorId="1" shapeId="0" xr:uid="{04BC31A3-F505-428E-BB22-FAB75511916A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Fecha final para mostrar en tabla.</t>
      </text>
    </comment>
    <comment ref="A4" authorId="2" shapeId="0" xr:uid="{7FD4BBB9-D3F4-46CE-A404-23632D6BF17D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Fecha de inicio para mostrar en tabla.</t>
      </text>
    </comment>
    <comment ref="B5" authorId="3" shapeId="0" xr:uid="{44C22DE1-F390-4C94-8E7E-4D59314D7DB6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Poner un dia mas del que desea mostrar</t>
      </text>
    </comment>
    <comment ref="QL29" authorId="4" shapeId="0" xr:uid="{11FBD81A-0441-4F30-B5E0-21440A5C0993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Días laborados</t>
      </text>
    </comment>
    <comment ref="QO29" authorId="5" shapeId="0" xr:uid="{68E80770-9B7C-44F7-A42E-B57B367336FA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Días de vacaciones</t>
      </text>
    </comment>
    <comment ref="QQ29" authorId="6" shapeId="0" xr:uid="{CE6B7A9A-EC7B-4F12-9BBA-2408AD502F2B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Días de faltas.</t>
      </text>
    </comment>
    <comment ref="QV29" authorId="7" shapeId="0" xr:uid="{D7D01C46-2025-4630-9FB7-8965CB3EAEDA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Días de incapacidad general.</t>
      </text>
    </comment>
    <comment ref="QX29" authorId="8" shapeId="0" xr:uid="{4C2D1539-A44D-4032-A05A-459D4ED62C0D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Días feriados trabajados.</t>
      </text>
    </comment>
    <comment ref="RA29" authorId="9" shapeId="0" xr:uid="{F5B5378E-744B-4A84-895E-9762865DA1B4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Días de incapacidad.</t>
      </text>
    </comment>
    <comment ref="RE29" authorId="10" shapeId="0" xr:uid="{DDF6601B-A3C3-413E-B2DD-E5308BB2FB0D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Días de baja.</t>
      </text>
    </comment>
    <comment ref="QJ30" authorId="11" shapeId="0" xr:uid="{8EA67D1F-C2D8-47BB-9E00-AD546DA53386}">
      <text>
        <r>
          <rPr>
            <b/>
            <sz val="9"/>
            <color indexed="81"/>
            <rFont val="Tahoma"/>
            <family val="2"/>
          </rPr>
          <t>Ing. F:</t>
        </r>
        <r>
          <rPr>
            <sz val="9"/>
            <color indexed="81"/>
            <rFont val="Tahoma"/>
            <family val="2"/>
          </rPr>
          <t xml:space="preserve">
Los registros que se consideran son:
-Asistencia (1)
-Doble turdo/ Descanso trabajado (DO)
-Retardo (R)
-No anotado (NA)
-Descanso Festivo/Feriado (DF)
-Capacitación pagada (CP)
-Tiempo 1/2 (T/2)</t>
        </r>
      </text>
    </comment>
    <comment ref="QK30" authorId="12" shapeId="0" xr:uid="{E801FE5F-5C99-40B9-B827-C6D7CFB576E2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Solo del año seleccionado, no del anterior.
Respuesta:
    Columna AH a PN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tc={9B27AB1C-4473-44CA-BE4E-DC689885159A}</author>
    <author>tc={14E451F6-E21C-4E6C-9BA4-6B49A937F962}</author>
  </authors>
  <commentList>
    <comment ref="Q1" authorId="0" shapeId="0" xr:uid="{9B27AB1C-4473-44CA-BE4E-DC689885159A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Si se aplica junto al pago de Nomina el ISR aumenta a si se paga por separado.</t>
      </text>
    </comment>
    <comment ref="M2" authorId="1" shapeId="0" xr:uid="{14E451F6-E21C-4E6C-9BA4-6B49A937F962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Actualizar la formula de manera manual.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tc={D4575704-FF99-4CC3-A085-992F85150196}</author>
    <author>tc={C38AD2E3-CE9B-431F-904F-6D4945330307}</author>
    <author>tc={A8B3C59D-DF7F-460C-AA3C-E6A4389A2943}</author>
  </authors>
  <commentList>
    <comment ref="K2" authorId="0" shapeId="0" xr:uid="{D4575704-FF99-4CC3-A085-992F85150196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Cambiar el "&gt;3 y "-3" por "&gt;0" y "-0" cuando sea necesario "=SI([@[Dias Incapacidad/General]]&gt;0,(([@[Dias Incapacidad/General]]-0)*((BUSCARV([@id],Empleados!A:H,6,FALSO)))*[@[% pagado por incapacidad]]),0)"</t>
      </text>
    </comment>
    <comment ref="M2" authorId="1" shapeId="0" xr:uid="{C38AD2E3-CE9B-431F-904F-6D4945330307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Actualizar la formula de manera manual.</t>
      </text>
    </comment>
    <comment ref="O2" authorId="2" shapeId="0" xr:uid="{A8B3C59D-DF7F-460C-AA3C-E6A4389A2943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+ o - cualquier concepto</t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tc={E5256D35-41D1-495D-9FF9-0991ED294FD3}</author>
    <author>tc={3E4D99DD-A841-48E1-B884-8D25432E671C}</author>
  </authors>
  <commentList>
    <comment ref="S2" authorId="0" shapeId="0" xr:uid="{E5256D35-41D1-495D-9FF9-0991ED294FD3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Ley del Impuesto Sobre la Renta</t>
      </text>
    </comment>
    <comment ref="Z2" authorId="1" shapeId="0" xr:uid="{3E4D99DD-A841-48E1-B884-8D25432E671C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Reglamento de la Ley del ISR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<sst xmlns="http://schemas.openxmlformats.org/spreadsheetml/2006/main" count="33387" uniqueCount="899">
  <si>
    <t>Nombre</t>
  </si>
  <si>
    <t>RUIZ OLMEDO ALEJANDRO AMADO</t>
  </si>
  <si>
    <t>RUIZ OLMEDO MARCO ANTONIO</t>
  </si>
  <si>
    <t xml:space="preserve">GALAN SANCHEZ BRENDA LETICIA </t>
  </si>
  <si>
    <t>HERNANDEZ MORALES CITLALI ITZEL</t>
  </si>
  <si>
    <t>LOPEZ CRUZ LAURA</t>
  </si>
  <si>
    <t>CAMACHO RAMIREZ ARELI</t>
  </si>
  <si>
    <t>GONZALEZ DURAN EDER</t>
  </si>
  <si>
    <t>REYES JARQUIN DANIEL</t>
  </si>
  <si>
    <t xml:space="preserve">ANTONIO LOPEZ JAVIER </t>
  </si>
  <si>
    <t>GALVAN HERNANDEZ FLOR SILVANA</t>
  </si>
  <si>
    <t>VELASCO TEAHULOS MARIA ASUNCION</t>
  </si>
  <si>
    <t>GARCIA MARTINEZ JORGE MANUEL</t>
  </si>
  <si>
    <t>APARICIO MORALES EFRAIN</t>
  </si>
  <si>
    <t>MIGUEL MIGUEL CAROLINA</t>
  </si>
  <si>
    <t>HERNANDEZ MARTINEZ NORMA ITZEL</t>
  </si>
  <si>
    <t>HERNANDEZ HERNANDEZ MODESTA</t>
  </si>
  <si>
    <t>ANTONIO ENRIQUEZ GERMAN</t>
  </si>
  <si>
    <t>RAMIREZ SANTIAGO IRVIN DANIEL</t>
  </si>
  <si>
    <t>SOSA ALCÁNTARA JOSUE</t>
  </si>
  <si>
    <t>DECIDERIO ESPINA ISMAEL</t>
  </si>
  <si>
    <t>HERNANDEZ MIGUEL GRISELDA ITAHI</t>
  </si>
  <si>
    <t>GONZALEZ ARAGON TANIA YURICEL</t>
  </si>
  <si>
    <t>CHAVEZ HERNANDEZ DIANA IRIS</t>
  </si>
  <si>
    <t xml:space="preserve">LOPEZ VELASCO  EDWIN URIEL </t>
  </si>
  <si>
    <t>DE LA CRUZ BARTOLO JOSE LUIS</t>
  </si>
  <si>
    <t>GARCIA MARTINEZ URIEL ALEJANDRO</t>
  </si>
  <si>
    <t>GUTIERREZ LAZARO PABLO GABRIEL</t>
  </si>
  <si>
    <t>AGUILAR ROJAS OSCAR</t>
  </si>
  <si>
    <t>TOLENTINO MEJIA CYNTHIA NINET</t>
  </si>
  <si>
    <t xml:space="preserve">RUIZ RAMOS ANGEL </t>
  </si>
  <si>
    <t>RIOS LUIS OSVALDO</t>
  </si>
  <si>
    <t>PEREZ RUIZ NADIA LIZBETH</t>
  </si>
  <si>
    <t>ESPINOZA REYNOSO RAUL</t>
  </si>
  <si>
    <t>ESPINOSA RUBIÑOS CARLOS RAMON</t>
  </si>
  <si>
    <t>MARTINEZ VICENTE RENE SAID</t>
  </si>
  <si>
    <t>LORENZANA DIAZ IGNACIO DEMETRIO</t>
  </si>
  <si>
    <t>JIMENEZ VASQUEZ HISAI</t>
  </si>
  <si>
    <t>DIAZ LOPEZ JUAN FELIPE</t>
  </si>
  <si>
    <t>RAMIREZ SANTIAGO EDGAR ISAAC</t>
  </si>
  <si>
    <t>FLORES SANTIAGO PEDRO</t>
  </si>
  <si>
    <t>LOPEZ TORRES ROSENDO EDUARDO</t>
  </si>
  <si>
    <t>GAYTAN VASQUEZ ERICK</t>
  </si>
  <si>
    <t>SAMARIO MANZANO ABRAHAM  ROSALINO</t>
  </si>
  <si>
    <t>LORENZO GREGORIO JESUS OCTAVIANO</t>
  </si>
  <si>
    <t>CABRERA HEREDIA EDGAR OMAR</t>
  </si>
  <si>
    <t xml:space="preserve">REYES JUAREZ OSCAR </t>
  </si>
  <si>
    <t xml:space="preserve">DIAZ LOPEZ ANTONIO DE JESUS </t>
  </si>
  <si>
    <t>LOPEZ PEREZ CRISTIAN GUILLERMO</t>
  </si>
  <si>
    <t>JIMENEZ DOMINGUEZ ADAN CAYETANO</t>
  </si>
  <si>
    <t>OSORIO LOPEZ NATAN</t>
  </si>
  <si>
    <t>JOSE JIMENEZ JULIO CESAR</t>
  </si>
  <si>
    <t xml:space="preserve">CRUZ CORTES ALEX MANUEL </t>
  </si>
  <si>
    <t>GASPAR VALERIANO WILLEVALDO INOCENCIO</t>
  </si>
  <si>
    <t>ZANABRIGA VELASQUEZ ELOY</t>
  </si>
  <si>
    <t>MARTINEZ HERNANDEZ URIEL VALENTINO</t>
  </si>
  <si>
    <t>ESPINDOLA CASTILLO JUAN MANUEL</t>
  </si>
  <si>
    <t>LOPEZ ALMARAZ JOSE ORIOL</t>
  </si>
  <si>
    <t>JUAREZ GARCIA NED</t>
  </si>
  <si>
    <t>SOLIS HERNANDEZ JAVIER</t>
  </si>
  <si>
    <t xml:space="preserve">LUIS MARTINEZ CESAR URIEL </t>
  </si>
  <si>
    <t xml:space="preserve">SOSA GONZALEZ ALEJANDRO </t>
  </si>
  <si>
    <t>GONZALEZ ARAGON ALEJANDRO FEDERICO</t>
  </si>
  <si>
    <t>SANCHEZ RUIZ INGRID VIVIANA</t>
  </si>
  <si>
    <t>QUIROZ HERNANDEZ ALEJANDRA MONSERRAT</t>
  </si>
  <si>
    <t>VASQUEZ PEREZ ARTURO</t>
  </si>
  <si>
    <t xml:space="preserve">SALINAS CORTES ANGEL GABRIEL </t>
  </si>
  <si>
    <t>MORALES JIMENEZ JOSE IGNACIO</t>
  </si>
  <si>
    <t>LOPEZ VALENCIA ZOSIMO</t>
  </si>
  <si>
    <t xml:space="preserve">RUIZ CRUZ CESAR DANIEL </t>
  </si>
  <si>
    <t>GONZALEZ LEYVA ADRIAN EDUARDO</t>
  </si>
  <si>
    <t>GARCIA ALONZO ANGEL MARTIN</t>
  </si>
  <si>
    <t>JIMENEZ GODINEZ GABRIELA</t>
  </si>
  <si>
    <t>CORTES SILVA MONICA</t>
  </si>
  <si>
    <t>SAMARIO PEREZ JESUS FELIPE</t>
  </si>
  <si>
    <t xml:space="preserve">RUIZ MIJANGOS ISABEL </t>
  </si>
  <si>
    <t>Puesto</t>
  </si>
  <si>
    <t>Fecha de ingreso</t>
  </si>
  <si>
    <t>Tipo de contrato</t>
  </si>
  <si>
    <t>Salario Real</t>
  </si>
  <si>
    <t>NSS</t>
  </si>
  <si>
    <t>RFC</t>
  </si>
  <si>
    <t>Fecha de alta NSS</t>
  </si>
  <si>
    <t>CHEF EJECUTIVO</t>
  </si>
  <si>
    <t>SUBGERENTE</t>
  </si>
  <si>
    <t>AUX ADMINISTRATIVO</t>
  </si>
  <si>
    <t>COMPRAS</t>
  </si>
  <si>
    <t>JEFE DE COCINA</t>
  </si>
  <si>
    <t>REPOSTERO</t>
  </si>
  <si>
    <t>LAVALOZA</t>
  </si>
  <si>
    <t>COMAL</t>
  </si>
  <si>
    <t>TABLAJERO</t>
  </si>
  <si>
    <t>CAPITAN</t>
  </si>
  <si>
    <t>BARMAN</t>
  </si>
  <si>
    <t>SERVICIO</t>
  </si>
  <si>
    <t>SEGURIDAD</t>
  </si>
  <si>
    <t>HOSTESS/APOYO</t>
  </si>
  <si>
    <t>CUBRE TURNOS</t>
  </si>
  <si>
    <t>HOSTESS</t>
  </si>
  <si>
    <t>LAVANDERIA</t>
  </si>
  <si>
    <t>Indefinido</t>
  </si>
  <si>
    <t>Fijo T. Completo</t>
  </si>
  <si>
    <t>Fijo T. Parcial</t>
  </si>
  <si>
    <t>ID</t>
  </si>
  <si>
    <t>Año:</t>
  </si>
  <si>
    <t>Fecha</t>
  </si>
  <si>
    <t>Dia</t>
  </si>
  <si>
    <t>Obtencion de fechas:</t>
  </si>
  <si>
    <t>Eventos</t>
  </si>
  <si>
    <t>Descanso</t>
  </si>
  <si>
    <t>Vacaciones</t>
  </si>
  <si>
    <t>P</t>
  </si>
  <si>
    <t>Permiso</t>
  </si>
  <si>
    <t>B</t>
  </si>
  <si>
    <t>Baja</t>
  </si>
  <si>
    <t>Capacitacion pagada</t>
  </si>
  <si>
    <t xml:space="preserve">PERMISO POR LEY </t>
  </si>
  <si>
    <t>CIERRE DE RESTAURANT</t>
  </si>
  <si>
    <t>INCAPACIDAD SIN SEGURO</t>
  </si>
  <si>
    <t>No se anoto</t>
  </si>
  <si>
    <t>Descanso trabajado</t>
  </si>
  <si>
    <t>Castigo</t>
  </si>
  <si>
    <t>Retardo</t>
  </si>
  <si>
    <t>Incapacidad</t>
  </si>
  <si>
    <t>PORTOZUELO</t>
  </si>
  <si>
    <t>Descanso que se debia</t>
  </si>
  <si>
    <t>FALTA</t>
  </si>
  <si>
    <t>E</t>
  </si>
  <si>
    <t>V</t>
  </si>
  <si>
    <t>Doble turno/Día feriado</t>
  </si>
  <si>
    <t>PP</t>
  </si>
  <si>
    <t>CP</t>
  </si>
  <si>
    <t>R</t>
  </si>
  <si>
    <t>I</t>
  </si>
  <si>
    <t>DP</t>
  </si>
  <si>
    <t>F</t>
  </si>
  <si>
    <t>NA</t>
  </si>
  <si>
    <t>Asistencia</t>
  </si>
  <si>
    <t>Evento fuera</t>
  </si>
  <si>
    <t>1</t>
  </si>
  <si>
    <t>0</t>
  </si>
  <si>
    <t>DE</t>
  </si>
  <si>
    <t>DO</t>
  </si>
  <si>
    <t>CUALITATIVOS</t>
  </si>
  <si>
    <t>Salario Minimo General Integrado</t>
  </si>
  <si>
    <t>SMGI</t>
  </si>
  <si>
    <t>U.M.A.</t>
  </si>
  <si>
    <t>SMDF</t>
  </si>
  <si>
    <t>Tres UMA DF</t>
  </si>
  <si>
    <t>SMDF3</t>
  </si>
  <si>
    <t>Cuota Fija</t>
  </si>
  <si>
    <t>CF</t>
  </si>
  <si>
    <t>Cuota Fija (Exedente Patron)</t>
  </si>
  <si>
    <t>CFP</t>
  </si>
  <si>
    <t>Cuota Fija (Exedente Obrero)</t>
  </si>
  <si>
    <t>CFO</t>
  </si>
  <si>
    <t xml:space="preserve">Prestaciones en Dinero </t>
  </si>
  <si>
    <t>PD</t>
  </si>
  <si>
    <t>Prestaciones en Dinero Patronal</t>
  </si>
  <si>
    <t>PDP</t>
  </si>
  <si>
    <t>Prestaciones en Dinero Obrero</t>
  </si>
  <si>
    <t>PDO</t>
  </si>
  <si>
    <t>Gastos Medicos Pensionados</t>
  </si>
  <si>
    <t>GMP</t>
  </si>
  <si>
    <t>Gastos Medicos Pensionados Patronal</t>
  </si>
  <si>
    <t>GMPP</t>
  </si>
  <si>
    <t>Gastos Medicos Pensionados Obrero</t>
  </si>
  <si>
    <t>GMPO</t>
  </si>
  <si>
    <t>Invalidez y Vida</t>
  </si>
  <si>
    <t>IV</t>
  </si>
  <si>
    <t>Invalidez y Vida Patronal</t>
  </si>
  <si>
    <t>IVP</t>
  </si>
  <si>
    <t>Invalidez y Vida Obrero</t>
  </si>
  <si>
    <t>IVO</t>
  </si>
  <si>
    <t>Gastos de Prestaciones Sociales</t>
  </si>
  <si>
    <t>GPS</t>
  </si>
  <si>
    <t>Cesantia y Vejez</t>
  </si>
  <si>
    <t>CV</t>
  </si>
  <si>
    <t>Cesantia y Vejez Patronal</t>
  </si>
  <si>
    <t>CVP</t>
  </si>
  <si>
    <t>Cesantia y Vejez Obrero</t>
  </si>
  <si>
    <t>CVO</t>
  </si>
  <si>
    <t>Retiro</t>
  </si>
  <si>
    <t>Infonavit</t>
  </si>
  <si>
    <t>Base Gravable</t>
  </si>
  <si>
    <t>(-) Lim. Inferior</t>
  </si>
  <si>
    <t>EXC. Lim. Inferior</t>
  </si>
  <si>
    <t>(*) % Lim. Inf.</t>
  </si>
  <si>
    <t>Impuesto marginal</t>
  </si>
  <si>
    <t>(+) Cuota Fija</t>
  </si>
  <si>
    <t>(-) Subsidio para el empleo</t>
  </si>
  <si>
    <t>Límite inferior</t>
  </si>
  <si>
    <t>Límite superior</t>
  </si>
  <si>
    <t>Cuota fija</t>
  </si>
  <si>
    <t>Por ciento para aplicarse sobre el excedente del límite inferior</t>
  </si>
  <si>
    <t>En adelante</t>
  </si>
  <si>
    <t>SUBSIDIO</t>
  </si>
  <si>
    <t>PARA INGRESOS DE</t>
  </si>
  <si>
    <t>HASTA INGRESOS DE</t>
  </si>
  <si>
    <t>ÁREA</t>
  </si>
  <si>
    <t>PUESTO</t>
  </si>
  <si>
    <t>GERENTE</t>
  </si>
  <si>
    <t>ADMINISTRATIVA</t>
  </si>
  <si>
    <t>ASISTENTE GENERAL</t>
  </si>
  <si>
    <t>AUX DE COMPRAS</t>
  </si>
  <si>
    <t>CAJERO</t>
  </si>
  <si>
    <t>COCINA</t>
  </si>
  <si>
    <t>COCINERO</t>
  </si>
  <si>
    <t>PERMISO POR LEY (DIA FESTIVO)</t>
  </si>
  <si>
    <t>NUM</t>
  </si>
  <si>
    <t>Catidad</t>
  </si>
  <si>
    <t>Descripcion</t>
  </si>
  <si>
    <t>Representación</t>
  </si>
  <si>
    <t>Significado</t>
  </si>
  <si>
    <t>Consideración</t>
  </si>
  <si>
    <t>T/2</t>
  </si>
  <si>
    <t>No se anoto regular se paga</t>
  </si>
  <si>
    <t>Permiso sin goce de sueldo.</t>
  </si>
  <si>
    <t>Asistencia regular.</t>
  </si>
  <si>
    <t>Descanso regular se paga.</t>
  </si>
  <si>
    <t>Vacaciones regular se paga.</t>
  </si>
  <si>
    <t>Doblar turno o un dia de descanso trabajado.</t>
  </si>
  <si>
    <t>No se paga.</t>
  </si>
  <si>
    <t>Tres retardos se descuenta un día laborado.</t>
  </si>
  <si>
    <t>Día feriado con descanso tomado.</t>
  </si>
  <si>
    <t>CIERRE DE RESTAURANT no se paga</t>
  </si>
  <si>
    <t>Descanso trabajado, se paga doble.</t>
  </si>
  <si>
    <t>Se paga el día.</t>
  </si>
  <si>
    <t>Se paga el día y la mitad más.</t>
  </si>
  <si>
    <t>Baja regular No se paga</t>
  </si>
  <si>
    <t>Total de dias laborados</t>
  </si>
  <si>
    <t>Prima dominical</t>
  </si>
  <si>
    <t>PRIMA DOMINICAL</t>
  </si>
  <si>
    <t>No anotado</t>
  </si>
  <si>
    <t>Doble turno/Descanso trabajado</t>
  </si>
  <si>
    <t>DF</t>
  </si>
  <si>
    <t>No se paga dentro de la empresa, se paga 
independiente por Portozuelo</t>
  </si>
  <si>
    <t>Descanso que no se tomó en su momento 
se recompenza por otra fecha.</t>
  </si>
  <si>
    <t>DETERMINACION DE PAGO DE CUOTAS OBRERO PATRONALES</t>
  </si>
  <si>
    <t>TOTAL MENSUAL A PAGAR</t>
  </si>
  <si>
    <t>E N F E R M E D A D    Y  M A T E R N I D A D</t>
  </si>
  <si>
    <t>P. DE RIESGO</t>
  </si>
  <si>
    <t>INVALIDEZ Y VIDA</t>
  </si>
  <si>
    <t>RETIRO</t>
  </si>
  <si>
    <t>CESANTIA Y VEJEZ</t>
  </si>
  <si>
    <t>INFONAVIT</t>
  </si>
  <si>
    <t>DE TRABAJO</t>
  </si>
  <si>
    <t>FECHA DE ALTA</t>
  </si>
  <si>
    <t>NOMBRE  DEL TRABAJADOR</t>
  </si>
  <si>
    <t>INC</t>
  </si>
  <si>
    <t>AUS</t>
  </si>
  <si>
    <t>PATRON</t>
  </si>
  <si>
    <t>OBRERO</t>
  </si>
  <si>
    <t>EXCED.
PATRON</t>
  </si>
  <si>
    <t>TOTAL
EXCED.</t>
  </si>
  <si>
    <t>TOTAL
O.P.</t>
  </si>
  <si>
    <t>TOTAL
PATRONAL</t>
  </si>
  <si>
    <t>TOTAL
OBRERO</t>
  </si>
  <si>
    <t>TOTAL
OBRERO
PATRONAL</t>
  </si>
  <si>
    <t>SUMA
O.P.</t>
  </si>
  <si>
    <t>DÍAS
LAB.</t>
  </si>
  <si>
    <t>EXCED.
OBRERO</t>
  </si>
  <si>
    <t>PATRON2</t>
  </si>
  <si>
    <t>PATRON3</t>
  </si>
  <si>
    <t>OBRERO4</t>
  </si>
  <si>
    <t>TOTAL
O.P.5</t>
  </si>
  <si>
    <t>PATRON6</t>
  </si>
  <si>
    <t>OBRERO7</t>
  </si>
  <si>
    <t>TOTAL
O.P.8</t>
  </si>
  <si>
    <t>PATRON9</t>
  </si>
  <si>
    <t>OBRERO10</t>
  </si>
  <si>
    <t>TOTAL
O.P.11</t>
  </si>
  <si>
    <t>2%</t>
  </si>
  <si>
    <t>PATRON13</t>
  </si>
  <si>
    <t>OBRERO14</t>
  </si>
  <si>
    <t>5%</t>
  </si>
  <si>
    <t>TOTAL
PATRONAL18</t>
  </si>
  <si>
    <t>TOTAL
OBRERO19</t>
  </si>
  <si>
    <t>SD Real</t>
  </si>
  <si>
    <t>Años</t>
  </si>
  <si>
    <t>Año\Concepto</t>
  </si>
  <si>
    <t>% de prima 
vacacional y dominical</t>
  </si>
  <si>
    <t>% por alimento</t>
  </si>
  <si>
    <t>Días de
aguinaldo</t>
  </si>
  <si>
    <t>FACTOR DE
INTEGRACIÓN</t>
  </si>
  <si>
    <t>PRIMA
DOMINICAL</t>
  </si>
  <si>
    <t>Días vacacionales
establecidos por ley</t>
  </si>
  <si>
    <t>Desc.</t>
  </si>
  <si>
    <t>Fecha de 
actualización IMSS</t>
  </si>
  <si>
    <t>Fecha de contemplación
inicial.</t>
  </si>
  <si>
    <t>Domingos del año</t>
  </si>
  <si>
    <t>N° ALIMENTOS</t>
  </si>
  <si>
    <t>AYUDANTE DE BARRA</t>
  </si>
  <si>
    <t>AYUDANTE DE COCINA</t>
  </si>
  <si>
    <t>AYUDANTE DE ALMACEN</t>
  </si>
  <si>
    <t>AYUDANTE DE REPOSTERIA</t>
  </si>
  <si>
    <t>COMPRAS GENERAL</t>
  </si>
  <si>
    <t>GERENTE GENERAL</t>
  </si>
  <si>
    <t>MANTENIMIENTO</t>
  </si>
  <si>
    <t>MANTENIMIENTO GENERAL</t>
  </si>
  <si>
    <t>OTROS</t>
  </si>
  <si>
    <t>MESERO</t>
  </si>
  <si>
    <t>ALMACENISTA</t>
  </si>
  <si>
    <t>ADMINISTRADOR2</t>
  </si>
  <si>
    <t>ADMINISTRA</t>
  </si>
  <si>
    <t>HOSTESS/CUBRE TURNOS</t>
  </si>
  <si>
    <t>PRTP</t>
  </si>
  <si>
    <t>PRTO</t>
  </si>
  <si>
    <t>Fecha de aplicación</t>
  </si>
  <si>
    <t>Tiempo 1/2</t>
  </si>
  <si>
    <t>Tipo</t>
  </si>
  <si>
    <t>Nota de remisión</t>
  </si>
  <si>
    <t>Vale</t>
  </si>
  <si>
    <t>N° de ticket</t>
  </si>
  <si>
    <t>Saldo pendiente</t>
  </si>
  <si>
    <t>Fecha de pago</t>
  </si>
  <si>
    <t>Monto de pago</t>
  </si>
  <si>
    <t>N/A</t>
  </si>
  <si>
    <t>NUM de Descuento</t>
  </si>
  <si>
    <t>Platos</t>
  </si>
  <si>
    <t>Pagos Realizados</t>
  </si>
  <si>
    <t>---</t>
  </si>
  <si>
    <t>id</t>
  </si>
  <si>
    <t>Conteo de domingos Inicial.</t>
  </si>
  <si>
    <t>Conteo de domingos Final.</t>
  </si>
  <si>
    <t>Incapacidad 100%</t>
  </si>
  <si>
    <t>Incapacidad General 40%</t>
  </si>
  <si>
    <t>IG</t>
  </si>
  <si>
    <t>Incapasidad general o por enfermedad, el salario real menos el (60% que cubre IMSS sobre el salario IMSS) a partir del 4to dia de incapacidad</t>
  </si>
  <si>
    <t>Incapacidad por riesgos en el trabajo, el salario real menos el (100% que  cubre el IMSS sobre salario IMSS) a partir del primer dia.</t>
  </si>
  <si>
    <t>Concepto</t>
  </si>
  <si>
    <t>Descripcion2</t>
  </si>
  <si>
    <t>Aporte de comision por uso de alquimia</t>
  </si>
  <si>
    <t>AporteComision</t>
  </si>
  <si>
    <t>Prima vacacional</t>
  </si>
  <si>
    <t>REAL</t>
  </si>
  <si>
    <t>Subtotal Real</t>
  </si>
  <si>
    <t>Dias Incapacidad/Riesgo</t>
  </si>
  <si>
    <t>Dias Incapacidad/General</t>
  </si>
  <si>
    <t>% pagado por incapacidad</t>
  </si>
  <si>
    <t>$ por incpacidad</t>
  </si>
  <si>
    <t>Descuentos</t>
  </si>
  <si>
    <t>Concepto/Descripcion</t>
  </si>
  <si>
    <t>Extras</t>
  </si>
  <si>
    <t>Dias Lab.</t>
  </si>
  <si>
    <t>Alquimia</t>
  </si>
  <si>
    <t>Total Real</t>
  </si>
  <si>
    <t>Persepcion Fiscal</t>
  </si>
  <si>
    <t>Fiscal Real</t>
  </si>
  <si>
    <t>Fiscal</t>
  </si>
  <si>
    <t>DominicalFiscal</t>
  </si>
  <si>
    <t>Días considerados para el desglose de salarios fiscal</t>
  </si>
  <si>
    <t>S.B.C</t>
  </si>
  <si>
    <t>Total Fiscal</t>
  </si>
  <si>
    <t>Bono</t>
  </si>
  <si>
    <t>Bono por asistencia y por puntualidad</t>
  </si>
  <si>
    <t>Factor de Integracion</t>
  </si>
  <si>
    <t>Domingos considerados para la nomina fiscal anual</t>
  </si>
  <si>
    <t>S.B.C./S.D.I.</t>
  </si>
  <si>
    <t>Salario Diario</t>
  </si>
  <si>
    <t>Subtotal Fiscal</t>
  </si>
  <si>
    <t>Alimentos</t>
  </si>
  <si>
    <t>Prima Dominical</t>
  </si>
  <si>
    <t>Aguinaldo Real</t>
  </si>
  <si>
    <t>Aguinaldo Fiscal</t>
  </si>
  <si>
    <t>IMSS</t>
  </si>
  <si>
    <t>ISR</t>
  </si>
  <si>
    <t>Dias del año</t>
  </si>
  <si>
    <t>Dias de aguinaldo Fiscal1</t>
  </si>
  <si>
    <t>Dias de aguinaldo fiscal2</t>
  </si>
  <si>
    <t>Dias de aguinaldo Real1</t>
  </si>
  <si>
    <t>Dias de agunaldo Real2</t>
  </si>
  <si>
    <t>Aguinaldo Real - Fiscal</t>
  </si>
  <si>
    <t>Platos muchos</t>
  </si>
  <si>
    <t>Vale por exceso</t>
  </si>
  <si>
    <t>Otras cosas</t>
  </si>
  <si>
    <t>Préstamo FONACOT</t>
  </si>
  <si>
    <t>Otro...</t>
  </si>
  <si>
    <t>pp</t>
  </si>
  <si>
    <t>Pension</t>
  </si>
  <si>
    <t>CUOTAS IMSS</t>
  </si>
  <si>
    <t>SD Fiscal</t>
  </si>
  <si>
    <t>Día feriado trabajado</t>
  </si>
  <si>
    <t>Concepto extra</t>
  </si>
  <si>
    <t>Dia Festivo/ Descanso</t>
  </si>
  <si>
    <t>PATRON
0.50%</t>
  </si>
  <si>
    <t>PRESTACIONES EN ESPECIE
CUOTA FIJA</t>
  </si>
  <si>
    <t>PRESTACIONES EN DINERO
UNICA</t>
  </si>
  <si>
    <t>GASTOS MEDICOS
PENSIONADOS</t>
  </si>
  <si>
    <t>GUARDERIAS Y GASTOS DE
PREVISION SOCIAL</t>
  </si>
  <si>
    <t>Bono Puntualidad</t>
  </si>
  <si>
    <t>Bono Asistencia</t>
  </si>
  <si>
    <t>Bono Festivo/ Descanso</t>
  </si>
  <si>
    <t>Prima Vacacional</t>
  </si>
  <si>
    <t>Total ISR</t>
  </si>
  <si>
    <t>Préstamo Infonavit (PORC)</t>
  </si>
  <si>
    <t>Prestamo de casa</t>
  </si>
  <si>
    <t>Otro</t>
  </si>
  <si>
    <t>Ingreso Neto</t>
  </si>
  <si>
    <t>Ingreso ordinario</t>
  </si>
  <si>
    <t>ISR de Aguinaldo 1</t>
  </si>
  <si>
    <t>ISR de Aguinaldo 2</t>
  </si>
  <si>
    <t>Aguinaldo Gravado Mensual</t>
  </si>
  <si>
    <t>Ingresos totales</t>
  </si>
  <si>
    <t>ISR Por ingresos totales</t>
  </si>
  <si>
    <t>ISR por ingreso ordinario</t>
  </si>
  <si>
    <t>Diferencia de ISR's</t>
  </si>
  <si>
    <t>Tasa D %</t>
  </si>
  <si>
    <t>ISR Aguinaldo</t>
  </si>
  <si>
    <t>AGUINALDO</t>
  </si>
  <si>
    <t>Imp. Art. 96 ISR</t>
  </si>
  <si>
    <t>SALARIO
DEL CICLO</t>
  </si>
  <si>
    <t xml:space="preserve"> </t>
  </si>
  <si>
    <t>Tablas ISR 2023: pagos quincenales</t>
  </si>
  <si>
    <t>Banco de pago</t>
  </si>
  <si>
    <t>Banorte</t>
  </si>
  <si>
    <t>Santander</t>
  </si>
  <si>
    <t>Total</t>
  </si>
  <si>
    <t>Banco</t>
  </si>
  <si>
    <t>Alquimia/ Efectivo</t>
  </si>
  <si>
    <t>SaldoMaximo</t>
  </si>
  <si>
    <t>Saldo maximo para pagar en efectivo</t>
  </si>
  <si>
    <t>Efectivo</t>
  </si>
  <si>
    <t>TOTALES</t>
  </si>
  <si>
    <t>Bancos</t>
  </si>
  <si>
    <t>Banco3</t>
  </si>
  <si>
    <t>Banco4</t>
  </si>
  <si>
    <t>Caso 1</t>
  </si>
  <si>
    <t>TabFactorIntegracion</t>
  </si>
  <si>
    <t>TabISR</t>
  </si>
  <si>
    <t>TabSubsidio</t>
  </si>
  <si>
    <t>TabPuestos</t>
  </si>
  <si>
    <t>TabDatosAsistencia</t>
  </si>
  <si>
    <t>No se paga en el restaurante, se paga fuera del restaurante.</t>
  </si>
  <si>
    <t>InicioR:</t>
  </si>
  <si>
    <t>FinR:</t>
  </si>
  <si>
    <t>InicioF:</t>
  </si>
  <si>
    <t>FinF:</t>
  </si>
  <si>
    <t>'1</t>
  </si>
  <si>
    <t>'DE</t>
  </si>
  <si>
    <t>'V</t>
  </si>
  <si>
    <t>'DO</t>
  </si>
  <si>
    <t>'P</t>
  </si>
  <si>
    <t>'F</t>
  </si>
  <si>
    <t>'R</t>
  </si>
  <si>
    <t>'PP</t>
  </si>
  <si>
    <t>'0</t>
  </si>
  <si>
    <t>'IG</t>
  </si>
  <si>
    <t>'NA</t>
  </si>
  <si>
    <t>'DF</t>
  </si>
  <si>
    <t>'CP</t>
  </si>
  <si>
    <t>'I</t>
  </si>
  <si>
    <t>'T/2</t>
  </si>
  <si>
    <t>'DP</t>
  </si>
  <si>
    <t>'B</t>
  </si>
  <si>
    <t>'Prima dominical</t>
  </si>
  <si>
    <t>'Total de dias laborados</t>
  </si>
  <si>
    <t>Aporte por comision</t>
  </si>
  <si>
    <t>Día feriado trabajado doble</t>
  </si>
  <si>
    <t>3</t>
  </si>
  <si>
    <t>'3</t>
  </si>
  <si>
    <t>Se paga el dia feriafo, el dia trabajado y el tuno doble.</t>
  </si>
  <si>
    <t>Vi. 1
/12</t>
  </si>
  <si>
    <t>Sa. 2
/12</t>
  </si>
  <si>
    <t>Do. 3
/12</t>
  </si>
  <si>
    <t>Lu. 4
/12</t>
  </si>
  <si>
    <t>Ma. 5
/12</t>
  </si>
  <si>
    <t>Mi. 6
/12</t>
  </si>
  <si>
    <t>Ju. 7
/12</t>
  </si>
  <si>
    <t>Vi. 8
/12</t>
  </si>
  <si>
    <t>Sa. 9
/12</t>
  </si>
  <si>
    <t>Do. 10
/12</t>
  </si>
  <si>
    <t>Lu. 11
/12</t>
  </si>
  <si>
    <t>Ma. 12
/12</t>
  </si>
  <si>
    <t>Mi. 13
/12</t>
  </si>
  <si>
    <t>Ju. 14
/12</t>
  </si>
  <si>
    <t>Vi. 15
/12</t>
  </si>
  <si>
    <t>Sa. 16
/12</t>
  </si>
  <si>
    <t>Do. 17
/12</t>
  </si>
  <si>
    <t>Lu. 18
/12</t>
  </si>
  <si>
    <t>Ma. 19
/12</t>
  </si>
  <si>
    <t>Mi. 20
/12</t>
  </si>
  <si>
    <t>Ju. 21
/12</t>
  </si>
  <si>
    <t>Vi. 22
/12</t>
  </si>
  <si>
    <t>Sa. 23
/12</t>
  </si>
  <si>
    <t>Do. 24
/12</t>
  </si>
  <si>
    <t>Lu. 25
/12</t>
  </si>
  <si>
    <t>Ma. 26
/12</t>
  </si>
  <si>
    <t>Mi. 27
/12</t>
  </si>
  <si>
    <t>Ju. 28
/12</t>
  </si>
  <si>
    <t>Vi. 29
/12</t>
  </si>
  <si>
    <t>Sa. 30
/12</t>
  </si>
  <si>
    <t>Do. 31
/12</t>
  </si>
  <si>
    <t>Ma. 1
/1</t>
  </si>
  <si>
    <t>Mi. 2
/1</t>
  </si>
  <si>
    <t>Ju. 3
/1</t>
  </si>
  <si>
    <t>Vi. 4
/1</t>
  </si>
  <si>
    <t>Sa. 5
/1</t>
  </si>
  <si>
    <t>Do. 6
/1</t>
  </si>
  <si>
    <t>Lu. 7
/1</t>
  </si>
  <si>
    <t>Ma. 8
/1</t>
  </si>
  <si>
    <t>Mi. 9
/1</t>
  </si>
  <si>
    <t>Ju. 10
/1</t>
  </si>
  <si>
    <t>Vi. 11
/1</t>
  </si>
  <si>
    <t>Sa. 12
/1</t>
  </si>
  <si>
    <t>Do. 13
/1</t>
  </si>
  <si>
    <t>Lu. 14
/1</t>
  </si>
  <si>
    <t>Ma. 15
/1</t>
  </si>
  <si>
    <t>Mi. 16
/1</t>
  </si>
  <si>
    <t>Ju. 17
/1</t>
  </si>
  <si>
    <t>Vi. 18
/1</t>
  </si>
  <si>
    <t>Sa. 19
/1</t>
  </si>
  <si>
    <t>Do. 20
/1</t>
  </si>
  <si>
    <t>Lu. 21
/1</t>
  </si>
  <si>
    <t>Ma. 22
/1</t>
  </si>
  <si>
    <t>Mi. 23
/1</t>
  </si>
  <si>
    <t>Ju. 24
/1</t>
  </si>
  <si>
    <t>Vi. 25
/1</t>
  </si>
  <si>
    <t>Sa. 26
/1</t>
  </si>
  <si>
    <t>Do. 27
/1</t>
  </si>
  <si>
    <t>Lu. 28
/1</t>
  </si>
  <si>
    <t>Ma. 29
/1</t>
  </si>
  <si>
    <t>Mi. 30
/1</t>
  </si>
  <si>
    <t>Ju. 31
/1</t>
  </si>
  <si>
    <t>Vi. 1
/2</t>
  </si>
  <si>
    <t>VALORES FISCALES</t>
  </si>
  <si>
    <t>Vacaciones pendientes</t>
  </si>
  <si>
    <t>'Vacaciones pendientes</t>
  </si>
  <si>
    <t>Descripción de la consideración</t>
  </si>
  <si>
    <t>Prestamo de caja</t>
  </si>
  <si>
    <t>Ju. 1
/12</t>
  </si>
  <si>
    <t>Vi. 2
/12</t>
  </si>
  <si>
    <t>Sa. 3
/12</t>
  </si>
  <si>
    <t>Do. 4
/12</t>
  </si>
  <si>
    <t>Lu. 5
/12</t>
  </si>
  <si>
    <t>Ma. 6
/12</t>
  </si>
  <si>
    <t>Mi. 7
/12</t>
  </si>
  <si>
    <t>Ju. 8
/12</t>
  </si>
  <si>
    <t>Vi. 9
/12</t>
  </si>
  <si>
    <t>Sa. 10
/12</t>
  </si>
  <si>
    <t>Do. 11
/12</t>
  </si>
  <si>
    <t>Lu. 12
/12</t>
  </si>
  <si>
    <t>Ma. 13
/12</t>
  </si>
  <si>
    <t>Mi. 14
/12</t>
  </si>
  <si>
    <t>Ju. 15
/12</t>
  </si>
  <si>
    <t>Vi. 16
/12</t>
  </si>
  <si>
    <t>Sa. 17
/12</t>
  </si>
  <si>
    <t>Do. 18
/12</t>
  </si>
  <si>
    <t>Lu. 19
/12</t>
  </si>
  <si>
    <t>Ma. 20
/12</t>
  </si>
  <si>
    <t>Mi. 21
/12</t>
  </si>
  <si>
    <t>Ju. 22
/12</t>
  </si>
  <si>
    <t>Vi. 23
/12</t>
  </si>
  <si>
    <t>Sa. 24
/12</t>
  </si>
  <si>
    <t>Do. 25
/12</t>
  </si>
  <si>
    <t>Lu. 26
/12</t>
  </si>
  <si>
    <t>Ma. 27
/12</t>
  </si>
  <si>
    <t>Mi. 28
/12</t>
  </si>
  <si>
    <t>Ju. 29
/12</t>
  </si>
  <si>
    <t>Vi. 30
/12</t>
  </si>
  <si>
    <t>Sa. 31
/12</t>
  </si>
  <si>
    <t>Do. 1
/1</t>
  </si>
  <si>
    <t>Lu. 2
/1</t>
  </si>
  <si>
    <t>Ma. 3
/1</t>
  </si>
  <si>
    <t>Mi. 4
/1</t>
  </si>
  <si>
    <t>Ju. 5
/1</t>
  </si>
  <si>
    <t>Vi. 6
/1</t>
  </si>
  <si>
    <t>Sa. 7
/1</t>
  </si>
  <si>
    <t>Do. 8
/1</t>
  </si>
  <si>
    <t>Lu. 9
/1</t>
  </si>
  <si>
    <t>Ma. 10
/1</t>
  </si>
  <si>
    <t>Mi. 11
/1</t>
  </si>
  <si>
    <t>Ju. 12
/1</t>
  </si>
  <si>
    <t>Vi. 13
/1</t>
  </si>
  <si>
    <t>Sa. 14
/1</t>
  </si>
  <si>
    <t>Do. 15
/1</t>
  </si>
  <si>
    <t>Lu. 16
/1</t>
  </si>
  <si>
    <t>Ma. 17
/1</t>
  </si>
  <si>
    <t>Mi. 18
/1</t>
  </si>
  <si>
    <t>Ju. 19
/1</t>
  </si>
  <si>
    <t>Vi. 20
/1</t>
  </si>
  <si>
    <t>Sa. 21
/1</t>
  </si>
  <si>
    <t>Do. 22
/1</t>
  </si>
  <si>
    <t>Lu. 23
/1</t>
  </si>
  <si>
    <t>Ma. 24
/1</t>
  </si>
  <si>
    <t>Mi. 25
/1</t>
  </si>
  <si>
    <t>Ju. 26
/1</t>
  </si>
  <si>
    <t>Vi. 27
/1</t>
  </si>
  <si>
    <t>Sa. 28
/1</t>
  </si>
  <si>
    <t>Do. 29
/1</t>
  </si>
  <si>
    <t>Lu. 30
/1</t>
  </si>
  <si>
    <t>Ma. 31
/1</t>
  </si>
  <si>
    <t>Mi. 1
/2</t>
  </si>
  <si>
    <t>Ju. 2
/2</t>
  </si>
  <si>
    <t>Vi. 3
/2</t>
  </si>
  <si>
    <t>Sa. 4
/2</t>
  </si>
  <si>
    <t>Do. 5
/2</t>
  </si>
  <si>
    <t>Lu. 6
/2</t>
  </si>
  <si>
    <t>Ma. 7
/2</t>
  </si>
  <si>
    <t>Mi. 8
/2</t>
  </si>
  <si>
    <t>Ju. 9
/2</t>
  </si>
  <si>
    <t>Vi. 10
/2</t>
  </si>
  <si>
    <t>Sa. 11
/2</t>
  </si>
  <si>
    <t>Do. 12
/2</t>
  </si>
  <si>
    <t>Lu. 13
/2</t>
  </si>
  <si>
    <t>Ma. 14
/2</t>
  </si>
  <si>
    <t>Mi. 15
/2</t>
  </si>
  <si>
    <t>Ju. 16
/2</t>
  </si>
  <si>
    <t>Vi. 17
/2</t>
  </si>
  <si>
    <t>Sa. 18
/2</t>
  </si>
  <si>
    <t>Do. 19
/2</t>
  </si>
  <si>
    <t>Lu. 20
/2</t>
  </si>
  <si>
    <t>Ma. 21
/2</t>
  </si>
  <si>
    <t>Mi. 22
/2</t>
  </si>
  <si>
    <t>Ju. 23
/2</t>
  </si>
  <si>
    <t>Vi. 24
/2</t>
  </si>
  <si>
    <t>Sa. 25
/2</t>
  </si>
  <si>
    <t>Do. 26
/2</t>
  </si>
  <si>
    <t>Lu. 27
/2</t>
  </si>
  <si>
    <t>Ma. 28
/2</t>
  </si>
  <si>
    <t>Mi. 1
/3</t>
  </si>
  <si>
    <t>Ju. 2
/3</t>
  </si>
  <si>
    <t>Vi. 3
/3</t>
  </si>
  <si>
    <t>Sa. 4
/3</t>
  </si>
  <si>
    <t>Do. 5
/3</t>
  </si>
  <si>
    <t>Lu. 6
/3</t>
  </si>
  <si>
    <t>Ma. 7
/3</t>
  </si>
  <si>
    <t>Mi. 8
/3</t>
  </si>
  <si>
    <t>Ju. 9
/3</t>
  </si>
  <si>
    <t>Vi. 10
/3</t>
  </si>
  <si>
    <t>Sa. 11
/3</t>
  </si>
  <si>
    <t>Do. 12
/3</t>
  </si>
  <si>
    <t>Lu. 13
/3</t>
  </si>
  <si>
    <t>Ma. 14
/3</t>
  </si>
  <si>
    <t>Mi. 15
/3</t>
  </si>
  <si>
    <t>Ju. 16
/3</t>
  </si>
  <si>
    <t>Vi. 17
/3</t>
  </si>
  <si>
    <t>Sa. 18
/3</t>
  </si>
  <si>
    <t>Do. 19
/3</t>
  </si>
  <si>
    <t>Lu. 20
/3</t>
  </si>
  <si>
    <t>Ma. 21
/3</t>
  </si>
  <si>
    <t>Mi. 22
/3</t>
  </si>
  <si>
    <t>Ju. 23
/3</t>
  </si>
  <si>
    <t>Vi. 24
/3</t>
  </si>
  <si>
    <t>Sa. 25
/3</t>
  </si>
  <si>
    <t>Do. 26
/3</t>
  </si>
  <si>
    <t>Lu. 27
/3</t>
  </si>
  <si>
    <t>Ma. 28
/3</t>
  </si>
  <si>
    <t>Mi. 29
/3</t>
  </si>
  <si>
    <t>Ju. 30
/3</t>
  </si>
  <si>
    <t>Vi. 31
/3</t>
  </si>
  <si>
    <t>Sa. 1
/4</t>
  </si>
  <si>
    <t>Do. 2
/4</t>
  </si>
  <si>
    <t>Lu. 3
/4</t>
  </si>
  <si>
    <t>Ma. 4
/4</t>
  </si>
  <si>
    <t>Mi. 5
/4</t>
  </si>
  <si>
    <t>Ju. 6
/4</t>
  </si>
  <si>
    <t>Vi. 7
/4</t>
  </si>
  <si>
    <t>Sa. 8
/4</t>
  </si>
  <si>
    <t>Do. 9
/4</t>
  </si>
  <si>
    <t>Lu. 10
/4</t>
  </si>
  <si>
    <t>Ma. 11
/4</t>
  </si>
  <si>
    <t>Mi. 12
/4</t>
  </si>
  <si>
    <t>Ju. 13
/4</t>
  </si>
  <si>
    <t>Vi. 14
/4</t>
  </si>
  <si>
    <t>Sa. 15
/4</t>
  </si>
  <si>
    <t>Do. 16
/4</t>
  </si>
  <si>
    <t>Lu. 17
/4</t>
  </si>
  <si>
    <t>Ma. 18
/4</t>
  </si>
  <si>
    <t>Mi. 19
/4</t>
  </si>
  <si>
    <t>Ju. 20
/4</t>
  </si>
  <si>
    <t>Vi. 21
/4</t>
  </si>
  <si>
    <t>Sa. 22
/4</t>
  </si>
  <si>
    <t>Do. 23
/4</t>
  </si>
  <si>
    <t>Lu. 24
/4</t>
  </si>
  <si>
    <t>Ma. 25
/4</t>
  </si>
  <si>
    <t>Mi. 26
/4</t>
  </si>
  <si>
    <t>Ju. 27
/4</t>
  </si>
  <si>
    <t>Vi. 28
/4</t>
  </si>
  <si>
    <t>Sa. 29
/4</t>
  </si>
  <si>
    <t>Do. 30
/4</t>
  </si>
  <si>
    <t>Lu. 1
/5</t>
  </si>
  <si>
    <t>Ma. 2
/5</t>
  </si>
  <si>
    <t>Mi. 3
/5</t>
  </si>
  <si>
    <t>Ju. 4
/5</t>
  </si>
  <si>
    <t>Vi. 5
/5</t>
  </si>
  <si>
    <t>Sa. 6
/5</t>
  </si>
  <si>
    <t>Do. 7
/5</t>
  </si>
  <si>
    <t>Lu. 8
/5</t>
  </si>
  <si>
    <t>Ma. 9
/5</t>
  </si>
  <si>
    <t>Mi. 10
/5</t>
  </si>
  <si>
    <t>Ju. 11
/5</t>
  </si>
  <si>
    <t>Vi. 12
/5</t>
  </si>
  <si>
    <t>Sa. 13
/5</t>
  </si>
  <si>
    <t>Do. 14
/5</t>
  </si>
  <si>
    <t>Lu. 15
/5</t>
  </si>
  <si>
    <t>Ma. 16
/5</t>
  </si>
  <si>
    <t>Mi. 17
/5</t>
  </si>
  <si>
    <t>Ju. 18
/5</t>
  </si>
  <si>
    <t>Vi. 19
/5</t>
  </si>
  <si>
    <t>Sa. 20
/5</t>
  </si>
  <si>
    <t>Do. 21
/5</t>
  </si>
  <si>
    <t>Lu. 22
/5</t>
  </si>
  <si>
    <t>Ma. 23
/5</t>
  </si>
  <si>
    <t>Mi. 24
/5</t>
  </si>
  <si>
    <t>Ju. 25
/5</t>
  </si>
  <si>
    <t>Vi. 26
/5</t>
  </si>
  <si>
    <t>Sa. 27
/5</t>
  </si>
  <si>
    <t>Do. 28
/5</t>
  </si>
  <si>
    <t>Lu. 29
/5</t>
  </si>
  <si>
    <t>Ma. 30
/5</t>
  </si>
  <si>
    <t>Mi. 31
/5</t>
  </si>
  <si>
    <t>Ju. 1
/6</t>
  </si>
  <si>
    <t>Vi. 2
/6</t>
  </si>
  <si>
    <t>Sa. 3
/6</t>
  </si>
  <si>
    <t>Do. 4
/6</t>
  </si>
  <si>
    <t>Lu. 5
/6</t>
  </si>
  <si>
    <t>Ma. 6
/6</t>
  </si>
  <si>
    <t>Mi. 7
/6</t>
  </si>
  <si>
    <t>Ju. 8
/6</t>
  </si>
  <si>
    <t>Vi. 9
/6</t>
  </si>
  <si>
    <t>Sa. 10
/6</t>
  </si>
  <si>
    <t>Do. 11
/6</t>
  </si>
  <si>
    <t>Lu. 12
/6</t>
  </si>
  <si>
    <t>Ma. 13
/6</t>
  </si>
  <si>
    <t>Mi. 14
/6</t>
  </si>
  <si>
    <t>Ju. 15
/6</t>
  </si>
  <si>
    <t>Vi. 16
/6</t>
  </si>
  <si>
    <t>Sa. 17
/6</t>
  </si>
  <si>
    <t>Do. 18
/6</t>
  </si>
  <si>
    <t>Lu. 19
/6</t>
  </si>
  <si>
    <t>Ma. 20
/6</t>
  </si>
  <si>
    <t>Mi. 21
/6</t>
  </si>
  <si>
    <t>Ju. 22
/6</t>
  </si>
  <si>
    <t>Vi. 23
/6</t>
  </si>
  <si>
    <t>Sa. 24
/6</t>
  </si>
  <si>
    <t>Do. 25
/6</t>
  </si>
  <si>
    <t>Lu. 26
/6</t>
  </si>
  <si>
    <t>Ma. 27
/6</t>
  </si>
  <si>
    <t>Mi. 28
/6</t>
  </si>
  <si>
    <t>Ju. 29
/6</t>
  </si>
  <si>
    <t>Vi. 30
/6</t>
  </si>
  <si>
    <t>Sa. 1
/7</t>
  </si>
  <si>
    <t>Do. 2
/7</t>
  </si>
  <si>
    <t>Lu. 3
/7</t>
  </si>
  <si>
    <t>Ma. 4
/7</t>
  </si>
  <si>
    <t>Mi. 5
/7</t>
  </si>
  <si>
    <t>Ju. 6
/7</t>
  </si>
  <si>
    <t>Vi. 7
/7</t>
  </si>
  <si>
    <t>Sa. 8
/7</t>
  </si>
  <si>
    <t>Do. 9
/7</t>
  </si>
  <si>
    <t>Lu. 10
/7</t>
  </si>
  <si>
    <t>Ma. 11
/7</t>
  </si>
  <si>
    <t>Mi. 12
/7</t>
  </si>
  <si>
    <t>Ju. 13
/7</t>
  </si>
  <si>
    <t>Vi. 14
/7</t>
  </si>
  <si>
    <t>Sa. 15
/7</t>
  </si>
  <si>
    <t>Do. 16
/7</t>
  </si>
  <si>
    <t>Lu. 17
/7</t>
  </si>
  <si>
    <t>Ma. 18
/7</t>
  </si>
  <si>
    <t>Mi. 19
/7</t>
  </si>
  <si>
    <t>Ju. 20
/7</t>
  </si>
  <si>
    <t>Vi. 21
/7</t>
  </si>
  <si>
    <t>Sa. 22
/7</t>
  </si>
  <si>
    <t>Do. 23
/7</t>
  </si>
  <si>
    <t>Lu. 24
/7</t>
  </si>
  <si>
    <t>Ma. 25
/7</t>
  </si>
  <si>
    <t>Mi. 26
/7</t>
  </si>
  <si>
    <t>Ju. 27
/7</t>
  </si>
  <si>
    <t>Vi. 28
/7</t>
  </si>
  <si>
    <t>Sa. 29
/7</t>
  </si>
  <si>
    <t>Do. 30
/7</t>
  </si>
  <si>
    <t>Lu. 31
/7</t>
  </si>
  <si>
    <t>Ma. 1
/8</t>
  </si>
  <si>
    <t>Mi. 2
/8</t>
  </si>
  <si>
    <t>Ju. 3
/8</t>
  </si>
  <si>
    <t>Vi. 4
/8</t>
  </si>
  <si>
    <t>Sa. 5
/8</t>
  </si>
  <si>
    <t>Do. 6
/8</t>
  </si>
  <si>
    <t>Lu. 7
/8</t>
  </si>
  <si>
    <t>Ma. 8
/8</t>
  </si>
  <si>
    <t>Mi. 9
/8</t>
  </si>
  <si>
    <t>Ju. 10
/8</t>
  </si>
  <si>
    <t>Vi. 11
/8</t>
  </si>
  <si>
    <t>Sa. 12
/8</t>
  </si>
  <si>
    <t>Do. 13
/8</t>
  </si>
  <si>
    <t>Lu. 14
/8</t>
  </si>
  <si>
    <t>Ma. 15
/8</t>
  </si>
  <si>
    <t>Mi. 16
/8</t>
  </si>
  <si>
    <t>Ju. 17
/8</t>
  </si>
  <si>
    <t>Vi. 18
/8</t>
  </si>
  <si>
    <t>Sa. 19
/8</t>
  </si>
  <si>
    <t>Do. 20
/8</t>
  </si>
  <si>
    <t>Lu. 21
/8</t>
  </si>
  <si>
    <t>Ma. 22
/8</t>
  </si>
  <si>
    <t>Mi. 23
/8</t>
  </si>
  <si>
    <t>Ju. 24
/8</t>
  </si>
  <si>
    <t>Vi. 25
/8</t>
  </si>
  <si>
    <t>Sa. 26
/8</t>
  </si>
  <si>
    <t>Do. 27
/8</t>
  </si>
  <si>
    <t>Lu. 28
/8</t>
  </si>
  <si>
    <t>Ma. 29
/8</t>
  </si>
  <si>
    <t>Mi. 30
/8</t>
  </si>
  <si>
    <t>Ju. 31
/8</t>
  </si>
  <si>
    <t>Vi. 1
/9</t>
  </si>
  <si>
    <t>Sa. 2
/9</t>
  </si>
  <si>
    <t>Do. 3
/9</t>
  </si>
  <si>
    <t>Lu. 4
/9</t>
  </si>
  <si>
    <t>Ma. 5
/9</t>
  </si>
  <si>
    <t>Mi. 6
/9</t>
  </si>
  <si>
    <t>Ju. 7
/9</t>
  </si>
  <si>
    <t>Vi. 8
/9</t>
  </si>
  <si>
    <t>Sa. 9
/9</t>
  </si>
  <si>
    <t>Do. 10
/9</t>
  </si>
  <si>
    <t>Lu. 11
/9</t>
  </si>
  <si>
    <t>Ma. 12
/9</t>
  </si>
  <si>
    <t>Mi. 13
/9</t>
  </si>
  <si>
    <t>Ju. 14
/9</t>
  </si>
  <si>
    <t>Vi. 15
/9</t>
  </si>
  <si>
    <t>Sa. 16
/9</t>
  </si>
  <si>
    <t>Do. 17
/9</t>
  </si>
  <si>
    <t>Lu. 18
/9</t>
  </si>
  <si>
    <t>Ma. 19
/9</t>
  </si>
  <si>
    <t>Mi. 20
/9</t>
  </si>
  <si>
    <t>Ju. 21
/9</t>
  </si>
  <si>
    <t>Vi. 22
/9</t>
  </si>
  <si>
    <t>Sa. 23
/9</t>
  </si>
  <si>
    <t>Do. 24
/9</t>
  </si>
  <si>
    <t>Lu. 25
/9</t>
  </si>
  <si>
    <t>Ma. 26
/9</t>
  </si>
  <si>
    <t>Mi. 27
/9</t>
  </si>
  <si>
    <t>Ju. 28
/9</t>
  </si>
  <si>
    <t>Vi. 29
/9</t>
  </si>
  <si>
    <t>Sa. 30
/9</t>
  </si>
  <si>
    <t>Do. 1
/10</t>
  </si>
  <si>
    <t>Lu. 2
/10</t>
  </si>
  <si>
    <t>Ma. 3
/10</t>
  </si>
  <si>
    <t>Mi. 4
/10</t>
  </si>
  <si>
    <t>Ju. 5
/10</t>
  </si>
  <si>
    <t>Vi. 6
/10</t>
  </si>
  <si>
    <t>Sa. 7
/10</t>
  </si>
  <si>
    <t>Do. 8
/10</t>
  </si>
  <si>
    <t>Lu. 9
/10</t>
  </si>
  <si>
    <t>Ma. 10
/10</t>
  </si>
  <si>
    <t>Mi. 11
/10</t>
  </si>
  <si>
    <t>Ju. 12
/10</t>
  </si>
  <si>
    <t>Vi. 13
/10</t>
  </si>
  <si>
    <t>Sa. 14
/10</t>
  </si>
  <si>
    <t>Do. 15
/10</t>
  </si>
  <si>
    <t>Lu. 16
/10</t>
  </si>
  <si>
    <t>Ma. 17
/10</t>
  </si>
  <si>
    <t>Mi. 18
/10</t>
  </si>
  <si>
    <t>Ju. 19
/10</t>
  </si>
  <si>
    <t>Vi. 20
/10</t>
  </si>
  <si>
    <t>Sa. 21
/10</t>
  </si>
  <si>
    <t>Do. 22
/10</t>
  </si>
  <si>
    <t>Lu. 23
/10</t>
  </si>
  <si>
    <t>Ma. 24
/10</t>
  </si>
  <si>
    <t>Mi. 25
/10</t>
  </si>
  <si>
    <t>Ju. 26
/10</t>
  </si>
  <si>
    <t>Vi. 27
/10</t>
  </si>
  <si>
    <t>Sa. 28
/10</t>
  </si>
  <si>
    <t>Do. 29
/10</t>
  </si>
  <si>
    <t>Lu. 30
/10</t>
  </si>
  <si>
    <t>Ma. 31
/10</t>
  </si>
  <si>
    <t>Mi. 1
/11</t>
  </si>
  <si>
    <t>Ju. 2
/11</t>
  </si>
  <si>
    <t>Vi. 3
/11</t>
  </si>
  <si>
    <t>Sa. 4
/11</t>
  </si>
  <si>
    <t>Do. 5
/11</t>
  </si>
  <si>
    <t>Lu. 6
/11</t>
  </si>
  <si>
    <t>Ma. 7
/11</t>
  </si>
  <si>
    <t>Mi. 8
/11</t>
  </si>
  <si>
    <t>Ju. 9
/11</t>
  </si>
  <si>
    <t>Vi. 10
/11</t>
  </si>
  <si>
    <t>Sa. 11
/11</t>
  </si>
  <si>
    <t>Do. 12
/11</t>
  </si>
  <si>
    <t>Lu. 13
/11</t>
  </si>
  <si>
    <t>Ma. 14
/11</t>
  </si>
  <si>
    <t>Mi. 15
/11</t>
  </si>
  <si>
    <t>Ju. 16
/11</t>
  </si>
  <si>
    <t>Vi. 17
/11</t>
  </si>
  <si>
    <t>Sa. 18
/11</t>
  </si>
  <si>
    <t>Do. 19
/11</t>
  </si>
  <si>
    <t>Lu. 20
/11</t>
  </si>
  <si>
    <t>Ma. 21
/11</t>
  </si>
  <si>
    <t>Mi. 22
/11</t>
  </si>
  <si>
    <t>Ju. 23
/11</t>
  </si>
  <si>
    <t>Vi. 24
/11</t>
  </si>
  <si>
    <t>Sa. 25
/11</t>
  </si>
  <si>
    <t>Do. 26
/11</t>
  </si>
  <si>
    <t>Lu. 27
/11</t>
  </si>
  <si>
    <t>Ma. 28
/11</t>
  </si>
  <si>
    <t>Mi. 29
/11</t>
  </si>
  <si>
    <t>Ju. 30
/11</t>
  </si>
  <si>
    <t>ME</t>
  </si>
  <si>
    <t>Medio Turno</t>
  </si>
  <si>
    <t>'ME</t>
  </si>
  <si>
    <t>Columna1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</si>
</sst>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5">
    <numFmt numFmtId="44" formatCode="_-&quot;$&quot;* #,##0.00_-;\-&quot;$&quot;* #,##0.00_-;_-&quot;$&quot;* &quot;-&quot;??_-;_-@_-"/>
    <numFmt numFmtId="164" formatCode="dd/mm/yyyy;@"/>
    <numFmt numFmtId="165" formatCode="0.000%"/>
    <numFmt numFmtId="166" formatCode="_-&quot;$&quot;* #,##0.00_-;[Red]\-&quot;$&quot;* #,##0.00_-;_-&quot;$&quot;* &quot;-&quot;??_-;_-@_-"/>
    <numFmt numFmtId="167" formatCode="&quot;SI&quot;;&quot;ERROR&quot;;&quot;NO&quot;"/>
    <numFmt numFmtId="168" formatCode="0.0%"/>
    <numFmt numFmtId="169" formatCode="0;;&quot;N/A&quot;"/>
    <numFmt numFmtId="170" formatCode="_-&quot;$&quot;* #,##0.00_-;[Blue]&quot;Exedido&quot;&quot;$&quot;* #,##0.00_-;[Color10]&quot;Pagado&quot;"/>
    <numFmt numFmtId="171" formatCode="_-&quot;$&quot;* #,##0.00_-;[Blue]&quot;Exedido&quot;&quot;$&quot;* #,##0.00_-;[Color46]&quot;Sin Pagos&quot;"/>
    <numFmt numFmtId="172" formatCode="[Blue]_-&quot;$&quot;* #,##0.00_-;[Red]\-&quot;$&quot;* #,##0.00_-;_-&quot;$&quot;* &quot;-&quot;??_-;_-@_-"/>
    <numFmt numFmtId="173" formatCode="_-&quot;$&quot;* #,##0.00_-;[Red]\-&quot;$&quot;* #,##0.00_-;[Color45]&quot;N/A&quot;"/>
    <numFmt numFmtId="174" formatCode="[Blue]_-&quot;$&quot;* #,##0.00_-;[Red]\-&quot;$&quot;* #,##0.00_-;\-"/>
    <numFmt numFmtId="175" formatCode="_-&quot;$&quot;* #,##0.00_-;[Red]\-&quot;$&quot;* #,##0.00_-;\-"/>
    <numFmt numFmtId="176" formatCode="_-&quot;$&quot;* #,##0.00_-;[Blue]&quot;Excedido&quot;&quot;$&quot;* #,##0.00_-;[Color10]&quot;Pagado&quot;"/>
    <numFmt numFmtId="177" formatCode="[Blue]#;[Red]\-#;\-"/>
  </numFmts>
  <fonts count="46" x14ac:knownFonts="1">
    <font>
      <sz val="11"/>
      <color theme="1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u/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Tahoma"/>
      <family val="2"/>
    </font>
    <font>
      <b/>
      <sz val="8"/>
      <name val="Tahoma"/>
      <family val="2"/>
    </font>
    <font>
      <b/>
      <sz val="10"/>
      <name val="Tahoma"/>
      <family val="2"/>
    </font>
    <font>
      <sz val="10"/>
      <name val="Tahoma"/>
      <family val="2"/>
    </font>
    <font>
      <sz val="10"/>
      <name val="Arial"/>
      <family val="2"/>
    </font>
    <font>
      <sz val="8"/>
      <name val="Arial"/>
      <family val="2"/>
    </font>
    <font>
      <sz val="8"/>
      <color indexed="8"/>
      <name val="Arial"/>
      <family val="2"/>
    </font>
    <font>
      <sz val="10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4"/>
      <name val="Tahoma"/>
      <family val="2"/>
    </font>
    <font>
      <sz val="14"/>
      <name val="Tahoma"/>
      <family val="2"/>
    </font>
    <font>
      <b/>
      <i/>
      <sz val="8"/>
      <name val="Tahoma"/>
      <family val="2"/>
    </font>
    <font>
      <b/>
      <sz val="7"/>
      <name val="Tahoma"/>
      <family val="2"/>
    </font>
    <font>
      <b/>
      <i/>
      <sz val="9"/>
      <name val="Tahoma"/>
      <family val="2"/>
    </font>
    <font>
      <sz val="10"/>
      <name val="Arial Narrow"/>
      <family val="2"/>
    </font>
    <font>
      <b/>
      <sz val="12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b/>
      <sz val="11"/>
      <color rgb="FF9C0006"/>
      <name val="Calibri"/>
      <family val="2"/>
      <scheme val="minor"/>
    </font>
    <font>
      <b/>
      <sz val="12"/>
      <color rgb="FF9C0006"/>
      <name val="Calibri"/>
      <family val="2"/>
      <scheme val="minor"/>
    </font>
    <font>
      <b/>
      <sz val="11"/>
      <color rgb="FFFF0000"/>
      <name val="Calibri"/>
      <family val="2"/>
    </font>
    <font>
      <b/>
      <sz val="11"/>
      <color rgb="FF008000"/>
      <name val="Calibri"/>
      <family val="2"/>
    </font>
    <font>
      <b/>
      <sz val="22"/>
      <color theme="1"/>
      <name val="Calibri"/>
      <family val="2"/>
      <scheme val="minor"/>
    </font>
    <font>
      <b/>
      <sz val="11"/>
      <color rgb="FF00610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6"/>
      <color rgb="FF9C0006"/>
      <name val="Calibri"/>
      <family val="2"/>
      <scheme val="minor"/>
    </font>
    <font>
      <b/>
      <sz val="24"/>
      <color theme="0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14"/>
      <color rgb="FF9C0006"/>
      <name val="Calibri"/>
      <family val="2"/>
      <scheme val="minor"/>
    </font>
    <font>
      <b/>
      <sz val="20"/>
      <color rgb="FF9C0006"/>
      <name val="Calibri"/>
      <family val="2"/>
      <scheme val="minor"/>
    </font>
    <font>
      <b/>
      <sz val="26"/>
      <name val="Calibri"/>
      <family val="2"/>
      <scheme val="minor"/>
    </font>
    <font>
      <b/>
      <sz val="11"/>
      <color rgb="FF9C5700"/>
      <name val="Calibri"/>
      <family val="2"/>
      <scheme val="minor"/>
    </font>
    <font>
      <b/>
      <sz val="14"/>
      <color rgb="FF9C5700"/>
      <name val="Calibri"/>
      <family val="2"/>
      <scheme val="minor"/>
    </font>
    <font>
      <b/>
      <sz val="14"/>
      <color rgb="FF006100"/>
      <name val="Calibri"/>
      <family val="2"/>
      <scheme val="minor"/>
    </font>
  </fonts>
  <fills count="3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00CC99"/>
        <bgColor indexed="64"/>
      </patternFill>
    </fill>
    <fill>
      <patternFill patternType="solid">
        <fgColor rgb="FF990099"/>
        <bgColor indexed="64"/>
      </patternFill>
    </fill>
    <fill>
      <patternFill patternType="solid">
        <fgColor rgb="FFD60093"/>
        <bgColor indexed="64"/>
      </patternFill>
    </fill>
    <fill>
      <patternFill patternType="solid">
        <fgColor rgb="FF9EEFFA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rgb="FF9999FF"/>
        <bgColor indexed="64"/>
      </patternFill>
    </fill>
    <fill>
      <patternFill patternType="solid">
        <fgColor rgb="FF99FFCC"/>
        <bgColor indexed="64"/>
      </patternFill>
    </fill>
    <fill>
      <patternFill patternType="solid">
        <fgColor rgb="FFFF0066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66FFCC"/>
        <bgColor indexed="64"/>
      </patternFill>
    </fill>
    <fill>
      <patternFill patternType="solid">
        <fgColor rgb="FFFF7C8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gradientFill>
        <stop position="0">
          <color rgb="FF60F2B0"/>
        </stop>
        <stop position="1">
          <color rgb="FFFF5B5B"/>
        </stop>
      </gradientFill>
    </fill>
    <fill>
      <patternFill patternType="solid">
        <fgColor theme="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C6EFCE"/>
        <bgColor indexed="64"/>
      </patternFill>
    </fill>
  </fills>
  <borders count="6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theme="1"/>
      </top>
      <bottom/>
      <diagonal/>
    </border>
    <border>
      <left/>
      <right/>
      <top/>
      <bottom style="thin">
        <color theme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auto="1"/>
      </top>
      <bottom/>
      <diagonal/>
    </border>
    <border>
      <left/>
      <right style="medium">
        <color indexed="64"/>
      </right>
      <top style="thin">
        <color auto="1"/>
      </top>
      <bottom/>
      <diagonal/>
    </border>
    <border>
      <left style="medium">
        <color indexed="64"/>
      </left>
      <right/>
      <top style="thin">
        <color auto="1"/>
      </top>
      <bottom style="medium">
        <color indexed="64"/>
      </bottom>
      <diagonal/>
    </border>
    <border>
      <left/>
      <right/>
      <top style="thin">
        <color auto="1"/>
      </top>
      <bottom style="medium">
        <color indexed="64"/>
      </bottom>
      <diagonal/>
    </border>
    <border>
      <left/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ck">
        <color theme="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theme="1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/>
      <top/>
      <bottom style="thin">
        <color auto="1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9">
    <xf numFmtId="0" fontId="0" fillId="0" borderId="0"/>
    <xf numFmtId="44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13" fillId="0" borderId="0"/>
    <xf numFmtId="0" fontId="26" fillId="27" borderId="0" applyNumberFormat="0" applyBorder="0" applyAlignment="0" applyProtection="0"/>
    <xf numFmtId="0" fontId="27" fillId="28" borderId="0" applyNumberFormat="0" applyBorder="0" applyAlignment="0" applyProtection="0"/>
    <xf numFmtId="0" fontId="28" fillId="29" borderId="0" applyNumberFormat="0" applyBorder="0" applyAlignment="0" applyProtection="0"/>
    <xf numFmtId="0" fontId="35" fillId="30" borderId="0" applyNumberFormat="0" applyBorder="0" applyAlignment="0" applyProtection="0"/>
    <xf numFmtId="0" fontId="35" fillId="31" borderId="0" applyNumberFormat="0" applyBorder="0" applyAlignment="0" applyProtection="0"/>
  </cellStyleXfs>
  <cellXfs count="402">
    <xf numFmtId="0" fontId="0" fillId="0" borderId="0" xfId="0"/>
    <xf numFmtId="14" fontId="0" fillId="0" borderId="0" xfId="0" applyNumberFormat="1"/>
    <xf numFmtId="0" fontId="0" fillId="0" borderId="0" xfId="0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1" fillId="0" borderId="0" xfId="0" applyFont="1"/>
    <xf numFmtId="0" fontId="1" fillId="4" borderId="1" xfId="0" applyFont="1" applyFill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6" borderId="1" xfId="0" applyFont="1" applyFill="1" applyBorder="1" applyAlignment="1">
      <alignment horizontal="center" vertical="center"/>
    </xf>
    <xf numFmtId="0" fontId="1" fillId="7" borderId="1" xfId="0" applyFont="1" applyFill="1" applyBorder="1" applyAlignment="1">
      <alignment horizontal="center"/>
    </xf>
    <xf numFmtId="0" fontId="1" fillId="8" borderId="0" xfId="0" applyFont="1" applyFill="1" applyAlignment="1">
      <alignment horizontal="center"/>
    </xf>
    <xf numFmtId="0" fontId="1" fillId="9" borderId="0" xfId="0" applyFont="1" applyFill="1" applyAlignment="1">
      <alignment horizontal="center"/>
    </xf>
    <xf numFmtId="0" fontId="1" fillId="10" borderId="0" xfId="0" applyFont="1" applyFill="1" applyAlignment="1">
      <alignment horizontal="center"/>
    </xf>
    <xf numFmtId="0" fontId="1" fillId="11" borderId="1" xfId="0" applyFont="1" applyFill="1" applyBorder="1" applyAlignment="1">
      <alignment horizontal="center" vertical="center" wrapText="1"/>
    </xf>
    <xf numFmtId="0" fontId="1" fillId="12" borderId="1" xfId="0" applyFont="1" applyFill="1" applyBorder="1" applyAlignment="1">
      <alignment horizontal="center" vertical="center"/>
    </xf>
    <xf numFmtId="0" fontId="1" fillId="13" borderId="1" xfId="0" applyFont="1" applyFill="1" applyBorder="1" applyAlignment="1">
      <alignment horizontal="center" vertical="center"/>
    </xf>
    <xf numFmtId="0" fontId="1" fillId="14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1" fillId="15" borderId="1" xfId="0" applyFont="1" applyFill="1" applyBorder="1" applyAlignment="1">
      <alignment horizontal="center" vertical="center" wrapText="1"/>
    </xf>
    <xf numFmtId="0" fontId="1" fillId="16" borderId="1" xfId="0" applyFont="1" applyFill="1" applyBorder="1" applyAlignment="1">
      <alignment horizontal="center"/>
    </xf>
    <xf numFmtId="0" fontId="1" fillId="17" borderId="1" xfId="0" applyFont="1" applyFill="1" applyBorder="1" applyAlignment="1">
      <alignment horizontal="center"/>
    </xf>
    <xf numFmtId="0" fontId="1" fillId="18" borderId="1" xfId="0" applyFont="1" applyFill="1" applyBorder="1" applyAlignment="1">
      <alignment horizontal="center"/>
    </xf>
    <xf numFmtId="0" fontId="3" fillId="19" borderId="1" xfId="0" applyFont="1" applyFill="1" applyBorder="1" applyAlignment="1">
      <alignment horizontal="center" vertical="center"/>
    </xf>
    <xf numFmtId="0" fontId="4" fillId="20" borderId="1" xfId="0" applyFont="1" applyFill="1" applyBorder="1" applyAlignment="1">
      <alignment horizontal="center" vertical="center"/>
    </xf>
    <xf numFmtId="0" fontId="0" fillId="0" borderId="0" xfId="0" applyAlignment="1">
      <alignment horizontal="center" vertical="top"/>
    </xf>
    <xf numFmtId="0" fontId="0" fillId="0" borderId="0" xfId="0" applyAlignment="1">
      <alignment horizontal="center" vertical="top" wrapText="1"/>
    </xf>
    <xf numFmtId="14" fontId="0" fillId="0" borderId="0" xfId="0" applyNumberFormat="1" applyAlignment="1">
      <alignment horizontal="center" vertical="top"/>
    </xf>
    <xf numFmtId="14" fontId="0" fillId="0" borderId="0" xfId="0" applyNumberFormat="1" applyAlignment="1">
      <alignment horizontal="left" vertical="center"/>
    </xf>
    <xf numFmtId="164" fontId="0" fillId="0" borderId="0" xfId="0" applyNumberFormat="1" applyAlignment="1">
      <alignment horizontal="center" vertical="top"/>
    </xf>
    <xf numFmtId="0" fontId="1" fillId="0" borderId="0" xfId="0" applyFont="1" applyAlignment="1">
      <alignment horizontal="center" vertical="center"/>
    </xf>
    <xf numFmtId="0" fontId="0" fillId="21" borderId="2" xfId="0" applyFill="1" applyBorder="1"/>
    <xf numFmtId="0" fontId="0" fillId="21" borderId="0" xfId="0" applyFill="1"/>
    <xf numFmtId="0" fontId="0" fillId="21" borderId="3" xfId="0" applyFill="1" applyBorder="1"/>
    <xf numFmtId="0" fontId="6" fillId="9" borderId="0" xfId="0" applyFont="1" applyFill="1" applyAlignment="1">
      <alignment horizontal="center" vertical="top" wrapText="1"/>
    </xf>
    <xf numFmtId="0" fontId="6" fillId="10" borderId="0" xfId="0" applyFont="1" applyFill="1" applyAlignment="1">
      <alignment horizontal="center" vertical="top" wrapText="1"/>
    </xf>
    <xf numFmtId="0" fontId="6" fillId="8" borderId="0" xfId="0" applyFont="1" applyFill="1" applyAlignment="1">
      <alignment horizontal="center" vertical="top" wrapText="1"/>
    </xf>
    <xf numFmtId="0" fontId="0" fillId="21" borderId="2" xfId="0" applyFill="1" applyBorder="1" applyAlignment="1">
      <alignment horizontal="center" vertical="center"/>
    </xf>
    <xf numFmtId="0" fontId="11" fillId="22" borderId="0" xfId="0" applyFont="1" applyFill="1"/>
    <xf numFmtId="0" fontId="12" fillId="22" borderId="0" xfId="0" applyFont="1" applyFill="1"/>
    <xf numFmtId="4" fontId="15" fillId="22" borderId="1" xfId="0" applyNumberFormat="1" applyFont="1" applyFill="1" applyBorder="1" applyAlignment="1">
      <alignment horizontal="center" wrapText="1"/>
    </xf>
    <xf numFmtId="0" fontId="15" fillId="22" borderId="1" xfId="0" applyFont="1" applyFill="1" applyBorder="1" applyAlignment="1">
      <alignment horizontal="center" wrapText="1"/>
    </xf>
    <xf numFmtId="10" fontId="15" fillId="22" borderId="1" xfId="0" applyNumberFormat="1" applyFont="1" applyFill="1" applyBorder="1" applyAlignment="1">
      <alignment horizontal="center" wrapText="1"/>
    </xf>
    <xf numFmtId="4" fontId="14" fillId="22" borderId="1" xfId="0" applyNumberFormat="1" applyFont="1" applyFill="1" applyBorder="1" applyAlignment="1">
      <alignment horizontal="center" vertical="top" wrapText="1"/>
    </xf>
    <xf numFmtId="10" fontId="0" fillId="0" borderId="0" xfId="2" applyNumberFormat="1" applyFont="1"/>
    <xf numFmtId="0" fontId="14" fillId="24" borderId="7" xfId="3" applyFont="1" applyFill="1" applyBorder="1" applyAlignment="1">
      <alignment horizontal="center" vertical="center" wrapText="1"/>
    </xf>
    <xf numFmtId="0" fontId="14" fillId="24" borderId="8" xfId="3" applyFont="1" applyFill="1" applyBorder="1" applyAlignment="1">
      <alignment horizontal="center" vertical="center" wrapText="1"/>
    </xf>
    <xf numFmtId="4" fontId="14" fillId="22" borderId="9" xfId="0" applyNumberFormat="1" applyFont="1" applyFill="1" applyBorder="1" applyAlignment="1">
      <alignment horizontal="center" vertical="top" wrapText="1"/>
    </xf>
    <xf numFmtId="0" fontId="14" fillId="22" borderId="9" xfId="0" applyFont="1" applyFill="1" applyBorder="1" applyAlignment="1">
      <alignment horizontal="center" vertical="top" wrapText="1"/>
    </xf>
    <xf numFmtId="10" fontId="15" fillId="22" borderId="9" xfId="0" applyNumberFormat="1" applyFont="1" applyFill="1" applyBorder="1" applyAlignment="1">
      <alignment horizontal="center" wrapText="1"/>
    </xf>
    <xf numFmtId="0" fontId="14" fillId="24" borderId="10" xfId="3" applyFont="1" applyFill="1" applyBorder="1" applyAlignment="1">
      <alignment horizontal="center" vertical="center" wrapText="1"/>
    </xf>
    <xf numFmtId="0" fontId="14" fillId="24" borderId="11" xfId="3" applyFont="1" applyFill="1" applyBorder="1" applyAlignment="1">
      <alignment horizontal="center" vertical="center" wrapText="1"/>
    </xf>
    <xf numFmtId="0" fontId="14" fillId="24" borderId="12" xfId="3" applyFont="1" applyFill="1" applyBorder="1" applyAlignment="1">
      <alignment horizontal="center" vertical="center" wrapText="1"/>
    </xf>
    <xf numFmtId="4" fontId="15" fillId="22" borderId="9" xfId="0" applyNumberFormat="1" applyFont="1" applyFill="1" applyBorder="1" applyAlignment="1">
      <alignment horizontal="center" wrapText="1"/>
    </xf>
    <xf numFmtId="0" fontId="15" fillId="22" borderId="9" xfId="0" applyFont="1" applyFill="1" applyBorder="1" applyAlignment="1">
      <alignment horizontal="center" wrapText="1"/>
    </xf>
    <xf numFmtId="166" fontId="16" fillId="0" borderId="0" xfId="1" applyNumberFormat="1" applyFont="1"/>
    <xf numFmtId="44" fontId="0" fillId="0" borderId="0" xfId="1" applyFont="1"/>
    <xf numFmtId="0" fontId="0" fillId="0" borderId="0" xfId="0" applyAlignment="1">
      <alignment vertical="center"/>
    </xf>
    <xf numFmtId="0" fontId="6" fillId="20" borderId="9" xfId="0" applyFont="1" applyFill="1" applyBorder="1" applyAlignment="1">
      <alignment horizontal="center" vertical="top" wrapText="1"/>
    </xf>
    <xf numFmtId="0" fontId="6" fillId="3" borderId="9" xfId="0" applyFont="1" applyFill="1" applyBorder="1" applyAlignment="1">
      <alignment horizontal="center" vertical="top" wrapText="1"/>
    </xf>
    <xf numFmtId="0" fontId="6" fillId="4" borderId="9" xfId="0" applyFont="1" applyFill="1" applyBorder="1" applyAlignment="1">
      <alignment horizontal="center" vertical="top" wrapText="1"/>
    </xf>
    <xf numFmtId="0" fontId="6" fillId="5" borderId="9" xfId="0" applyFont="1" applyFill="1" applyBorder="1" applyAlignment="1">
      <alignment horizontal="center" vertical="top" wrapText="1"/>
    </xf>
    <xf numFmtId="0" fontId="6" fillId="2" borderId="9" xfId="0" applyFont="1" applyFill="1" applyBorder="1" applyAlignment="1">
      <alignment horizontal="center" vertical="top" wrapText="1"/>
    </xf>
    <xf numFmtId="0" fontId="6" fillId="6" borderId="9" xfId="0" applyFont="1" applyFill="1" applyBorder="1" applyAlignment="1">
      <alignment horizontal="center" vertical="top" wrapText="1"/>
    </xf>
    <xf numFmtId="0" fontId="6" fillId="19" borderId="9" xfId="0" applyFont="1" applyFill="1" applyBorder="1" applyAlignment="1">
      <alignment horizontal="center" vertical="top" wrapText="1"/>
    </xf>
    <xf numFmtId="0" fontId="6" fillId="0" borderId="9" xfId="0" applyFont="1" applyBorder="1" applyAlignment="1">
      <alignment horizontal="center" vertical="top" wrapText="1"/>
    </xf>
    <xf numFmtId="0" fontId="6" fillId="11" borderId="9" xfId="0" applyFont="1" applyFill="1" applyBorder="1" applyAlignment="1">
      <alignment horizontal="center" vertical="top" wrapText="1"/>
    </xf>
    <xf numFmtId="0" fontId="6" fillId="12" borderId="9" xfId="0" applyFont="1" applyFill="1" applyBorder="1" applyAlignment="1">
      <alignment horizontal="center" vertical="top" wrapText="1"/>
    </xf>
    <xf numFmtId="0" fontId="6" fillId="13" borderId="9" xfId="0" applyFont="1" applyFill="1" applyBorder="1" applyAlignment="1">
      <alignment horizontal="center" vertical="top" wrapText="1"/>
    </xf>
    <xf numFmtId="0" fontId="6" fillId="14" borderId="9" xfId="0" applyFont="1" applyFill="1" applyBorder="1" applyAlignment="1">
      <alignment horizontal="center" vertical="top" wrapText="1"/>
    </xf>
    <xf numFmtId="0" fontId="6" fillId="15" borderId="9" xfId="0" applyFont="1" applyFill="1" applyBorder="1" applyAlignment="1">
      <alignment horizontal="center" vertical="top" wrapText="1"/>
    </xf>
    <xf numFmtId="0" fontId="6" fillId="16" borderId="9" xfId="0" applyFont="1" applyFill="1" applyBorder="1" applyAlignment="1">
      <alignment horizontal="center" vertical="top" wrapText="1"/>
    </xf>
    <xf numFmtId="0" fontId="6" fillId="17" borderId="9" xfId="0" applyFont="1" applyFill="1" applyBorder="1" applyAlignment="1">
      <alignment horizontal="center" vertical="top" wrapText="1"/>
    </xf>
    <xf numFmtId="0" fontId="6" fillId="18" borderId="9" xfId="0" applyFont="1" applyFill="1" applyBorder="1" applyAlignment="1">
      <alignment horizontal="center" vertical="top" wrapText="1"/>
    </xf>
    <xf numFmtId="0" fontId="6" fillId="7" borderId="9" xfId="0" applyFont="1" applyFill="1" applyBorder="1" applyAlignment="1">
      <alignment horizontal="center" vertical="top" wrapText="1"/>
    </xf>
    <xf numFmtId="0" fontId="0" fillId="21" borderId="4" xfId="0" applyFill="1" applyBorder="1" applyAlignment="1">
      <alignment horizontal="center" vertical="center"/>
    </xf>
    <xf numFmtId="0" fontId="20" fillId="22" borderId="0" xfId="0" applyFont="1" applyFill="1" applyProtection="1">
      <protection hidden="1"/>
    </xf>
    <xf numFmtId="0" fontId="19" fillId="22" borderId="0" xfId="0" applyFont="1" applyFill="1" applyAlignment="1" applyProtection="1">
      <alignment horizontal="left"/>
      <protection hidden="1"/>
    </xf>
    <xf numFmtId="0" fontId="9" fillId="22" borderId="0" xfId="0" applyFont="1" applyFill="1" applyProtection="1">
      <protection hidden="1"/>
    </xf>
    <xf numFmtId="0" fontId="9" fillId="22" borderId="0" xfId="0" applyFont="1" applyFill="1" applyAlignment="1" applyProtection="1">
      <alignment horizontal="center"/>
      <protection hidden="1"/>
    </xf>
    <xf numFmtId="0" fontId="12" fillId="22" borderId="0" xfId="0" applyFont="1" applyFill="1" applyProtection="1">
      <protection hidden="1"/>
    </xf>
    <xf numFmtId="0" fontId="11" fillId="22" borderId="0" xfId="0" applyFont="1" applyFill="1" applyAlignment="1" applyProtection="1">
      <alignment horizontal="center"/>
      <protection hidden="1"/>
    </xf>
    <xf numFmtId="0" fontId="10" fillId="22" borderId="0" xfId="0" applyFont="1" applyFill="1" applyAlignment="1" applyProtection="1">
      <alignment horizontal="center"/>
      <protection hidden="1"/>
    </xf>
    <xf numFmtId="0" fontId="9" fillId="22" borderId="0" xfId="0" quotePrefix="1" applyFont="1" applyFill="1" applyAlignment="1" applyProtection="1">
      <alignment horizontal="left"/>
      <protection hidden="1"/>
    </xf>
    <xf numFmtId="0" fontId="22" fillId="22" borderId="13" xfId="0" applyFont="1" applyFill="1" applyBorder="1" applyAlignment="1" applyProtection="1">
      <alignment horizontal="center"/>
      <protection hidden="1"/>
    </xf>
    <xf numFmtId="0" fontId="10" fillId="25" borderId="11" xfId="0" applyFont="1" applyFill="1" applyBorder="1" applyAlignment="1" applyProtection="1">
      <alignment horizontal="center"/>
      <protection hidden="1"/>
    </xf>
    <xf numFmtId="0" fontId="10" fillId="26" borderId="11" xfId="0" applyFont="1" applyFill="1" applyBorder="1" applyAlignment="1" applyProtection="1">
      <alignment horizontal="center"/>
      <protection hidden="1"/>
    </xf>
    <xf numFmtId="0" fontId="12" fillId="22" borderId="5" xfId="0" applyFont="1" applyFill="1" applyBorder="1" applyAlignment="1" applyProtection="1">
      <alignment horizontal="center"/>
      <protection hidden="1"/>
    </xf>
    <xf numFmtId="0" fontId="9" fillId="25" borderId="11" xfId="0" applyFont="1" applyFill="1" applyBorder="1" applyAlignment="1" applyProtection="1">
      <alignment horizontal="center"/>
      <protection hidden="1"/>
    </xf>
    <xf numFmtId="0" fontId="9" fillId="26" borderId="11" xfId="0" applyFont="1" applyFill="1" applyBorder="1" applyAlignment="1" applyProtection="1">
      <alignment horizontal="center"/>
      <protection hidden="1"/>
    </xf>
    <xf numFmtId="0" fontId="12" fillId="25" borderId="6" xfId="0" applyFont="1" applyFill="1" applyBorder="1" applyProtection="1">
      <protection hidden="1"/>
    </xf>
    <xf numFmtId="0" fontId="12" fillId="22" borderId="0" xfId="0" applyFont="1" applyFill="1" applyAlignment="1" applyProtection="1">
      <alignment horizontal="center" vertical="center"/>
      <protection hidden="1"/>
    </xf>
    <xf numFmtId="0" fontId="11" fillId="22" borderId="0" xfId="0" applyFont="1" applyFill="1" applyAlignment="1" applyProtection="1">
      <alignment horizontal="center" vertical="center"/>
      <protection hidden="1"/>
    </xf>
    <xf numFmtId="0" fontId="0" fillId="21" borderId="4" xfId="0" applyFill="1" applyBorder="1"/>
    <xf numFmtId="0" fontId="0" fillId="21" borderId="5" xfId="0" applyFill="1" applyBorder="1"/>
    <xf numFmtId="0" fontId="0" fillId="21" borderId="18" xfId="0" applyFill="1" applyBorder="1"/>
    <xf numFmtId="14" fontId="19" fillId="22" borderId="0" xfId="0" applyNumberFormat="1" applyFont="1" applyFill="1" applyAlignment="1">
      <alignment horizontal="left"/>
    </xf>
    <xf numFmtId="14" fontId="9" fillId="22" borderId="0" xfId="0" applyNumberFormat="1" applyFont="1" applyFill="1" applyProtection="1">
      <protection hidden="1"/>
    </xf>
    <xf numFmtId="14" fontId="23" fillId="22" borderId="0" xfId="0" applyNumberFormat="1" applyFont="1" applyFill="1" applyProtection="1">
      <protection hidden="1"/>
    </xf>
    <xf numFmtId="14" fontId="21" fillId="22" borderId="0" xfId="0" applyNumberFormat="1" applyFont="1" applyFill="1" applyProtection="1">
      <protection hidden="1"/>
    </xf>
    <xf numFmtId="14" fontId="12" fillId="22" borderId="0" xfId="0" applyNumberFormat="1" applyFont="1" applyFill="1" applyProtection="1">
      <protection hidden="1"/>
    </xf>
    <xf numFmtId="0" fontId="20" fillId="22" borderId="0" xfId="0" applyFont="1" applyFill="1" applyAlignment="1" applyProtection="1">
      <alignment horizontal="center" vertical="center"/>
      <protection hidden="1"/>
    </xf>
    <xf numFmtId="0" fontId="25" fillId="22" borderId="20" xfId="0" applyFont="1" applyFill="1" applyBorder="1" applyAlignment="1">
      <alignment horizontal="center" vertical="center"/>
    </xf>
    <xf numFmtId="0" fontId="24" fillId="22" borderId="21" xfId="0" applyFont="1" applyFill="1" applyBorder="1" applyAlignment="1">
      <alignment horizontal="center" vertical="center"/>
    </xf>
    <xf numFmtId="0" fontId="24" fillId="22" borderId="6" xfId="0" applyFont="1" applyFill="1" applyBorder="1" applyAlignment="1">
      <alignment horizontal="center" vertical="center" wrapText="1"/>
    </xf>
    <xf numFmtId="9" fontId="0" fillId="0" borderId="0" xfId="2" applyFont="1"/>
    <xf numFmtId="9" fontId="24" fillId="22" borderId="6" xfId="2" applyFont="1" applyFill="1" applyBorder="1" applyAlignment="1">
      <alignment horizontal="center" vertical="center" wrapText="1"/>
    </xf>
    <xf numFmtId="0" fontId="24" fillId="22" borderId="21" xfId="0" applyFont="1" applyFill="1" applyBorder="1" applyAlignment="1">
      <alignment horizontal="center" vertical="center" wrapText="1"/>
    </xf>
    <xf numFmtId="0" fontId="24" fillId="22" borderId="28" xfId="0" applyFont="1" applyFill="1" applyBorder="1" applyAlignment="1">
      <alignment horizontal="center" vertical="center" wrapText="1"/>
    </xf>
    <xf numFmtId="0" fontId="24" fillId="22" borderId="29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left" vertical="center"/>
    </xf>
    <xf numFmtId="14" fontId="0" fillId="0" borderId="0" xfId="0" applyNumberFormat="1" applyAlignment="1">
      <alignment horizontal="left" vertical="center" wrapText="1"/>
    </xf>
    <xf numFmtId="0" fontId="4" fillId="20" borderId="15" xfId="0" applyFont="1" applyFill="1" applyBorder="1" applyAlignment="1">
      <alignment horizontal="center" vertical="center"/>
    </xf>
    <xf numFmtId="0" fontId="1" fillId="3" borderId="15" xfId="0" applyFont="1" applyFill="1" applyBorder="1" applyAlignment="1">
      <alignment horizontal="center" vertical="center"/>
    </xf>
    <xf numFmtId="0" fontId="1" fillId="4" borderId="15" xfId="0" applyFont="1" applyFill="1" applyBorder="1" applyAlignment="1">
      <alignment horizontal="center" vertical="center"/>
    </xf>
    <xf numFmtId="0" fontId="1" fillId="5" borderId="15" xfId="0" applyFont="1" applyFill="1" applyBorder="1" applyAlignment="1">
      <alignment horizontal="center" vertical="center"/>
    </xf>
    <xf numFmtId="0" fontId="1" fillId="2" borderId="15" xfId="0" applyFont="1" applyFill="1" applyBorder="1" applyAlignment="1">
      <alignment horizontal="center" vertical="center"/>
    </xf>
    <xf numFmtId="0" fontId="1" fillId="6" borderId="15" xfId="0" applyFont="1" applyFill="1" applyBorder="1" applyAlignment="1">
      <alignment horizontal="center" vertical="center"/>
    </xf>
    <xf numFmtId="0" fontId="3" fillId="19" borderId="15" xfId="0" applyFont="1" applyFill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1" fillId="9" borderId="15" xfId="0" applyFont="1" applyFill="1" applyBorder="1" applyAlignment="1">
      <alignment horizontal="center" vertical="center"/>
    </xf>
    <xf numFmtId="0" fontId="1" fillId="10" borderId="15" xfId="0" applyFont="1" applyFill="1" applyBorder="1" applyAlignment="1">
      <alignment horizontal="center" vertical="center"/>
    </xf>
    <xf numFmtId="0" fontId="1" fillId="11" borderId="15" xfId="0" applyFont="1" applyFill="1" applyBorder="1" applyAlignment="1">
      <alignment horizontal="center" vertical="center" wrapText="1"/>
    </xf>
    <xf numFmtId="0" fontId="1" fillId="12" borderId="15" xfId="0" applyFont="1" applyFill="1" applyBorder="1" applyAlignment="1">
      <alignment horizontal="center" vertical="center"/>
    </xf>
    <xf numFmtId="0" fontId="1" fillId="13" borderId="15" xfId="0" applyFont="1" applyFill="1" applyBorder="1" applyAlignment="1">
      <alignment horizontal="center" vertical="center"/>
    </xf>
    <xf numFmtId="0" fontId="1" fillId="14" borderId="15" xfId="0" applyFont="1" applyFill="1" applyBorder="1" applyAlignment="1">
      <alignment horizontal="center" vertical="center"/>
    </xf>
    <xf numFmtId="0" fontId="1" fillId="8" borderId="15" xfId="0" applyFont="1" applyFill="1" applyBorder="1" applyAlignment="1">
      <alignment horizontal="center" vertical="center"/>
    </xf>
    <xf numFmtId="0" fontId="1" fillId="15" borderId="15" xfId="0" applyFont="1" applyFill="1" applyBorder="1" applyAlignment="1">
      <alignment horizontal="center" vertical="center" wrapText="1"/>
    </xf>
    <xf numFmtId="0" fontId="1" fillId="16" borderId="15" xfId="0" applyFont="1" applyFill="1" applyBorder="1" applyAlignment="1">
      <alignment horizontal="center" vertical="center"/>
    </xf>
    <xf numFmtId="0" fontId="1" fillId="17" borderId="15" xfId="0" applyFont="1" applyFill="1" applyBorder="1" applyAlignment="1">
      <alignment horizontal="center" vertical="center"/>
    </xf>
    <xf numFmtId="0" fontId="1" fillId="18" borderId="15" xfId="0" applyFont="1" applyFill="1" applyBorder="1" applyAlignment="1">
      <alignment horizontal="center" vertical="center"/>
    </xf>
    <xf numFmtId="0" fontId="0" fillId="0" borderId="6" xfId="0" applyBorder="1" applyAlignment="1">
      <alignment vertical="center"/>
    </xf>
    <xf numFmtId="0" fontId="0" fillId="0" borderId="6" xfId="0" applyBorder="1" applyAlignment="1">
      <alignment horizontal="center" vertical="center"/>
    </xf>
    <xf numFmtId="0" fontId="0" fillId="0" borderId="21" xfId="0" applyBorder="1"/>
    <xf numFmtId="0" fontId="1" fillId="7" borderId="16" xfId="0" applyFont="1" applyFill="1" applyBorder="1" applyAlignment="1">
      <alignment horizontal="center" vertical="center"/>
    </xf>
    <xf numFmtId="4" fontId="15" fillId="22" borderId="1" xfId="0" applyNumberFormat="1" applyFont="1" applyFill="1" applyBorder="1" applyAlignment="1">
      <alignment horizontal="center" vertical="center" wrapText="1"/>
    </xf>
    <xf numFmtId="4" fontId="15" fillId="22" borderId="9" xfId="0" applyNumberFormat="1" applyFont="1" applyFill="1" applyBorder="1" applyAlignment="1">
      <alignment horizontal="center" vertical="center" wrapText="1"/>
    </xf>
    <xf numFmtId="167" fontId="15" fillId="22" borderId="1" xfId="0" applyNumberFormat="1" applyFont="1" applyFill="1" applyBorder="1" applyAlignment="1">
      <alignment horizontal="center" vertical="center" wrapText="1"/>
    </xf>
    <xf numFmtId="167" fontId="15" fillId="22" borderId="9" xfId="0" applyNumberFormat="1" applyFont="1" applyFill="1" applyBorder="1" applyAlignment="1">
      <alignment horizontal="center" vertical="center" wrapText="1"/>
    </xf>
    <xf numFmtId="0" fontId="15" fillId="22" borderId="9" xfId="0" applyFont="1" applyFill="1" applyBorder="1" applyAlignment="1">
      <alignment horizontal="center" vertical="center" wrapText="1"/>
    </xf>
    <xf numFmtId="4" fontId="0" fillId="0" borderId="0" xfId="0" applyNumberFormat="1"/>
    <xf numFmtId="44" fontId="0" fillId="0" borderId="0" xfId="0" applyNumberFormat="1"/>
    <xf numFmtId="0" fontId="9" fillId="23" borderId="32" xfId="0" applyFont="1" applyFill="1" applyBorder="1" applyAlignment="1">
      <alignment horizontal="left"/>
    </xf>
    <xf numFmtId="0" fontId="9" fillId="23" borderId="37" xfId="0" applyFont="1" applyFill="1" applyBorder="1" applyAlignment="1">
      <alignment horizontal="left"/>
    </xf>
    <xf numFmtId="0" fontId="10" fillId="23" borderId="37" xfId="0" applyFont="1" applyFill="1" applyBorder="1" applyAlignment="1">
      <alignment horizontal="left"/>
    </xf>
    <xf numFmtId="0" fontId="10" fillId="23" borderId="39" xfId="0" applyFont="1" applyFill="1" applyBorder="1" applyAlignment="1">
      <alignment horizontal="left"/>
    </xf>
    <xf numFmtId="0" fontId="6" fillId="0" borderId="2" xfId="0" applyFont="1" applyBorder="1" applyAlignment="1">
      <alignment horizontal="center" vertical="center" wrapText="1"/>
    </xf>
    <xf numFmtId="0" fontId="6" fillId="0" borderId="2" xfId="0" applyFont="1" applyBorder="1" applyAlignment="1">
      <alignment horizontal="left" vertical="center"/>
    </xf>
    <xf numFmtId="0" fontId="0" fillId="0" borderId="0" xfId="0" applyAlignment="1">
      <alignment horizontal="center"/>
    </xf>
    <xf numFmtId="0" fontId="27" fillId="28" borderId="0" xfId="5" applyAlignment="1">
      <alignment horizontal="center" vertical="center"/>
    </xf>
    <xf numFmtId="0" fontId="26" fillId="27" borderId="0" xfId="4" applyAlignment="1">
      <alignment vertical="center"/>
    </xf>
    <xf numFmtId="0" fontId="27" fillId="28" borderId="0" xfId="5" applyAlignment="1">
      <alignment horizontal="left" vertical="center" wrapText="1"/>
    </xf>
    <xf numFmtId="0" fontId="27" fillId="28" borderId="0" xfId="5" applyAlignment="1">
      <alignment horizontal="left" vertical="center"/>
    </xf>
    <xf numFmtId="0" fontId="28" fillId="29" borderId="0" xfId="6" applyAlignment="1">
      <alignment vertical="center" wrapText="1"/>
    </xf>
    <xf numFmtId="0" fontId="26" fillId="27" borderId="0" xfId="4" applyAlignment="1">
      <alignment horizontal="center" vertical="center" wrapText="1"/>
    </xf>
    <xf numFmtId="44" fontId="26" fillId="27" borderId="0" xfId="1" applyFont="1" applyFill="1" applyAlignment="1">
      <alignment vertical="center"/>
    </xf>
    <xf numFmtId="169" fontId="26" fillId="27" borderId="0" xfId="4" applyNumberFormat="1" applyAlignment="1">
      <alignment horizontal="center" vertical="center"/>
    </xf>
    <xf numFmtId="14" fontId="28" fillId="29" borderId="0" xfId="6" applyNumberFormat="1" applyAlignment="1">
      <alignment vertical="center" wrapText="1"/>
    </xf>
    <xf numFmtId="0" fontId="30" fillId="28" borderId="0" xfId="5" applyFont="1" applyAlignment="1">
      <alignment horizontal="center" vertical="center"/>
    </xf>
    <xf numFmtId="14" fontId="28" fillId="29" borderId="0" xfId="6" applyNumberFormat="1" applyAlignment="1">
      <alignment horizontal="center" vertical="center" wrapText="1"/>
    </xf>
    <xf numFmtId="44" fontId="26" fillId="27" borderId="0" xfId="4" applyNumberFormat="1" applyAlignment="1">
      <alignment horizontal="center" vertical="center" wrapText="1"/>
    </xf>
    <xf numFmtId="0" fontId="26" fillId="27" borderId="0" xfId="4" applyNumberFormat="1" applyAlignment="1">
      <alignment horizontal="center" vertical="center" wrapText="1"/>
    </xf>
    <xf numFmtId="171" fontId="29" fillId="28" borderId="0" xfId="5" applyNumberFormat="1" applyFont="1" applyAlignment="1">
      <alignment vertical="center" wrapText="1"/>
    </xf>
    <xf numFmtId="0" fontId="27" fillId="28" borderId="0" xfId="5" applyAlignment="1">
      <alignment vertical="center"/>
    </xf>
    <xf numFmtId="171" fontId="27" fillId="28" borderId="0" xfId="5" applyNumberFormat="1" applyAlignment="1">
      <alignment vertical="center" wrapText="1"/>
    </xf>
    <xf numFmtId="171" fontId="0" fillId="0" borderId="0" xfId="0" applyNumberFormat="1"/>
    <xf numFmtId="0" fontId="28" fillId="29" borderId="0" xfId="6" applyAlignment="1">
      <alignment horizontal="left" vertical="center" wrapText="1"/>
    </xf>
    <xf numFmtId="170" fontId="27" fillId="28" borderId="0" xfId="1" applyNumberFormat="1" applyFont="1" applyFill="1" applyAlignment="1">
      <alignment horizontal="left" vertical="center" wrapText="1"/>
    </xf>
    <xf numFmtId="0" fontId="33" fillId="0" borderId="0" xfId="0" applyFont="1" applyAlignment="1">
      <alignment vertical="center"/>
    </xf>
    <xf numFmtId="0" fontId="0" fillId="0" borderId="0" xfId="0" applyAlignment="1">
      <alignment horizontal="left" vertical="center" wrapText="1"/>
    </xf>
    <xf numFmtId="0" fontId="27" fillId="28" borderId="0" xfId="5" applyAlignment="1">
      <alignment horizontal="right"/>
    </xf>
    <xf numFmtId="0" fontId="27" fillId="28" borderId="0" xfId="5" applyAlignment="1">
      <alignment horizontal="left"/>
    </xf>
    <xf numFmtId="0" fontId="26" fillId="27" borderId="0" xfId="4"/>
    <xf numFmtId="0" fontId="0" fillId="0" borderId="0" xfId="1" applyNumberFormat="1" applyFont="1"/>
    <xf numFmtId="44" fontId="0" fillId="0" borderId="0" xfId="1" quotePrefix="1" applyFont="1"/>
    <xf numFmtId="0" fontId="28" fillId="29" borderId="1" xfId="6" applyBorder="1" applyAlignment="1" applyProtection="1">
      <alignment horizontal="center"/>
      <protection hidden="1"/>
    </xf>
    <xf numFmtId="0" fontId="0" fillId="0" borderId="42" xfId="0" applyBorder="1"/>
    <xf numFmtId="0" fontId="0" fillId="0" borderId="43" xfId="0" applyBorder="1"/>
    <xf numFmtId="0" fontId="0" fillId="0" borderId="44" xfId="0" applyBorder="1"/>
    <xf numFmtId="44" fontId="0" fillId="0" borderId="0" xfId="1" applyFont="1" applyBorder="1"/>
    <xf numFmtId="0" fontId="0" fillId="0" borderId="0" xfId="1" applyNumberFormat="1" applyFont="1" applyBorder="1"/>
    <xf numFmtId="173" fontId="0" fillId="0" borderId="0" xfId="1" quotePrefix="1" applyNumberFormat="1" applyFont="1" applyBorder="1"/>
    <xf numFmtId="173" fontId="0" fillId="0" borderId="0" xfId="1" applyNumberFormat="1" applyFont="1" applyBorder="1"/>
    <xf numFmtId="44" fontId="0" fillId="0" borderId="0" xfId="1" applyFont="1" applyBorder="1" applyAlignment="1">
      <alignment horizontal="center"/>
    </xf>
    <xf numFmtId="44" fontId="0" fillId="0" borderId="0" xfId="0" applyNumberFormat="1" applyAlignment="1">
      <alignment horizontal="center"/>
    </xf>
    <xf numFmtId="175" fontId="0" fillId="0" borderId="0" xfId="1" applyNumberFormat="1" applyFont="1" applyBorder="1"/>
    <xf numFmtId="174" fontId="36" fillId="0" borderId="0" xfId="1" applyNumberFormat="1" applyFont="1" applyBorder="1"/>
    <xf numFmtId="174" fontId="0" fillId="0" borderId="0" xfId="1" applyNumberFormat="1" applyFont="1" applyBorder="1"/>
    <xf numFmtId="44" fontId="0" fillId="0" borderId="45" xfId="1" applyFont="1" applyBorder="1"/>
    <xf numFmtId="0" fontId="26" fillId="27" borderId="0" xfId="4" applyBorder="1" applyAlignment="1">
      <alignment horizontal="left" vertical="center" wrapText="1"/>
    </xf>
    <xf numFmtId="0" fontId="28" fillId="29" borderId="0" xfId="6" applyBorder="1" applyAlignment="1">
      <alignment horizontal="left" vertical="center" wrapText="1"/>
    </xf>
    <xf numFmtId="9" fontId="26" fillId="27" borderId="0" xfId="4" applyNumberFormat="1" applyBorder="1" applyAlignment="1">
      <alignment horizontal="center"/>
    </xf>
    <xf numFmtId="0" fontId="33" fillId="0" borderId="32" xfId="0" applyFont="1" applyBorder="1" applyAlignment="1">
      <alignment vertical="center"/>
    </xf>
    <xf numFmtId="0" fontId="33" fillId="0" borderId="31" xfId="0" applyFont="1" applyBorder="1" applyAlignment="1">
      <alignment vertical="center"/>
    </xf>
    <xf numFmtId="0" fontId="33" fillId="0" borderId="36" xfId="0" applyFont="1" applyBorder="1" applyAlignment="1">
      <alignment vertical="center"/>
    </xf>
    <xf numFmtId="0" fontId="35" fillId="30" borderId="47" xfId="7" applyBorder="1" applyAlignment="1">
      <alignment horizontal="center" vertical="center" wrapText="1"/>
    </xf>
    <xf numFmtId="0" fontId="34" fillId="27" borderId="45" xfId="4" applyFont="1" applyBorder="1" applyAlignment="1">
      <alignment horizontal="left" vertical="center" wrapText="1"/>
    </xf>
    <xf numFmtId="44" fontId="26" fillId="27" borderId="45" xfId="4" applyNumberFormat="1" applyBorder="1"/>
    <xf numFmtId="0" fontId="27" fillId="28" borderId="0" xfId="5"/>
    <xf numFmtId="0" fontId="26" fillId="27" borderId="2" xfId="4" applyBorder="1" applyAlignment="1">
      <alignment horizontal="center" vertical="top" wrapText="1"/>
    </xf>
    <xf numFmtId="0" fontId="27" fillId="28" borderId="0" xfId="5" applyAlignment="1">
      <alignment horizontal="center" vertical="top" wrapText="1"/>
    </xf>
    <xf numFmtId="0" fontId="26" fillId="27" borderId="0" xfId="4" applyAlignment="1">
      <alignment horizontal="center" vertical="top" wrapText="1"/>
    </xf>
    <xf numFmtId="0" fontId="27" fillId="28" borderId="0" xfId="5" applyAlignment="1">
      <alignment horizontal="center" vertical="center" wrapText="1"/>
    </xf>
    <xf numFmtId="14" fontId="26" fillId="27" borderId="0" xfId="4" applyNumberFormat="1" applyAlignment="1">
      <alignment horizontal="left" vertical="center"/>
    </xf>
    <xf numFmtId="0" fontId="26" fillId="27" borderId="0" xfId="4" applyAlignment="1">
      <alignment horizontal="center" vertical="top"/>
    </xf>
    <xf numFmtId="0" fontId="26" fillId="27" borderId="42" xfId="4" applyBorder="1" applyAlignment="1">
      <alignment horizontal="left" vertical="center" wrapText="1"/>
    </xf>
    <xf numFmtId="44" fontId="27" fillId="28" borderId="0" xfId="5" applyNumberFormat="1" applyBorder="1" applyAlignment="1">
      <alignment horizontal="left" vertical="center" wrapText="1"/>
    </xf>
    <xf numFmtId="0" fontId="37" fillId="28" borderId="45" xfId="5" applyFont="1" applyBorder="1" applyAlignment="1">
      <alignment horizontal="left" vertical="center" wrapText="1"/>
    </xf>
    <xf numFmtId="10" fontId="27" fillId="28" borderId="0" xfId="5" applyNumberFormat="1" applyAlignment="1">
      <alignment horizontal="center" vertical="top" wrapText="1"/>
    </xf>
    <xf numFmtId="0" fontId="12" fillId="22" borderId="13" xfId="0" applyFont="1" applyFill="1" applyBorder="1" applyProtection="1">
      <protection hidden="1"/>
    </xf>
    <xf numFmtId="0" fontId="12" fillId="25" borderId="11" xfId="0" applyFont="1" applyFill="1" applyBorder="1" applyAlignment="1" applyProtection="1">
      <alignment horizontal="center"/>
      <protection hidden="1"/>
    </xf>
    <xf numFmtId="0" fontId="12" fillId="26" borderId="11" xfId="0" applyFont="1" applyFill="1" applyBorder="1" applyAlignment="1" applyProtection="1">
      <alignment horizontal="center"/>
      <protection hidden="1"/>
    </xf>
    <xf numFmtId="0" fontId="12" fillId="25" borderId="11" xfId="0" applyFont="1" applyFill="1" applyBorder="1" applyProtection="1">
      <protection hidden="1"/>
    </xf>
    <xf numFmtId="0" fontId="26" fillId="27" borderId="27" xfId="4" applyBorder="1" applyAlignment="1" applyProtection="1">
      <alignment horizontal="center" vertical="center"/>
      <protection hidden="1"/>
    </xf>
    <xf numFmtId="14" fontId="27" fillId="28" borderId="26" xfId="5" applyNumberFormat="1" applyBorder="1" applyAlignment="1" applyProtection="1">
      <alignment horizontal="center" vertical="center"/>
      <protection hidden="1"/>
    </xf>
    <xf numFmtId="0" fontId="27" fillId="28" borderId="23" xfId="5" applyBorder="1" applyAlignment="1" applyProtection="1">
      <alignment horizontal="center" vertical="center"/>
      <protection hidden="1"/>
    </xf>
    <xf numFmtId="0" fontId="27" fillId="28" borderId="23" xfId="5" applyBorder="1" applyAlignment="1" applyProtection="1">
      <alignment horizontal="center" vertical="center" wrapText="1"/>
      <protection hidden="1"/>
    </xf>
    <xf numFmtId="0" fontId="27" fillId="28" borderId="22" xfId="5" applyBorder="1" applyAlignment="1" applyProtection="1">
      <alignment horizontal="center" vertical="center"/>
      <protection hidden="1"/>
    </xf>
    <xf numFmtId="0" fontId="27" fillId="28" borderId="22" xfId="5" applyBorder="1" applyAlignment="1" applyProtection="1">
      <alignment horizontal="center" vertical="center" wrapText="1"/>
      <protection hidden="1"/>
    </xf>
    <xf numFmtId="10" fontId="27" fillId="28" borderId="24" xfId="5" applyNumberFormat="1" applyBorder="1" applyAlignment="1" applyProtection="1">
      <alignment horizontal="center" vertical="center"/>
      <protection hidden="1"/>
    </xf>
    <xf numFmtId="10" fontId="27" fillId="28" borderId="23" xfId="5" applyNumberFormat="1" applyBorder="1" applyAlignment="1" applyProtection="1">
      <alignment horizontal="center" vertical="center" wrapText="1"/>
      <protection hidden="1"/>
    </xf>
    <xf numFmtId="10" fontId="27" fillId="28" borderId="24" xfId="5" applyNumberFormat="1" applyBorder="1" applyAlignment="1" applyProtection="1">
      <alignment horizontal="center" vertical="center" wrapText="1"/>
      <protection hidden="1"/>
    </xf>
    <xf numFmtId="10" fontId="27" fillId="28" borderId="23" xfId="5" applyNumberFormat="1" applyBorder="1" applyAlignment="1" applyProtection="1">
      <alignment horizontal="center" vertical="center"/>
      <protection hidden="1"/>
    </xf>
    <xf numFmtId="10" fontId="27" fillId="28" borderId="25" xfId="5" applyNumberFormat="1" applyBorder="1" applyAlignment="1" applyProtection="1">
      <alignment horizontal="center" vertical="center"/>
      <protection hidden="1"/>
    </xf>
    <xf numFmtId="165" fontId="27" fillId="28" borderId="23" xfId="5" applyNumberFormat="1" applyBorder="1" applyAlignment="1" applyProtection="1">
      <alignment horizontal="center" vertical="center"/>
      <protection hidden="1"/>
    </xf>
    <xf numFmtId="9" fontId="27" fillId="28" borderId="24" xfId="5" applyNumberFormat="1" applyBorder="1" applyAlignment="1" applyProtection="1">
      <alignment horizontal="center" vertical="center"/>
      <protection hidden="1"/>
    </xf>
    <xf numFmtId="9" fontId="27" fillId="28" borderId="23" xfId="5" applyNumberFormat="1" applyBorder="1" applyAlignment="1" applyProtection="1">
      <alignment horizontal="center" vertical="center"/>
      <protection hidden="1"/>
    </xf>
    <xf numFmtId="165" fontId="27" fillId="28" borderId="23" xfId="5" applyNumberFormat="1" applyBorder="1" applyAlignment="1" applyProtection="1">
      <alignment horizontal="center" vertical="center" wrapText="1"/>
      <protection hidden="1"/>
    </xf>
    <xf numFmtId="165" fontId="27" fillId="28" borderId="22" xfId="5" applyNumberFormat="1" applyBorder="1" applyAlignment="1" applyProtection="1">
      <alignment horizontal="center" vertical="center" wrapText="1"/>
      <protection hidden="1"/>
    </xf>
    <xf numFmtId="9" fontId="26" fillId="27" borderId="2" xfId="4" applyNumberFormat="1" applyBorder="1" applyAlignment="1">
      <alignment horizontal="center" vertical="center"/>
    </xf>
    <xf numFmtId="9" fontId="26" fillId="27" borderId="3" xfId="4" applyNumberFormat="1" applyBorder="1" applyAlignment="1">
      <alignment horizontal="center" vertical="center"/>
    </xf>
    <xf numFmtId="44" fontId="27" fillId="28" borderId="0" xfId="5" applyNumberFormat="1"/>
    <xf numFmtId="44" fontId="0" fillId="0" borderId="0" xfId="0" quotePrefix="1" applyNumberFormat="1" applyAlignment="1">
      <alignment horizontal="center"/>
    </xf>
    <xf numFmtId="44" fontId="6" fillId="0" borderId="0" xfId="0" applyNumberFormat="1" applyFont="1"/>
    <xf numFmtId="0" fontId="40" fillId="28" borderId="45" xfId="5" applyFont="1" applyBorder="1" applyAlignment="1">
      <alignment horizontal="left" vertical="center" wrapText="1"/>
    </xf>
    <xf numFmtId="0" fontId="39" fillId="2" borderId="0" xfId="0" applyFont="1" applyFill="1" applyAlignment="1">
      <alignment horizontal="center" vertical="center"/>
    </xf>
    <xf numFmtId="10" fontId="16" fillId="0" borderId="0" xfId="2" applyNumberFormat="1" applyFont="1"/>
    <xf numFmtId="0" fontId="27" fillId="28" borderId="33" xfId="5" applyBorder="1" applyAlignment="1">
      <alignment horizontal="center" vertical="top" wrapText="1"/>
    </xf>
    <xf numFmtId="0" fontId="27" fillId="28" borderId="34" xfId="5" applyBorder="1" applyAlignment="1">
      <alignment horizontal="center" vertical="top" wrapText="1"/>
    </xf>
    <xf numFmtId="0" fontId="30" fillId="28" borderId="35" xfId="5" applyFont="1" applyBorder="1" applyAlignment="1">
      <alignment horizontal="center" vertical="top" wrapText="1"/>
    </xf>
    <xf numFmtId="167" fontId="26" fillId="27" borderId="50" xfId="4" applyNumberFormat="1" applyBorder="1" applyAlignment="1">
      <alignment horizontal="center" vertical="center" wrapText="1"/>
    </xf>
    <xf numFmtId="0" fontId="43" fillId="29" borderId="35" xfId="6" applyFont="1" applyBorder="1" applyAlignment="1">
      <alignment horizontal="left" vertical="center"/>
    </xf>
    <xf numFmtId="0" fontId="39" fillId="2" borderId="0" xfId="0" applyFont="1" applyFill="1" applyAlignment="1">
      <alignment vertical="center"/>
    </xf>
    <xf numFmtId="0" fontId="41" fillId="28" borderId="45" xfId="5" applyFont="1" applyBorder="1" applyAlignment="1">
      <alignment horizontal="center" vertical="top" wrapText="1"/>
    </xf>
    <xf numFmtId="0" fontId="28" fillId="29" borderId="0" xfId="6"/>
    <xf numFmtId="14" fontId="28" fillId="29" borderId="0" xfId="6" applyNumberFormat="1" applyAlignment="1">
      <alignment horizontal="center" vertical="center"/>
    </xf>
    <xf numFmtId="14" fontId="27" fillId="28" borderId="0" xfId="5" applyNumberFormat="1" applyAlignment="1">
      <alignment horizontal="center" vertical="center"/>
    </xf>
    <xf numFmtId="0" fontId="28" fillId="29" borderId="0" xfId="6" applyNumberFormat="1" applyAlignment="1">
      <alignment horizontal="center" vertical="center"/>
    </xf>
    <xf numFmtId="9" fontId="27" fillId="28" borderId="2" xfId="5" applyNumberFormat="1" applyBorder="1" applyAlignment="1">
      <alignment horizontal="left" vertical="center"/>
    </xf>
    <xf numFmtId="9" fontId="27" fillId="28" borderId="3" xfId="5" applyNumberFormat="1" applyBorder="1" applyAlignment="1">
      <alignment horizontal="left" vertical="center"/>
    </xf>
    <xf numFmtId="4" fontId="28" fillId="29" borderId="36" xfId="6" applyNumberFormat="1" applyBorder="1" applyAlignment="1">
      <alignment horizontal="right"/>
    </xf>
    <xf numFmtId="4" fontId="28" fillId="29" borderId="38" xfId="6" applyNumberFormat="1" applyBorder="1" applyAlignment="1">
      <alignment horizontal="right"/>
    </xf>
    <xf numFmtId="10" fontId="28" fillId="29" borderId="38" xfId="6" applyNumberFormat="1" applyBorder="1" applyAlignment="1">
      <alignment horizontal="right"/>
    </xf>
    <xf numFmtId="165" fontId="28" fillId="29" borderId="38" xfId="6" applyNumberFormat="1" applyBorder="1" applyAlignment="1">
      <alignment horizontal="right"/>
    </xf>
    <xf numFmtId="10" fontId="28" fillId="29" borderId="41" xfId="6" applyNumberFormat="1" applyBorder="1" applyAlignment="1">
      <alignment horizontal="right"/>
    </xf>
    <xf numFmtId="0" fontId="27" fillId="28" borderId="31" xfId="5" applyBorder="1" applyAlignment="1">
      <alignment horizontal="center"/>
    </xf>
    <xf numFmtId="0" fontId="27" fillId="28" borderId="18" xfId="5" applyBorder="1" applyAlignment="1">
      <alignment horizontal="center"/>
    </xf>
    <xf numFmtId="0" fontId="27" fillId="28" borderId="40" xfId="5" applyBorder="1" applyAlignment="1">
      <alignment horizontal="center"/>
    </xf>
    <xf numFmtId="0" fontId="28" fillId="29" borderId="0" xfId="6" applyAlignment="1">
      <alignment horizontal="center" vertical="center"/>
    </xf>
    <xf numFmtId="0" fontId="28" fillId="29" borderId="1" xfId="6" applyBorder="1" applyAlignment="1">
      <alignment horizontal="center" vertical="center"/>
    </xf>
    <xf numFmtId="0" fontId="28" fillId="29" borderId="14" xfId="6" applyBorder="1"/>
    <xf numFmtId="0" fontId="28" fillId="29" borderId="9" xfId="6" applyBorder="1" applyAlignment="1">
      <alignment horizontal="center" vertical="center"/>
    </xf>
    <xf numFmtId="0" fontId="28" fillId="29" borderId="17" xfId="6" applyBorder="1"/>
    <xf numFmtId="0" fontId="27" fillId="28" borderId="1" xfId="5" applyBorder="1" applyAlignment="1">
      <alignment vertical="center"/>
    </xf>
    <xf numFmtId="0" fontId="27" fillId="28" borderId="9" xfId="5" applyBorder="1" applyAlignment="1">
      <alignment vertical="center"/>
    </xf>
    <xf numFmtId="0" fontId="27" fillId="28" borderId="20" xfId="5" applyBorder="1" applyAlignment="1">
      <alignment horizontal="center" vertical="center"/>
    </xf>
    <xf numFmtId="0" fontId="27" fillId="28" borderId="15" xfId="5" applyBorder="1" applyAlignment="1">
      <alignment horizontal="center" vertical="center"/>
    </xf>
    <xf numFmtId="0" fontId="27" fillId="28" borderId="16" xfId="5" applyBorder="1" applyAlignment="1">
      <alignment horizontal="center" vertical="center"/>
    </xf>
    <xf numFmtId="168" fontId="28" fillId="29" borderId="1" xfId="6" applyNumberFormat="1" applyBorder="1" applyAlignment="1">
      <alignment horizontal="center" vertical="center"/>
    </xf>
    <xf numFmtId="9" fontId="28" fillId="29" borderId="9" xfId="6" applyNumberFormat="1" applyBorder="1" applyAlignment="1">
      <alignment horizontal="center" vertical="center"/>
    </xf>
    <xf numFmtId="10" fontId="28" fillId="29" borderId="15" xfId="6" applyNumberFormat="1" applyBorder="1" applyAlignment="1">
      <alignment horizontal="center" vertical="center"/>
    </xf>
    <xf numFmtId="0" fontId="27" fillId="28" borderId="30" xfId="5" quotePrefix="1" applyBorder="1" applyAlignment="1">
      <alignment horizontal="center" vertical="center"/>
    </xf>
    <xf numFmtId="9" fontId="28" fillId="29" borderId="0" xfId="6" applyNumberFormat="1"/>
    <xf numFmtId="0" fontId="28" fillId="29" borderId="0" xfId="6" applyNumberFormat="1"/>
    <xf numFmtId="44" fontId="28" fillId="29" borderId="0" xfId="6" applyNumberFormat="1"/>
    <xf numFmtId="176" fontId="29" fillId="28" borderId="0" xfId="5" applyNumberFormat="1" applyFont="1" applyAlignment="1">
      <alignment vertical="center"/>
    </xf>
    <xf numFmtId="172" fontId="28" fillId="29" borderId="0" xfId="6" applyNumberFormat="1" applyBorder="1"/>
    <xf numFmtId="166" fontId="0" fillId="0" borderId="42" xfId="1" applyNumberFormat="1" applyFont="1" applyBorder="1"/>
    <xf numFmtId="0" fontId="6" fillId="0" borderId="52" xfId="0" applyFont="1" applyBorder="1"/>
    <xf numFmtId="0" fontId="26" fillId="35" borderId="0" xfId="0" applyFont="1" applyFill="1" applyAlignment="1">
      <alignment horizontal="center"/>
    </xf>
    <xf numFmtId="0" fontId="26" fillId="27" borderId="5" xfId="4" applyBorder="1"/>
    <xf numFmtId="0" fontId="26" fillId="27" borderId="4" xfId="4" applyBorder="1"/>
    <xf numFmtId="0" fontId="0" fillId="0" borderId="1" xfId="0" applyBorder="1"/>
    <xf numFmtId="0" fontId="0" fillId="0" borderId="53" xfId="0" applyBorder="1"/>
    <xf numFmtId="44" fontId="0" fillId="0" borderId="55" xfId="1" applyFont="1" applyBorder="1"/>
    <xf numFmtId="0" fontId="0" fillId="0" borderId="54" xfId="0" applyBorder="1"/>
    <xf numFmtId="44" fontId="0" fillId="0" borderId="56" xfId="1" applyFont="1" applyBorder="1"/>
    <xf numFmtId="0" fontId="0" fillId="0" borderId="58" xfId="0" applyBorder="1"/>
    <xf numFmtId="0" fontId="0" fillId="0" borderId="6" xfId="0" applyBorder="1"/>
    <xf numFmtId="44" fontId="0" fillId="0" borderId="59" xfId="1" applyFont="1" applyBorder="1"/>
    <xf numFmtId="0" fontId="6" fillId="0" borderId="50" xfId="0" applyFont="1" applyBorder="1"/>
    <xf numFmtId="44" fontId="6" fillId="0" borderId="60" xfId="0" applyNumberFormat="1" applyFont="1" applyBorder="1"/>
    <xf numFmtId="0" fontId="6" fillId="0" borderId="60" xfId="0" applyFont="1" applyBorder="1"/>
    <xf numFmtId="44" fontId="6" fillId="0" borderId="61" xfId="0" applyNumberFormat="1" applyFont="1" applyBorder="1"/>
    <xf numFmtId="44" fontId="0" fillId="0" borderId="51" xfId="0" applyNumberFormat="1" applyBorder="1"/>
    <xf numFmtId="44" fontId="0" fillId="0" borderId="14" xfId="0" applyNumberFormat="1" applyBorder="1"/>
    <xf numFmtId="44" fontId="0" fillId="0" borderId="21" xfId="1" applyFont="1" applyBorder="1"/>
    <xf numFmtId="0" fontId="44" fillId="29" borderId="0" xfId="6" applyFont="1"/>
    <xf numFmtId="0" fontId="45" fillId="27" borderId="0" xfId="4" applyFont="1"/>
    <xf numFmtId="0" fontId="40" fillId="28" borderId="0" xfId="5" applyFont="1"/>
    <xf numFmtId="0" fontId="28" fillId="29" borderId="14" xfId="6" applyBorder="1" applyAlignment="1"/>
    <xf numFmtId="0" fontId="14" fillId="24" borderId="13" xfId="3" applyFont="1" applyFill="1" applyBorder="1" applyAlignment="1">
      <alignment horizontal="center" vertical="center" wrapText="1"/>
    </xf>
    <xf numFmtId="0" fontId="0" fillId="0" borderId="5" xfId="0" applyBorder="1"/>
    <xf numFmtId="0" fontId="26" fillId="27" borderId="0" xfId="4" applyNumberFormat="1" applyAlignment="1">
      <alignment horizontal="center" vertical="top" wrapText="1"/>
    </xf>
    <xf numFmtId="0" fontId="6" fillId="0" borderId="0" xfId="0" applyFont="1" applyAlignment="1">
      <alignment horizontal="center" vertical="top" wrapText="1"/>
    </xf>
    <xf numFmtId="0" fontId="28" fillId="29" borderId="0" xfId="6" applyAlignment="1">
      <alignment horizontal="center" vertical="top"/>
    </xf>
    <xf numFmtId="0" fontId="35" fillId="30" borderId="0" xfId="7" applyAlignment="1">
      <alignment horizontal="center" vertical="center"/>
    </xf>
    <xf numFmtId="0" fontId="6" fillId="0" borderId="62" xfId="0" applyFont="1" applyBorder="1"/>
    <xf numFmtId="0" fontId="0" fillId="0" borderId="4" xfId="0" applyBorder="1"/>
    <xf numFmtId="172" fontId="0" fillId="0" borderId="0" xfId="0" applyNumberFormat="1"/>
    <xf numFmtId="14" fontId="35" fillId="30" borderId="0" xfId="7" applyNumberFormat="1" applyAlignment="1">
      <alignment horizontal="left" vertical="center"/>
    </xf>
    <xf numFmtId="0" fontId="0" fillId="0" borderId="0" xfId="0" quotePrefix="1"/>
    <xf numFmtId="14" fontId="27" fillId="28" borderId="0" xfId="5" applyNumberFormat="1"/>
    <xf numFmtId="14" fontId="27" fillId="28" borderId="0" xfId="5" applyNumberFormat="1" applyAlignment="1">
      <alignment horizontal="center" vertical="top"/>
    </xf>
    <xf numFmtId="0" fontId="0" fillId="21" borderId="5" xfId="0" applyFill="1" applyBorder="1" applyAlignment="1">
      <alignment horizontal="center"/>
    </xf>
    <xf numFmtId="177" fontId="0" fillId="21" borderId="5" xfId="0" applyNumberFormat="1" applyFill="1" applyBorder="1" applyAlignment="1">
      <alignment horizontal="center" vertical="center"/>
    </xf>
    <xf numFmtId="0" fontId="0" fillId="21" borderId="63" xfId="0" applyFill="1" applyBorder="1" applyAlignment="1">
      <alignment horizontal="center" vertical="center"/>
    </xf>
    <xf numFmtId="0" fontId="0" fillId="21" borderId="64" xfId="0" applyFill="1" applyBorder="1" applyAlignment="1">
      <alignment horizontal="center"/>
    </xf>
    <xf numFmtId="177" fontId="0" fillId="21" borderId="65" xfId="0" applyNumberFormat="1" applyFill="1" applyBorder="1" applyAlignment="1">
      <alignment horizontal="center" vertical="center"/>
    </xf>
    <xf numFmtId="0" fontId="0" fillId="21" borderId="66" xfId="0" applyFill="1" applyBorder="1" applyAlignment="1">
      <alignment horizontal="center" vertical="center"/>
    </xf>
    <xf numFmtId="177" fontId="0" fillId="21" borderId="67" xfId="0" applyNumberFormat="1" applyFill="1" applyBorder="1" applyAlignment="1">
      <alignment horizontal="center" vertical="center"/>
    </xf>
    <xf numFmtId="0" fontId="0" fillId="21" borderId="43" xfId="0" applyFill="1" applyBorder="1" applyAlignment="1">
      <alignment horizontal="center" vertical="center"/>
    </xf>
    <xf numFmtId="0" fontId="0" fillId="21" borderId="44" xfId="0" applyFill="1" applyBorder="1" applyAlignment="1">
      <alignment horizontal="center"/>
    </xf>
    <xf numFmtId="177" fontId="0" fillId="21" borderId="46" xfId="0" applyNumberFormat="1" applyFill="1" applyBorder="1" applyAlignment="1">
      <alignment horizontal="center" vertical="center"/>
    </xf>
    <xf numFmtId="0" fontId="26" fillId="27" borderId="68" xfId="4" applyBorder="1" applyAlignment="1">
      <alignment horizontal="center" vertical="center"/>
    </xf>
    <xf numFmtId="0" fontId="35" fillId="30" borderId="33" xfId="7" quotePrefix="1" applyBorder="1" applyAlignment="1">
      <alignment horizontal="center" vertical="top" wrapText="1"/>
    </xf>
    <xf numFmtId="0" fontId="6" fillId="20" borderId="60" xfId="0" quotePrefix="1" applyFont="1" applyFill="1" applyBorder="1" applyAlignment="1">
      <alignment horizontal="center" vertical="top" wrapText="1"/>
    </xf>
    <xf numFmtId="0" fontId="6" fillId="4" borderId="60" xfId="0" quotePrefix="1" applyFont="1" applyFill="1" applyBorder="1" applyAlignment="1">
      <alignment horizontal="center" vertical="top" wrapText="1"/>
    </xf>
    <xf numFmtId="0" fontId="6" fillId="5" borderId="60" xfId="0" quotePrefix="1" applyFont="1" applyFill="1" applyBorder="1" applyAlignment="1">
      <alignment horizontal="center" vertical="top" wrapText="1"/>
    </xf>
    <xf numFmtId="0" fontId="6" fillId="2" borderId="60" xfId="0" quotePrefix="1" applyFont="1" applyFill="1" applyBorder="1" applyAlignment="1">
      <alignment horizontal="center" vertical="top" wrapText="1"/>
    </xf>
    <xf numFmtId="0" fontId="6" fillId="6" borderId="60" xfId="0" quotePrefix="1" applyFont="1" applyFill="1" applyBorder="1" applyAlignment="1">
      <alignment horizontal="center" vertical="top" wrapText="1"/>
    </xf>
    <xf numFmtId="0" fontId="6" fillId="19" borderId="60" xfId="0" quotePrefix="1" applyFont="1" applyFill="1" applyBorder="1" applyAlignment="1">
      <alignment horizontal="center" vertical="top" wrapText="1"/>
    </xf>
    <xf numFmtId="0" fontId="6" fillId="0" borderId="60" xfId="0" quotePrefix="1" applyFont="1" applyBorder="1" applyAlignment="1">
      <alignment horizontal="center" vertical="top" wrapText="1"/>
    </xf>
    <xf numFmtId="0" fontId="6" fillId="9" borderId="34" xfId="0" quotePrefix="1" applyFont="1" applyFill="1" applyBorder="1" applyAlignment="1">
      <alignment horizontal="center" vertical="top" wrapText="1"/>
    </xf>
    <xf numFmtId="0" fontId="6" fillId="10" borderId="34" xfId="0" quotePrefix="1" applyFont="1" applyFill="1" applyBorder="1" applyAlignment="1">
      <alignment horizontal="center" vertical="top" wrapText="1"/>
    </xf>
    <xf numFmtId="0" fontId="6" fillId="11" borderId="60" xfId="0" quotePrefix="1" applyFont="1" applyFill="1" applyBorder="1" applyAlignment="1">
      <alignment horizontal="center" vertical="top" wrapText="1"/>
    </xf>
    <xf numFmtId="0" fontId="6" fillId="12" borderId="60" xfId="0" quotePrefix="1" applyFont="1" applyFill="1" applyBorder="1" applyAlignment="1">
      <alignment horizontal="center" vertical="top" wrapText="1"/>
    </xf>
    <xf numFmtId="0" fontId="6" fillId="13" borderId="60" xfId="0" quotePrefix="1" applyFont="1" applyFill="1" applyBorder="1" applyAlignment="1">
      <alignment horizontal="center" vertical="top" wrapText="1"/>
    </xf>
    <xf numFmtId="0" fontId="6" fillId="14" borderId="60" xfId="0" quotePrefix="1" applyFont="1" applyFill="1" applyBorder="1" applyAlignment="1">
      <alignment horizontal="center" vertical="top" wrapText="1"/>
    </xf>
    <xf numFmtId="0" fontId="6" fillId="8" borderId="34" xfId="0" quotePrefix="1" applyFont="1" applyFill="1" applyBorder="1" applyAlignment="1">
      <alignment horizontal="center" vertical="top" wrapText="1"/>
    </xf>
    <xf numFmtId="0" fontId="6" fillId="15" borderId="60" xfId="0" quotePrefix="1" applyFont="1" applyFill="1" applyBorder="1" applyAlignment="1">
      <alignment horizontal="center" vertical="top" wrapText="1"/>
    </xf>
    <xf numFmtId="0" fontId="6" fillId="16" borderId="60" xfId="0" quotePrefix="1" applyFont="1" applyFill="1" applyBorder="1" applyAlignment="1">
      <alignment horizontal="center" vertical="top" wrapText="1"/>
    </xf>
    <xf numFmtId="0" fontId="6" fillId="17" borderId="60" xfId="0" quotePrefix="1" applyFont="1" applyFill="1" applyBorder="1" applyAlignment="1">
      <alignment horizontal="center" vertical="top" wrapText="1"/>
    </xf>
    <xf numFmtId="0" fontId="6" fillId="18" borderId="60" xfId="0" quotePrefix="1" applyFont="1" applyFill="1" applyBorder="1" applyAlignment="1">
      <alignment horizontal="center" vertical="top" wrapText="1"/>
    </xf>
    <xf numFmtId="0" fontId="6" fillId="7" borderId="60" xfId="0" quotePrefix="1" applyFont="1" applyFill="1" applyBorder="1" applyAlignment="1">
      <alignment horizontal="center" vertical="top" wrapText="1"/>
    </xf>
    <xf numFmtId="0" fontId="27" fillId="28" borderId="34" xfId="5" applyBorder="1" applyAlignment="1">
      <alignment horizontal="center" vertical="center" wrapText="1"/>
    </xf>
    <xf numFmtId="0" fontId="27" fillId="28" borderId="35" xfId="5" applyBorder="1" applyAlignment="1">
      <alignment horizontal="center" vertical="center" wrapText="1"/>
    </xf>
    <xf numFmtId="0" fontId="28" fillId="29" borderId="57" xfId="6" applyBorder="1"/>
    <xf numFmtId="0" fontId="10" fillId="23" borderId="33" xfId="0" applyFont="1" applyFill="1" applyBorder="1" applyAlignment="1">
      <alignment horizontal="center"/>
    </xf>
    <xf numFmtId="0" fontId="10" fillId="23" borderId="34" xfId="0" applyFont="1" applyFill="1" applyBorder="1" applyAlignment="1">
      <alignment horizontal="center"/>
    </xf>
    <xf numFmtId="0" fontId="10" fillId="23" borderId="35" xfId="0" applyFont="1" applyFill="1" applyBorder="1" applyAlignment="1">
      <alignment horizontal="center"/>
    </xf>
    <xf numFmtId="0" fontId="26" fillId="27" borderId="32" xfId="4" applyBorder="1" applyAlignment="1">
      <alignment horizontal="center" vertical="center"/>
    </xf>
    <xf numFmtId="0" fontId="26" fillId="27" borderId="36" xfId="4" applyBorder="1" applyAlignment="1">
      <alignment horizontal="center" vertical="center"/>
    </xf>
    <xf numFmtId="0" fontId="35" fillId="30" borderId="0" xfId="7" applyAlignment="1">
      <alignment horizontal="center" vertical="center"/>
    </xf>
    <xf numFmtId="0" fontId="38" fillId="34" borderId="33" xfId="8" applyFont="1" applyFill="1" applyBorder="1" applyAlignment="1">
      <alignment horizontal="center" vertical="center"/>
    </xf>
    <xf numFmtId="0" fontId="38" fillId="34" borderId="34" xfId="8" applyFont="1" applyFill="1" applyBorder="1" applyAlignment="1">
      <alignment horizontal="center" vertical="center"/>
    </xf>
    <xf numFmtId="0" fontId="38" fillId="34" borderId="35" xfId="8" applyFont="1" applyFill="1" applyBorder="1" applyAlignment="1">
      <alignment horizontal="center" vertical="center"/>
    </xf>
    <xf numFmtId="0" fontId="38" fillId="33" borderId="33" xfId="7" applyFont="1" applyFill="1" applyBorder="1" applyAlignment="1">
      <alignment horizontal="center" vertical="center"/>
    </xf>
    <xf numFmtId="0" fontId="38" fillId="33" borderId="34" xfId="7" applyFont="1" applyFill="1" applyBorder="1" applyAlignment="1">
      <alignment horizontal="center" vertical="center"/>
    </xf>
    <xf numFmtId="0" fontId="38" fillId="33" borderId="35" xfId="7" applyFont="1" applyFill="1" applyBorder="1" applyAlignment="1">
      <alignment horizontal="center" vertical="center"/>
    </xf>
    <xf numFmtId="0" fontId="10" fillId="22" borderId="1" xfId="0" applyFont="1" applyFill="1" applyBorder="1" applyAlignment="1" applyProtection="1">
      <alignment horizontal="center" vertical="center" wrapText="1"/>
      <protection hidden="1"/>
    </xf>
    <xf numFmtId="0" fontId="10" fillId="22" borderId="17" xfId="0" applyFont="1" applyFill="1" applyBorder="1" applyAlignment="1" applyProtection="1">
      <alignment horizontal="center" vertical="center" wrapText="1"/>
      <protection hidden="1"/>
    </xf>
    <xf numFmtId="0" fontId="10" fillId="22" borderId="18" xfId="0" applyFont="1" applyFill="1" applyBorder="1" applyAlignment="1" applyProtection="1">
      <alignment horizontal="center" vertical="center" wrapText="1"/>
      <protection hidden="1"/>
    </xf>
    <xf numFmtId="0" fontId="10" fillId="22" borderId="16" xfId="0" applyFont="1" applyFill="1" applyBorder="1" applyAlignment="1" applyProtection="1">
      <alignment horizontal="center" vertical="center" wrapText="1"/>
      <protection hidden="1"/>
    </xf>
    <xf numFmtId="0" fontId="10" fillId="22" borderId="21" xfId="0" applyFont="1" applyFill="1" applyBorder="1" applyAlignment="1" applyProtection="1">
      <alignment horizontal="center" vertical="center" wrapText="1"/>
      <protection hidden="1"/>
    </xf>
    <xf numFmtId="0" fontId="10" fillId="22" borderId="5" xfId="0" applyFont="1" applyFill="1" applyBorder="1" applyAlignment="1" applyProtection="1">
      <alignment horizontal="center" vertical="center" wrapText="1"/>
      <protection hidden="1"/>
    </xf>
    <xf numFmtId="0" fontId="10" fillId="22" borderId="20" xfId="0" applyFont="1" applyFill="1" applyBorder="1" applyAlignment="1" applyProtection="1">
      <alignment horizontal="center" vertical="center" wrapText="1"/>
      <protection hidden="1"/>
    </xf>
    <xf numFmtId="0" fontId="10" fillId="22" borderId="1" xfId="0" applyFont="1" applyFill="1" applyBorder="1" applyAlignment="1" applyProtection="1">
      <alignment horizontal="center" vertical="center"/>
      <protection hidden="1"/>
    </xf>
    <xf numFmtId="0" fontId="12" fillId="22" borderId="0" xfId="0" applyFont="1" applyFill="1" applyAlignment="1" applyProtection="1">
      <alignment horizontal="center" wrapText="1"/>
      <protection hidden="1"/>
    </xf>
    <xf numFmtId="0" fontId="12" fillId="22" borderId="5" xfId="0" applyFont="1" applyFill="1" applyBorder="1" applyAlignment="1" applyProtection="1">
      <alignment horizontal="center" wrapText="1"/>
      <protection hidden="1"/>
    </xf>
    <xf numFmtId="0" fontId="42" fillId="2" borderId="32" xfId="5" applyFont="1" applyFill="1" applyBorder="1" applyAlignment="1" applyProtection="1">
      <alignment horizontal="center" vertical="center"/>
      <protection hidden="1"/>
    </xf>
    <xf numFmtId="0" fontId="42" fillId="2" borderId="31" xfId="5" applyFont="1" applyFill="1" applyBorder="1" applyAlignment="1" applyProtection="1">
      <alignment horizontal="center" vertical="center"/>
      <protection hidden="1"/>
    </xf>
    <xf numFmtId="0" fontId="42" fillId="2" borderId="36" xfId="5" applyFont="1" applyFill="1" applyBorder="1" applyAlignment="1" applyProtection="1">
      <alignment horizontal="center" vertical="center"/>
      <protection hidden="1"/>
    </xf>
    <xf numFmtId="0" fontId="42" fillId="2" borderId="42" xfId="5" applyFont="1" applyFill="1" applyBorder="1" applyAlignment="1" applyProtection="1">
      <alignment horizontal="center" vertical="center"/>
      <protection hidden="1"/>
    </xf>
    <xf numFmtId="0" fontId="42" fillId="2" borderId="0" xfId="5" applyFont="1" applyFill="1" applyBorder="1" applyAlignment="1" applyProtection="1">
      <alignment horizontal="center" vertical="center"/>
      <protection hidden="1"/>
    </xf>
    <xf numFmtId="0" fontId="42" fillId="2" borderId="45" xfId="5" applyFont="1" applyFill="1" applyBorder="1" applyAlignment="1" applyProtection="1">
      <alignment horizontal="center" vertical="center"/>
      <protection hidden="1"/>
    </xf>
    <xf numFmtId="0" fontId="42" fillId="2" borderId="43" xfId="5" applyFont="1" applyFill="1" applyBorder="1" applyAlignment="1" applyProtection="1">
      <alignment horizontal="center" vertical="center"/>
      <protection hidden="1"/>
    </xf>
    <xf numFmtId="0" fontId="42" fillId="2" borderId="44" xfId="5" applyFont="1" applyFill="1" applyBorder="1" applyAlignment="1" applyProtection="1">
      <alignment horizontal="center" vertical="center"/>
      <protection hidden="1"/>
    </xf>
    <xf numFmtId="0" fontId="42" fillId="2" borderId="46" xfId="5" applyFont="1" applyFill="1" applyBorder="1" applyAlignment="1" applyProtection="1">
      <alignment horizontal="center" vertical="center"/>
      <protection hidden="1"/>
    </xf>
    <xf numFmtId="0" fontId="11" fillId="32" borderId="48" xfId="0" applyFont="1" applyFill="1" applyBorder="1" applyAlignment="1">
      <alignment horizontal="center" vertical="center"/>
    </xf>
    <xf numFmtId="0" fontId="11" fillId="32" borderId="31" xfId="0" applyFont="1" applyFill="1" applyBorder="1" applyAlignment="1">
      <alignment horizontal="center" vertical="center"/>
    </xf>
    <xf numFmtId="0" fontId="11" fillId="32" borderId="49" xfId="0" applyFont="1" applyFill="1" applyBorder="1" applyAlignment="1">
      <alignment horizontal="center" vertical="center"/>
    </xf>
    <xf numFmtId="0" fontId="11" fillId="32" borderId="19" xfId="0" applyFont="1" applyFill="1" applyBorder="1" applyAlignment="1">
      <alignment horizontal="center" vertical="center"/>
    </xf>
    <xf numFmtId="0" fontId="11" fillId="32" borderId="0" xfId="0" applyFont="1" applyFill="1" applyAlignment="1">
      <alignment horizontal="center" vertical="center"/>
    </xf>
    <xf numFmtId="0" fontId="11" fillId="32" borderId="13" xfId="0" applyFont="1" applyFill="1" applyBorder="1" applyAlignment="1">
      <alignment horizontal="center" vertical="center"/>
    </xf>
    <xf numFmtId="0" fontId="11" fillId="32" borderId="21" xfId="0" applyFont="1" applyFill="1" applyBorder="1" applyAlignment="1">
      <alignment horizontal="center" vertical="center"/>
    </xf>
    <xf numFmtId="0" fontId="11" fillId="32" borderId="5" xfId="0" applyFont="1" applyFill="1" applyBorder="1" applyAlignment="1">
      <alignment horizontal="center" vertical="center"/>
    </xf>
    <xf numFmtId="0" fontId="11" fillId="32" borderId="20" xfId="0" applyFont="1" applyFill="1" applyBorder="1" applyAlignment="1">
      <alignment horizontal="center" vertical="center"/>
    </xf>
    <xf numFmtId="0" fontId="11" fillId="32" borderId="48" xfId="0" applyFont="1" applyFill="1" applyBorder="1" applyAlignment="1">
      <alignment horizontal="center" vertical="center" wrapText="1"/>
    </xf>
    <xf numFmtId="0" fontId="11" fillId="32" borderId="31" xfId="0" applyFont="1" applyFill="1" applyBorder="1" applyAlignment="1">
      <alignment horizontal="center" vertical="center" wrapText="1"/>
    </xf>
    <xf numFmtId="0" fontId="11" fillId="32" borderId="19" xfId="0" applyFont="1" applyFill="1" applyBorder="1" applyAlignment="1">
      <alignment horizontal="center" vertical="center" wrapText="1"/>
    </xf>
    <xf numFmtId="0" fontId="11" fillId="32" borderId="0" xfId="0" applyFont="1" applyFill="1" applyAlignment="1">
      <alignment horizontal="center" vertical="center" wrapText="1"/>
    </xf>
    <xf numFmtId="0" fontId="22" fillId="22" borderId="48" xfId="0" applyFont="1" applyFill="1" applyBorder="1" applyAlignment="1" applyProtection="1">
      <alignment horizontal="center" vertical="center" wrapText="1"/>
      <protection hidden="1"/>
    </xf>
    <xf numFmtId="0" fontId="22" fillId="22" borderId="31" xfId="0" applyFont="1" applyFill="1" applyBorder="1" applyAlignment="1" applyProtection="1">
      <alignment horizontal="center" vertical="center" wrapText="1"/>
      <protection hidden="1"/>
    </xf>
    <xf numFmtId="0" fontId="22" fillId="22" borderId="49" xfId="0" applyFont="1" applyFill="1" applyBorder="1" applyAlignment="1" applyProtection="1">
      <alignment horizontal="center" vertical="center" wrapText="1"/>
      <protection hidden="1"/>
    </xf>
    <xf numFmtId="0" fontId="22" fillId="22" borderId="19" xfId="0" applyFont="1" applyFill="1" applyBorder="1" applyAlignment="1" applyProtection="1">
      <alignment horizontal="center" vertical="center" wrapText="1"/>
      <protection hidden="1"/>
    </xf>
    <xf numFmtId="0" fontId="22" fillId="22" borderId="0" xfId="0" applyFont="1" applyFill="1" applyAlignment="1" applyProtection="1">
      <alignment horizontal="center" vertical="center" wrapText="1"/>
      <protection hidden="1"/>
    </xf>
    <xf numFmtId="0" fontId="22" fillId="22" borderId="13" xfId="0" applyFont="1" applyFill="1" applyBorder="1" applyAlignment="1" applyProtection="1">
      <alignment horizontal="center" vertical="center" wrapText="1"/>
      <protection hidden="1"/>
    </xf>
    <xf numFmtId="0" fontId="22" fillId="22" borderId="21" xfId="0" applyFont="1" applyFill="1" applyBorder="1" applyAlignment="1" applyProtection="1">
      <alignment horizontal="center" vertical="center" wrapText="1"/>
      <protection hidden="1"/>
    </xf>
    <xf numFmtId="0" fontId="22" fillId="22" borderId="5" xfId="0" applyFont="1" applyFill="1" applyBorder="1" applyAlignment="1" applyProtection="1">
      <alignment horizontal="center" vertical="center" wrapText="1"/>
      <protection hidden="1"/>
    </xf>
    <xf numFmtId="0" fontId="22" fillId="22" borderId="20" xfId="0" applyFont="1" applyFill="1" applyBorder="1" applyAlignment="1" applyProtection="1">
      <alignment horizontal="center" vertical="center" wrapText="1"/>
      <protection hidden="1"/>
    </xf>
    <xf numFmtId="0" fontId="39" fillId="2" borderId="0" xfId="0" applyFont="1" applyFill="1" applyAlignment="1">
      <alignment horizontal="center" vertical="center"/>
    </xf>
  </cellXfs>
  <cellStyles count="9">
    <cellStyle name="Bueno" xfId="4" builtinId="26"/>
    <cellStyle name="Énfasis1" xfId="7" builtinId="29"/>
    <cellStyle name="Énfasis2" xfId="8" builtinId="33"/>
    <cellStyle name="Incorrecto" xfId="5" builtinId="27"/>
    <cellStyle name="Moneda" xfId="1" builtinId="4"/>
    <cellStyle name="Neutral" xfId="6" builtinId="28"/>
    <cellStyle name="Normal" xfId="0" builtinId="0"/>
    <cellStyle name="Normal_COMPARATIVOOUTOSOURCING_AGUSTIN" xfId="3" xr:uid="{65836560-11C2-443E-BE89-650EC4FC37AA}"/>
    <cellStyle name="Porcentaje" xfId="2" builtinId="5"/>
  </cellStyles>
  <dxfs count="685"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family val="2"/>
        <scheme val="minor"/>
      </font>
      <fill>
        <patternFill patternType="solid">
          <fgColor indexed="64"/>
          <bgColor rgb="FFC6EFCE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diagonalUp="0" diagonalDown="0" outline="0">
        <left style="medium">
          <color indexed="64"/>
        </left>
        <right/>
        <top/>
        <bottom/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6" formatCode="_-&quot;$&quot;* #,##0.00_-;[Red]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6" formatCode="_-&quot;$&quot;* #,##0.00_-;[Red]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6" formatCode="_-&quot;$&quot;* #,##0.00_-;[Red]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6" formatCode="_-&quot;$&quot;* #,##0.00_-;[Red]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6" formatCode="_-&quot;$&quot;* #,##0.00_-;[Red]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6" formatCode="_-&quot;$&quot;* #,##0.00_-;[Red]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6" formatCode="_-&quot;$&quot;* #,##0.00_-;[Red]\-&quot;$&quot;* #,##0.00_-;_-&quot;$&quot;* &quot;-&quot;??_-;_-@_-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6" formatCode="_-&quot;$&quot;* #,##0.00_-;[Red]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6" formatCode="_-&quot;$&quot;* #,##0.00_-;[Red]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6" formatCode="_-&quot;$&quot;* #,##0.00_-;[Red]\-&quot;$&quot;* #,##0.00_-;_-&quot;$&quot;* &quot;-&quot;??_-;_-@_-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6" formatCode="_-&quot;$&quot;* #,##0.00_-;[Red]\-&quot;$&quot;* #,##0.00_-;_-&quot;$&quot;* &quot;-&quot;??_-;_-@_-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6" formatCode="_-&quot;$&quot;* #,##0.00_-;[Red]\-&quot;$&quot;* #,##0.00_-;_-&quot;$&quot;* &quot;-&quot;??_-;_-@_-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6" formatCode="_-&quot;$&quot;* #,##0.00_-;[Red]\-&quot;$&quot;* #,##0.00_-;_-&quot;$&quot;* &quot;-&quot;??_-;_-@_-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6" formatCode="_-&quot;$&quot;* #,##0.00_-;[Red]\-&quot;$&quot;* #,##0.00_-;_-&quot;$&quot;* &quot;-&quot;??_-;_-@_-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6" formatCode="_-&quot;$&quot;* #,##0.00_-;[Red]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4" formatCode="0.00%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6" formatCode="_-&quot;$&quot;* #,##0.00_-;[Red]\-&quot;$&quot;* #,##0.00_-;_-&quot;$&quot;* &quot;-&quot;??_-;_-@_-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6" formatCode="_-&quot;$&quot;* #,##0.00_-;[Red]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6" formatCode="_-&quot;$&quot;* #,##0.00_-;[Red]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6" formatCode="_-&quot;$&quot;* #,##0.00_-;[Red]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6" formatCode="_-&quot;$&quot;* #,##0.00_-;[Red]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6" formatCode="_-&quot;$&quot;* #,##0.00_-;[Red]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6" formatCode="_-&quot;$&quot;* #,##0.00_-;[Red]\-&quot;$&quot;* #,##0.00_-;_-&quot;$&quot;* &quot;-&quot;??_-;_-@_-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6" formatCode="_-&quot;$&quot;* #,##0.00_-;[Red]\-&quot;$&quot;* #,##0.00_-;_-&quot;$&quot;* &quot;-&quot;??_-;_-@_-"/>
    </dxf>
    <dxf>
      <fill>
        <patternFill patternType="solid">
          <fgColor theme="0" tint="-0.14999847407452621"/>
          <bgColor theme="0" tint="-0.14999847407452621"/>
        </patternFill>
      </fill>
      <border diagonalUp="0" diagonalDown="0">
        <left/>
        <right/>
        <top style="thin">
          <color theme="1"/>
        </top>
        <bottom/>
        <vertical/>
        <horizontal/>
      </border>
    </dxf>
    <dxf>
      <fill>
        <patternFill patternType="solid">
          <fgColor theme="0" tint="-0.14999847407452621"/>
          <bgColor theme="0" tint="-0.149998474074526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0" formatCode="General"/>
    </dxf>
    <dxf>
      <numFmt numFmtId="0" formatCode="General"/>
    </dxf>
    <dxf>
      <numFmt numFmtId="0" formatCode="General"/>
    </dxf>
    <dxf>
      <numFmt numFmtId="34" formatCode="_-&quot;$&quot;* #,##0.00_-;\-&quot;$&quot;* #,##0.00_-;_-&quot;$&quot;* &quot;-&quot;??_-;_-@_-"/>
    </dxf>
    <dxf>
      <font>
        <b/>
      </font>
      <numFmt numFmtId="34" formatCode="_-&quot;$&quot;* #,##0.00_-;\-&quot;$&quot;* #,##0.00_-;_-&quot;$&quot;* &quot;-&quot;??_-;_-@_-"/>
    </dxf>
    <dxf>
      <font>
        <b/>
      </font>
      <numFmt numFmtId="34" formatCode="_-&quot;$&quot;* #,##0.00_-;\-&quot;$&quot;* #,##0.00_-;_-&quot;$&quot;* &quot;-&quot;??_-;_-@_-"/>
    </dxf>
    <dxf>
      <font>
        <b/>
      </font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19" formatCode="dd/mm/yyyy"/>
    </dxf>
    <dxf>
      <alignment horizontal="center" vertical="center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numFmt numFmtId="0" formatCode="General"/>
    </dxf>
    <dxf>
      <border diagonalUp="0" diagonalDown="0">
        <left/>
        <right style="medium">
          <color indexed="64"/>
        </right>
        <vertical/>
      </border>
    </dxf>
    <dxf>
      <numFmt numFmtId="166" formatCode="_-&quot;$&quot;* #,##0.00_-;[Red]\-&quot;$&quot;* #,##0.00_-;_-&quot;$&quot;* &quot;-&quot;??_-;_-@_-"/>
      <border diagonalUp="0" diagonalDown="0">
        <left style="medium">
          <color indexed="64"/>
        </left>
        <right/>
        <vertical/>
      </border>
    </dxf>
    <dxf>
      <border diagonalUp="0" diagonalDown="0">
        <left/>
        <right style="medium">
          <color indexed="64"/>
        </right>
        <vertical/>
      </border>
    </dxf>
    <dxf>
      <numFmt numFmtId="172" formatCode="[Blue]_-&quot;$&quot;* #,##0.00_-;[Red]\-&quot;$&quot;* #,##0.00_-;_-&quot;$&quot;* &quot;-&quot;??_-;_-@_-"/>
      <border diagonalUp="0" diagonalDown="0">
        <left/>
        <right style="medium">
          <color indexed="64"/>
        </right>
        <top/>
        <bottom/>
        <vertical/>
        <horizontal/>
      </border>
    </dxf>
    <dxf>
      <numFmt numFmtId="172" formatCode="[Blue]_-&quot;$&quot;* #,##0.00_-;[Red]\-&quot;$&quot;* #,##0.00_-;_-&quot;$&quot;* &quot;-&quot;??_-;_-@_-"/>
    </dxf>
    <dxf>
      <numFmt numFmtId="172" formatCode="[Blue]_-&quot;$&quot;* #,##0.00_-;[Red]\-&quot;$&quot;* #,##0.00_-;_-&quot;$&quot;* &quot;-&quot;??_-;_-@_-"/>
    </dxf>
    <dxf>
      <numFmt numFmtId="175" formatCode="_-&quot;$&quot;* #,##0.00_-;[Red]\-&quot;$&quot;* #,##0.00_-;\-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73" formatCode="_-&quot;$&quot;* #,##0.00_-;[Red]\-&quot;$&quot;* #,##0.00_-;[Color45]&quot;N/A&quot;"/>
    </dxf>
    <dxf>
      <numFmt numFmtId="173" formatCode="_-&quot;$&quot;* #,##0.00_-;[Red]\-&quot;$&quot;* #,##0.00_-;[Color45]&quot;N/A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</dxf>
    <dxf>
      <alignment horizontal="center" vertical="bottom" textRotation="0" wrapText="0" indent="0" justifyLastLine="0" shrinkToFit="0" readingOrder="0"/>
    </dxf>
    <dxf>
      <border diagonalUp="0" diagonalDown="0">
        <left style="medium">
          <color indexed="64"/>
        </left>
        <right/>
        <vertical/>
      </border>
    </dxf>
    <dxf>
      <alignment horizontal="left" vertical="center" textRotation="0" wrapText="1" indent="0" justifyLastLine="0" shrinkToFit="0" readingOrder="0"/>
    </dxf>
    <dxf>
      <fill>
        <patternFill>
          <bgColor rgb="FFFF6565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theme="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4" formatCode="[Blue]_-&quot;$&quot;* #,##0.00_-;[Red]\-&quot;$&quot;* #,##0.00_-;\-"/>
    </dxf>
    <dxf>
      <border diagonalUp="0" diagonalDown="0">
        <left/>
        <right style="medium">
          <color indexed="64"/>
        </right>
        <vertical/>
      </border>
    </dxf>
    <dxf>
      <numFmt numFmtId="174" formatCode="[Blue]_-&quot;$&quot;* #,##0.00_-;[Red]\-&quot;$&quot;* #,##0.00_-;\-"/>
    </dxf>
    <dxf>
      <font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74" formatCode="[Blue]_-&quot;$&quot;* #,##0.00_-;[Red]\-&quot;$&quot;* #,##0.00_-;\-"/>
    </dxf>
    <dxf>
      <numFmt numFmtId="175" formatCode="_-&quot;$&quot;* #,##0.00_-;[Red]\-&quot;$&quot;* #,##0.00_-;\-"/>
    </dxf>
    <dxf>
      <numFmt numFmtId="34" formatCode="_-&quot;$&quot;* #,##0.00_-;\-&quot;$&quot;* #,##0.00_-;_-&quot;$&quot;* &quot;-&quot;??_-;_-@_-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73" formatCode="_-&quot;$&quot;* #,##0.00_-;[Red]\-&quot;$&quot;* #,##0.00_-;[Color45]&quot;N/A&quot;"/>
    </dxf>
    <dxf>
      <numFmt numFmtId="173" formatCode="_-&quot;$&quot;* #,##0.00_-;[Red]\-&quot;$&quot;* #,##0.00_-;[Color45]&quot;N/A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</dxf>
    <dxf>
      <alignment horizontal="center" vertical="bottom" textRotation="0" wrapText="0" indent="0" justifyLastLine="0" shrinkToFit="0" readingOrder="0"/>
    </dxf>
    <dxf>
      <border diagonalUp="0" diagonalDown="0">
        <left style="medium">
          <color indexed="64"/>
        </left>
        <right/>
        <vertical/>
      </border>
    </dxf>
    <dxf>
      <alignment horizontal="left" vertical="center" textRotation="0" wrapText="1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numFmt numFmtId="0" formatCode="General"/>
    </dxf>
    <dxf>
      <numFmt numFmtId="34" formatCode="_-&quot;$&quot;* #,##0.00_-;\-&quot;$&quot;* #,##0.00_-;_-&quot;$&quot;* &quot;-&quot;??_-;_-@_-"/>
    </dxf>
    <dxf>
      <numFmt numFmtId="19" formatCode="dd/mm/yyyy"/>
      <alignment horizontal="center" textRotation="0" indent="0" justifyLastLine="0" shrinkToFit="0" readingOrder="0"/>
    </dxf>
    <dxf>
      <numFmt numFmtId="170" formatCode="_-&quot;$&quot;* #,##0.00_-;[Blue]&quot;Exedido&quot;&quot;$&quot;* #,##0.00_-;[Color10]&quot;Pagado&quot;"/>
    </dxf>
    <dxf>
      <alignment horizontal="center" vertical="center" textRotation="0" indent="0" justifyLastLine="0" shrinkToFit="0" readingOrder="0"/>
    </dxf>
    <dxf>
      <font>
        <b/>
      </font>
      <numFmt numFmtId="176" formatCode="_-&quot;$&quot;* #,##0.00_-;[Blue]&quot;Excedido&quot;&quot;$&quot;* #,##0.00_-;[Color10]&quot;Pagado&quot;"/>
    </dxf>
    <dxf>
      <font>
        <b/>
        <strike val="0"/>
        <outline val="0"/>
        <shadow val="0"/>
        <u val="none"/>
        <vertAlign val="baseline"/>
        <sz val="11"/>
        <color rgb="FF9C0006"/>
        <name val="Calibri"/>
        <family val="2"/>
        <scheme val="minor"/>
      </font>
      <numFmt numFmtId="171" formatCode="_-&quot;$&quot;* #,##0.00_-;[Blue]&quot;Exedido&quot;&quot;$&quot;* #,##0.00_-;[Color46]&quot;Sin Pagos&quot;"/>
    </dxf>
    <dxf>
      <numFmt numFmtId="19" formatCode="dd/mm/yyyy"/>
    </dxf>
    <dxf>
      <numFmt numFmtId="169" formatCode="0;;&quot;N/A&quot;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rgb="FF9C0006"/>
        <name val="Calibri"/>
        <family val="2"/>
        <scheme val="minor"/>
      </font>
    </dxf>
    <dxf>
      <alignment vertical="center" textRotation="0" wrapText="0" indent="0" justifyLastLine="0" shrinkToFit="0" readingOrder="0"/>
    </dxf>
    <dxf>
      <numFmt numFmtId="0" formatCode="General"/>
    </dxf>
    <dxf>
      <numFmt numFmtId="34" formatCode="_-&quot;$&quot;* #,##0.00_-;\-&quot;$&quot;* #,##0.00_-;_-&quot;$&quot;* &quot;-&quot;??_-;_-@_-"/>
    </dxf>
    <dxf>
      <numFmt numFmtId="19" formatCode="dd/mm/yyyy"/>
      <alignment horizontal="center" textRotation="0" indent="0" justifyLastLine="0" shrinkToFit="0" readingOrder="0"/>
    </dxf>
    <dxf>
      <numFmt numFmtId="170" formatCode="_-&quot;$&quot;* #,##0.00_-;[Blue]&quot;Exedido&quot;&quot;$&quot;* #,##0.00_-;[Color10]&quot;Pagado&quot;"/>
    </dxf>
    <dxf>
      <alignment horizontal="center" vertical="center" textRotation="0" indent="0" justifyLastLine="0" shrinkToFit="0" readingOrder="0"/>
    </dxf>
    <dxf>
      <font>
        <b/>
      </font>
      <numFmt numFmtId="176" formatCode="_-&quot;$&quot;* #,##0.00_-;[Blue]&quot;Excedido&quot;&quot;$&quot;* #,##0.00_-;[Color10]&quot;Pagado&quot;"/>
    </dxf>
    <dxf>
      <font>
        <b/>
        <strike val="0"/>
        <outline val="0"/>
        <shadow val="0"/>
        <u val="none"/>
        <vertAlign val="baseline"/>
        <sz val="11"/>
        <color rgb="FF9C0006"/>
        <name val="Calibri"/>
        <family val="2"/>
        <scheme val="minor"/>
      </font>
      <numFmt numFmtId="171" formatCode="_-&quot;$&quot;* #,##0.00_-;[Blue]&quot;Exedido&quot;&quot;$&quot;* #,##0.00_-;[Color46]&quot;Sin Pagos&quot;"/>
    </dxf>
    <dxf>
      <numFmt numFmtId="19" formatCode="dd/mm/yyyy"/>
    </dxf>
    <dxf>
      <numFmt numFmtId="169" formatCode="0;;&quot;N/A&quot;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rgb="FF9C0006"/>
        <name val="Calibri"/>
        <family val="2"/>
        <scheme val="minor"/>
      </font>
    </dxf>
    <dxf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7" formatCode="[Blue]#;[Red]\-#;\-"/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 style="medium">
          <color indexed="64"/>
        </right>
        <top style="thin">
          <color auto="1"/>
        </top>
        <bottom style="thin">
          <color auto="1"/>
        </bottom>
        <vertic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indent="0" justifyLastLine="0" shrinkToFit="0" readingOrder="0"/>
      <border diagonalUp="0" diagonalDown="0">
        <left style="medium">
          <color indexed="64"/>
        </left>
        <right/>
        <top style="thin">
          <color auto="1"/>
        </top>
        <bottom style="thin">
          <color auto="1"/>
        </bottom>
        <vertical/>
      </border>
    </dxf>
    <dxf>
      <numFmt numFmtId="177" formatCode="[Blue]#;[Red]\-#;\-"/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border diagonalUp="0" diagonalDown="0" outline="0">
        <left/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border diagonalUp="0" diagonalDown="0" outline="0">
        <left/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border diagonalUp="0" diagonalDown="0">
        <left/>
        <right/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border diagonalUp="0" diagonalDown="0">
        <left/>
        <right/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border diagonalUp="0" diagonalDown="0">
        <left/>
        <right/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border diagonalUp="0" diagonalDown="0">
        <left/>
        <right/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border diagonalUp="0" diagonalDown="0">
        <left/>
        <right/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border diagonalUp="0" diagonalDown="0">
        <left/>
        <right/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border diagonalUp="0" diagonalDown="0">
        <left/>
        <right/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border diagonalUp="0" diagonalDown="0">
        <left/>
        <right/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border diagonalUp="0" diagonalDown="0">
        <left/>
        <right/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border diagonalUp="0" diagonalDown="0">
        <left/>
        <right/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border diagonalUp="0" diagonalDown="0">
        <left/>
        <right/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border diagonalUp="0" diagonalDown="0">
        <left/>
        <right/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border diagonalUp="0" diagonalDown="0">
        <left/>
        <right/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border diagonalUp="0" diagonalDown="0">
        <left/>
        <right/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border diagonalUp="0" diagonalDown="0">
        <left/>
        <right/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border diagonalUp="0" diagonalDown="0">
        <left/>
        <right/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border diagonalUp="0" diagonalDown="0">
        <left/>
        <right/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border diagonalUp="0" diagonalDown="0">
        <left/>
        <right/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border diagonalUp="0" diagonalDown="0">
        <left/>
        <right/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border diagonalUp="0" diagonalDown="0">
        <left/>
        <right/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border diagonalUp="0" diagonalDown="0">
        <left/>
        <right/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border outline="0"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top" textRotation="0" wrapText="1" indent="0" justifyLastLine="0" shrinkToFit="0" readingOrder="0"/>
    </dxf>
    <dxf>
      <fill>
        <patternFill>
          <bgColor theme="4" tint="0.59996337778862885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009E47"/>
        </patternFill>
      </fill>
    </dxf>
    <dxf>
      <fill>
        <patternFill>
          <bgColor theme="9" tint="0.79998168889431442"/>
        </patternFill>
      </fill>
    </dxf>
    <dxf>
      <fill>
        <patternFill>
          <bgColor rgb="FF00B0F0"/>
        </patternFill>
      </fill>
    </dxf>
    <dxf>
      <fill>
        <patternFill>
          <bgColor theme="5" tint="-0.499984740745262"/>
        </patternFill>
      </fill>
    </dxf>
    <dxf>
      <fill>
        <patternFill>
          <bgColor theme="0" tint="-0.34998626667073579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ont>
        <color rgb="FFFF0000"/>
      </font>
      <fill>
        <patternFill>
          <bgColor theme="0"/>
        </patternFill>
      </fill>
    </dxf>
    <dxf>
      <fill>
        <patternFill>
          <bgColor rgb="FF17BB7D"/>
        </patternFill>
      </fill>
    </dxf>
    <dxf>
      <fill>
        <patternFill>
          <bgColor rgb="FF7030A0"/>
        </patternFill>
      </fill>
    </dxf>
    <dxf>
      <fill>
        <patternFill>
          <bgColor rgb="FFBAE9FE"/>
        </patternFill>
      </fill>
    </dxf>
    <dxf>
      <font>
        <color theme="1"/>
      </font>
      <fill>
        <patternFill>
          <bgColor rgb="FFFFC000"/>
        </patternFill>
      </fill>
    </dxf>
    <dxf>
      <fill>
        <patternFill>
          <bgColor rgb="FFF3A5E2"/>
        </patternFill>
      </fill>
    </dxf>
    <dxf>
      <fill>
        <patternFill>
          <bgColor rgb="FFA3A3E1"/>
        </patternFill>
      </fill>
    </dxf>
    <dxf>
      <fill>
        <patternFill>
          <bgColor rgb="FFAEF8DC"/>
        </patternFill>
      </fill>
    </dxf>
    <dxf>
      <fill>
        <patternFill>
          <bgColor rgb="FFE2005B"/>
        </patternFill>
      </fill>
    </dxf>
    <dxf>
      <fill>
        <patternFill>
          <bgColor theme="7" tint="-0.24994659260841701"/>
        </patternFill>
      </fill>
    </dxf>
    <dxf>
      <fill>
        <patternFill>
          <bgColor rgb="FFD40A87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  <border>
        <left style="dotted">
          <color rgb="FFFF0000"/>
        </left>
        <right style="dotted">
          <color rgb="FFFF0000"/>
        </right>
        <top style="dotted">
          <color rgb="FFFF0000"/>
        </top>
        <bottom style="dotted">
          <color rgb="FFFF0000"/>
        </bottom>
        <vertical/>
        <horizontal/>
      </border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19" formatCode="dd/mm/yyyy"/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numFmt numFmtId="14" formatCode="0.00%"/>
      <fill>
        <patternFill patternType="solid">
          <fgColor indexed="64"/>
          <bgColor theme="0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numFmt numFmtId="4" formatCode="#,##0.00"/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numFmt numFmtId="4" formatCode="#,##0.00"/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numFmt numFmtId="4" formatCode="#,##0.00"/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medium">
          <color indexed="64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</dxf>
    <dxf>
      <border outline="0"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fill>
        <patternFill patternType="solid">
          <fgColor indexed="64"/>
          <bgColor theme="0" tint="-0.249977111117893"/>
        </patternFill>
      </fill>
      <alignment horizontal="center" vertical="center" textRotation="0" wrapText="1" indent="0" justifyLastLine="0" shrinkToFit="0" readingOrder="0"/>
    </dxf>
    <dxf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general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auto="1"/>
        </left>
        <right style="thin">
          <color auto="1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numFmt numFmtId="19" formatCode="dd/mm/yyyy"/>
      <alignment horizontal="left" vertical="center" textRotation="0" indent="0" justifyLastLine="0" shrinkToFit="0" readingOrder="0"/>
    </dxf>
    <dxf>
      <numFmt numFmtId="19" formatCode="dd/mm/yyyy"/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double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double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auto="1"/>
        </right>
        <top style="thin">
          <color indexed="64"/>
        </top>
        <bottom style="thin">
          <color indexed="64"/>
        </bottom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Narrow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numFmt numFmtId="167" formatCode="&quot;SI&quot;;&quot;ERROR&quot;;&quot;NO&quot;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numFmt numFmtId="167" formatCode="&quot;SI&quot;;&quot;ERROR&quot;;&quot;NO&quot;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numFmt numFmtId="4" formatCode="#,##0.00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numFmt numFmtId="4" formatCode="#,##0.00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border outline="0">
        <top style="medium">
          <color indexed="64"/>
        </top>
        <bottom style="thin">
          <color auto="1"/>
        </bottom>
      </border>
    </dxf>
    <dxf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fill>
        <patternFill patternType="solid">
          <fgColor indexed="64"/>
          <bgColor theme="0" tint="-0.24997711111789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numFmt numFmtId="4" formatCode="#,##0.00"/>
      <fill>
        <patternFill patternType="solid">
          <fgColor indexed="64"/>
          <bgColor theme="0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numFmt numFmtId="4" formatCode="#,##0.00"/>
      <fill>
        <patternFill patternType="solid">
          <fgColor indexed="64"/>
          <bgColor theme="0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medium">
          <color indexed="64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fill>
        <patternFill patternType="solid">
          <fgColor indexed="64"/>
          <bgColor theme="0" tint="-0.24997711111789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>
        <right style="thick">
          <color auto="1"/>
        </right>
      </border>
    </dxf>
    <dxf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ill>
        <patternFill>
          <bgColor theme="6" tint="0.59996337778862885"/>
        </patternFill>
      </fill>
      <border>
        <vertical style="thin">
          <color auto="1"/>
        </vertical>
        <horizontal style="thin">
          <color auto="1"/>
        </horizontal>
      </border>
    </dxf>
    <dxf>
      <fill>
        <patternFill>
          <bgColor theme="0" tint="-0.24994659260841701"/>
        </patternFill>
      </fill>
      <border>
        <vertical style="thin">
          <color auto="1"/>
        </vertical>
        <horizontal style="thin">
          <color auto="1"/>
        </horizontal>
      </border>
    </dxf>
    <dxf>
      <border>
        <vertical style="thin">
          <color auto="1"/>
        </vertical>
        <horizontal style="thin">
          <color auto="1"/>
        </horizontal>
      </border>
    </dxf>
    <dxf>
      <border>
        <vertical style="thin">
          <color auto="1"/>
        </vertical>
        <horizontal style="thin">
          <color auto="1"/>
        </horizontal>
      </border>
    </dxf>
    <dxf>
      <border>
        <right style="thin">
          <color auto="1"/>
        </right>
      </border>
    </dxf>
    <dxf>
      <font>
        <b/>
        <i val="0"/>
      </font>
      <fill>
        <patternFill>
          <bgColor theme="0" tint="-0.34998626667073579"/>
        </patternFill>
      </fill>
      <border>
        <left style="thick">
          <color auto="1"/>
        </left>
        <right style="thick">
          <color auto="1"/>
        </right>
        <top style="thick">
          <color auto="1"/>
        </top>
        <bottom style="thick">
          <color auto="1"/>
        </bottom>
      </border>
    </dxf>
    <dxf>
      <font>
        <b/>
        <i val="0"/>
      </font>
      <fill>
        <patternFill>
          <bgColor theme="0" tint="-0.34998626667073579"/>
        </patternFill>
      </fill>
      <border>
        <left style="thick">
          <color auto="1"/>
        </left>
        <right style="thick">
          <color auto="1"/>
        </right>
        <top style="thick">
          <color auto="1"/>
        </top>
        <bottom style="thick">
          <color auto="1"/>
        </bottom>
      </border>
    </dxf>
  </dxfs>
  <tableStyles count="3" defaultTableStyle="TableStyleMedium2" defaultPivotStyle="PivotStyleLight16">
    <tableStyle name="Estilo de tabla 100" pivot="0" count="9" xr9:uid="{AB718B29-3CBD-4DB5-98B8-0DF5F4A8055F}">
      <tableStyleElement type="headerRow" dxfId="684"/>
      <tableStyleElement type="firstColumn" dxfId="683"/>
      <tableStyleElement type="lastColumn" dxfId="682"/>
      <tableStyleElement type="firstRowStripe" dxfId="681"/>
      <tableStyleElement type="secondRowStripe" dxfId="680"/>
      <tableStyleElement type="firstColumnStripe" dxfId="679"/>
      <tableStyleElement type="secondColumnStripe" dxfId="678"/>
      <tableStyleElement type="firstHeaderCell" dxfId="677"/>
      <tableStyleElement type="lastHeaderCell" dxfId="676"/>
    </tableStyle>
    <tableStyle name="Estilo de tabla dinámica 1" table="0" count="0" xr9:uid="{FBDC35D4-3EEA-4193-B3ED-33DFB7E20245}"/>
    <tableStyle name="SinCambiosDeFormato" pivot="0" count="0" xr9:uid="{57BD0889-00EB-4433-891B-5B079F4BA7F4}"/>
  </tableStyles>
  <colors>
    <mruColors>
      <color rgb="FFFF6565"/>
      <color rgb="FFFF5B5B"/>
      <color rgb="FF60F2B0"/>
      <color rgb="FF99F9E0"/>
      <color rgb="FFA3A3E1"/>
      <color rgb="FFE2005B"/>
      <color rgb="FFF20062"/>
      <color rgb="FFFF0066"/>
      <color rgb="FFAEF8DC"/>
      <color rgb="FFB6F9E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17/10/relationships/person" Target="persons/perso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1581150</xdr:colOff>
          <xdr:row>0</xdr:row>
          <xdr:rowOff>171450</xdr:rowOff>
        </xdr:from>
        <xdr:to>
          <xdr:col>1</xdr:col>
          <xdr:colOff>2686050</xdr:colOff>
          <xdr:row>2</xdr:row>
          <xdr:rowOff>171450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sng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Mostrar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152400</xdr:colOff>
          <xdr:row>0</xdr:row>
          <xdr:rowOff>19050</xdr:rowOff>
        </xdr:from>
        <xdr:to>
          <xdr:col>11</xdr:col>
          <xdr:colOff>514350</xdr:colOff>
          <xdr:row>0</xdr:row>
          <xdr:rowOff>304800</xdr:rowOff>
        </xdr:to>
        <xdr:sp macro="" textlink="">
          <xdr:nvSpPr>
            <xdr:cNvPr id="9256" name="Button 40" hidden="1">
              <a:extLst>
                <a:ext uri="{63B3BB69-23CF-44E3-9099-C40C66FF867C}">
                  <a14:compatExt spid="_x0000_s9256"/>
                </a:ext>
                <a:ext uri="{FF2B5EF4-FFF2-40B4-BE49-F238E27FC236}">
                  <a16:creationId xmlns:a16="http://schemas.microsoft.com/office/drawing/2014/main" id="{00000000-0008-0000-0300-00002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Agregar DEUDA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104775</xdr:colOff>
          <xdr:row>0</xdr:row>
          <xdr:rowOff>28575</xdr:rowOff>
        </xdr:from>
        <xdr:to>
          <xdr:col>7</xdr:col>
          <xdr:colOff>1304925</xdr:colOff>
          <xdr:row>0</xdr:row>
          <xdr:rowOff>361950</xdr:rowOff>
        </xdr:to>
        <xdr:sp macro="" textlink="">
          <xdr:nvSpPr>
            <xdr:cNvPr id="11279" name="Button 15" hidden="1">
              <a:extLst>
                <a:ext uri="{63B3BB69-23CF-44E3-9099-C40C66FF867C}">
                  <a14:compatExt spid="_x0000_s11279"/>
                </a:ext>
                <a:ext uri="{FF2B5EF4-FFF2-40B4-BE49-F238E27FC236}">
                  <a16:creationId xmlns:a16="http://schemas.microsoft.com/office/drawing/2014/main" id="{00000000-0008-0000-0400-00000F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1" i="0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Agregar PAGO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152400</xdr:colOff>
          <xdr:row>0</xdr:row>
          <xdr:rowOff>19050</xdr:rowOff>
        </xdr:from>
        <xdr:to>
          <xdr:col>11</xdr:col>
          <xdr:colOff>514350</xdr:colOff>
          <xdr:row>0</xdr:row>
          <xdr:rowOff>304800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5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Agregar DEUDA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104775</xdr:colOff>
          <xdr:row>0</xdr:row>
          <xdr:rowOff>28575</xdr:rowOff>
        </xdr:from>
        <xdr:to>
          <xdr:col>7</xdr:col>
          <xdr:colOff>1304925</xdr:colOff>
          <xdr:row>0</xdr:row>
          <xdr:rowOff>361950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6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1" i="0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Agregar PAGO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>
  <person displayName="NEGOCIOS Y APLICACIONES ESTRATEGICAS S.A. DE C.V." id="{36170F40-C5F2-4FB3-B294-7A211421F84C}" userId="d744b031a561ee3d" providerId="Windows Live"/>
  <person displayName="Francisco Javier Velasco Cruz" id="{459F92EB-0FA7-44FD-90D3-C32375D9E60C}" userId="fd1f659a22996235" providerId="Windows Live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FD537CA2-E47A-4919-A58E-CA8F38DF8B9C}" name="TabSubsidio" displayName="TabSubsidio" ref="A17:C28" totalsRowShown="0" headerRowDxfId="675" tableBorderDxfId="674" headerRowCellStyle="Normal_COMPARATIVOOUTOSOURCING_AGUSTIN">
  <autoFilter ref="A17:C28" xr:uid="{FD537CA2-E47A-4919-A58E-CA8F38DF8B9C}"/>
  <tableColumns count="3">
    <tableColumn id="1" xr3:uid="{3BB7D933-6138-4F47-AC17-A602FD1080AB}" name="PARA INGRESOS DE" dataDxfId="673"/>
    <tableColumn id="2" xr3:uid="{300FD422-439F-4669-9FD0-87E0F5CFEEDD}" name="HASTA INGRESOS DE" dataDxfId="672"/>
    <tableColumn id="3" xr3:uid="{A21288CC-D783-4277-A221-18462CF0885C}" name="SUBSIDIO" dataDxfId="671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FC894EC4-A6D3-4E36-886D-97BC75CB5B2B}" name="TabPuestos" displayName="TabPuestos" ref="A32:D66" totalsRowShown="0" headerRowDxfId="670" dataDxfId="669" tableBorderDxfId="668" headerRowCellStyle="Normal_COMPARATIVOOUTOSOURCING_AGUSTIN">
  <autoFilter ref="A32:D66" xr:uid="{FC894EC4-A6D3-4E36-886D-97BC75CB5B2B}"/>
  <tableColumns count="4">
    <tableColumn id="1" xr3:uid="{204DB206-5747-4396-8C05-B1D51A875FFD}" name="PUESTO" dataDxfId="667"/>
    <tableColumn id="5" xr3:uid="{CB7F02DC-F69F-496F-851C-0B937D8EA3B8}" name="ÁREA" dataDxfId="666"/>
    <tableColumn id="3" xr3:uid="{29D5921B-13B0-4A4A-A529-67438719274C}" name="PRIMA DOMINICAL" dataDxfId="665"/>
    <tableColumn id="4" xr3:uid="{644BBCAE-0C38-4FDA-9249-B7367DB06D2A}" name="N° ALIMENTOS" dataDxfId="664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D911B35-48F1-4A1B-A58B-EC8798D5351E}" name="TabFactorIntegracion" displayName="TabFactorIntegracion" ref="A70:G120" totalsRowShown="0" headerRowDxfId="663" dataDxfId="661" headerRowBorderDxfId="662" tableBorderDxfId="660" totalsRowBorderDxfId="659">
  <autoFilter ref="A70:G120" xr:uid="{0D911B35-48F1-4A1B-A58B-EC8798D5351E}"/>
  <tableColumns count="7">
    <tableColumn id="1" xr3:uid="{26183A3A-1349-4332-A8C4-28D2FD145E37}" name="Año\Concepto" dataDxfId="658" dataCellStyle="Incorrecto"/>
    <tableColumn id="2" xr3:uid="{FC19957B-AD85-4048-9A78-D67C1CBE27C3}" name="Días vacacionales_x000a_establecidos por ley" dataDxfId="657" dataCellStyle="Neutral"/>
    <tableColumn id="3" xr3:uid="{4D428912-D8CE-46E8-9A5A-B5C39DD393CF}" name="% de prima _x000a_vacacional y dominical" dataDxfId="656" dataCellStyle="Neutral"/>
    <tableColumn id="4" xr3:uid="{22EA4253-D866-422D-A7E6-6B8A3795043D}" name="% por alimento" dataDxfId="655" dataCellStyle="Neutral"/>
    <tableColumn id="5" xr3:uid="{FA400E0A-1314-4885-BEF4-4BC63C175316}" name="Días de_x000a_aguinaldo" dataDxfId="654" dataCellStyle="Neutral"/>
    <tableColumn id="6" xr3:uid="{A1596383-A674-46CF-8363-0AA127700DF5}" name="FACTOR DE_x000a_INTEGRACIÓN" dataDxfId="653" dataCellStyle="Incorrecto">
      <calculatedColumnFormula>((TabFactorIntegracion[[#This Row],[Días de
aguinaldo]]+(TabFactorIntegracion[[#This Row],[Días vacacionales
establecidos por ley]]*TabFactorIntegracion[[#This Row],[% de prima 
vacacional y dominical]]))/365)</calculatedColumnFormula>
    </tableColumn>
    <tableColumn id="8" xr3:uid="{9C39C311-028E-4896-9F23-24DBA8B58D1D}" name="PRIMA_x000a_DOMINICAL" dataDxfId="652" dataCellStyle="Incorrecto">
      <calculatedColumnFormula>+($N$12/365)*TabFactorIntegracion[[#This Row],[% de prima 
vacacional y dominical]]</calculatedColumnFormula>
    </tableColumn>
  </tableColumns>
  <tableStyleInfo name="Estilo de tabla 100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6FB5715C-BC16-4E9B-99DA-B1ED60420DF0}" name="TabFechaIMSS" displayName="TabFechaIMSS" ref="N7:O13" totalsRowShown="0" headerRowDxfId="651" dataDxfId="650">
  <autoFilter ref="N7:O13" xr:uid="{6FB5715C-BC16-4E9B-99DA-B1ED60420DF0}"/>
  <tableColumns count="2">
    <tableColumn id="1" xr3:uid="{7A9E94E3-0D63-4991-8333-2307B22EF24B}" name="Fecha de _x000a_actualización IMSS" dataDxfId="649">
      <calculatedColumnFormula>("01/03/"&amp;Asistencias!B$1)-DAY(1)</calculatedColumnFormula>
    </tableColumn>
    <tableColumn id="2" xr3:uid="{0B4622E5-448E-47E4-BBF0-E396741FFDF4}" name="Desc." dataDxfId="648"/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9B47207E-BF8B-4A1B-BA4B-CA19592D5ABA}" name="TabDatosAsistencia" displayName="TabDatosAsistencia" ref="A123:D143" totalsRowShown="0" headerRowBorderDxfId="647" tableBorderDxfId="646" totalsRowBorderDxfId="645">
  <autoFilter ref="A123:D143" xr:uid="{9B47207E-BF8B-4A1B-BA4B-CA19592D5ABA}"/>
  <tableColumns count="4">
    <tableColumn id="1" xr3:uid="{C895609D-01CB-44EE-943F-DCF666D6F40B}" name="Representación"/>
    <tableColumn id="2" xr3:uid="{C2802223-C987-4B01-B809-9FB3792203B1}" name="Significado" dataDxfId="644" dataCellStyle="Incorrecto">
      <calculatedColumnFormula>Asistencias!B6</calculatedColumnFormula>
    </tableColumn>
    <tableColumn id="3" xr3:uid="{6397C76F-CA82-4390-8084-4BA0D3928DFC}" name="Consideración" dataDxfId="643" dataCellStyle="Neutral"/>
    <tableColumn id="4" xr3:uid="{B4275B9C-006E-4ED9-9427-5D3689EC833D}" name="Descripción de la consideración" dataDxfId="642" dataCellStyle="Neutral"/>
  </tableColumns>
  <tableStyleInfo name="SinCambiosDeFormato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E1D0DF87-990D-4317-A2F3-60C0F6FAB2F3}" name="TabOtros" displayName="TabOtros" ref="N18:P19" totalsRowShown="0">
  <autoFilter ref="N18:P19" xr:uid="{E1D0DF87-990D-4317-A2F3-60C0F6FAB2F3}"/>
  <tableColumns count="3">
    <tableColumn id="1" xr3:uid="{DCF92A39-7211-4CC1-B4FC-F5905DEF5C55}" name="Concepto" dataCellStyle="Neutral"/>
    <tableColumn id="2" xr3:uid="{B1C61A06-B49B-4E19-8129-456750C7E66D}" name="Descripcion" dataCellStyle="Incorrecto"/>
    <tableColumn id="3" xr3:uid="{D890E909-DC98-4FAC-B5A7-6A25E14E2991}" name="Descripcion2"/>
  </tableColumns>
  <tableStyleInfo name="TableStyleLight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67A530A-EA25-495F-9274-C9D426566227}" name="TabISR" displayName="TabISR" ref="A3:D14" totalsRowShown="0" headerRowDxfId="641" dataDxfId="639" headerRowBorderDxfId="640" tableBorderDxfId="638" headerRowCellStyle="Normal_COMPARATIVOOUTOSOURCING_AGUSTIN">
  <autoFilter ref="A3:D14" xr:uid="{767A530A-EA25-495F-9274-C9D426566227}"/>
  <tableColumns count="4">
    <tableColumn id="1" xr3:uid="{5AA07F1F-45DC-4E64-B019-E7B40286E689}" name="Límite inferior" dataDxfId="637"/>
    <tableColumn id="2" xr3:uid="{DEF83A52-3BFA-46E7-B794-A82FB6CBE80F}" name="Límite superior" dataDxfId="636"/>
    <tableColumn id="3" xr3:uid="{2EFB6978-779B-4028-A3C7-52DFC38C09DA}" name="Cuota fija" dataDxfId="635"/>
    <tableColumn id="4" xr3:uid="{05BA2602-FDDF-4A51-B9D5-D34992FA5EB4}" name="Por ciento para aplicarse sobre el excedente del límite inferior" dataDxfId="634"/>
  </tableColumns>
  <tableStyleInfo name="TableStyleLight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D82EA6B-4CA1-4D82-89D1-7544AA03EC64}" name="TabEmpleados" displayName="TabEmpleados" ref="A1:M76" totalsRowShown="0">
  <autoFilter ref="A1:M76" xr:uid="{9D82EA6B-4CA1-4D82-89D1-7544AA03EC64}"/>
  <sortState xmlns:xlrd2="http://schemas.microsoft.com/office/spreadsheetml/2017/richdata2" ref="A2:L76">
    <sortCondition ref="A1:A76"/>
  </sortState>
  <tableColumns count="13">
    <tableColumn id="10" xr3:uid="{B838F7AA-4AB6-4341-861E-716CA91D8765}" name="ID"/>
    <tableColumn id="1" xr3:uid="{4C74A292-D5A1-494C-8259-45ADDBCF8560}" name="Nombre"/>
    <tableColumn id="2" xr3:uid="{A6390A86-3F78-4757-A0A9-4A6321192D8C}" name="Puesto"/>
    <tableColumn id="3" xr3:uid="{08E1BE8A-CF7A-42ED-BC6A-D189D2C1F3F9}" name="Fecha de ingreso" dataDxfId="630"/>
    <tableColumn id="4" xr3:uid="{D173016E-F3CD-4E73-8F7E-79DCBAA35F89}" name="Tipo de contrato"/>
    <tableColumn id="5" xr3:uid="{9998B858-BE27-46B5-AFD1-B916E819E386}" name="SD Real" dataCellStyle="Moneda"/>
    <tableColumn id="6" xr3:uid="{3A9928BB-B39D-42E9-BA0B-27BBCD1ED678}" name="Salario Real" dataDxfId="629" dataCellStyle="Incorrecto">
      <calculatedColumnFormula>TabEmpleados[[#This Row],[SD Real]]*15</calculatedColumnFormula>
    </tableColumn>
    <tableColumn id="13" xr3:uid="{D9024C3F-E6CF-4A9B-B736-CB72A37C92CF}" name="SD Fiscal" dataDxfId="628" dataCellStyle="Moneda">
      <calculatedColumnFormula>TabEmpleados[[#This Row],[SD Real]]-(TabEmpleados[[#This Row],[SD Real]]/10*7)</calculatedColumnFormula>
    </tableColumn>
    <tableColumn id="7" xr3:uid="{51DAB45C-55A8-41BC-BEB8-A657A6170F1C}" name="RFC"/>
    <tableColumn id="8" xr3:uid="{8343EC5F-0E0E-4257-8F7D-BE1988F89607}" name="NSS"/>
    <tableColumn id="9" xr3:uid="{53365422-381D-43C5-BAA3-E65345DDEE1C}" name="Fecha de alta NSS" dataDxfId="627">
      <calculatedColumnFormula>TabEmpleados[[#This Row],[Fecha de ingreso]]</calculatedColumnFormula>
    </tableColumn>
    <tableColumn id="11" xr3:uid="{F535FFF3-95C7-4CD2-B451-D03B8E64BC63}" name="Banco de pago"/>
    <tableColumn id="12" xr3:uid="{F96227EE-AE34-415F-862D-FC5C4F3A2D38}" name="Columna1"/>
  </tableColumns>
  <tableStyleInfo name="TableStyleLight8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0335B7C-2F69-4308-B215-02332883BF0D}" name="TabAsistencias" displayName="TabAsistencias" ref="A30:RG105" totalsRowShown="0" headerRowDxfId="604" dataDxfId="603" tableBorderDxfId="602">
  <autoFilter ref="A30:RG105" xr:uid="{70335B7C-2F69-4308-B215-02332883BF0D}"/>
  <tableColumns count="475">
    <tableColumn id="391" xr3:uid="{7F0CECF8-0261-429E-A988-AD95467DB414}" name="ID" dataDxfId="601">
      <calculatedColumnFormula>A30+1</calculatedColumnFormula>
    </tableColumn>
    <tableColumn id="1" xr3:uid="{8B63E006-5A28-4EC0-B293-A2A94D3E85BE}" name="Nombre" dataDxfId="600">
      <calculatedColumnFormula array="1">VLOOKUP(TabAsistencias[[#This Row],[ID]],TabEmpleados[],COLUMN(TabEmpleados[Nombre]),FALSE)</calculatedColumnFormula>
    </tableColumn>
    <tableColumn id="2" xr3:uid="{8F42D075-682E-4B79-BD52-4A820C538A4E}" name="Ju. 1_x000a_/12" dataDxfId="599"/>
    <tableColumn id="455" xr3:uid="{FA68DF57-C617-4B05-BAC4-38DBFC752D16}" name="Vi. 2_x000a_/12" dataDxfId="598"/>
    <tableColumn id="454" xr3:uid="{98305C30-9BC4-42EC-9CD9-AE9D73411D12}" name="Sa. 3_x000a_/12" dataDxfId="597"/>
    <tableColumn id="453" xr3:uid="{1B645F7E-69B5-4900-84E9-9E1058447CAC}" name="Do. 4_x000a_/12" dataDxfId="596"/>
    <tableColumn id="452" xr3:uid="{DF5EA1AD-F989-40C8-9172-EF49849CCE82}" name="Lu. 5_x000a_/12" dataDxfId="595"/>
    <tableColumn id="451" xr3:uid="{49370325-6E25-46FC-A644-FBCEF78453E4}" name="Ma. 6_x000a_/12" dataDxfId="594"/>
    <tableColumn id="450" xr3:uid="{05A36664-DCE4-4798-A778-6D8737F1ACF4}" name="Mi. 7_x000a_/12" dataDxfId="593"/>
    <tableColumn id="449" xr3:uid="{CBFF3602-2D61-49EB-8C23-B66CCB759E6D}" name="Ju. 8_x000a_/12" dataDxfId="592"/>
    <tableColumn id="448" xr3:uid="{8EDED2BE-3355-49C2-8E98-5CBDA04F6DE0}" name="Vi. 9_x000a_/12" dataDxfId="591"/>
    <tableColumn id="447" xr3:uid="{35EB69DF-B34F-42D1-87BE-3709E2F23D73}" name="Sa. 10_x000a_/12" dataDxfId="590"/>
    <tableColumn id="446" xr3:uid="{2D93CA0B-B1CB-4A28-919A-CF3C91C0EF3D}" name="Do. 11_x000a_/12" dataDxfId="589"/>
    <tableColumn id="445" xr3:uid="{FDA525FB-38EE-407F-8FD1-AD72FDFC86B1}" name="Lu. 12_x000a_/12" dataDxfId="588"/>
    <tableColumn id="444" xr3:uid="{BF87B205-A625-4EE8-9970-0B95655A2878}" name="Ma. 13_x000a_/12" dataDxfId="587"/>
    <tableColumn id="443" xr3:uid="{02AE409C-1EBB-48BA-8674-FBB87802AB9B}" name="Mi. 14_x000a_/12" dataDxfId="586"/>
    <tableColumn id="442" xr3:uid="{7B4C60E3-D2EC-45AF-A8A9-ED2CE7D1CD24}" name="Ju. 15_x000a_/12" dataDxfId="585"/>
    <tableColumn id="441" xr3:uid="{A1292089-01B7-4CAC-B8B2-F17A55DBB3B2}" name="Vi. 16_x000a_/12" dataDxfId="584"/>
    <tableColumn id="440" xr3:uid="{ADBB838A-CD2C-4557-8F06-1DA9125FD100}" name="Sa. 17_x000a_/12" dataDxfId="583"/>
    <tableColumn id="439" xr3:uid="{B316CF47-AF5A-4FC4-BE4C-2838AFC2419B}" name="Do. 18_x000a_/12" dataDxfId="582"/>
    <tableColumn id="438" xr3:uid="{D7F772E4-A8ED-4D17-A7D6-5B2153EF6EEC}" name="Lu. 19_x000a_/12" dataDxfId="581"/>
    <tableColumn id="437" xr3:uid="{E8EFD601-CC21-442B-9B4C-B54192E37169}" name="Ma. 20_x000a_/12" dataDxfId="580"/>
    <tableColumn id="436" xr3:uid="{60BE93E3-50DE-4D9D-B757-5CE5B6465CE2}" name="Mi. 21_x000a_/12" dataDxfId="579"/>
    <tableColumn id="435" xr3:uid="{14F1B96B-894A-480E-91E3-9B03CAC08303}" name="Ju. 22_x000a_/12" dataDxfId="578"/>
    <tableColumn id="434" xr3:uid="{CA0275B6-9098-4AC8-84FD-42244C308F35}" name="Vi. 23_x000a_/12" dataDxfId="577"/>
    <tableColumn id="433" xr3:uid="{F489027D-34F9-4D79-83B9-9D4C14A5C5FF}" name="Sa. 24_x000a_/12" dataDxfId="576"/>
    <tableColumn id="432" xr3:uid="{D7ADF359-D91A-4B78-A609-0FDE9213035E}" name="Do. 25_x000a_/12" dataDxfId="575"/>
    <tableColumn id="431" xr3:uid="{7B38C0FD-A4FD-477D-80E5-C3AA06F0229E}" name="Lu. 26_x000a_/12" dataDxfId="574"/>
    <tableColumn id="430" xr3:uid="{7A7D0E57-119C-49D2-841A-C38298085233}" name="Ma. 27_x000a_/12" dataDxfId="573"/>
    <tableColumn id="429" xr3:uid="{33356244-F721-406E-85FC-52EBA14DA944}" name="Mi. 28_x000a_/12" dataDxfId="572"/>
    <tableColumn id="428" xr3:uid="{E93E5250-BDE7-4073-995F-2FAB388E337E}" name="Ju. 29_x000a_/12" dataDxfId="571"/>
    <tableColumn id="427" xr3:uid="{73CF03F5-FC3F-43CB-AC90-6AA276F1D523}" name="Vi. 30_x000a_/12" dataDxfId="570"/>
    <tableColumn id="426" xr3:uid="{5DCC14D4-AF9B-45CE-9EAA-613E4D070D99}" name="Sa. 31_x000a_/12" dataDxfId="569"/>
    <tableColumn id="425" xr3:uid="{9CDF7106-C4FC-46F5-8AB0-DF3A5252C556}" name="Do. 1_x000a_/1" dataDxfId="568"/>
    <tableColumn id="3" xr3:uid="{CDB64B7D-2A43-412A-8293-78D4F55CCC6C}" name="Lu. 2_x000a_/1" dataDxfId="567"/>
    <tableColumn id="4" xr3:uid="{5661F77B-21FB-44D7-ABF6-9C149708F7B6}" name="Ma. 3_x000a_/1" dataDxfId="566"/>
    <tableColumn id="5" xr3:uid="{FFFC956C-F3D6-4D6D-93B3-1C1AE37A18C9}" name="Mi. 4_x000a_/1" dataDxfId="565"/>
    <tableColumn id="6" xr3:uid="{01B9EC16-1131-4164-B7A3-B8F5D0F6F4F0}" name="Ju. 5_x000a_/1" dataDxfId="564"/>
    <tableColumn id="7" xr3:uid="{52E8B1A9-286F-4FF5-9482-86D6B4C490C2}" name="Vi. 6_x000a_/1" dataDxfId="563"/>
    <tableColumn id="8" xr3:uid="{1EA967B2-6763-4A4F-ADF5-8C7DAFFD08B3}" name="Sa. 7_x000a_/1" dataDxfId="562"/>
    <tableColumn id="9" xr3:uid="{A059A133-C89B-4533-B885-4E4799DCBC44}" name="Do. 8_x000a_/1" dataDxfId="561"/>
    <tableColumn id="10" xr3:uid="{31D4BFFE-EACB-4303-9931-155ED7A32B9D}" name="Lu. 9_x000a_/1" dataDxfId="560"/>
    <tableColumn id="11" xr3:uid="{D20D3355-3A3F-428D-9744-55831ED18CC9}" name="Ma. 10_x000a_/1" dataDxfId="559"/>
    <tableColumn id="12" xr3:uid="{4FEBCACC-E325-450C-AE26-4B9BA486B6B1}" name="Mi. 11_x000a_/1" dataDxfId="558"/>
    <tableColumn id="13" xr3:uid="{1169109C-1924-4343-9B78-F1AEC02FC562}" name="Ju. 12_x000a_/1" dataDxfId="557"/>
    <tableColumn id="14" xr3:uid="{1E863EE0-FE89-45D9-9EDC-72C706CCB602}" name="Vi. 13_x000a_/1" dataDxfId="556"/>
    <tableColumn id="15" xr3:uid="{AEDD4AD1-2225-4FE1-B4CE-1DB375B97120}" name="Sa. 14_x000a_/1" dataDxfId="555"/>
    <tableColumn id="16" xr3:uid="{8B373590-95E0-4200-BE85-15B013109C65}" name="Do. 15_x000a_/1" dataDxfId="554"/>
    <tableColumn id="17" xr3:uid="{F0651AA4-F813-41E7-9154-AE916C874A07}" name="Lu. 16_x000a_/1" dataDxfId="553"/>
    <tableColumn id="18" xr3:uid="{7D0E4D5E-68B5-4A42-9EB2-0AB86F80F4B9}" name="Ma. 17_x000a_/1" dataDxfId="552"/>
    <tableColumn id="19" xr3:uid="{2DB7D44E-613F-4CD1-B1B0-3B3BA0B15B86}" name="Mi. 18_x000a_/1" dataDxfId="551"/>
    <tableColumn id="20" xr3:uid="{BFE3603C-045D-4CBB-86EE-3AD752EE26BD}" name="Ju. 19_x000a_/1" dataDxfId="550"/>
    <tableColumn id="21" xr3:uid="{C8690CE4-760D-4D4C-9FEA-BEE79927C9CA}" name="Vi. 20_x000a_/1" dataDxfId="549"/>
    <tableColumn id="22" xr3:uid="{722A5CC2-FE98-479B-94C4-233F2CFA810C}" name="Sa. 21_x000a_/1" dataDxfId="548"/>
    <tableColumn id="23" xr3:uid="{7983E617-CEE0-4488-9403-BAC523AEAE34}" name="Do. 22_x000a_/1" dataDxfId="547"/>
    <tableColumn id="24" xr3:uid="{3BCA36DE-729F-48DE-907B-D0EF50B4EF8B}" name="Lu. 23_x000a_/1" dataDxfId="546"/>
    <tableColumn id="25" xr3:uid="{79AE723C-4B23-452D-BF75-CEC3DE81ECC9}" name="Ma. 24_x000a_/1" dataDxfId="545"/>
    <tableColumn id="26" xr3:uid="{4DA032A9-1872-48B9-8836-7F80323C18CA}" name="Mi. 25_x000a_/1" dataDxfId="544"/>
    <tableColumn id="27" xr3:uid="{40AA6079-E1A3-48BF-96FF-786C51DDBBC9}" name="Ju. 26_x000a_/1" dataDxfId="543"/>
    <tableColumn id="28" xr3:uid="{682EF5D9-387D-423D-B3DB-446627D61BF0}" name="Vi. 27_x000a_/1" dataDxfId="542"/>
    <tableColumn id="29" xr3:uid="{6A416000-0E6D-4DF6-86A1-99100D2A9C03}" name="Sa. 28_x000a_/1" dataDxfId="541"/>
    <tableColumn id="30" xr3:uid="{B618F26D-1801-4D7D-93D5-B630E54C35E5}" name="Do. 29_x000a_/1" dataDxfId="540"/>
    <tableColumn id="31" xr3:uid="{05B6DDDF-BE50-4E89-B3AC-CB4EC9762B86}" name="Lu. 30_x000a_/1" dataDxfId="539"/>
    <tableColumn id="32" xr3:uid="{9C7A5984-E5D0-4287-8B2A-1DC4238622B4}" name="Ma. 31_x000a_/1" dataDxfId="538"/>
    <tableColumn id="33" xr3:uid="{42B54E57-8D03-4361-9091-78536CDEDA88}" name="Mi. 1_x000a_/2" dataDxfId="537"/>
    <tableColumn id="34" xr3:uid="{77ADCE71-00DA-45D7-B049-4EEE6CA5F577}" name="Ju. 2_x000a_/2" dataDxfId="536"/>
    <tableColumn id="35" xr3:uid="{90C54FD2-46DB-42C4-AC7B-4067D72E0898}" name="Vi. 3_x000a_/2" dataDxfId="535"/>
    <tableColumn id="36" xr3:uid="{3756D092-572D-44EC-9309-1B9391E6B513}" name="Sa. 4_x000a_/2" dataDxfId="534"/>
    <tableColumn id="37" xr3:uid="{CD92B04F-FAF2-461E-9261-B74D038CDE27}" name="Do. 5_x000a_/2" dataDxfId="533"/>
    <tableColumn id="38" xr3:uid="{31CF0FD9-D8E2-4224-A012-BF7D85781065}" name="Lu. 6_x000a_/2" dataDxfId="532"/>
    <tableColumn id="39" xr3:uid="{DF50CE00-D2AF-411E-8573-4A76DC274A4C}" name="Ma. 7_x000a_/2" dataDxfId="531"/>
    <tableColumn id="40" xr3:uid="{840F2B5D-DDFA-450F-B468-442A666B5118}" name="Mi. 8_x000a_/2" dataDxfId="530"/>
    <tableColumn id="41" xr3:uid="{F1C4B9D4-8E62-4E80-8F73-FEEE745F99E4}" name="Ju. 9_x000a_/2" dataDxfId="529"/>
    <tableColumn id="42" xr3:uid="{5CFECAB6-7127-4FAF-9233-DF8332267238}" name="Vi. 10_x000a_/2" dataDxfId="528"/>
    <tableColumn id="43" xr3:uid="{68F696E0-83C5-4B2E-BA5D-49A9843D6548}" name="Sa. 11_x000a_/2" dataDxfId="527"/>
    <tableColumn id="44" xr3:uid="{FB901354-2297-4E7B-8E81-AE4D7A6F6D24}" name="Do. 12_x000a_/2" dataDxfId="526"/>
    <tableColumn id="45" xr3:uid="{56CB2ABF-78E8-4C3C-96E6-D28889898A08}" name="Lu. 13_x000a_/2" dataDxfId="525"/>
    <tableColumn id="46" xr3:uid="{8594F2C9-1C26-4091-BE21-E570D52D41B5}" name="Ma. 14_x000a_/2" dataDxfId="524"/>
    <tableColumn id="47" xr3:uid="{2DC4AF17-2BF3-4FD1-A506-C3BB52497F17}" name="Mi. 15_x000a_/2" dataDxfId="523"/>
    <tableColumn id="48" xr3:uid="{2FD99AAB-09BF-4D4F-A4D9-4F373A52025F}" name="Ju. 16_x000a_/2" dataDxfId="522"/>
    <tableColumn id="49" xr3:uid="{AF9E638A-C7C8-4D90-AD19-AEF7B2D24373}" name="Vi. 17_x000a_/2" dataDxfId="521"/>
    <tableColumn id="50" xr3:uid="{912FEFD1-2414-4EF2-ADA0-5767B203C3BD}" name="Sa. 18_x000a_/2" dataDxfId="520"/>
    <tableColumn id="51" xr3:uid="{9D8755D0-2B5C-43B4-99D7-EEE474F3787E}" name="Do. 19_x000a_/2" dataDxfId="519"/>
    <tableColumn id="52" xr3:uid="{F1043907-FCF8-4626-AA44-03E4DCCC471E}" name="Lu. 20_x000a_/2" dataDxfId="518"/>
    <tableColumn id="53" xr3:uid="{10F95AC2-90CB-4E05-933A-5E57AE7985AC}" name="Ma. 21_x000a_/2" dataDxfId="517"/>
    <tableColumn id="54" xr3:uid="{9D10608E-7A5A-4808-B0B5-983F4798247C}" name="Mi. 22_x000a_/2" dataDxfId="516"/>
    <tableColumn id="55" xr3:uid="{57356BA5-14F6-47CD-ACF8-56A33CBBE97C}" name="Ju. 23_x000a_/2" dataDxfId="515"/>
    <tableColumn id="56" xr3:uid="{E30AC9EE-4CA7-4AAF-BDBA-46F3DCB572CD}" name="Vi. 24_x000a_/2" dataDxfId="514"/>
    <tableColumn id="57" xr3:uid="{7EC1D1F1-A016-40B9-A0A7-82163B4E580D}" name="Sa. 25_x000a_/2" dataDxfId="513"/>
    <tableColumn id="58" xr3:uid="{35D18775-D6E6-42E0-8ECC-E2E454A8E2C2}" name="Do. 26_x000a_/2" dataDxfId="512"/>
    <tableColumn id="59" xr3:uid="{A18CC758-E68D-45F6-883D-E9FE28F5599B}" name="Lu. 27_x000a_/2" dataDxfId="511"/>
    <tableColumn id="60" xr3:uid="{FB525F91-59C2-453B-B636-F3D308F5FBCB}" name="Ma. 28_x000a_/2" dataDxfId="510"/>
    <tableColumn id="61" xr3:uid="{025D3D63-D2BD-4265-9D59-20D43C821027}" name="Mi. 1_x000a_/3" dataDxfId="509"/>
    <tableColumn id="62" xr3:uid="{89464F7F-1A30-44F4-AC5A-A427C1FCB8CC}" name="Ju. 2_x000a_/3" dataDxfId="508"/>
    <tableColumn id="63" xr3:uid="{06FD50AB-ACF1-4792-B417-BD135FB03D7C}" name="Vi. 3_x000a_/3" dataDxfId="507"/>
    <tableColumn id="64" xr3:uid="{7C8D7535-9BBA-4039-80B1-AC5A35AFBE03}" name="Sa. 4_x000a_/3" dataDxfId="506"/>
    <tableColumn id="65" xr3:uid="{3D7A7BA7-EC8F-4E0A-89A0-0AB40CC41878}" name="Do. 5_x000a_/3" dataDxfId="505"/>
    <tableColumn id="66" xr3:uid="{DA95CEEB-14A8-4388-ACEB-356E03EFF08C}" name="Lu. 6_x000a_/3" dataDxfId="504"/>
    <tableColumn id="67" xr3:uid="{3FF113B3-A336-4F5B-ABFB-E334B1F15CB6}" name="Ma. 7_x000a_/3" dataDxfId="503"/>
    <tableColumn id="68" xr3:uid="{8682241C-75F7-4FFD-84D8-908F8A26C76D}" name="Mi. 8_x000a_/3" dataDxfId="502"/>
    <tableColumn id="69" xr3:uid="{60F1C7B5-F821-455F-A7ED-1B43D6B4BA3E}" name="Ju. 9_x000a_/3" dataDxfId="501"/>
    <tableColumn id="70" xr3:uid="{4C46EE6B-ED6D-487C-9AEC-9AA24A5184D5}" name="Vi. 10_x000a_/3" dataDxfId="500"/>
    <tableColumn id="71" xr3:uid="{634F8EAA-FD79-45AB-A4FA-569FF9C85593}" name="Sa. 11_x000a_/3" dataDxfId="499"/>
    <tableColumn id="72" xr3:uid="{238CB61F-1218-4BE4-B838-293200241EF0}" name="Do. 12_x000a_/3" dataDxfId="498"/>
    <tableColumn id="73" xr3:uid="{66BD6157-77E1-4D87-A9B0-1C53A399F79B}" name="Lu. 13_x000a_/3" dataDxfId="497"/>
    <tableColumn id="74" xr3:uid="{9AF2AD91-F783-45A6-8265-77C869C238AB}" name="Ma. 14_x000a_/3" dataDxfId="496"/>
    <tableColumn id="75" xr3:uid="{118E63F8-FAB3-4C41-827B-691CD8D48B8E}" name="Mi. 15_x000a_/3" dataDxfId="495"/>
    <tableColumn id="76" xr3:uid="{F499CCBC-D6C3-406D-A4CD-1617FE14295C}" name="Ju. 16_x000a_/3" dataDxfId="494"/>
    <tableColumn id="77" xr3:uid="{BBF6F20E-26A3-4CD6-AD9F-5E245461A4CC}" name="Vi. 17_x000a_/3" dataDxfId="493"/>
    <tableColumn id="78" xr3:uid="{7177D1CD-349E-4074-8E6E-FD1F9969C6B1}" name="Sa. 18_x000a_/3" dataDxfId="492"/>
    <tableColumn id="79" xr3:uid="{BF91808D-84A4-4B9C-A860-5F6762137A11}" name="Do. 19_x000a_/3" dataDxfId="491"/>
    <tableColumn id="80" xr3:uid="{BE28A865-CCC9-48A3-9803-F3C6E60FA1ED}" name="Lu. 20_x000a_/3" dataDxfId="490"/>
    <tableColumn id="81" xr3:uid="{25B5B7BB-3162-4DEC-84EF-BBC79A486A0D}" name="Ma. 21_x000a_/3" dataDxfId="489"/>
    <tableColumn id="82" xr3:uid="{F7592FCB-76AA-4E7C-A6DB-3B71C64D6422}" name="Mi. 22_x000a_/3" dataDxfId="488"/>
    <tableColumn id="83" xr3:uid="{3061B7D7-12D6-46D1-A130-E3CB2B363D26}" name="Ju. 23_x000a_/3" dataDxfId="487"/>
    <tableColumn id="84" xr3:uid="{2A1FB14B-1274-4748-ABAC-074D56076E3C}" name="Vi. 24_x000a_/3" dataDxfId="486"/>
    <tableColumn id="85" xr3:uid="{B7FC6524-F800-4768-AB4B-1A5B4AF52775}" name="Sa. 25_x000a_/3" dataDxfId="485"/>
    <tableColumn id="86" xr3:uid="{D4881914-FBE9-424F-8B54-EBE490F3C4ED}" name="Do. 26_x000a_/3" dataDxfId="484"/>
    <tableColumn id="87" xr3:uid="{80C684DF-FDEA-46DC-8D23-71DE8567B0E2}" name="Lu. 27_x000a_/3" dataDxfId="483"/>
    <tableColumn id="88" xr3:uid="{B6F91F1E-D8AC-4AB5-A0BC-3F35BEB10D52}" name="Ma. 28_x000a_/3" dataDxfId="482"/>
    <tableColumn id="89" xr3:uid="{E23DC98E-1237-4A2D-94C1-7BA0AA3F68AB}" name="Mi. 29_x000a_/3" dataDxfId="481"/>
    <tableColumn id="90" xr3:uid="{495BAFDE-CAD3-42C5-B6CF-7C5EB21B2162}" name="Ju. 30_x000a_/3" dataDxfId="480"/>
    <tableColumn id="91" xr3:uid="{799A51D6-B897-4E55-8E54-FB3C2C870294}" name="Vi. 31_x000a_/3" dataDxfId="479"/>
    <tableColumn id="92" xr3:uid="{7CF34CB7-311A-4EC9-9AE4-3EACB1CEDC20}" name="Sa. 1_x000a_/4" dataDxfId="478"/>
    <tableColumn id="93" xr3:uid="{97DAE0C3-069B-452D-835D-9B372D8991DE}" name="Do. 2_x000a_/4" dataDxfId="477"/>
    <tableColumn id="94" xr3:uid="{C94C3FC1-3C84-49C4-8C34-FCC33DA44F4E}" name="Lu. 3_x000a_/4" dataDxfId="476"/>
    <tableColumn id="95" xr3:uid="{5B1D4CA5-6A91-487C-998F-AB30F8FF8FF2}" name="Ma. 4_x000a_/4" dataDxfId="475"/>
    <tableColumn id="96" xr3:uid="{4EA91D49-D017-4342-9087-65B0C8E5EBE6}" name="Mi. 5_x000a_/4" dataDxfId="474"/>
    <tableColumn id="97" xr3:uid="{58617FE1-7E6C-42D1-923E-7B5C0D9B01A7}" name="Ju. 6_x000a_/4" dataDxfId="473"/>
    <tableColumn id="98" xr3:uid="{32E1BC2C-8F31-41A4-BE83-FD38AE38AE9B}" name="Vi. 7_x000a_/4" dataDxfId="472"/>
    <tableColumn id="99" xr3:uid="{361690AE-8E8D-41ED-9B67-4D6B1F5ECB19}" name="Sa. 8_x000a_/4" dataDxfId="471"/>
    <tableColumn id="100" xr3:uid="{5EC65A2F-D2EF-4F76-A633-42CA3CF3ADB5}" name="Do. 9_x000a_/4" dataDxfId="470"/>
    <tableColumn id="101" xr3:uid="{391A27A9-F657-4705-8E32-1A0007374560}" name="Lu. 10_x000a_/4" dataDxfId="469"/>
    <tableColumn id="102" xr3:uid="{0473AEED-2B80-42BC-A036-AD0360F22546}" name="Ma. 11_x000a_/4" dataDxfId="468"/>
    <tableColumn id="103" xr3:uid="{6AD0C770-C2AC-42E9-9EF1-6F72F804B39C}" name="Mi. 12_x000a_/4" dataDxfId="467"/>
    <tableColumn id="104" xr3:uid="{33F956E1-4433-4061-A9B4-75ACE8E73A76}" name="Ju. 13_x000a_/4" dataDxfId="466"/>
    <tableColumn id="105" xr3:uid="{95E862CF-1B7F-43A0-B8A3-B60C8A9574C6}" name="Vi. 14_x000a_/4" dataDxfId="465"/>
    <tableColumn id="106" xr3:uid="{1A9E8C8F-D9A0-4032-A9F4-5ABA4CFFF0D2}" name="Sa. 15_x000a_/4" dataDxfId="464"/>
    <tableColumn id="107" xr3:uid="{4CEFDB56-5751-4BB9-A769-621BB09F8D77}" name="Do. 16_x000a_/4" dataDxfId="463"/>
    <tableColumn id="108" xr3:uid="{02CB1191-8660-464F-A349-AC44DB2BBB0C}" name="Lu. 17_x000a_/4" dataDxfId="462"/>
    <tableColumn id="109" xr3:uid="{017F4D47-A73D-406A-9A10-17DE3B168F4E}" name="Ma. 18_x000a_/4" dataDxfId="461"/>
    <tableColumn id="110" xr3:uid="{BB732586-F764-42B6-84A3-3C74B2A98666}" name="Mi. 19_x000a_/4" dataDxfId="460"/>
    <tableColumn id="111" xr3:uid="{C302D429-82AD-49A3-A3E3-82E7535995B8}" name="Ju. 20_x000a_/4" dataDxfId="459"/>
    <tableColumn id="112" xr3:uid="{9F3596CE-5A6C-4CEB-B0B4-9EC6DFEFFACE}" name="Vi. 21_x000a_/4" dataDxfId="458"/>
    <tableColumn id="113" xr3:uid="{284D4769-2814-42F8-A9F6-7624A1BDC7F0}" name="Sa. 22_x000a_/4" dataDxfId="457"/>
    <tableColumn id="114" xr3:uid="{1F1AFEA9-A4D5-4F2C-94B8-EB0880AAF1E3}" name="Do. 23_x000a_/4" dataDxfId="456"/>
    <tableColumn id="115" xr3:uid="{644252B3-4768-4CE8-87E3-F927CD970B29}" name="Lu. 24_x000a_/4" dataDxfId="455"/>
    <tableColumn id="116" xr3:uid="{8AF11950-3BE1-446D-912C-C5F78EF107D5}" name="Ma. 25_x000a_/4" dataDxfId="454"/>
    <tableColumn id="117" xr3:uid="{D97C1B0B-B7BC-4BB1-BF4E-44E95498D573}" name="Mi. 26_x000a_/4" dataDxfId="453"/>
    <tableColumn id="118" xr3:uid="{93BD791E-54D4-41E9-A1B1-715853FC1E8E}" name="Ju. 27_x000a_/4" dataDxfId="452"/>
    <tableColumn id="119" xr3:uid="{A53A0485-DADC-4714-8C0B-5C01A7001D11}" name="Vi. 28_x000a_/4" dataDxfId="451"/>
    <tableColumn id="120" xr3:uid="{284990BE-477F-400B-8401-C05F7134586D}" name="Sa. 29_x000a_/4" dataDxfId="450"/>
    <tableColumn id="121" xr3:uid="{F471482B-6110-423B-91E5-11A301672BFE}" name="Do. 30_x000a_/4" dataDxfId="449"/>
    <tableColumn id="122" xr3:uid="{AAB13D4A-5471-4F2F-815B-637532C95B8D}" name="Lu. 1_x000a_/5" dataDxfId="448"/>
    <tableColumn id="123" xr3:uid="{B6D3CD7E-1E95-483E-BC54-A654835FEF96}" name="Ma. 2_x000a_/5" dataDxfId="447"/>
    <tableColumn id="124" xr3:uid="{B0D4133D-5994-4B2D-9D37-3951F4AC2B06}" name="Mi. 3_x000a_/5" dataDxfId="446"/>
    <tableColumn id="125" xr3:uid="{0E00DEB3-FC9B-4352-B68C-5F03DAA6615A}" name="Ju. 4_x000a_/5" dataDxfId="445"/>
    <tableColumn id="126" xr3:uid="{3E0032EB-EBB7-4028-8075-1F8A22DB08CB}" name="Vi. 5_x000a_/5" dataDxfId="444"/>
    <tableColumn id="127" xr3:uid="{4CAB2D50-330A-40B8-A9A8-7606F57CDA68}" name="Sa. 6_x000a_/5" dataDxfId="443"/>
    <tableColumn id="128" xr3:uid="{FA40A409-3F81-4258-9D82-E2727FE47F1F}" name="Do. 7_x000a_/5" dataDxfId="442"/>
    <tableColumn id="129" xr3:uid="{AA682198-1C30-4DF3-908A-FFF70F815902}" name="Lu. 8_x000a_/5" dataDxfId="441"/>
    <tableColumn id="130" xr3:uid="{6A9371C3-4596-4AC4-B988-EC34CFFE77DF}" name="Ma. 9_x000a_/5" dataDxfId="440"/>
    <tableColumn id="131" xr3:uid="{45677FB4-0D4C-4743-B168-0DEDB48BE8E5}" name="Mi. 10_x000a_/5" dataDxfId="439"/>
    <tableColumn id="132" xr3:uid="{55DB8CA3-9BF0-47C9-ADF5-606B0C9740DD}" name="Ju. 11_x000a_/5" dataDxfId="438"/>
    <tableColumn id="133" xr3:uid="{856B87D1-1353-4F79-A32F-DEA75816AE27}" name="Vi. 12_x000a_/5" dataDxfId="437"/>
    <tableColumn id="134" xr3:uid="{58E487F5-175B-4986-9386-897ED2736D8F}" name="Sa. 13_x000a_/5" dataDxfId="436"/>
    <tableColumn id="135" xr3:uid="{F9C35274-1B6E-4B25-B191-B72748509B04}" name="Do. 14_x000a_/5" dataDxfId="435"/>
    <tableColumn id="136" xr3:uid="{42A5F1C9-73BA-47A1-9EF9-7D37B02C56BA}" name="Lu. 15_x000a_/5" dataDxfId="434"/>
    <tableColumn id="137" xr3:uid="{38473D78-8F67-4585-9075-CCE0E05CD4C0}" name="Ma. 16_x000a_/5" dataDxfId="433"/>
    <tableColumn id="138" xr3:uid="{60E6FB72-ACDC-4D03-B6A6-ACB9292276A2}" name="Mi. 17_x000a_/5" dataDxfId="432"/>
    <tableColumn id="139" xr3:uid="{FD9704A4-31EE-46F8-9273-D2E51EB51488}" name="Ju. 18_x000a_/5" dataDxfId="431"/>
    <tableColumn id="140" xr3:uid="{D7E903FF-13DD-4591-9084-3BA672D30D44}" name="Vi. 19_x000a_/5" dataDxfId="430"/>
    <tableColumn id="141" xr3:uid="{6BBFBC0F-D8DC-4B4D-BB2F-DBB45C824C81}" name="Sa. 20_x000a_/5" dataDxfId="429"/>
    <tableColumn id="142" xr3:uid="{3BC892D0-3679-458F-BE3A-60004C4D1F60}" name="Do. 21_x000a_/5" dataDxfId="428"/>
    <tableColumn id="143" xr3:uid="{5FB64172-62CE-4DC7-AB2C-6121AC6F74D9}" name="Lu. 22_x000a_/5" dataDxfId="427"/>
    <tableColumn id="144" xr3:uid="{16DEA93B-C5D9-449A-80C2-2B4CB753BFE6}" name="Ma. 23_x000a_/5" dataDxfId="426"/>
    <tableColumn id="145" xr3:uid="{81ABD6D1-E250-4E60-9D2E-1459C1ED4628}" name="Mi. 24_x000a_/5" dataDxfId="425"/>
    <tableColumn id="146" xr3:uid="{671F2729-1FA7-4BD6-A4E7-646223FBECDB}" name="Ju. 25_x000a_/5" dataDxfId="424"/>
    <tableColumn id="147" xr3:uid="{FBEA05D5-FDDD-4AC5-808B-EF7EF8E8A0E4}" name="Vi. 26_x000a_/5" dataDxfId="423"/>
    <tableColumn id="148" xr3:uid="{90B3516D-AEC6-4D98-AA1D-0485047B731C}" name="Sa. 27_x000a_/5" dataDxfId="422"/>
    <tableColumn id="149" xr3:uid="{B6A1559A-4CCA-4F8D-AB16-278BB59B5E03}" name="Do. 28_x000a_/5" dataDxfId="421"/>
    <tableColumn id="150" xr3:uid="{9FE509A6-5996-4D2A-A228-281319F9430E}" name="Lu. 29_x000a_/5" dataDxfId="420"/>
    <tableColumn id="151" xr3:uid="{19969E5C-C3A9-4297-9A0B-1FE1F2A09878}" name="Ma. 30_x000a_/5" dataDxfId="419"/>
    <tableColumn id="152" xr3:uid="{E4AA4D57-77D7-4CF3-9E47-F0D75A98EEA3}" name="Mi. 31_x000a_/5" dataDxfId="418"/>
    <tableColumn id="153" xr3:uid="{F52378B7-DA2E-4937-B530-93C7873819DB}" name="Ju. 1_x000a_/6" dataDxfId="417"/>
    <tableColumn id="154" xr3:uid="{FA25F53E-75AA-4294-B022-EB69DF409D66}" name="Vi. 2_x000a_/6" dataDxfId="416"/>
    <tableColumn id="155" xr3:uid="{0548D55A-0B0E-41F8-A6D0-4B0E80FED04C}" name="Sa. 3_x000a_/6" dataDxfId="415"/>
    <tableColumn id="156" xr3:uid="{72B3DE40-A7BF-47CB-8477-3C562B97B6BA}" name="Do. 4_x000a_/6" dataDxfId="414"/>
    <tableColumn id="157" xr3:uid="{30E2DA2C-F3D0-4C16-9475-C160BE189BA7}" name="Lu. 5_x000a_/6" dataDxfId="413"/>
    <tableColumn id="158" xr3:uid="{0BB380FE-3679-4979-8226-4464D957A603}" name="Ma. 6_x000a_/6" dataDxfId="412"/>
    <tableColumn id="159" xr3:uid="{FC72BEC1-15FF-4DF0-90F9-36E26A78D7E1}" name="Mi. 7_x000a_/6" dataDxfId="411"/>
    <tableColumn id="160" xr3:uid="{8776D5F2-F47C-4B05-8FB2-56B8C8D036F1}" name="Ju. 8_x000a_/6" dataDxfId="410"/>
    <tableColumn id="161" xr3:uid="{E470B797-6A87-4623-AFCC-088695765382}" name="Vi. 9_x000a_/6" dataDxfId="409"/>
    <tableColumn id="162" xr3:uid="{532CEF07-95D3-45A8-902A-124EB8272711}" name="Sa. 10_x000a_/6" dataDxfId="408"/>
    <tableColumn id="163" xr3:uid="{BE775B0B-8DC7-4501-8285-0FED3C175893}" name="Do. 11_x000a_/6" dataDxfId="407"/>
    <tableColumn id="164" xr3:uid="{ED055F04-AC7C-462B-B8E6-6E61B93BD7BE}" name="Lu. 12_x000a_/6" dataDxfId="406"/>
    <tableColumn id="165" xr3:uid="{CB7F09ED-7767-43A4-8877-A302DFDE83E9}" name="Ma. 13_x000a_/6" dataDxfId="405"/>
    <tableColumn id="166" xr3:uid="{81D135F0-AA08-4097-9E74-BF43EE94FF7F}" name="Mi. 14_x000a_/6" dataDxfId="404"/>
    <tableColumn id="457" xr3:uid="{EF857CAC-A516-45D4-8F7E-C3A107292E36}" name="Ju. 15_x000a_/6" dataDxfId="403"/>
    <tableColumn id="458" xr3:uid="{A1EA8851-87F7-486D-925E-339FEFE955EC}" name="Vi. 16_x000a_/6" dataDxfId="402"/>
    <tableColumn id="167" xr3:uid="{9A44863C-7DAE-4508-B9D3-E2FEC6754B2E}" name="Sa. 17_x000a_/6" dataDxfId="401"/>
    <tableColumn id="168" xr3:uid="{19D47E74-E940-434D-9DBD-945C95C20F0C}" name="Do. 18_x000a_/6" dataDxfId="400"/>
    <tableColumn id="169" xr3:uid="{4DF74990-E267-4871-9834-4253E388F63E}" name="Lu. 19_x000a_/6" dataDxfId="399"/>
    <tableColumn id="170" xr3:uid="{F9EB740C-633E-4BC5-B6C8-B21AA426D8CF}" name="Ma. 20_x000a_/6" dataDxfId="398"/>
    <tableColumn id="171" xr3:uid="{6F213E6F-0B14-4E54-8941-ECA1046642EF}" name="Mi. 21_x000a_/6" dataDxfId="397"/>
    <tableColumn id="172" xr3:uid="{0AD2DF31-A371-4980-8041-9E7BA981E89E}" name="Ju. 22_x000a_/6" dataDxfId="396"/>
    <tableColumn id="173" xr3:uid="{AE13E5F7-7A90-45FD-8C0E-B731F5317F9C}" name="Vi. 23_x000a_/6" dataDxfId="395"/>
    <tableColumn id="174" xr3:uid="{01E6C7C6-51AF-4F7F-B8F2-E3882AF9EB28}" name="Sa. 24_x000a_/6" dataDxfId="394"/>
    <tableColumn id="175" xr3:uid="{88C490FC-0A77-461D-B008-CCA1521B7EF6}" name="Do. 25_x000a_/6" dataDxfId="393"/>
    <tableColumn id="176" xr3:uid="{FABD7D93-0B15-4141-B70C-C655B72CEDEC}" name="Lu. 26_x000a_/6" dataDxfId="392"/>
    <tableColumn id="177" xr3:uid="{BB77AB11-876D-4F9D-943C-4638C327BDC2}" name="Ma. 27_x000a_/6" dataDxfId="391"/>
    <tableColumn id="178" xr3:uid="{7726F087-73F2-4AEE-AB80-4654FC9CD338}" name="Mi. 28_x000a_/6" dataDxfId="390"/>
    <tableColumn id="179" xr3:uid="{9A5ACE32-60A3-446E-818A-17134CB05C43}" name="Ju. 29_x000a_/6" dataDxfId="389"/>
    <tableColumn id="180" xr3:uid="{5E8DC70D-44C8-45F1-B410-0AC6C3CDAE20}" name="Vi. 30_x000a_/6" dataDxfId="388"/>
    <tableColumn id="181" xr3:uid="{42231FC2-C899-4EB3-ADCC-8A77A531A801}" name="Sa. 1_x000a_/7" dataDxfId="387"/>
    <tableColumn id="182" xr3:uid="{CA1A48CD-6603-4A22-B74E-D9F945912155}" name="Do. 2_x000a_/7" dataDxfId="386"/>
    <tableColumn id="183" xr3:uid="{BB93F7B7-24D5-4A7A-AB67-160ACE790FC9}" name="Lu. 3_x000a_/7" dataDxfId="385"/>
    <tableColumn id="184" xr3:uid="{DB493A54-8771-49B7-A8DD-20693F4F820D}" name="Ma. 4_x000a_/7" dataDxfId="384"/>
    <tableColumn id="185" xr3:uid="{1DDD2BE6-F271-42F7-90CB-F77C2FF743B7}" name="Mi. 5_x000a_/7" dataDxfId="383"/>
    <tableColumn id="186" xr3:uid="{8A88A122-94A5-431E-8F52-8A2E24709880}" name="Ju. 6_x000a_/7" dataDxfId="382"/>
    <tableColumn id="187" xr3:uid="{09650C02-8B96-4B2A-A253-0CF8A67BC92E}" name="Vi. 7_x000a_/7" dataDxfId="381"/>
    <tableColumn id="188" xr3:uid="{E165AB3A-59B8-4625-AB32-6366A1D93349}" name="Sa. 8_x000a_/7" dataDxfId="380"/>
    <tableColumn id="189" xr3:uid="{5DC15939-E369-4ABE-AC6F-F233DE42056D}" name="Do. 9_x000a_/7" dataDxfId="379"/>
    <tableColumn id="190" xr3:uid="{840B2610-CF29-4F1C-9F44-91E555C44098}" name="Lu. 10_x000a_/7" dataDxfId="378"/>
    <tableColumn id="191" xr3:uid="{40A819C4-0AD9-4EFC-A1A6-242E6EC0DC4A}" name="Ma. 11_x000a_/7" dataDxfId="377"/>
    <tableColumn id="192" xr3:uid="{9D1E231B-8F95-48D6-AB04-CE0CC64D7214}" name="Mi. 12_x000a_/7" dataDxfId="376"/>
    <tableColumn id="193" xr3:uid="{CBF3EA1F-3F01-46A0-B946-B9129B3B1BC7}" name="Ju. 13_x000a_/7" dataDxfId="375"/>
    <tableColumn id="194" xr3:uid="{5718D8FB-50B2-4681-8C99-965C6A30B35E}" name="Vi. 14_x000a_/7" dataDxfId="374"/>
    <tableColumn id="195" xr3:uid="{3317E8F5-E8BF-4FCB-AC54-D0E2C09D801C}" name="Sa. 15_x000a_/7" dataDxfId="373"/>
    <tableColumn id="196" xr3:uid="{A46AF6E9-5330-4F1B-9253-5F8BA4B7634A}" name="Do. 16_x000a_/7" dataDxfId="372"/>
    <tableColumn id="197" xr3:uid="{C462E8DE-E203-4FFA-8282-92A334AF59E1}" name="Lu. 17_x000a_/7" dataDxfId="371"/>
    <tableColumn id="198" xr3:uid="{F0FAEFA6-1312-4BDB-80CA-F72C94F2995A}" name="Ma. 18_x000a_/7" dataDxfId="370"/>
    <tableColumn id="199" xr3:uid="{57DDB4C9-DCDC-4874-8B6F-2E5884A82644}" name="Mi. 19_x000a_/7" dataDxfId="369"/>
    <tableColumn id="200" xr3:uid="{D860E5DE-E8C5-48B0-BDB0-B3A79AB3A1C3}" name="Ju. 20_x000a_/7" dataDxfId="368"/>
    <tableColumn id="201" xr3:uid="{17E7E2C1-F781-4B88-BF67-44662A6141EF}" name="Vi. 21_x000a_/7" dataDxfId="367"/>
    <tableColumn id="202" xr3:uid="{485FF8DA-045F-4FA2-89E7-AEC44FF6D9DA}" name="Sa. 22_x000a_/7" dataDxfId="366"/>
    <tableColumn id="203" xr3:uid="{5530B9BF-506F-4880-9A91-DB9C278600C3}" name="Do. 23_x000a_/7" dataDxfId="365"/>
    <tableColumn id="204" xr3:uid="{0219B0E4-622F-4A06-BA33-DCF457327209}" name="Lu. 24_x000a_/7" dataDxfId="364"/>
    <tableColumn id="205" xr3:uid="{1B79E313-72FE-448E-87DD-1AFF2E24C88A}" name="Ma. 25_x000a_/7" dataDxfId="363"/>
    <tableColumn id="206" xr3:uid="{152C9582-369C-49C6-B1BD-ADE949B8EB23}" name="Mi. 26_x000a_/7" dataDxfId="362"/>
    <tableColumn id="207" xr3:uid="{5805A833-28C2-447A-BE92-484DC2F0EED7}" name="Ju. 27_x000a_/7" dataDxfId="361"/>
    <tableColumn id="208" xr3:uid="{F95065EB-D8F0-4F3C-83ED-592237ACF6A4}" name="Vi. 28_x000a_/7" dataDxfId="360"/>
    <tableColumn id="209" xr3:uid="{AAE62AA9-5C48-4AB1-B2A3-9893F45D45C6}" name="Sa. 29_x000a_/7" dataDxfId="359"/>
    <tableColumn id="210" xr3:uid="{72E84618-978D-49DD-ADBB-4E029A82426D}" name="Do. 30_x000a_/7" dataDxfId="358"/>
    <tableColumn id="211" xr3:uid="{2A018330-5EB9-4542-81D7-1AC78F240445}" name="Lu. 31_x000a_/7" dataDxfId="357"/>
    <tableColumn id="212" xr3:uid="{C4563B19-82B4-41B1-BE24-95EDD3EA7E96}" name="Ma. 1_x000a_/8" dataDxfId="356"/>
    <tableColumn id="213" xr3:uid="{F5EAF760-A670-4BEF-BB5F-C05060D32268}" name="Mi. 2_x000a_/8" dataDxfId="355"/>
    <tableColumn id="214" xr3:uid="{B6ABDB05-E90D-4E01-A861-3EC460567366}" name="Ju. 3_x000a_/8" dataDxfId="354"/>
    <tableColumn id="215" xr3:uid="{131CCAA0-664F-4CB9-B9E9-D79B91EFAA84}" name="Vi. 4_x000a_/8" dataDxfId="353"/>
    <tableColumn id="216" xr3:uid="{897D6D14-45BF-4CE2-801E-699360E2B244}" name="Sa. 5_x000a_/8" dataDxfId="352"/>
    <tableColumn id="217" xr3:uid="{C39BDB9B-2390-4612-8C30-0E935AD108E6}" name="Do. 6_x000a_/8" dataDxfId="351"/>
    <tableColumn id="218" xr3:uid="{A09988B3-D350-4ECD-A55C-A065BDC918B3}" name="Lu. 7_x000a_/8" dataDxfId="350"/>
    <tableColumn id="219" xr3:uid="{BC8CCD80-F322-4E0C-BCB2-8480A6182289}" name="Ma. 8_x000a_/8" dataDxfId="349"/>
    <tableColumn id="220" xr3:uid="{98649F2B-6CDB-49D2-A5C2-936E3D8BA31C}" name="Mi. 9_x000a_/8" dataDxfId="348"/>
    <tableColumn id="221" xr3:uid="{009EBCDC-2584-44A3-8E9F-21A3413CF02D}" name="Ju. 10_x000a_/8" dataDxfId="347"/>
    <tableColumn id="222" xr3:uid="{11CA07B7-923E-42C0-BA54-FDC2F874C989}" name="Vi. 11_x000a_/8" dataDxfId="346"/>
    <tableColumn id="223" xr3:uid="{A0F39636-62DD-4647-8E94-3005430627E2}" name="Sa. 12_x000a_/8" dataDxfId="345"/>
    <tableColumn id="224" xr3:uid="{DEF003CC-9368-4A29-A4D2-E325295F1C69}" name="Do. 13_x000a_/8" dataDxfId="344"/>
    <tableColumn id="225" xr3:uid="{D8C8D44A-6E06-4D0E-9C99-C64B073F009D}" name="Lu. 14_x000a_/8" dataDxfId="343"/>
    <tableColumn id="226" xr3:uid="{6BFD845F-2DE7-40C9-B748-2C52AE60D5AA}" name="Ma. 15_x000a_/8" dataDxfId="342"/>
    <tableColumn id="227" xr3:uid="{3E13D4C5-A772-4F73-823C-E35EFD136231}" name="Mi. 16_x000a_/8" dataDxfId="341"/>
    <tableColumn id="228" xr3:uid="{F64A8070-EF5B-4C9D-8989-7B270C5D57B6}" name="Ju. 17_x000a_/8" dataDxfId="340"/>
    <tableColumn id="229" xr3:uid="{39B74768-81AA-4E57-A9A4-26EB5285B6E4}" name="Vi. 18_x000a_/8" dataDxfId="339"/>
    <tableColumn id="230" xr3:uid="{67EC7401-BD51-447B-8EFB-4CE4CCFEF003}" name="Sa. 19_x000a_/8" dataDxfId="338"/>
    <tableColumn id="231" xr3:uid="{64210777-9AC9-4AA1-815A-456E0122AA81}" name="Do. 20_x000a_/8" dataDxfId="337"/>
    <tableColumn id="232" xr3:uid="{84054E76-BDB6-4097-88E8-C170669F5D3E}" name="Lu. 21_x000a_/8" dataDxfId="336"/>
    <tableColumn id="233" xr3:uid="{4D337FA4-A17F-47F0-BF4C-0F973E5830D1}" name="Ma. 22_x000a_/8" dataDxfId="335"/>
    <tableColumn id="234" xr3:uid="{71DA5428-E725-4426-AEAE-FAEEFD9074AA}" name="Mi. 23_x000a_/8" dataDxfId="334"/>
    <tableColumn id="235" xr3:uid="{0A38E2EC-6933-4E60-B037-C89F4A908DA6}" name="Ju. 24_x000a_/8" dataDxfId="333"/>
    <tableColumn id="236" xr3:uid="{6EAD757D-069C-492C-A140-8FC6D95BFD62}" name="Vi. 25_x000a_/8" dataDxfId="332"/>
    <tableColumn id="237" xr3:uid="{A477BBE0-6729-4B50-B447-A0459E8D8C8D}" name="Sa. 26_x000a_/8" dataDxfId="331"/>
    <tableColumn id="238" xr3:uid="{FEA19EDB-3DA0-4947-AAF0-F0249D8E7B2B}" name="Do. 27_x000a_/8" dataDxfId="330"/>
    <tableColumn id="239" xr3:uid="{B93A52DE-5B10-4A99-9B71-6D95065634C1}" name="Lu. 28_x000a_/8" dataDxfId="329"/>
    <tableColumn id="240" xr3:uid="{C8F8CBD3-98B9-4DC9-9808-41D61F7B7EA7}" name="Ma. 29_x000a_/8" dataDxfId="328"/>
    <tableColumn id="241" xr3:uid="{09F5F043-2729-4948-8B80-797DBC1FDEA8}" name="Mi. 30_x000a_/8" dataDxfId="327"/>
    <tableColumn id="242" xr3:uid="{CBFB4737-7657-4CE0-BA49-B0DEC69B0C36}" name="Ju. 31_x000a_/8" dataDxfId="326"/>
    <tableColumn id="243" xr3:uid="{A2692471-24C8-4480-A501-F3177D2AB98E}" name="Vi. 1_x000a_/9" dataDxfId="325"/>
    <tableColumn id="244" xr3:uid="{703F450E-7FB9-447E-A10A-63D87FF649E0}" name="Sa. 2_x000a_/9" dataDxfId="324"/>
    <tableColumn id="245" xr3:uid="{7F28666C-2089-4EBF-86BD-B47E5D148A2B}" name="Do. 3_x000a_/9" dataDxfId="323"/>
    <tableColumn id="246" xr3:uid="{31FF9DF6-C485-42D7-B237-E4222DB600DA}" name="Lu. 4_x000a_/9" dataDxfId="322"/>
    <tableColumn id="247" xr3:uid="{DB57C7F8-F035-42C5-ACB3-80805DEBA5CD}" name="Ma. 5_x000a_/9" dataDxfId="321"/>
    <tableColumn id="248" xr3:uid="{340B6F0D-6E53-4389-AB92-D514E285A62E}" name="Mi. 6_x000a_/9" dataDxfId="320"/>
    <tableColumn id="249" xr3:uid="{FDD715E7-A12C-4BCD-A1AC-998DB4CD1AF5}" name="Ju. 7_x000a_/9" dataDxfId="319"/>
    <tableColumn id="250" xr3:uid="{E18019CD-294C-41D6-8025-AE93B5449A2B}" name="Vi. 8_x000a_/9" dataDxfId="318"/>
    <tableColumn id="251" xr3:uid="{F69853EC-5228-44D0-8C2E-D682F1F5D667}" name="Sa. 9_x000a_/9" dataDxfId="317"/>
    <tableColumn id="252" xr3:uid="{9BE21B5D-D607-4344-8E13-CA0EEE98ED69}" name="Do. 10_x000a_/9" dataDxfId="316"/>
    <tableColumn id="253" xr3:uid="{245E0777-B084-44F5-A8EB-02361FA17F78}" name="Lu. 11_x000a_/9" dataDxfId="315"/>
    <tableColumn id="254" xr3:uid="{BC4200EB-F043-40E6-9DEF-A600D72C5C78}" name="Ma. 12_x000a_/9" dataDxfId="314"/>
    <tableColumn id="255" xr3:uid="{0C9ED4E5-892E-4BBB-A8EC-97F09886751C}" name="Mi. 13_x000a_/9" dataDxfId="313"/>
    <tableColumn id="256" xr3:uid="{D882A5EE-2DEB-4ED8-953F-E76C2AEDEE9B}" name="Ju. 14_x000a_/9" dataDxfId="312"/>
    <tableColumn id="257" xr3:uid="{80AD6E45-5F41-4DEB-8375-E01B1E262247}" name="Vi. 15_x000a_/9" dataDxfId="311"/>
    <tableColumn id="258" xr3:uid="{B492D0FE-399D-4D37-BCE0-AF2C1B261BBD}" name="Sa. 16_x000a_/9" dataDxfId="310"/>
    <tableColumn id="259" xr3:uid="{2D40CB04-464A-42AE-A69B-9D79DD9B4C45}" name="Do. 17_x000a_/9" dataDxfId="309"/>
    <tableColumn id="260" xr3:uid="{48AE13BD-18C5-4E1D-920F-C95CF7C6CA38}" name="Lu. 18_x000a_/9" dataDxfId="308"/>
    <tableColumn id="261" xr3:uid="{36E11AE3-806E-4C8F-8B27-33D69C273530}" name="Ma. 19_x000a_/9" dataDxfId="307"/>
    <tableColumn id="262" xr3:uid="{1CB63D98-1DBF-47ED-B682-32D627D95ACA}" name="Mi. 20_x000a_/9" dataDxfId="306"/>
    <tableColumn id="263" xr3:uid="{FF8FEF2D-61F0-4D62-99BC-34085EA83CFF}" name="Ju. 21_x000a_/9" dataDxfId="305"/>
    <tableColumn id="264" xr3:uid="{A2A31DDF-99B8-40FA-BCD7-F2E200890761}" name="Vi. 22_x000a_/9" dataDxfId="304"/>
    <tableColumn id="265" xr3:uid="{487A2FE9-405C-4ED3-93DC-DF1AD308BABA}" name="Sa. 23_x000a_/9" dataDxfId="303"/>
    <tableColumn id="266" xr3:uid="{E8AD0170-4316-4E07-AE92-09FD92420BE3}" name="Do. 24_x000a_/9" dataDxfId="302"/>
    <tableColumn id="267" xr3:uid="{CDCD9A42-C724-4AC3-B1D6-FA441E7C7F85}" name="Lu. 25_x000a_/9" dataDxfId="301"/>
    <tableColumn id="268" xr3:uid="{C8570D03-1BB4-4F8B-B16F-D0F4D9E9315F}" name="Ma. 26_x000a_/9" dataDxfId="300"/>
    <tableColumn id="269" xr3:uid="{AFD05BFA-F998-4B44-9FB3-E3E8D205B8ED}" name="Mi. 27_x000a_/9" dataDxfId="299"/>
    <tableColumn id="270" xr3:uid="{FA12505C-DBF8-45F4-AFD6-2618FFF22F76}" name="Ju. 28_x000a_/9" dataDxfId="298"/>
    <tableColumn id="271" xr3:uid="{85D7A17F-C0E1-46FA-8021-0CDDB709BCE5}" name="Vi. 29_x000a_/9" dataDxfId="297"/>
    <tableColumn id="272" xr3:uid="{9675696E-32E5-438A-AFD9-484D107C913B}" name="Sa. 30_x000a_/9" dataDxfId="296"/>
    <tableColumn id="273" xr3:uid="{EFFD625F-8B4E-4504-A737-E01EA457B8C5}" name="Do. 1_x000a_/10" dataDxfId="295"/>
    <tableColumn id="274" xr3:uid="{76020839-1E34-4E55-BAE6-6F971EA83383}" name="Lu. 2_x000a_/10" dataDxfId="294"/>
    <tableColumn id="275" xr3:uid="{7970930C-E57B-4CBC-92A2-CD1A6CEBCD58}" name="Ma. 3_x000a_/10" dataDxfId="293"/>
    <tableColumn id="276" xr3:uid="{D00B7378-F9BE-4597-BCDA-433FA0291D14}" name="Mi. 4_x000a_/10" dataDxfId="292"/>
    <tableColumn id="277" xr3:uid="{0DC2E272-2B60-4547-B4EE-2936C27A6D79}" name="Ju. 5_x000a_/10" dataDxfId="291"/>
    <tableColumn id="278" xr3:uid="{4050EAF6-3A6F-44CA-A29A-6659631F2731}" name="Vi. 6_x000a_/10" dataDxfId="290"/>
    <tableColumn id="279" xr3:uid="{FAA05E30-71B5-440F-8841-47A706634612}" name="Sa. 7_x000a_/10" dataDxfId="289"/>
    <tableColumn id="280" xr3:uid="{880E42FF-86F1-43A5-9623-2CBD59611D61}" name="Do. 8_x000a_/10" dataDxfId="288"/>
    <tableColumn id="281" xr3:uid="{1A5AFC2D-5C01-4068-88E7-C52DEE512FC8}" name="Lu. 9_x000a_/10" dataDxfId="287"/>
    <tableColumn id="282" xr3:uid="{0BE18F61-A7C4-4691-AB46-A45F9170EA25}" name="Ma. 10_x000a_/10" dataDxfId="286"/>
    <tableColumn id="283" xr3:uid="{7598015D-999C-4329-9906-5A0BCEFC1200}" name="Mi. 11_x000a_/10" dataDxfId="285"/>
    <tableColumn id="284" xr3:uid="{B6669919-F57B-44AC-8741-E1623DD37C19}" name="Ju. 12_x000a_/10" dataDxfId="284"/>
    <tableColumn id="285" xr3:uid="{05316F54-EB54-4B12-B3B9-2D81F55FE6C7}" name="Vi. 13_x000a_/10" dataDxfId="283"/>
    <tableColumn id="286" xr3:uid="{7E0B5525-0917-452E-9124-1BF7D58B7A28}" name="Sa. 14_x000a_/10" dataDxfId="282"/>
    <tableColumn id="287" xr3:uid="{51B0F983-8F79-480F-A03E-7597300DBC94}" name="Do. 15_x000a_/10" dataDxfId="281"/>
    <tableColumn id="288" xr3:uid="{1078D12B-1664-4CD9-93CB-EDDD64F0EAA7}" name="Lu. 16_x000a_/10" dataDxfId="280"/>
    <tableColumn id="289" xr3:uid="{83F6DBE9-A5EA-4B80-A984-315636852E31}" name="Ma. 17_x000a_/10" dataDxfId="279"/>
    <tableColumn id="290" xr3:uid="{B43C5178-5DFA-4604-9E3F-0F5C825DE43E}" name="Mi. 18_x000a_/10" dataDxfId="278"/>
    <tableColumn id="291" xr3:uid="{0EED2781-2A4A-42E2-BA2F-8DC61ABEB543}" name="Ju. 19_x000a_/10" dataDxfId="277"/>
    <tableColumn id="292" xr3:uid="{29FFA8EE-85B3-49F5-B657-C1C1E2BF201F}" name="Vi. 20_x000a_/10" dataDxfId="276"/>
    <tableColumn id="293" xr3:uid="{6682DF46-96C4-4E6F-A94D-0850E6B83960}" name="Sa. 21_x000a_/10" dataDxfId="275"/>
    <tableColumn id="294" xr3:uid="{2143ED07-28FD-43EA-9C4D-065C07A8C9A3}" name="Do. 22_x000a_/10" dataDxfId="274"/>
    <tableColumn id="295" xr3:uid="{5034C56D-711F-44AA-BB23-BBC0003A9C9A}" name="Lu. 23_x000a_/10" dataDxfId="273"/>
    <tableColumn id="296" xr3:uid="{B0FBD1D7-7E2E-4710-9382-684646137351}" name="Ma. 24_x000a_/10" dataDxfId="272"/>
    <tableColumn id="297" xr3:uid="{D7F95B6D-D2B4-4F23-9BEA-CAC939E1643C}" name="Mi. 25_x000a_/10" dataDxfId="271"/>
    <tableColumn id="298" xr3:uid="{A6E1F8DC-5F4E-4162-A5AA-59E857AF8437}" name="Ju. 26_x000a_/10" dataDxfId="270"/>
    <tableColumn id="299" xr3:uid="{94321C23-BCBF-4146-87DE-C8EB5C7B2C96}" name="Vi. 27_x000a_/10" dataDxfId="269"/>
    <tableColumn id="300" xr3:uid="{05053E21-074F-4E8C-B907-F6D21922E6F8}" name="Sa. 28_x000a_/10" dataDxfId="268"/>
    <tableColumn id="301" xr3:uid="{BDB54D14-3C3C-402C-B143-FCE305576806}" name="Do. 29_x000a_/10" dataDxfId="267"/>
    <tableColumn id="302" xr3:uid="{4A3C7D3F-DE5E-4059-94A9-ABB1D6024E35}" name="Lu. 30_x000a_/10" dataDxfId="266"/>
    <tableColumn id="303" xr3:uid="{D1C9C276-6672-4295-8D42-9BE35353E47D}" name="Ma. 31_x000a_/10" dataDxfId="265"/>
    <tableColumn id="304" xr3:uid="{E5AA8C93-468B-47A1-951E-7409496B1C27}" name="Mi. 1_x000a_/11" dataDxfId="264"/>
    <tableColumn id="305" xr3:uid="{9D5933CA-CB1A-4117-B22F-2B87822590DB}" name="Ju. 2_x000a_/11" dataDxfId="263"/>
    <tableColumn id="306" xr3:uid="{95D0C8F9-B735-4A8C-8E55-65892DC43CCC}" name="Vi. 3_x000a_/11" dataDxfId="262"/>
    <tableColumn id="307" xr3:uid="{25CAD109-1046-4B27-8167-2683116F5383}" name="Sa. 4_x000a_/11" dataDxfId="261"/>
    <tableColumn id="308" xr3:uid="{C9613D6E-C5FA-46BE-B22F-67DF4D6DF876}" name="Do. 5_x000a_/11" dataDxfId="260"/>
    <tableColumn id="309" xr3:uid="{348D50C2-4829-4056-8D6B-38047B3641F1}" name="Lu. 6_x000a_/11" dataDxfId="259"/>
    <tableColumn id="310" xr3:uid="{624F0107-EEB8-4023-991F-CB09B5FABD8D}" name="Ma. 7_x000a_/11" dataDxfId="258"/>
    <tableColumn id="311" xr3:uid="{1CF68414-6D77-40F1-98CB-C121A1869560}" name="Mi. 8_x000a_/11" dataDxfId="257"/>
    <tableColumn id="312" xr3:uid="{53BC8C6A-FA76-40C5-B061-B9CA467AAE04}" name="Ju. 9_x000a_/11" dataDxfId="256"/>
    <tableColumn id="313" xr3:uid="{E89F6F5F-2EAA-4647-8594-2A518847226A}" name="Vi. 10_x000a_/11" dataDxfId="255"/>
    <tableColumn id="314" xr3:uid="{B0BD7958-821B-4D6C-8071-E4AC96F48C77}" name="Sa. 11_x000a_/11" dataDxfId="254"/>
    <tableColumn id="315" xr3:uid="{A59F04FD-CDB0-469A-BA35-D88A0691CCDC}" name="Do. 12_x000a_/11" dataDxfId="253"/>
    <tableColumn id="316" xr3:uid="{CAD3C89C-AF3A-4944-9728-59203D00C5E6}" name="Lu. 13_x000a_/11" dataDxfId="252"/>
    <tableColumn id="317" xr3:uid="{0457BB2D-DDE4-4778-9725-350E070D2ED9}" name="Ma. 14_x000a_/11" dataDxfId="251"/>
    <tableColumn id="318" xr3:uid="{35187FDB-5D8B-4C74-8D12-593215B5583A}" name="Mi. 15_x000a_/11" dataDxfId="250"/>
    <tableColumn id="319" xr3:uid="{56D84B6E-0989-4C3E-8210-369483862B06}" name="Ju. 16_x000a_/11" dataDxfId="249"/>
    <tableColumn id="320" xr3:uid="{A3C505CC-5B9B-4A50-81BE-2589EF5042C1}" name="Vi. 17_x000a_/11" dataDxfId="248"/>
    <tableColumn id="321" xr3:uid="{71C2AC27-FE7F-4A25-A0C9-A95B295BB7AE}" name="Sa. 18_x000a_/11" dataDxfId="247"/>
    <tableColumn id="322" xr3:uid="{6EA7BD01-8432-4ABD-890B-E469790CFCBD}" name="Do. 19_x000a_/11" dataDxfId="246"/>
    <tableColumn id="323" xr3:uid="{1539B9E4-F220-44A3-9302-3EF3D84DCB1E}" name="Lu. 20_x000a_/11" dataDxfId="245"/>
    <tableColumn id="324" xr3:uid="{5A1848A5-774A-4C64-9A9B-3E18FD193768}" name="Ma. 21_x000a_/11" dataDxfId="244"/>
    <tableColumn id="325" xr3:uid="{B21063A0-D92E-4D66-945A-1D7BAE10265F}" name="Mi. 22_x000a_/11" dataDxfId="243"/>
    <tableColumn id="326" xr3:uid="{04323F75-AEF7-4901-B1BB-0BEF6A7AAD01}" name="Ju. 23_x000a_/11" dataDxfId="242"/>
    <tableColumn id="327" xr3:uid="{E0B168E8-CA39-401E-B66B-BD6342271BFC}" name="Vi. 24_x000a_/11" dataDxfId="241"/>
    <tableColumn id="328" xr3:uid="{8EE2C7CB-5601-4D51-A9B6-3C202ABFF01B}" name="Sa. 25_x000a_/11" dataDxfId="240"/>
    <tableColumn id="329" xr3:uid="{67AA0C72-8F33-4971-9BB7-2514D4CA88CB}" name="Do. 26_x000a_/11" dataDxfId="239"/>
    <tableColumn id="330" xr3:uid="{BDF614F6-6C0E-42B4-B416-C34E13E6BB99}" name="Lu. 27_x000a_/11" dataDxfId="238"/>
    <tableColumn id="331" xr3:uid="{BBCFB726-F917-4E48-94B4-E0E417748436}" name="Ma. 28_x000a_/11" dataDxfId="237"/>
    <tableColumn id="332" xr3:uid="{07BBA8EB-D0DD-4A61-AA91-BC0D46ED0DC3}" name="Mi. 29_x000a_/11" dataDxfId="236"/>
    <tableColumn id="333" xr3:uid="{B4D5F11C-987C-4D31-912B-040E4CE9D8FE}" name="Ju. 30_x000a_/11" dataDxfId="235"/>
    <tableColumn id="334" xr3:uid="{FCD8493A-C196-4708-A166-5EE959A12C13}" name="Vi. 1_x000a_/12" dataDxfId="234"/>
    <tableColumn id="335" xr3:uid="{EB730B52-564B-4C42-A850-200E04B8A6C7}" name="Sa. 2_x000a_/12" dataDxfId="233"/>
    <tableColumn id="336" xr3:uid="{602ED484-D1E6-4F68-9494-1523D3D45112}" name="Do. 3_x000a_/12" dataDxfId="232"/>
    <tableColumn id="337" xr3:uid="{1E763B65-49BB-449B-9B14-FF388FFFCCD1}" name="Lu. 4_x000a_/12" dataDxfId="231"/>
    <tableColumn id="338" xr3:uid="{8F876982-4C36-48B3-BD3F-92CA1E5B81D9}" name="Ma. 5_x000a_/12" dataDxfId="230"/>
    <tableColumn id="339" xr3:uid="{BC2061E7-8B9A-4FCD-828D-3C47259DE617}" name="Mi. 6_x000a_/12" dataDxfId="229"/>
    <tableColumn id="340" xr3:uid="{E91A847F-99DF-4028-948E-9BF1F1917740}" name="Ju. 7_x000a_/12" dataDxfId="228"/>
    <tableColumn id="341" xr3:uid="{EF2B4F72-D825-4430-B58E-F1C01F5CD962}" name="Vi. 8_x000a_/12" dataDxfId="227"/>
    <tableColumn id="342" xr3:uid="{3D7DDFD7-CE9E-4383-8F44-C64FACB4AA5A}" name="Sa. 9_x000a_/12" dataDxfId="226"/>
    <tableColumn id="343" xr3:uid="{57DFE7A8-73EB-4AFB-BE8F-0330B24E4A25}" name="Do. 10_x000a_/12" dataDxfId="225"/>
    <tableColumn id="344" xr3:uid="{12D883E3-D8D1-4E8F-AE04-CDAFCC74E948}" name="Lu. 11_x000a_/12" dataDxfId="224"/>
    <tableColumn id="345" xr3:uid="{DF9B6221-D366-49A0-84C6-846E84A65221}" name="Ma. 12_x000a_/12" dataDxfId="223"/>
    <tableColumn id="346" xr3:uid="{81AED86E-BD46-499B-8A04-54A853FAC8AB}" name="Mi. 13_x000a_/12" dataDxfId="222"/>
    <tableColumn id="347" xr3:uid="{E3A666E4-879C-4435-B2FA-F6047F207DBF}" name="Ju. 14_x000a_/12" dataDxfId="221"/>
    <tableColumn id="348" xr3:uid="{95E8AB80-7E33-4D88-A3C2-20B6FCA887F4}" name="Vi. 15_x000a_/12" dataDxfId="220"/>
    <tableColumn id="349" xr3:uid="{A15C30B6-2F02-4714-9D03-D48E094F3F8B}" name="Sa. 16_x000a_/12" dataDxfId="219"/>
    <tableColumn id="350" xr3:uid="{CAFB842C-209A-4A2C-8732-917F9B39D497}" name="Do. 17_x000a_/12" dataDxfId="218"/>
    <tableColumn id="351" xr3:uid="{C52C5B19-15BA-49A4-B632-D7B271F51143}" name="Lu. 18_x000a_/12" dataDxfId="217"/>
    <tableColumn id="352" xr3:uid="{C7DD26E1-2C86-4584-89BC-8E3180ADBD79}" name="Ma. 19_x000a_/12" dataDxfId="216"/>
    <tableColumn id="353" xr3:uid="{469DD470-254F-4DDB-9F92-6DD5079090D6}" name="Mi. 20_x000a_/12" dataDxfId="215"/>
    <tableColumn id="354" xr3:uid="{BE056F20-E0B1-469E-84E8-1F509B6ED636}" name="Ju. 21_x000a_/12" dataDxfId="214"/>
    <tableColumn id="355" xr3:uid="{B2520DF5-3584-4FA1-8F08-F7072A983AA7}" name="Vi. 22_x000a_/12" dataDxfId="213"/>
    <tableColumn id="356" xr3:uid="{2AF9E779-1CA2-4A15-971E-F72D6EF4A0E6}" name="Sa. 23_x000a_/12" dataDxfId="212"/>
    <tableColumn id="357" xr3:uid="{C61A61C5-6687-49AC-BEBC-518ADCC7F4F9}" name="Do. 24_x000a_/12" dataDxfId="211"/>
    <tableColumn id="358" xr3:uid="{D40B4472-EBA8-4452-AB41-BDA59521DF11}" name="Lu. 25_x000a_/12" dataDxfId="210"/>
    <tableColumn id="359" xr3:uid="{CDBA9CAB-44A9-468B-BCCD-FEFF92C28208}" name="Ma. 26_x000a_/12" dataDxfId="209"/>
    <tableColumn id="360" xr3:uid="{481C93C0-8AC6-4CA5-BDD3-E89824A08139}" name="Mi. 27_x000a_/12" dataDxfId="208"/>
    <tableColumn id="361" xr3:uid="{FD37AFCC-8F7E-4E98-8BF4-03118C376E7F}" name="Ju. 28_x000a_/12" dataDxfId="207"/>
    <tableColumn id="362" xr3:uid="{00D53AAF-3740-4F28-AE97-694BB98E1BAF}" name="Vi. 29_x000a_/12" dataDxfId="206"/>
    <tableColumn id="363" xr3:uid="{7290B857-C8F7-4C2A-ADA6-BEA409654BEF}" name="Sa. 30_x000a_/12" dataDxfId="205"/>
    <tableColumn id="364" xr3:uid="{7773C054-97B2-4BBF-B9DD-0819A787A193}" name="Do. 31_x000a_/12" dataDxfId="204"/>
    <tableColumn id="365" xr3:uid="{26D9A4C2-8AF1-4EBA-9C04-A93459C41373}" name="Ma. 1_x000a_/1" dataDxfId="203"/>
    <tableColumn id="366" xr3:uid="{09D4D579-2A57-4337-A7CC-9256B19705EC}" name="Mi. 2_x000a_/1" dataDxfId="202"/>
    <tableColumn id="423" xr3:uid="{2F71C694-6178-47BA-A53B-5AFBEC5E5DA6}" name="Ju. 3_x000a_/1" dataDxfId="201"/>
    <tableColumn id="422" xr3:uid="{1770137E-6CC2-4565-9646-52C55F5032AA}" name="Vi. 4_x000a_/1" dataDxfId="200"/>
    <tableColumn id="421" xr3:uid="{196FFD36-3F2F-4A12-9D73-783236A4940E}" name="Sa. 5_x000a_/1" dataDxfId="199"/>
    <tableColumn id="420" xr3:uid="{E93CB024-D4C9-4419-B3B2-F4595CC0520B}" name="Do. 6_x000a_/1" dataDxfId="198"/>
    <tableColumn id="419" xr3:uid="{AEF7C770-106A-45CF-A25E-A44B3CD0AF04}" name="Lu. 7_x000a_/1" dataDxfId="197"/>
    <tableColumn id="418" xr3:uid="{134B45AD-D0FB-43BD-9AE3-C48C648505C6}" name="Ma. 8_x000a_/1" dataDxfId="196"/>
    <tableColumn id="417" xr3:uid="{BEFC3E74-A602-46DA-ACB7-A21F8B7AEE44}" name="Mi. 9_x000a_/1" dataDxfId="195"/>
    <tableColumn id="416" xr3:uid="{18ACED57-E959-4DE3-9827-72CF239B2092}" name="Ju. 10_x000a_/1" dataDxfId="194"/>
    <tableColumn id="415" xr3:uid="{C98AB2B1-EF21-427C-91EF-C9ED2A6FE726}" name="Vi. 11_x000a_/1" dataDxfId="193"/>
    <tableColumn id="414" xr3:uid="{438794DD-534E-4540-93B3-7B3F414DAB8C}" name="Sa. 12_x000a_/1" dataDxfId="192"/>
    <tableColumn id="413" xr3:uid="{FA6D36CF-EA0C-4FA9-87EF-DA3FC4FBFE79}" name="Do. 13_x000a_/1" dataDxfId="191"/>
    <tableColumn id="412" xr3:uid="{345421AC-52B8-4C1D-8B20-E4472FC3BD9D}" name="Lu. 14_x000a_/1" dataDxfId="190"/>
    <tableColumn id="411" xr3:uid="{EFF75F02-750C-4BF4-AAE9-DF6523AF2F45}" name="Ma. 15_x000a_/1" dataDxfId="189"/>
    <tableColumn id="410" xr3:uid="{98EA4833-C939-41E3-AE19-57C6FDAAC031}" name="Mi. 16_x000a_/1" dataDxfId="188"/>
    <tableColumn id="409" xr3:uid="{BC1DB1AC-604D-4946-9299-DA61503AEAC2}" name="Ju. 17_x000a_/1" dataDxfId="187"/>
    <tableColumn id="408" xr3:uid="{73D9EBB5-0A5E-48BE-BC19-AA423E932A53}" name="Vi. 18_x000a_/1" dataDxfId="186"/>
    <tableColumn id="407" xr3:uid="{0CCC00E0-D9B1-40AC-AAB1-73606B8E780D}" name="Sa. 19_x000a_/1" dataDxfId="185"/>
    <tableColumn id="406" xr3:uid="{AEFBEA0C-1007-43EF-9718-73A872722F85}" name="Do. 20_x000a_/1" dataDxfId="184"/>
    <tableColumn id="405" xr3:uid="{3842CE26-6476-4A54-A1C7-E8CED72D1F29}" name="Lu. 21_x000a_/1" dataDxfId="183"/>
    <tableColumn id="404" xr3:uid="{1F41789D-0427-46AC-8460-16CA51327B45}" name="Ma. 22_x000a_/1" dataDxfId="182"/>
    <tableColumn id="403" xr3:uid="{A5F9CEA1-B293-4F6E-8F79-E1D0A5716039}" name="Mi. 23_x000a_/1" dataDxfId="181"/>
    <tableColumn id="402" xr3:uid="{7713C8BB-D084-40C4-83A6-F25599C0D61D}" name="Ju. 24_x000a_/1" dataDxfId="180"/>
    <tableColumn id="401" xr3:uid="{85829896-770C-40B5-B127-A86E99CC66CE}" name="Vi. 25_x000a_/1" dataDxfId="179"/>
    <tableColumn id="400" xr3:uid="{40ADA901-9BC3-42FC-AE20-265DC2FD166F}" name="Sa. 26_x000a_/1" dataDxfId="178"/>
    <tableColumn id="399" xr3:uid="{68DAC983-A945-4F12-B379-6B39D6354D1C}" name="Do. 27_x000a_/1" dataDxfId="177"/>
    <tableColumn id="398" xr3:uid="{967A6367-FCB1-4C2D-BA45-0A4A86A1AA1C}" name="Lu. 28_x000a_/1" dataDxfId="176"/>
    <tableColumn id="397" xr3:uid="{CD05941F-1F66-419D-9605-90C85BFBE0DA}" name="Ma. 29_x000a_/1" dataDxfId="175"/>
    <tableColumn id="395" xr3:uid="{6CA5286D-7051-4417-AE4B-0718A2566E80}" name="Mi. 30_x000a_/1" dataDxfId="174"/>
    <tableColumn id="394" xr3:uid="{10C3D10A-00A3-4F93-9FE9-A387D2598AA8}" name="Ju. 31_x000a_/1" dataDxfId="173"/>
    <tableColumn id="393" xr3:uid="{270BE1CB-D7E3-41A1-A9B9-F8CB62EF885C}" name="Vi. 1_x000a_/2" dataDxfId="172"/>
    <tableColumn id="392" xr3:uid="{75D5E065-4CE9-4BA9-824B-FB0F0E9B76AF}" name="1" dataDxfId="171">
      <calculatedColumnFormula>COUNTIFS($C$27:$PN$27,("&lt;"&amp;$B$3),$C$27:$PN$27,("&gt;="&amp;$B$2),$C31:$PN31,TabAsistencias[[#Headers],[1]])</calculatedColumnFormula>
    </tableColumn>
    <tableColumn id="367" xr3:uid="{79CD1671-583C-4ED7-A479-B9D4A23B1B42}" name="E" dataDxfId="170">
      <calculatedColumnFormula>COUNTIFS($C$27:$PN$27,("&lt;"&amp;$B$3),$C$27:$PN$27,("&gt;="&amp;$B$2),$C31:$PN31,TabAsistencias[[#Headers],[E]])</calculatedColumnFormula>
    </tableColumn>
    <tableColumn id="368" xr3:uid="{F596E3B0-8D04-4E69-ACF7-43CAD8C54501}" name="DE" dataDxfId="169">
      <calculatedColumnFormula>COUNTIFS($C$27:$PN$27,("&lt;"&amp;$B$3),$C$27:$PN$27,("&gt;="&amp;$B$2),$C31:$PN31,TabAsistencias[[#Headers],[DE]])</calculatedColumnFormula>
    </tableColumn>
    <tableColumn id="369" xr3:uid="{8CDBF560-4E46-436F-90D4-601037825ED5}" name="V" dataDxfId="168">
      <calculatedColumnFormula>COUNTIFS($C$27:$PN$27,("&lt;"&amp;$B$3),$C$27:$PN$27,("&gt;="&amp;$B$2),$C31:$PN31,TabAsistencias[[#Headers],[V]])</calculatedColumnFormula>
    </tableColumn>
    <tableColumn id="370" xr3:uid="{4E9B1250-6A89-4480-9782-BCA0CDE49EED}" name="DO" dataDxfId="167">
      <calculatedColumnFormula>COUNTIFS($C$27:$PN$27,("&lt;"&amp;$B$3),$C$27:$PN$27,("&gt;="&amp;$B$2),$C31:$PN31,TabAsistencias[[#Headers],[DO]])</calculatedColumnFormula>
    </tableColumn>
    <tableColumn id="371" xr3:uid="{45426E1E-1954-41E1-A58D-2248B6547697}" name="P" dataDxfId="166">
      <calculatedColumnFormula>COUNTIFS($C$27:$PN$27,("&lt;"&amp;$B$3),$C$27:$PN$27,("&gt;="&amp;$B$2),$C31:$PN31,TabAsistencias[[#Headers],[P]])</calculatedColumnFormula>
    </tableColumn>
    <tableColumn id="372" xr3:uid="{DC5CC5EF-BDE3-483D-8D9C-7AB4C88A2D9B}" name="F" dataDxfId="165">
      <calculatedColumnFormula>COUNTIFS($C$27:$PN$27,("&lt;"&amp;$B$3),$C$27:$PN$27,("&gt;="&amp;$B$2),$C31:$PN31,TabAsistencias[[#Headers],[F]])</calculatedColumnFormula>
    </tableColumn>
    <tableColumn id="373" xr3:uid="{D1CC0029-6815-409F-AF0E-AB84514F4EEE}" name="R" dataDxfId="164">
      <calculatedColumnFormula>COUNTIFS($C$27:$PN$27,("&lt;"&amp;$B$3),$C$27:$PN$27,("&gt;="&amp;$B$2),$C31:$PN31,TabAsistencias[[#Headers],[R]])</calculatedColumnFormula>
    </tableColumn>
    <tableColumn id="374" xr3:uid="{37014590-147F-4368-AE40-23FA32B4F79F}" name="PP" dataDxfId="163">
      <calculatedColumnFormula>COUNTIFS($C$27:$PN$27,("&lt;"&amp;$B$3),$C$27:$PN$27,("&gt;="&amp;$B$2),$C31:$PN31,TabAsistencias[[#Headers],[PP]])</calculatedColumnFormula>
    </tableColumn>
    <tableColumn id="375" xr3:uid="{658E6A84-C870-4688-A3D8-DFCEB2FE437C}" name="0" dataDxfId="162">
      <calculatedColumnFormula>COUNTIFS($C$27:$PN$27,("&lt;"&amp;$B$3),$C$27:$PN$27,("&gt;="&amp;$B$2),$C31:$PN31,TabAsistencias[[#Headers],[0]])</calculatedColumnFormula>
    </tableColumn>
    <tableColumn id="376" xr3:uid="{F7DCB1EB-B516-4B43-A466-1444111B790C}" name="IG" dataDxfId="161">
      <calculatedColumnFormula>COUNTIFS($C$27:$PN$27,("&lt;"&amp;$B$3),$C$27:$PN$27,("&gt;="&amp;$B$2),$C31:$PN31,TabAsistencias[[#Headers],[IG]])</calculatedColumnFormula>
    </tableColumn>
    <tableColumn id="377" xr3:uid="{82C69295-884D-41F9-82A0-F93C1D8414F9}" name="NA" dataDxfId="160">
      <calculatedColumnFormula>COUNTIFS($C$27:$PN$27,("&lt;"&amp;$B$3),$C$27:$PN$27,("&gt;="&amp;$B$2),$C31:$PN31,TabAsistencias[[#Headers],[NA]])</calculatedColumnFormula>
    </tableColumn>
    <tableColumn id="378" xr3:uid="{9E7A3E68-6C61-4DDD-9A15-6A237EDBE6AD}" name="DF" dataDxfId="159">
      <calculatedColumnFormula>COUNTIFS($C$27:$PN$27,("&lt;"&amp;$B$3),$C$27:$PN$27,("&gt;="&amp;$B$2),$C31:$PN31,TabAsistencias[[#Headers],[DF]])</calculatedColumnFormula>
    </tableColumn>
    <tableColumn id="379" xr3:uid="{D5A108CC-E6E7-41F6-94B7-911A75ADA20F}" name="3" dataDxfId="158">
      <calculatedColumnFormula>COUNTIFS($C$27:$PN$27,("&lt;"&amp;$B$3),$C$27:$PN$27,("&gt;="&amp;$B$2),$C31:$PN31,TabAsistencias[[#Headers],[3]])</calculatedColumnFormula>
    </tableColumn>
    <tableColumn id="380" xr3:uid="{48CED970-49CA-41E6-850A-05B487D39B1D}" name="CP" dataDxfId="157">
      <calculatedColumnFormula>COUNTIFS($C$27:$PN$27,("&lt;"&amp;$B$3),$C$27:$PN$27,("&gt;="&amp;$B$2),$C31:$PN31,TabAsistencias[[#Headers],[CP]])</calculatedColumnFormula>
    </tableColumn>
    <tableColumn id="381" xr3:uid="{A7BBF065-F1A5-43BD-83EB-D52CA864B763}" name="I" dataDxfId="156">
      <calculatedColumnFormula>COUNTIFS($C$27:$PN$27,("&lt;"&amp;$B$3),$C$27:$PN$27,("&gt;="&amp;$B$2),$C31:$PN31,TabAsistencias[[#Headers],[I]])</calculatedColumnFormula>
    </tableColumn>
    <tableColumn id="382" xr3:uid="{A3B5BD4E-EF7D-4FC4-B636-6EFB09CE02F0}" name="T/2" dataDxfId="155">
      <calculatedColumnFormula>COUNTIFS($C$27:$PN$27,("&lt;"&amp;$B$3),$C$27:$PN$27,("&gt;="&amp;$B$2),$C31:$PN31,TabAsistencias[[#Headers],[T/2]])</calculatedColumnFormula>
    </tableColumn>
    <tableColumn id="383" xr3:uid="{37418E0B-2ABE-41F8-B6D6-C8E5E1384AA3}" name="ME" dataDxfId="154">
      <calculatedColumnFormula>COUNTIFS($C$27:$PN$27,("&lt;"&amp;$B$3),$C$27:$PN$27,("&gt;="&amp;$B$2),$C31:$PN31,TabAsistencias[[#Headers],[ME]])</calculatedColumnFormula>
    </tableColumn>
    <tableColumn id="384" xr3:uid="{6C1B2D22-3455-4060-9874-D609C4CB2373}" name="DP" dataDxfId="153">
      <calculatedColumnFormula>COUNTIFS($C$27:$PN$27,("&lt;"&amp;$B$3),$C$27:$PN$27,("&gt;="&amp;$B$2),$C31:$PN31,TabAsistencias[[#Headers],[DP]])</calculatedColumnFormula>
    </tableColumn>
    <tableColumn id="385" xr3:uid="{E96D41B2-A231-4043-B202-4F2726085CBA}" name="B" dataDxfId="152">
      <calculatedColumnFormula>COUNTIFS($C$27:$PN$27,("&lt;"&amp;$B$3),$C$27:$PN$27,("&gt;="&amp;$B$2),$C31:$PN31,TabAsistencias[[#Headers],[B]])</calculatedColumnFormula>
    </tableColumn>
    <tableColumn id="386" xr3:uid="{01C099B0-E2DD-4354-97F9-72406CA91BE6}" name="Total de dias laborados" dataDxfId="151">
      <calculatedColumnFormula>(TabAsistencias[[#This Row],[1]]*'Tablas de informacion'!$C$124)+(TabAsistencias[[#This Row],[E]]*'Tablas de informacion'!$C$125)+(TabAsistencias[[#This Row],[DE]]*'Tablas de informacion'!C$126)+(TabAsistencias[[#This Row],[V]]*'Tablas de informacion'!C$127)+(TabAsistencias[[#This Row],[DO]]*'Tablas de informacion'!C$128)+(TabAsistencias[[#This Row],[P]]*'Tablas de informacion'!C$129)+(TabAsistencias[[#This Row],[F]]*'Tablas de informacion'!C$130)+(TabAsistencias[[#This Row],[R]]*'Tablas de informacion'!C$131)+(TabAsistencias[[#This Row],[PP]]*'Tablas de informacion'!C$132)+(TabAsistencias[[#This Row],[0]]*'Tablas de informacion'!C$133)+(TabAsistencias[[#This Row],[IG]]*'Tablas de informacion'!C$134)+(TabAsistencias[[#This Row],[NA]]*'Tablas de informacion'!C$135)+(TabAsistencias[[#This Row],[DF]]*'Tablas de informacion'!C$136)+(TabAsistencias[[#This Row],[3]]*'Tablas de informacion'!C$137)+(TabAsistencias[[#This Row],[CP]]*'Tablas de informacion'!C$138)+(TabAsistencias[[#This Row],[I]]*'Tablas de informacion'!C$139)+(TabAsistencias[[#This Row],[T/2]]*'Tablas de informacion'!C$140)+(TabAsistencias[[#This Row],[ME]]*'Tablas de informacion'!C$141)+(TabAsistencias[[#This Row],[DP]]*'Tablas de informacion'!C$142)+(TabAsistencias[[#This Row],[B]]*'Tablas de informacion'!C$143)-INT(TabAsistencias[[#This Row],[R]]/3)</calculatedColumnFormula>
    </tableColumn>
    <tableColumn id="387" xr3:uid="{E6F141F6-8D95-43A2-9BB3-9E86AF4272DE}" name="Prima dominical" dataDxfId="150">
      <calculatedColumnFormula>COUNTIFS($C$27:$PN$27,("&lt;"&amp;$B$3),$C$27:$PN$27,("&gt;="&amp;$B$2),$C$28:$PN$28,1,$C31:$PN31,TabAsistencias[[#Headers],[1]])+
COUNTIFS($C$27:$PN$27,("&lt;"&amp;$B$3),$C$27:$PN$27,("&gt;="&amp;$B$2),$C$28:$PN$28,1,$C31:$PN31,TabAsistencias[[#Headers],[DO]])+
COUNTIFS($C$27:$PN$27,("&lt;"&amp;$B$3),$C$27:$PN$27,("&gt;="&amp;$B$2),$C$28:$PN$28,1,$C31:$PN31,TabAsistencias[[#Headers],[R]])+
COUNTIFS($C$27:$PN$27,("&lt;"&amp;$B$3),$C$27:$PN$27,("&gt;="&amp;$B$2),$C$28:$PN$28,1,$C31:$PN31,TabAsistencias[[#Headers],[NA]])+
COUNTIFS($C$27:$PN$27,("&lt;"&amp;$B$3),$C$27:$PN$27,("&gt;="&amp;$B$2),$C$28:$PN$28,1,$C31:$PN31,TabAsistencias[[#Headers],[DF]])+
COUNTIFS($C$27:$PN$27,("&lt;"&amp;$B$3),$C$27:$PN$27,("&gt;="&amp;$B$2),$C$28:$PN$28,1,$C31:$PN31,TabAsistencias[[#Headers],[3]])+
COUNTIFS($C$27:$PN$27,("&lt;"&amp;$B$3),$C$27:$PN$27,("&gt;="&amp;$B$2),$C$28:$PN$28,1,$C31:$PN31,TabAsistencias[[#Headers],[CP]])+
COUNTIFS($C$27:$PN$27,("&lt;"&amp;$B$3),$C$27:$PN$27,("&gt;="&amp;$B$2),$C$28:$PN$28,1,$C31:$PN31,TabAsistencias[[#Headers],[T/2]])</calculatedColumnFormula>
    </tableColumn>
    <tableColumn id="390" xr3:uid="{803333F6-0565-4B3E-A4C9-48CC720336BB}" name="Vacaciones pendientes" dataDxfId="149">
      <calculatedColumnFormula array="1">IFERROR(VLOOKUP(
DATEDIF((VLOOKUP(TabAsistencias[[#This Row],[ID]],TabEmpleados[],COLUMN(TabEmpleados[Fecha de ingreso]),FALSE)),Asistencias!$B$3,"Y"),
TabFactorIntegracion[],COLUMN(TabFactorIntegracion[Días vacacionales
establecidos por ley]),FALSE),0)
-
COUNTIF($AH31:$PN31,TabAsistencias[[#Headers],[V]])</calculatedColumnFormula>
    </tableColumn>
    <tableColumn id="388" xr3:uid="{0E2D19CB-1BCF-4D17-BA1D-440C0C8BEBC2}" name="'Total de dias laborados" dataDxfId="148">
      <calculatedColumnFormula>SUM(TabAsistencias[[#This Row],[''1]],TabAsistencias[[#This Row],[''DE]],TabAsistencias[[#This Row],[''DO]],TabAsistencias[[#This Row],[''R]],TabAsistencias[[#This Row],[''NA]],TabAsistencias[[#This Row],[''DF]],TabAsistencias[[#This Row],[''3]],TabAsistencias[[#This Row],[''CP]],TabAsistencias[[#This Row],[''T/2]],TabAsistencias[[#This Row],[''DP]])</calculatedColumnFormula>
    </tableColumn>
    <tableColumn id="389" xr3:uid="{AAAC621F-AFC0-4228-A669-82D7B648462F}" name="'1" dataDxfId="147">
      <calculatedColumnFormula>COUNTIFS($C$27:$PN$27,("&lt;"&amp;$B$5),$C$27:$PN$27,("&gt;="&amp;$B$4),$C31:$PN31,TabAsistencias[[#Headers],[1]])</calculatedColumnFormula>
    </tableColumn>
    <tableColumn id="456" xr3:uid="{A5189A69-47DB-40BC-86F0-318C30CAF58C}" name="'DE" dataDxfId="146">
      <calculatedColumnFormula>COUNTIFS($C$27:$PN$27,("&lt;"&amp;$B$5),$C$27:$PN$27,("&gt;="&amp;$B$4),$C31:$PN31,TabAsistencias[[#Headers],[DE]])</calculatedColumnFormula>
    </tableColumn>
    <tableColumn id="459" xr3:uid="{694DCDD0-6520-4901-99BB-89B30545CF24}" name="'V" dataDxfId="145">
      <calculatedColumnFormula>COUNTIFS($C$27:$PN$27,("&lt;"&amp;$B$5),$C$27:$PN$27,("&gt;="&amp;$B$4),$C31:$PN31,TabAsistencias[[#Headers],[V]])</calculatedColumnFormula>
    </tableColumn>
    <tableColumn id="460" xr3:uid="{022789CB-0A5A-40B7-981B-A0EBD2F66DEC}" name="'DO" dataDxfId="144">
      <calculatedColumnFormula>COUNTIFS($C$27:$PN$27,("&lt;"&amp;$B$5),$C$27:$PN$27,("&gt;="&amp;$B$4),$C31:$PN31,TabAsistencias[[#Headers],[DO]])</calculatedColumnFormula>
    </tableColumn>
    <tableColumn id="461" xr3:uid="{C8A85559-CD6B-497D-8CF8-DE38905A112D}" name="'P" dataDxfId="143">
      <calculatedColumnFormula>COUNTIFS($C$27:$PN$27,("&lt;"&amp;$B$5),$C$27:$PN$27,("&gt;="&amp;$B$4),$C31:$PN31,TabAsistencias[[#Headers],[P]])</calculatedColumnFormula>
    </tableColumn>
    <tableColumn id="462" xr3:uid="{3F027243-B803-414D-B51F-96F9E2F2F128}" name="'F" dataDxfId="142">
      <calculatedColumnFormula>COUNTIFS($C$27:$PN$27,("&lt;"&amp;$B$5),$C$27:$PN$27,("&gt;="&amp;$B$4),$C31:$PN31,TabAsistencias[[#Headers],[F]])</calculatedColumnFormula>
    </tableColumn>
    <tableColumn id="463" xr3:uid="{A02880AB-F3ED-41E6-BAF1-96CC75653731}" name="'R" dataDxfId="141">
      <calculatedColumnFormula>COUNTIFS($C$27:$PN$27,("&lt;"&amp;$B$5),$C$27:$PN$27,("&gt;="&amp;$B$4),$C31:$PN31,TabAsistencias[[#Headers],[R]])</calculatedColumnFormula>
    </tableColumn>
    <tableColumn id="464" xr3:uid="{8B56A911-789C-4B0B-8B07-52C42CDE7BA5}" name="'PP" dataDxfId="140">
      <calculatedColumnFormula>COUNTIFS($C$27:$PN$27,("&lt;"&amp;$B$5),$C$27:$PN$27,("&gt;="&amp;$B$4),$C31:$PN31,TabAsistencias[[#Headers],[PP]])</calculatedColumnFormula>
    </tableColumn>
    <tableColumn id="465" xr3:uid="{87785EA8-B3AF-40D7-AB20-B33232841AF8}" name="'0" dataDxfId="139">
      <calculatedColumnFormula>COUNTIFS($C$27:$PN$27,("&lt;"&amp;$B$5),$C$27:$PN$27,("&gt;="&amp;$B$4),$C31:$PN31,TabAsistencias[[#Headers],[0]])</calculatedColumnFormula>
    </tableColumn>
    <tableColumn id="466" xr3:uid="{AFC7C0D5-9873-4928-9C2D-A2DB39E43918}" name="'IG" dataDxfId="138">
      <calculatedColumnFormula>COUNTIFS($C$27:$PN$27,("&lt;"&amp;$B$5),$C$27:$PN$27,("&gt;="&amp;$B$4),$C31:$PN31,TabAsistencias[[#Headers],[IG]])</calculatedColumnFormula>
    </tableColumn>
    <tableColumn id="467" xr3:uid="{C1D33DDC-23A2-436F-A5A4-DE60B102D642}" name="'NA" dataDxfId="137">
      <calculatedColumnFormula>COUNTIFS($C$27:$PN$27,("&lt;"&amp;$B$5),$C$27:$PN$27,("&gt;="&amp;$B$4),$C31:$PN31,TabAsistencias[[#Headers],[NA]])</calculatedColumnFormula>
    </tableColumn>
    <tableColumn id="468" xr3:uid="{00F5A550-82F7-493A-AA63-7CC9C59BB2A3}" name="'DF" dataDxfId="136">
      <calculatedColumnFormula>COUNTIFS($C$27:$PN$27,("&lt;"&amp;$B$5),$C$27:$PN$27,("&gt;="&amp;$B$4),$C31:$PN31,TabAsistencias[[#Headers],[DF]])</calculatedColumnFormula>
    </tableColumn>
    <tableColumn id="469" xr3:uid="{C6FE067A-603E-410E-BC7E-F0593B684729}" name="'3" dataDxfId="135">
      <calculatedColumnFormula>COUNTIFS($C$27:$PN$27,("&lt;"&amp;$B$5),$C$27:$PN$27,("&gt;="&amp;$B$4),$C31:$PN31,TabAsistencias[[#Headers],[3]])</calculatedColumnFormula>
    </tableColumn>
    <tableColumn id="470" xr3:uid="{B7E9BE89-EECB-458F-B031-A763CFF6BFDB}" name="'CP" dataDxfId="134">
      <calculatedColumnFormula>COUNTIFS($C$27:$PN$27,("&lt;"&amp;$B$5),$C$27:$PN$27,("&gt;="&amp;$B$4),$C31:$PN31,TabAsistencias[[#Headers],[CP]])</calculatedColumnFormula>
    </tableColumn>
    <tableColumn id="471" xr3:uid="{8960CFB4-C5CB-49EA-81EF-78B45023A393}" name="'I" dataDxfId="133">
      <calculatedColumnFormula>COUNTIFS($C$27:$PN$27,("&lt;"&amp;$B$5),$C$27:$PN$27,("&gt;="&amp;$B$4),$C31:$PN31,TabAsistencias[[#Headers],[I]])</calculatedColumnFormula>
    </tableColumn>
    <tableColumn id="472" xr3:uid="{37191FA6-3EDE-4C61-95F4-2BF8B1B60F07}" name="'T/2" dataDxfId="132">
      <calculatedColumnFormula>COUNTIFS($C$27:$PN$27,("&lt;"&amp;$B$5),$C$27:$PN$27,("&gt;="&amp;$B$4),$C31:$PN31,TabAsistencias[[#Headers],[T/2]])</calculatedColumnFormula>
    </tableColumn>
    <tableColumn id="473" xr3:uid="{1C44A8FB-75B3-4C23-9B9C-443C6DEF4007}" name="'ME" dataDxfId="131">
      <calculatedColumnFormula>COUNTIFS($C$27:$PN$27,("&lt;"&amp;$B$5),$C$27:$PN$27,("&gt;="&amp;$B$4),$C31:$PN31,TabAsistencias[[#Headers],[ME]])</calculatedColumnFormula>
    </tableColumn>
    <tableColumn id="474" xr3:uid="{C6B80603-4CEE-413F-800F-08570D872073}" name="'DP" dataDxfId="130">
      <calculatedColumnFormula>COUNTIFS($C$27:$PN$27,("&lt;"&amp;$B$5),$C$27:$PN$27,("&gt;="&amp;$B$4),$C31:$PN31,TabAsistencias[[#Headers],[DP]])</calculatedColumnFormula>
    </tableColumn>
    <tableColumn id="475" xr3:uid="{21FD6D7A-8D1C-412F-BC79-25E3C74D875C}" name="'B" dataDxfId="129">
      <calculatedColumnFormula>COUNTIFS($C$27:$PN$27,("&lt;"&amp;$B$5),$C$27:$PN$27,("&gt;="&amp;$B$4),$C31:$PN31,TabAsistencias[[#Headers],[B]])</calculatedColumnFormula>
    </tableColumn>
    <tableColumn id="476" xr3:uid="{6E3B65A1-CA73-4DA5-9FEE-DA592C82C51C}" name="'Prima dominical" dataDxfId="128">
      <calculatedColumnFormula>COUNTIFS($C$27:$PN$27,("&lt;"&amp;$B$5),$C$27:$PN$27,("&gt;="&amp;$B$4),$C$28:$PN$28,1,$C31:$PN31,TabAsistencias[[#Headers],[1]])+
COUNTIFS($C$27:$PN$27,("&lt;"&amp;$B$5),$C$27:$PN$27,("&gt;="&amp;$B$4),$C$28:$PN$28,1,$C31:$PN31,TabAsistencias[[#Headers],[DO]])+
COUNTIFS($C$27:$PN$27,("&lt;"&amp;$B$5),$C$27:$PN$27,("&gt;="&amp;$B$4),$C$28:$PN$28,1,$C31:$PN31,TabAsistencias[[#Headers],[R]])+
COUNTIFS($C$27:$PN$27,("&lt;"&amp;$B$5),$C$27:$PN$27,("&gt;="&amp;$B$4),$C$28:$PN$28,1,$C31:$PN31,TabAsistencias[[#Headers],[NA]])+
COUNTIFS($C$27:$PN$27,("&lt;"&amp;$B$5),$C$27:$PN$27,("&gt;="&amp;$B$4),$C$28:$PN$28,1,$C31:$PN31,TabAsistencias[[#Headers],[DF]])+
COUNTIFS($C$27:$PN$27,("&lt;"&amp;$B$5),$C$27:$PN$27,("&gt;="&amp;$B$4),$C$28:$PN$28,1,$C31:$PN31,TabAsistencias[[#Headers],[3]])+
COUNTIFS($C$27:$PN$27,("&lt;"&amp;$B$5),$C$27:$PN$27,("&gt;="&amp;$B$4),$C$28:$PN$28,1,$C31:$PN31,TabAsistencias[[#Headers],[CP]])+
COUNTIFS($C$27:$PN$27,("&lt;"&amp;$B$5),$C$27:$PN$27,("&gt;="&amp;$B$4),$C$28:$PN$28,1,$C31:$PN31,TabAsistencias[[#Headers],[T/2]])</calculatedColumnFormula>
    </tableColumn>
    <tableColumn id="396" xr3:uid="{D376D6FD-187C-42A0-A630-734131A838AD}" name="'Vacaciones pendientes" dataDxfId="127">
      <calculatedColumnFormula array="1">IFERROR(VLOOKUP(
DATEDIF((VLOOKUP(TabAsistencias[[#This Row],[ID]],TabEmpleados[],COLUMN(TabEmpleados[Fecha de alta NSS]),FALSE)),Asistencias!$B$3,"Y"),
TabFactorIntegracion[],COLUMN(TabFactorIntegracion[Días vacacionales
establecidos por ley]),FALSE),0)
-
COUNTIF($AH31:$PN31,TabAsistencias[[#Headers],[V]])</calculatedColumnFormula>
    </tableColumn>
  </tableColumns>
  <tableStyleInfo name="TableStyleLight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32D0831-F6B5-453E-9ED6-4D4D1446007A}" name="TabDescuentos" displayName="TabDescuentos" ref="A1:J11" totalsRowShown="0" headerRowDxfId="126">
  <autoFilter ref="A1:J11" xr:uid="{D32D0831-F6B5-453E-9ED6-4D4D1446007A}"/>
  <tableColumns count="10">
    <tableColumn id="1" xr3:uid="{51C95653-9562-425F-9C25-3EE5F225B4B4}" name="NUM" dataDxfId="125"/>
    <tableColumn id="10" xr3:uid="{4E5ED0A9-F86D-48B1-8AF0-97F03FFAD452}" name="id" dataDxfId="124" dataCellStyle="Incorrecto">
      <calculatedColumnFormula>_xlfn.XLOOKUP(TabDescuentos[[#This Row],[Nombre]],TabEmpleados[Nombre],TabEmpleados[ID],0,0,1)</calculatedColumnFormula>
    </tableColumn>
    <tableColumn id="2" xr3:uid="{FB589F7A-516A-4081-8C2C-62FBE09ABEF7}" name="Nombre"/>
    <tableColumn id="7" xr3:uid="{46A5197E-1433-4353-90C4-076E8F7BE5EB}" name="Tipo"/>
    <tableColumn id="3" xr3:uid="{2BFEB384-608B-41B4-B83D-51F773D108E1}" name="Catidad" dataCellStyle="Moneda"/>
    <tableColumn id="4" xr3:uid="{EA3B2727-5737-4E78-8CA6-A48E5CDD240E}" name="Descripcion"/>
    <tableColumn id="5" xr3:uid="{6540353A-6626-4F6B-B630-EFB9D1023B45}" name="N° de ticket" dataDxfId="123"/>
    <tableColumn id="6" xr3:uid="{5AF716A2-FF4A-4AA5-BE26-42CEB53600A9}" name="Fecha de aplicación" dataDxfId="122">
      <calculatedColumnFormula>TODAY()</calculatedColumnFormula>
    </tableColumn>
    <tableColumn id="8" xr3:uid="{730E0C20-85A2-414F-B181-D395426AD9D8}" name="Pagos Realizados" dataDxfId="121">
      <calculatedColumnFormula>SUMIFS(TabPagos[Monto de pago],TabPagos[NUM de Descuento],TabDescuentos[[#This Row],[NUM]])</calculatedColumnFormula>
    </tableColumn>
    <tableColumn id="9" xr3:uid="{8577201B-55B1-4B75-AF71-4CA1944B3DF0}" name="Saldo pendiente" dataDxfId="120">
      <calculatedColumnFormula>TabDescuentos[[#This Row],[Catidad]]-TabDescuentos[[#This Row],[Pagos Realizados]]</calculatedColumnFormula>
    </tableColumn>
  </tableColumns>
  <tableStyleInfo name="TableStyleLight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4BE2EA5-DF56-4A5A-887F-60EA237F661D}" name="TabPagos" displayName="TabPagos" ref="A1:G9" totalsRowShown="0" headerRowDxfId="119">
  <autoFilter ref="A1:G9" xr:uid="{D4BE2EA5-DF56-4A5A-887F-60EA237F661D}"/>
  <tableColumns count="7">
    <tableColumn id="1" xr3:uid="{210BE487-5118-4D65-B78F-0B3ADC6E5F76}" name="id">
      <calculatedColumnFormula array="1">VLOOKUP(TabPagos[[#This Row],[NUM de Descuento]],TabDescuentos[],COLUMN(TabDescuentos[id]),FALSE)</calculatedColumnFormula>
    </tableColumn>
    <tableColumn id="2" xr3:uid="{FE272B51-B321-4B34-B12B-8ED9A1ADCD1F}" name="Nombre">
      <calculatedColumnFormula array="1">VLOOKUP(TabPagos[[#This Row],[NUM de Descuento]],TabDescuentos[],COLUMN(TabDescuentos[Nombre]),FALSE)</calculatedColumnFormula>
    </tableColumn>
    <tableColumn id="8" xr3:uid="{ECF2FB3D-4EE1-4543-AA0C-142732BFB6AF}" name="Descripcion">
      <calculatedColumnFormula array="1">VLOOKUP(TabPagos[[#This Row],[NUM de Descuento]],TabDescuentos[],COLUMN(TabDescuentos[Tipo]),FALSE) &amp;": "&amp; VLOOKUP(TabPagos[[#This Row],[NUM de Descuento]],TabDescuentos[],COLUMN(TabDescuentos[Descripcion]),FALSE)</calculatedColumnFormula>
    </tableColumn>
    <tableColumn id="3" xr3:uid="{D2B712DB-BF62-42EA-9DDF-C920C34E6E4E}" name="Saldo pendiente" dataDxfId="118" dataCellStyle="Moneda">
      <calculatedColumnFormula array="1">VLOOKUP(TabPagos[[#This Row],[NUM de Descuento]],TabDescuentos[],COLUMN(TabDescuentos[Saldo pendiente]),FALSE)</calculatedColumnFormula>
    </tableColumn>
    <tableColumn id="4" xr3:uid="{7C4F474A-D739-4BDB-A393-7F3CE0F12C5F}" name="Fecha de pago" dataDxfId="117">
      <calculatedColumnFormula>TODAY()</calculatedColumnFormula>
    </tableColumn>
    <tableColumn id="5" xr3:uid="{B3C7CA21-F9AB-44E5-92CF-5D297C8BEC8D}" name="Monto de pago" dataDxfId="116"/>
    <tableColumn id="9" xr3:uid="{E8B28F36-05EF-4C90-A3DA-4707CAB33A24}" name="NUM de Descuento" dataDxfId="115"/>
  </tableColumns>
  <tableStyleInfo name="TableStyleLight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152CE896-F70B-4437-BD8F-42A304F161FD}" name="TabDescuentosFiscal" displayName="TabDescuentosFiscal" ref="A1:J15" totalsRowShown="0" headerRowDxfId="114">
  <autoFilter ref="A1:J15" xr:uid="{D32D0831-F6B5-453E-9ED6-4D4D1446007A}"/>
  <tableColumns count="10">
    <tableColumn id="1" xr3:uid="{1CE9498A-FE5F-493F-BE68-AACDBCD04660}" name="NUM" dataDxfId="113"/>
    <tableColumn id="10" xr3:uid="{C0C1E55D-5496-4E84-89EE-B3A49BE7D81C}" name="id" dataDxfId="112" dataCellStyle="Incorrecto">
      <calculatedColumnFormula>_xlfn.XLOOKUP(TabDescuentosFiscal[[#This Row],[Nombre]],TabEmpleados[Nombre],TabEmpleados[ID],0,0,1)</calculatedColumnFormula>
    </tableColumn>
    <tableColumn id="2" xr3:uid="{4B763ED2-7E4D-415B-BF4C-39B4922BE629}" name="Nombre"/>
    <tableColumn id="7" xr3:uid="{B5515EB9-B387-4566-AE6E-B4604364C1B7}" name="Tipo"/>
    <tableColumn id="3" xr3:uid="{BC86925A-E721-43EC-94EE-ABFFE6F5857B}" name="Catidad" dataCellStyle="Moneda"/>
    <tableColumn id="4" xr3:uid="{1A844BB5-1771-4313-B375-51BAFC9D63E6}" name="Descripcion"/>
    <tableColumn id="5" xr3:uid="{2E9A620B-D8FF-4734-B17B-3A8826801287}" name="Concepto extra" dataDxfId="111"/>
    <tableColumn id="6" xr3:uid="{CA30D6F5-4DC9-4B64-99D0-5D85396CC0DB}" name="Fecha de aplicación" dataDxfId="110">
      <calculatedColumnFormula>TODAY()</calculatedColumnFormula>
    </tableColumn>
    <tableColumn id="8" xr3:uid="{5B23CBBB-1E5C-49DA-A5AB-384663DFADF6}" name="Pagos Realizados" dataDxfId="109">
      <calculatedColumnFormula>SUMIFS(TabPagosFiscal[Monto de pago],TabPagosFiscal[NUM de Descuento],TabDescuentosFiscal[[#This Row],[NUM]])</calculatedColumnFormula>
    </tableColumn>
    <tableColumn id="9" xr3:uid="{055B08FB-50CA-451E-BDB4-810FB46227C7}" name="Saldo pendiente" dataDxfId="108">
      <calculatedColumnFormula>TabDescuentosFiscal[[#This Row],[Catidad]]-TabDescuentosFiscal[[#This Row],[Pagos Realizados]]</calculatedColumnFormula>
    </tableColumn>
  </tableColumns>
  <tableStyleInfo name="TableStyleLight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5540F946-1BA5-425A-96BC-BF73ABA81AAF}" name="TabPagosFiscal" displayName="TabPagosFiscal" ref="A1:G12" totalsRowShown="0" headerRowDxfId="107">
  <autoFilter ref="A1:G12" xr:uid="{D4BE2EA5-DF56-4A5A-887F-60EA237F661D}"/>
  <tableColumns count="7">
    <tableColumn id="1" xr3:uid="{98C4EC3D-9DC5-49C4-9851-2E4EFC7F911D}" name="id">
      <calculatedColumnFormula array="1">VLOOKUP(TabPagosFiscal[[#This Row],[NUM de Descuento]],TabDescuentosFiscal[],COLUMN(TabDescuentosFiscal[id]),FALSE)</calculatedColumnFormula>
    </tableColumn>
    <tableColumn id="2" xr3:uid="{F6C36C24-24AD-4B9E-A61D-C8D3ACEAA192}" name="Nombre">
      <calculatedColumnFormula array="1">VLOOKUP(TabPagosFiscal[[#This Row],[NUM de Descuento]],TabDescuentosFiscal[],COLUMN(TabDescuentosFiscal[Nombre]),FALSE)</calculatedColumnFormula>
    </tableColumn>
    <tableColumn id="8" xr3:uid="{5106B241-64DF-40DF-AED8-524339CDB45A}" name="Descripcion">
      <calculatedColumnFormula array="1">VLOOKUP(TabPagosFiscal[[#This Row],[NUM de Descuento]],TabDescuentosFiscal[],COLUMN(TabDescuentosFiscal[Tipo]),FALSE) &amp;": "&amp; VLOOKUP(TabPagosFiscal[[#This Row],[NUM de Descuento]],TabDescuentosFiscal[],COLUMN(TabDescuentosFiscal[Descripcion]),FALSE)</calculatedColumnFormula>
    </tableColumn>
    <tableColumn id="3" xr3:uid="{0DE127E1-6964-4BD4-9B75-7C2F207F1426}" name="Saldo pendiente" dataDxfId="106" dataCellStyle="Moneda">
      <calculatedColumnFormula array="1">VLOOKUP(TabPagosFiscal[[#This Row],[NUM de Descuento]],TabDescuentosFiscal[],COLUMN(TabDescuentosFiscal[Saldo pendiente]),FALSE)</calculatedColumnFormula>
    </tableColumn>
    <tableColumn id="4" xr3:uid="{EE78A6B6-D5E5-4681-AD53-6623AD204D9E}" name="Fecha de pago" dataDxfId="105">
      <calculatedColumnFormula>TODAY()</calculatedColumnFormula>
    </tableColumn>
    <tableColumn id="5" xr3:uid="{88D9F1C8-AD0D-47B1-9779-79C941D97000}" name="Monto de pago" dataDxfId="104"/>
    <tableColumn id="9" xr3:uid="{F5516569-8EC8-4097-8898-F7F269BC79AB}" name="NUM de Descuento" dataDxfId="103"/>
  </tableColumns>
  <tableStyleInfo name="TableStyleLight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C32CE7B1-CB80-4867-91E2-2A330239D814}" name="TabDesSalariosFiscal" displayName="TabDesSalariosFiscal" ref="A2:T77" totalsRowShown="0" headerRowDxfId="101">
  <autoFilter ref="A2:T77" xr:uid="{C32CE7B1-CB80-4867-91E2-2A330239D814}"/>
  <tableColumns count="20">
    <tableColumn id="1" xr3:uid="{B17330D3-2758-4B3A-BC55-1C778C2208DD}" name="id" dataDxfId="100"/>
    <tableColumn id="2" xr3:uid="{7676AB73-9FC0-4F9E-97AC-37EBACB946C5}" name="Nombre">
      <calculatedColumnFormula array="1">VLOOKUP(TabDesSalariosFiscal[[#This Row],[id]],TabEmpleados[],COLUMN(TabEmpleados[Nombre]),FALSE)</calculatedColumnFormula>
    </tableColumn>
    <tableColumn id="3" xr3:uid="{F5A15DF1-11E3-45AD-AEDB-9959DD3C54BB}" name="Dias Lab." dataDxfId="99">
      <calculatedColumnFormula array="1">IF(VLOOKUP(TabDesSalariosFiscal[[#This Row],[id]],TabEmpleados[],COLUMN(TabEmpleados[Fecha de alta NSS]),FALSE)&lt;&gt;"",
VLOOKUP(TabDesSalariosFiscal[[#This Row],[id]],TabAsistencias[],COLUMN(TabAsistencias[''Total de dias laborados]),FALSE),
0)</calculatedColumnFormula>
    </tableColumn>
    <tableColumn id="4" xr3:uid="{4D9E0182-9F54-4218-A8F8-0D1C8E15B478}" name="Subtotal Fiscal" dataCellStyle="Moneda">
      <calculatedColumnFormula array="1">(VLOOKUP(TabDesSalariosFiscal[[#This Row],[id]],TabEmpleados[],COLUMN(TabEmpleados[SD Fiscal]),FALSE))*
TabDesSalariosFiscal[[#This Row],[Dias Lab.]]</calculatedColumnFormula>
    </tableColumn>
    <tableColumn id="18" xr3:uid="{F60CE011-B0F0-4CDA-9F22-A3085753BDB6}" name="Años" dataDxfId="98" dataCellStyle="Moneda">
      <calculatedColumnFormula array="1">IF(VLOOKUP(TabDesSalariosFiscal[[#This Row],[id]],TabEmpleados[],COLUMN(TabEmpleados[Fecha de alta NSS]),FALSE)&lt;&gt;"",
IF(DATEDIF((VLOOKUP(TabDesSalariosFiscal[[#This Row],[id]],TabEmpleados[],COLUMN(TabEmpleados[Fecha de alta NSS]),FALSE)),'Tablas de informacion'!N$8,"Y")=0,1,
DATEDIF((VLOOKUP(TabDesSalariosFiscal[[#This Row],[id]],TabEmpleados[],COLUMN(TabEmpleados[Fecha de alta NSS]),FALSE)),'Tablas de informacion'!N$8,"Y")),0)</calculatedColumnFormula>
    </tableColumn>
    <tableColumn id="5" xr3:uid="{ED3FCF51-162D-4967-9CBF-687E7252DB5B}" name="Prima dominical" dataDxfId="97" dataCellStyle="Moneda">
      <calculatedColumnFormula array="1">IFERROR((VLOOKUP(TabDesSalariosFiscal[[#This Row],[id]],TabEmpleados[],COLUMN(TabEmpleados[SD Fiscal]),FALSE))*
(VLOOKUP(TabDesSalariosFiscal[[#This Row],[Años]],TabFactorIntegracion[],COLUMN(TabFactorIntegracion[% de prima 
vacacional y dominical]),FALSE))*
IF((VLOOKUP(TabDesSalariosFiscal[[#This Row],[id]],TabAsistencias[],COLUMN(TabAsistencias[''Prima dominical]),FALSE))&lt;DominicalFiscal,(VLOOKUP(TabDesSalariosFiscal[[#This Row],[id]],TabAsistencias[],COLUMN(TabAsistencias[''Total de dias laborados]),FALSE)),DominicalFiscal)*
(VLOOKUP((VLOOKUP(TabDesSalariosFiscal[[#This Row],[id]],TabEmpleados[],COLUMN(TabEmpleados[Puesto]),FALSE)),TabPuestos[],COLUMN(TabPuestos[PRIMA DOMINICAL]),FALSE)),0)</calculatedColumnFormula>
    </tableColumn>
    <tableColumn id="6" xr3:uid="{EAC78A95-535B-40B7-984D-AF189F29270E}" name="Prima vacacional" dataDxfId="96" dataCellStyle="Moneda">
      <calculatedColumnFormula array="1">IFERROR((VLOOKUP(TabDesSalariosFiscal[[#This Row],[id]],TabEmpleados[],COLUMN(TabEmpleados[SD Fiscal]),FALSE))*
(VLOOKUP(TabDesSalariosFiscal[[#This Row],[Años]],TabFactorIntegracion[],COLUMN(TabFactorIntegracion[% de prima 
vacacional y dominical]),FALSE))*
((VLOOKUP(TabDesSalariosFiscal[[#This Row],[id]],TabAsistencias[],COLUMN(TabAsistencias[''V]),FALSE))),0)</calculatedColumnFormula>
    </tableColumn>
    <tableColumn id="9" xr3:uid="{57567FEC-6AF5-4F5B-B097-2A658C0A3906}" name="S.B.C" dataDxfId="95" dataCellStyle="Moneda">
      <calculatedColumnFormula array="1">IFERROR(VLOOKUP(TabDesSalariosFiscal[[#This Row],[id]],TabCuotasIMSS[],COLUMN(TabCuotasIMSS[S.B.C./S.D.I.]),FALSE),0)</calculatedColumnFormula>
    </tableColumn>
    <tableColumn id="10" xr3:uid="{375EBC25-53D0-40EE-936E-3B0C988FD77B}" name="Bono Asistencia" dataDxfId="94">
      <calculatedColumnFormula>IFERROR(TabDesSalariosFiscal[[#This Row],[S.B.C]]*Bono*TabDesSalariosFiscal[[#This Row],[Dias Lab.]],0)</calculatedColumnFormula>
    </tableColumn>
    <tableColumn id="11" xr3:uid="{1DFC52E1-E1C3-4C25-A9D6-11BCCBEB97A2}" name="Bono Puntualidad" dataDxfId="93" dataCellStyle="Bueno">
      <calculatedColumnFormula>IFERROR(TabDesSalariosFiscal[[#This Row],[S.B.C]]*Bono*TabDesSalariosFiscal[[#This Row],[Dias Lab.]],0)</calculatedColumnFormula>
    </tableColumn>
    <tableColumn id="19" xr3:uid="{625696E0-4AB8-45BD-B905-981224261EB1}" name="Dia Festivo/ Descanso" dataDxfId="92">
      <calculatedColumnFormula array="1">(VLOOKUP(TabDesSalariosFiscal[[#This Row],[id]],TabEmpleados[],COLUMN(TabEmpleados[SD Fiscal]),FALSE))*(VLOOKUP(TabDesSalariosFiscal[[#This Row],[id]],TabAsistencias[],COLUMN(TabAsistencias[''DF]),FALSE))*2</calculatedColumnFormula>
    </tableColumn>
    <tableColumn id="13" xr3:uid="{2076609D-7E8A-4076-BFC4-4E0E1A265603}" name="Descuentos" dataDxfId="91" dataCellStyle="Moneda">
      <calculatedColumnFormula>-1*(SUMIFS(TabPagosFiscal[Monto de pago],TabPagosFiscal[id],TabDesSalariosFiscal[[#This Row],[id]],TabPagosFiscal[Fecha de pago],"&gt;="&amp;Asistencias!$B$2,TabPagosFiscal[Fecha de pago],"&lt;"&amp;Asistencias!$B$3))</calculatedColumnFormula>
    </tableColumn>
    <tableColumn id="14" xr3:uid="{52549274-9E00-410A-9EC4-A866D963E6D2}" name="Concepto/Descripcion">
      <calculatedColumnFormula array="1">getDescripcion(TabDesSalariosFiscal[[#This Row],[id]],"Descuentos-PagosFiscal","TabPagosFiscal",Asistencias!$B$2,Asistencias!$B$3)</calculatedColumnFormula>
    </tableColumn>
    <tableColumn id="12" xr3:uid="{4E5D1EBD-7151-4E79-BEF5-AFF8FF40FBD8}" name="IMSS" dataDxfId="90" dataCellStyle="Moneda">
      <calculatedColumnFormula array="1">IFERROR(-1*(VLOOKUP(TabDesSalariosFiscal[[#This Row],[id]],TabCuotasIMSS[],COLUMN(TabCuotasIMSS[TOTAL
OBRERO19]),FALSE)),0)</calculatedColumnFormula>
    </tableColumn>
    <tableColumn id="8" xr3:uid="{9BD202C5-FAF3-4428-AA9B-CE12E6E6665E}" name="ISR" dataDxfId="89" dataCellStyle="Moneda">
      <calculatedColumnFormula array="1">IFERROR(-1*(VLOOKUP(TabDesSalariosFiscal[[#This Row],[id]],TabImpuestos[],COLUMN(TabImpuestos[Total ISR]),FALSE)),0)</calculatedColumnFormula>
    </tableColumn>
    <tableColumn id="16" xr3:uid="{8FAAB6BA-8637-4C1B-AA27-2710F1E5A485}" name="Total Fiscal" dataDxfId="88" dataCellStyle="Moneda">
      <calculatedColumnFormula>IFERROR(TabDesSalariosFiscal[[#This Row],[Subtotal Fiscal]]+TabDesSalariosFiscal[[#This Row],[Prima dominical]]+TabDesSalariosFiscal[[#This Row],[Prima vacacional]]+TabDesSalariosFiscal[[#This Row],[Bono Asistencia]]+TabDesSalariosFiscal[[#This Row],[Bono Puntualidad]]+TabDesSalariosFiscal[[#This Row],[Dia Festivo/ Descanso]]+TabDesSalariosFiscal[[#This Row],[Descuentos]]+TabDesSalariosFiscal[[#This Row],[IMSS]]+TabDesSalariosFiscal[[#This Row],[ISR]],0)</calculatedColumnFormula>
    </tableColumn>
    <tableColumn id="20" xr3:uid="{5CD92DB4-6ACA-43A1-A0A6-52D890F677EB}" name="ISR Aguinaldo" dataDxfId="87" dataCellStyle="Moneda">
      <calculatedColumnFormula array="1">IFERROR(IF('Desglose Salarios Fiscal'!$Q$1=1,-1*(IF((VLOOKUP(TabDesSalariosFiscal[[#This Row],[id]],TabImpuestos[],COLUMN(TabImpuestos[ISR de Aguinaldo 1]),FALSE))&lt;0,0,(VLOOKUP(TabDesSalariosFiscal[[#This Row],[id]],TabImpuestos[],COLUMN(TabImpuestos[ISR de Aguinaldo 1]),FALSE)))),0),0)</calculatedColumnFormula>
    </tableColumn>
    <tableColumn id="7" xr3:uid="{AA2444B8-6330-412E-A0D9-7A20585A89A9}" name="Aguinaldo Fiscal" dataCellStyle="Moneda">
      <calculatedColumnFormula array="1">IFERROR(IF('Desglose Salarios Fiscal'!$Q$1=1,(VLOOKUP(TabDesSalariosFiscal[[#This Row],[id]],TabEmpleados[],COLUMN(TabEmpleados[SD Fiscal]),FALSE)*TabDesSalariosFiscal[[#This Row],[Dias de aguinaldo fiscal2]])+TabDesSalariosFiscal[[#This Row],[ISR Aguinaldo]],0),0)</calculatedColumnFormula>
    </tableColumn>
    <tableColumn id="15" xr3:uid="{F674D460-1D37-462C-8261-B16D5E5F5079}" name="Dias de aguinaldo Fiscal1">
      <calculatedColumnFormula array="1">IF(YEAR(VLOOKUP(TabDesSalariosFiscal[[#This Row],[id]],TabEmpleados[],COLUMN(TabEmpleados[Fecha de alta NSS]),FALSE))&lt;AñoActual,'Tablas de informacion'!$N$13,_xlfn.DAYS(DATE(AñoActual+1,MONTH(1),DAY(1))-DAY(1),(VLOOKUP(TabDesSalariosFiscal[[#This Row],[id]],TabEmpleados[],COLUMN(TabEmpleados[Fecha de alta NSS]),FALSE))))</calculatedColumnFormula>
    </tableColumn>
    <tableColumn id="17" xr3:uid="{215BCF66-1E24-4DF8-B551-E054D515BE6E}" name="Dias de aguinaldo fiscal2">
      <calculatedColumnFormula array="1">IFERROR(TabDesSalariosFiscal[[#This Row],[Dias de aguinaldo Fiscal1]]*VLOOKUP(TabDesSalariosFiscal[[#This Row],[Años]],TabFactorIntegracion[],COLUMN(TabFactorIntegracion[Días de
aguinaldo]),FALSE)/'Tablas de informacion'!$N$13,0)</calculatedColumnFormula>
    </tableColumn>
  </tableColumns>
  <tableStyleInfo name="TableStyleLight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6F1B7B7D-3F1F-437A-8E72-7CB2F2B26BC9}" name="TabDesSalariosReal" displayName="TabDesSalariosReal" ref="A2:X78" totalsRowCount="1" headerRowDxfId="83">
  <autoFilter ref="A2:X77" xr:uid="{6F1B7B7D-3F1F-437A-8E72-7CB2F2B26BC9}"/>
  <tableColumns count="24">
    <tableColumn id="1" xr3:uid="{CA730F77-9645-4F33-ABE5-1378D960D477}" name="id" totalsRowLabel="Total" dataDxfId="82" totalsRowDxfId="12"/>
    <tableColumn id="2" xr3:uid="{5C966047-3482-4095-9D66-E2FB0954E283}" name="Nombre">
      <calculatedColumnFormula array="1">VLOOKUP(TabDesSalariosReal[[#This Row],[id]],TabEmpleados[],COLUMN(TabEmpleados[Nombre]),FALSE)</calculatedColumnFormula>
    </tableColumn>
    <tableColumn id="3" xr3:uid="{69D24B91-BF5C-482D-94F4-2F0F7E0B0390}" name="Dias Lab." dataDxfId="81" totalsRowDxfId="11">
      <calculatedColumnFormula array="1">VLOOKUP(TabDesSalariosReal[[#This Row],[id]],TabAsistencias[],COLUMN(TabAsistencias[Total de dias laborados]),FALSE)</calculatedColumnFormula>
    </tableColumn>
    <tableColumn id="4" xr3:uid="{7692800A-0890-4BF2-8335-3E926F989E97}" name="Subtotal Real" dataCellStyle="Moneda">
      <calculatedColumnFormula array="1">(VLOOKUP(TabDesSalariosReal[[#This Row],[id]],TabEmpleados[],COLUMN(TabEmpleados[SD Real]),FALSE))*TabDesSalariosReal[[#This Row],[Dias Lab.]]</calculatedColumnFormula>
    </tableColumn>
    <tableColumn id="18" xr3:uid="{BB9745B7-49B7-44B2-BE72-D9BE9E81CBAE}" name="Años" dataDxfId="80" dataCellStyle="Moneda">
      <calculatedColumnFormula array="1">IF(DATEDIF((VLOOKUP(TabDesSalariosReal[[#This Row],[id]],TabEmpleados[],COLUMN(TabEmpleados[Fecha de ingreso]),FALSE)),Asistencias!$B$3,"Y")=0,1,DATEDIF((VLOOKUP(TabDesSalariosReal[[#This Row],[id]],TabEmpleados[],COLUMN(TabEmpleados[Fecha de ingreso]),FALSE)),Asistencias!$B$3,"Y"))</calculatedColumnFormula>
    </tableColumn>
    <tableColumn id="5" xr3:uid="{CB1C53B2-ECC2-4FD7-B5C8-D8108E7DFF67}" name="Prima dominical" dataDxfId="79" dataCellStyle="Moneda">
      <calculatedColumnFormula array="1">((VLOOKUP(TabDesSalariosReal[[#This Row],[id]],TabEmpleados[],COLUMN(TabEmpleados[SD Real]),FALSE))*(VLOOKUP(TabDesSalariosReal[[#This Row],[Años]],TabFactorIntegracion[],COLUMN(TabFactorIntegracion[% de prima 
vacacional y dominical]),FALSE))*(VLOOKUP(TabDesSalariosReal[[#This Row],[id]],TabAsistencias[],COLUMN(TabAsistencias[Prima dominical]),FALSE)))*(VLOOKUP((VLOOKUP(TabDesSalariosReal[[#This Row],[id]],TabEmpleados[],COLUMN(TabEmpleados[Puesto]),FALSE)),TabPuestos[],COLUMN(TabPuestos[PRIMA DOMINICAL]),FALSE))</calculatedColumnFormula>
    </tableColumn>
    <tableColumn id="6" xr3:uid="{023B989D-76B4-4D78-BAD5-7219E9A5CF6A}" name="Prima vacacional" dataDxfId="78" dataCellStyle="Moneda">
      <calculatedColumnFormula array="1">(VLOOKUP(TabDesSalariosReal[[#This Row],[id]],TabEmpleados[],COLUMN(TabEmpleados[SD Real]),FALSE))*(VLOOKUP(TabDesSalariosReal[[#This Row],[Años]],TabFactorIntegracion[],COLUMN(TabFactorIntegracion[% de prima 
vacacional y dominical]),FALSE))*((VLOOKUP(TabDesSalariosReal[[#This Row],[id]],TabAsistencias[],COLUMN(TabAsistencias[V]),FALSE)))</calculatedColumnFormula>
    </tableColumn>
    <tableColumn id="9" xr3:uid="{CC9F3956-D081-4215-A055-9DF15EBC5564}" name="Dias Incapacidad/Riesgo" dataDxfId="77" totalsRowDxfId="10">
      <calculatedColumnFormula array="1">VLOOKUP(TabDesSalariosReal[[#This Row],[id]],TabAsistencias[],COLUMN(TabAsistencias[I]),FALSE)</calculatedColumnFormula>
    </tableColumn>
    <tableColumn id="10" xr3:uid="{5E5B8D9B-6AF1-4A33-A1B7-D54623EC1729}" name="Dias Incapacidad/General" dataDxfId="76" totalsRowDxfId="9">
      <calculatedColumnFormula array="1">VLOOKUP(TabDesSalariosReal[[#This Row],[id]],TabAsistencias[],COLUMN(TabAsistencias[IG]),FALSE)</calculatedColumnFormula>
    </tableColumn>
    <tableColumn id="11" xr3:uid="{1583074B-35F8-4453-8B53-0DFDBE2153D0}" name="% pagado por incapacidad" dataDxfId="75" totalsRowDxfId="8" dataCellStyle="Bueno"/>
    <tableColumn id="12" xr3:uid="{0E22F5DC-03EB-44B2-BE59-80D9A775ED3B}" name="$ por incpacidad" dataCellStyle="Moneda">
      <calculatedColumnFormula array="1">IF(TabDesSalariosReal[[#This Row],[Dias Incapacidad/General]]&gt;3,((TabDesSalariosReal[[#This Row],[Dias Incapacidad/General]]-3)*((VLOOKUP(TabDesSalariosReal[[#This Row],[id]],TabEmpleados[],COLUMN(TabEmpleados[SD Real]),FALSE)))*TabDesSalariosReal[[#This Row],[% pagado por incapacidad]]),0)</calculatedColumnFormula>
    </tableColumn>
    <tableColumn id="13" xr3:uid="{C91D79C5-1728-463B-9899-8CBC38AEC718}" name="Descuentos" dataDxfId="74" dataCellStyle="Moneda">
      <calculatedColumnFormula>-1*(SUMIFS(TabPagos[Monto de pago],TabPagos[id],TabDesSalariosReal[[#This Row],[id]],TabPagos[Fecha de pago],"&gt;="&amp;Asistencias!$B$2,TabPagos[Fecha de pago],"&lt;"&amp;Asistencias!$B$3))</calculatedColumnFormula>
    </tableColumn>
    <tableColumn id="14" xr3:uid="{1736F952-5262-4FE3-9A78-41F217059734}" name="Concepto/Descripcion">
      <calculatedColumnFormula array="1">getDescripcion(TabDesSalariosReal[[#This Row],[id]],"Descuentos-Pagos","TabPagos",Asistencias!$B$2,Asistencias!$B$3)</calculatedColumnFormula>
    </tableColumn>
    <tableColumn id="15" xr3:uid="{09013AE1-403C-4F0F-BBB0-66C9EEBD2824}" name="Aporte por comision" dataDxfId="73" dataCellStyle="Neutral">
      <calculatedColumnFormula array="1">IF((TabDesSalariosReal[[#This Row],[Subtotal Real]]+TabDesSalariosReal[[#This Row],[Prima dominical]]+TabDesSalariosReal[[#This Row],[Prima vacacional]]+TabDesSalariosReal[[#This Row],[$ por incpacidad]]+TabDesSalariosReal[[#This Row],[Descuentos]]+TabDesSalariosReal[[#This Row],[Extras]]-TabDesSalariosReal[[#This Row],[Fiscal Real]])&gt;500,AporteComision,0)</calculatedColumnFormula>
    </tableColumn>
    <tableColumn id="24" xr3:uid="{86C605E9-AF78-4153-A697-CF8D12EF45AE}" name="Extras" dataDxfId="72" dataCellStyle="Neutral"/>
    <tableColumn id="23" xr3:uid="{4187FB20-4277-4F8E-B75B-6853C686303B}" name="Banco" dataDxfId="71" dataCellStyle="Moneda">
      <calculatedColumnFormula array="1">VLOOKUP(TabDesSalariosReal[[#This Row],[id]],TabEmpleados[],COLUMN(TabEmpleados[Banco de pago]),FALSE)</calculatedColumnFormula>
    </tableColumn>
    <tableColumn id="16" xr3:uid="{842CAC05-68F0-4897-9E3C-300D1EEC5039}" name="Total Real" totalsRowFunction="sum" dataDxfId="70" totalsRowDxfId="7" dataCellStyle="Moneda">
      <calculatedColumnFormula>TabDesSalariosReal[[#This Row],[Subtotal Real]]+TabDesSalariosReal[[#This Row],[Prima dominical]]+TabDesSalariosReal[[#This Row],[Prima vacacional]]+TabDesSalariosReal[[#This Row],[$ por incpacidad]]+TabDesSalariosReal[[#This Row],[Descuentos]]+TabDesSalariosReal[[#This Row],[Aporte por comision]]+TabDesSalariosReal[[#This Row],[Extras]]</calculatedColumnFormula>
    </tableColumn>
    <tableColumn id="17" xr3:uid="{43F3BE1E-6334-46A9-BF81-86A8130FE832}" name="Alquimia/ Efectivo" totalsRowFunction="sum" dataDxfId="69" totalsRowDxfId="6" dataCellStyle="Moneda">
      <calculatedColumnFormula>TabDesSalariosReal[[#This Row],[Total Real]]-TabDesSalariosReal[[#This Row],[Fiscal Real]]</calculatedColumnFormula>
    </tableColumn>
    <tableColumn id="7" xr3:uid="{B1B179CA-87AA-4358-8E38-3E7B114FF01F}" name="Persepcion Fiscal" totalsRowFunction="sum" totalsRowDxfId="5" dataCellStyle="Moneda">
      <calculatedColumnFormula array="1">IFERROR(VLOOKUP(TabDesSalariosReal[[#This Row],[id]],TabDesSalariosFiscal[],COLUMN(TabDesSalariosFiscal[Total Fiscal]),FALSE),0)</calculatedColumnFormula>
    </tableColumn>
    <tableColumn id="8" xr3:uid="{CB9BBE3E-BCD8-4B85-82DC-6792F2D3BD92}" name="Fiscal Real" totalsRowFunction="sum" dataDxfId="68" totalsRowDxfId="4" dataCellStyle="Bueno">
      <calculatedColumnFormula>IFERROR(TabDesSalariosReal[[#This Row],[Persepcion Fiscal]],0)</calculatedColumnFormula>
    </tableColumn>
    <tableColumn id="19" xr3:uid="{3439247C-072D-4845-BB7D-3063FEA6EDDF}" name="Aguinaldo Real" totalsRowFunction="sum" totalsRowDxfId="3" dataCellStyle="Moneda">
      <calculatedColumnFormula array="1">IF('Desglose Salarios Fiscal'!$Q$1=1,VLOOKUP(TabDesSalariosReal[[#This Row],[id]],TabEmpleados[],COLUMN(TabEmpleados[SD Real]),FALSE)*TabDesSalariosReal[[#This Row],[Dias de agunaldo Real2]],0)</calculatedColumnFormula>
    </tableColumn>
    <tableColumn id="20" xr3:uid="{9CACCAF9-B13B-4723-9D59-3A9977AA42D7}" name="Dias de aguinaldo Real1" totalsRowFunction="sum" dataDxfId="67" totalsRowDxfId="2" dataCellStyle="Moneda">
      <calculatedColumnFormula array="1">IF(YEAR(VLOOKUP(TabDesSalariosReal[[#This Row],[id]],TabEmpleados[],COLUMN(TabEmpleados[Fecha de ingreso]),FALSE))&lt;AñoActual,'Tablas de informacion'!$N$13,_xlfn.DAYS(DATE(AñoActual+1,MONTH(1),DAY(1))-DAY(1),(VLOOKUP(TabDesSalariosReal[[#This Row],[id]],TabEmpleados[],COLUMN(TabEmpleados[Fecha de ingreso]),FALSE))))</calculatedColumnFormula>
    </tableColumn>
    <tableColumn id="21" xr3:uid="{E49CA27B-C50B-4080-A83D-8BF3BCB0735D}" name="Dias de agunaldo Real2" totalsRowFunction="sum" totalsRowDxfId="1">
      <calculatedColumnFormula array="1">TabDesSalariosReal[[#This Row],[Dias de aguinaldo Real1]]*VLOOKUP(TabDesSalariosReal[[#This Row],[Años]],TabFactorIntegracion[],COLUMN(TabFactorIntegracion[Días de
aguinaldo]),FALSE)/'Tablas de informacion'!$N$13</calculatedColumnFormula>
    </tableColumn>
    <tableColumn id="22" xr3:uid="{17BE83D4-B430-414E-84F1-41ECB9E63090}" name="Aguinaldo Real - Fiscal" totalsRowFunction="sum" totalsRowDxfId="0">
      <calculatedColumnFormula array="1">TabDesSalariosReal[[#This Row],[Aguinaldo Real]]-IFERROR(VLOOKUP(TabDesSalariosReal[[#This Row],[id]],TabDesSalariosFiscal[],COLUMN(TabDesSalariosFiscal[Aguinaldo Fiscal]),FALSE),0)</calculatedColumnFormula>
    </tableColumn>
  </tableColumns>
  <tableStyleInfo name="TableStyleLight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5BAE67A2-6578-49DD-AFAA-380E4FED5759}" name="TabCuotasIMSS" displayName="TabCuotasIMSS" ref="A8:AN83" totalsRowShown="0">
  <autoFilter ref="A8:AN83" xr:uid="{5BAE67A2-6578-49DD-AFAA-380E4FED5759}"/>
  <tableColumns count="40">
    <tableColumn id="1" xr3:uid="{1A3E55BB-83D1-4076-ADB5-EFE81B9FCAB9}" name="ID" dataDxfId="65"/>
    <tableColumn id="2" xr3:uid="{E03E4D02-DC11-48BF-B9D6-9F29E79EFFB8}" name="FECHA DE ALTA" dataDxfId="64">
      <calculatedColumnFormula array="1">VLOOKUP(TabCuotasIMSS[[#This Row],[ID]],TabEmpleados[],COLUMN(TabEmpleados[Fecha de alta NSS]),FALSE)</calculatedColumnFormula>
    </tableColumn>
    <tableColumn id="3" xr3:uid="{C5A84813-0A0D-498F-8169-2FE00411EABA}" name="NOMBRE  DEL TRABAJADOR" dataDxfId="63">
      <calculatedColumnFormula array="1">VLOOKUP(TabCuotasIMSS[[#This Row],[ID]],TabEmpleados[],COLUMN(TabEmpleados[Nombre]),FALSE)</calculatedColumnFormula>
    </tableColumn>
    <tableColumn id="4" xr3:uid="{0514D0AF-8D81-436F-BB27-B06C65197056}" name="DÍAS_x000a_LAB." dataDxfId="62">
      <calculatedColumnFormula array="1">IF(VLOOKUP(TabCuotasIMSS[[#This Row],[ID]],TabEmpleados[],COLUMN(TabEmpleados[Fecha de alta NSS]),FALSE)&lt;&gt;"",VLOOKUP(TabCuotasIMSS[[#This Row],[ID]],TabAsistencias[],COLUMN(TabAsistencias[''Total de dias laborados]),FALSE),0)</calculatedColumnFormula>
    </tableColumn>
    <tableColumn id="44" xr3:uid="{22168D73-FDBE-4A61-87F2-1A8063B55C7D}" name="Años">
      <calculatedColumnFormula array="1">IF(VLOOKUP(TabCuotasIMSS[[#This Row],[ID]],TabEmpleados[],COLUMN(TabEmpleados[Fecha de alta NSS]),FALSE)&lt;&gt;"",IF(DATEDIF((VLOOKUP(TabCuotasIMSS[[#This Row],[ID]],TabEmpleados[],COLUMN(TabEmpleados[Fecha de alta NSS]),FALSE)),'Tablas de informacion'!N$8,"Y")=0,1,DATEDIF((VLOOKUP(TabCuotasIMSS[[#This Row],[ID]],TabEmpleados[],COLUMN(TabEmpleados[Fecha de alta NSS]),FALSE)),'Tablas de informacion'!N$8,"Y")),0)</calculatedColumnFormula>
    </tableColumn>
    <tableColumn id="40" xr3:uid="{DC4EF64C-267C-4A57-BAA7-BA1DC8BBBE13}" name="Salario Diario" dataCellStyle="Moneda">
      <calculatedColumnFormula array="1">VLOOKUP(TabCuotasIMSS[[#This Row],[ID]],TabEmpleados[],COLUMN(TabEmpleados[SD Fiscal]),FALSE)</calculatedColumnFormula>
    </tableColumn>
    <tableColumn id="43" xr3:uid="{18DDCB03-FC12-4215-8ADC-61DDDF45CC5F}" name="Alimentos" dataDxfId="61" dataCellStyle="Moneda">
      <calculatedColumnFormula array="1">IFERROR((VLOOKUP((VLOOKUP(TabCuotasIMSS[[#This Row],[ID]],TabEmpleados[],COLUMN(TabEmpleados[Puesto]),FALSE)),TabPuestos[],COLUMN(TabPuestos[N° ALIMENTOS]),FALSE))*TabCuotasIMSS[[#This Row],[Salario Diario]]*(VLOOKUP(TabCuotasIMSS[[#This Row],[Años]],TabFactorIntegracion[],COLUMN(TabFactorIntegracion[% por alimento]))),0)</calculatedColumnFormula>
    </tableColumn>
    <tableColumn id="42" xr3:uid="{529E6458-2F8F-4C45-BE92-83AE1A29CA85}" name="Prima Dominical" dataDxfId="60" dataCellStyle="Moneda">
      <calculatedColumnFormula array="1">IFERROR((VLOOKUP((VLOOKUP(TabCuotasIMSS[[#This Row],[ID]],TabEmpleados[],COLUMN(TabEmpleados[Puesto]),FALSE)),TabPuestos[],COLUMN(TabPuestos[PRIMA DOMINICAL]),FALSE))*TabCuotasIMSS[[#This Row],[Salario Diario]]*(VLOOKUP(TabCuotasIMSS[[#This Row],[Años]],TabFactorIntegracion[],COLUMN(TabFactorIntegracion[PRIMA
DOMINICAL]))),0)</calculatedColumnFormula>
    </tableColumn>
    <tableColumn id="41" xr3:uid="{AAA5A167-E98D-49A4-BD6A-BECDAEE4F50E}" name="Factor de Integracion" dataDxfId="59" dataCellStyle="Moneda">
      <calculatedColumnFormula array="1">IFERROR(TabCuotasIMSS[[#This Row],[Salario Diario]]*(VLOOKUP(TabCuotasIMSS[[#This Row],[Años]],TabFactorIntegracion[],COLUMN(TabFactorIntegracion[FACTOR DE
INTEGRACIÓN]))),0)</calculatedColumnFormula>
    </tableColumn>
    <tableColumn id="5" xr3:uid="{DCD459F9-78E6-4DD0-BB72-719169ACF69B}" name="S.B.C./S.D.I." dataCellStyle="Moneda">
      <calculatedColumnFormula>IFERROR(TabCuotasIMSS[[#This Row],[Salario Diario]]+TabCuotasIMSS[[#This Row],[Alimentos]]+TabCuotasIMSS[[#This Row],[Prima Dominical]]+TabCuotasIMSS[[#This Row],[Factor de Integracion]],0)</calculatedColumnFormula>
    </tableColumn>
    <tableColumn id="6" xr3:uid="{59E0CC8D-F98A-4646-8E53-CD957BD7CDB9}" name="INC" dataDxfId="58">
      <calculatedColumnFormula array="1">VLOOKUP(TabCuotasIMSS[[#This Row],[ID]],TabAsistencias[],COLUMN(TabAsistencias[''I]),FALSE)+VLOOKUP(TabCuotasIMSS[[#This Row],[ID]],TabAsistencias[],COLUMN(TabAsistencias[''IG]),FALSE)</calculatedColumnFormula>
    </tableColumn>
    <tableColumn id="7" xr3:uid="{21CEC381-EEB1-49CE-BEF6-65E3EF66F177}" name="AUS" dataDxfId="57">
      <calculatedColumnFormula array="1">VLOOKUP(TabCuotasIMSS[[#This Row],[ID]],TabAsistencias[],COLUMN(TabAsistencias[''F]),FALSE)</calculatedColumnFormula>
    </tableColumn>
    <tableColumn id="8" xr3:uid="{9D6346DE-FBB8-4628-98C0-BF1F4E045105}" name="SALARIO_x000a_DEL CICLO" dataDxfId="56">
      <calculatedColumnFormula>TabCuotasIMSS[[#This Row],[S.B.C./S.D.I.]]*TabCuotasIMSS[[#This Row],[DÍAS
LAB.]]</calculatedColumnFormula>
    </tableColumn>
    <tableColumn id="9" xr3:uid="{921C77FF-801B-4CAB-ABE3-486777ADB83A}" name="PATRON" dataDxfId="55">
      <calculatedColumnFormula>(SMDF*CF*(TabCuotasIMSS[[#This Row],[DÍAS
LAB.]]-TabCuotasIMSS[[#This Row],[INC]]))</calculatedColumnFormula>
    </tableColumn>
    <tableColumn id="10" xr3:uid="{CE33F8FB-FE4A-40A6-85FC-B09D9DA4C562}" name="EXCED._x000a_PATRON" dataCellStyle="Moneda">
      <calculatedColumnFormula>IF(TabCuotasIMSS[[#This Row],[S.B.C./S.D.I.]]&gt;SMDF3,((TabCuotasIMSS[[#This Row],[S.B.C./S.D.I.]]-SMDF3)*CFP*(TabCuotasIMSS[[#This Row],[DÍAS
LAB.]]-TabCuotasIMSS[[#This Row],[INC]])),0)</calculatedColumnFormula>
    </tableColumn>
    <tableColumn id="11" xr3:uid="{B9DDFCDF-FDB2-4529-AE77-37F0DE664945}" name="EXCED._x000a_OBRERO" dataCellStyle="Moneda">
      <calculatedColumnFormula>IF(TabCuotasIMSS[[#This Row],[S.B.C./S.D.I.]]&gt;SMDF3,((TabCuotasIMSS[[#This Row],[S.B.C./S.D.I.]]-SMDF3)*CFO*(TabCuotasIMSS[[#This Row],[DÍAS
LAB.]]-TabCuotasIMSS[[#This Row],[INC]])),0)</calculatedColumnFormula>
    </tableColumn>
    <tableColumn id="12" xr3:uid="{D76DB2BC-C25E-49CD-94E4-C273EBBF124F}" name="TOTAL_x000a_EXCED." dataCellStyle="Moneda">
      <calculatedColumnFormula>TabCuotasIMSS[[#This Row],[EXCED.
PATRON]]+TabCuotasIMSS[[#This Row],[EXCED.
OBRERO]]</calculatedColumnFormula>
    </tableColumn>
    <tableColumn id="13" xr3:uid="{9259FFFD-76C5-425F-B6FF-75E7E9B8E301}" name="PATRON2" dataCellStyle="Moneda">
      <calculatedColumnFormula>IF(TabCuotasIMSS[[#This Row],[S.B.C./S.D.I.]]&lt;=SMGI,((TabCuotasIMSS[[#This Row],[SALARIO
DEL CICLO]]-(TabCuotasIMSS[[#This Row],[S.B.C./S.D.I.]]*TabCuotasIMSS[[#This Row],[INC]])))*PD,((TabCuotasIMSS[[#This Row],[SALARIO
DEL CICLO]]-(TabCuotasIMSS[[#This Row],[S.B.C./S.D.I.]]*TabCuotasIMSS[[#This Row],[INC]]))*PDP))</calculatedColumnFormula>
    </tableColumn>
    <tableColumn id="14" xr3:uid="{78C197EB-EAEA-4F66-A9ED-99AD220D92D3}" name="OBRERO" dataCellStyle="Moneda">
      <calculatedColumnFormula>IF(TabCuotasIMSS[[#This Row],[S.B.C./S.D.I.]]&lt;=SMGI,0,((TabCuotasIMSS[[#This Row],[SALARIO
DEL CICLO]]-(TabCuotasIMSS[[#This Row],[S.B.C./S.D.I.]]*TabCuotasIMSS[[#This Row],[INC]]))*PDO))</calculatedColumnFormula>
    </tableColumn>
    <tableColumn id="15" xr3:uid="{6719A4C1-6FE7-422A-B0EE-50E7AF00212E}" name="TOTAL_x000a_O.P." dataCellStyle="Moneda">
      <calculatedColumnFormula>TabCuotasIMSS[[#This Row],[PATRON2]]+TabCuotasIMSS[[#This Row],[OBRERO]]</calculatedColumnFormula>
    </tableColumn>
    <tableColumn id="16" xr3:uid="{D43EC5AB-11EF-4667-999C-92BDA6CCE137}" name="PATRON3" dataCellStyle="Moneda">
      <calculatedColumnFormula>IF(TabCuotasIMSS[[#This Row],[S.B.C./S.D.I.]]&lt;=SMGI,((TabCuotasIMSS[[#This Row],[SALARIO
DEL CICLO]]-(TabCuotasIMSS[[#This Row],[S.B.C./S.D.I.]]*TabCuotasIMSS[[#This Row],[INC]])))*GMP,((TabCuotasIMSS[[#This Row],[SALARIO
DEL CICLO]]-(TabCuotasIMSS[[#This Row],[S.B.C./S.D.I.]]*TabCuotasIMSS[[#This Row],[INC]])))*GMPP)</calculatedColumnFormula>
    </tableColumn>
    <tableColumn id="17" xr3:uid="{1EC3A19A-80A2-4884-8D1F-102C2965BAF7}" name="OBRERO4" dataCellStyle="Moneda">
      <calculatedColumnFormula>IF(TabCuotasIMSS[[#This Row],[S.B.C./S.D.I.]]&lt;=SMGI,0,((TabCuotasIMSS[[#This Row],[SALARIO
DEL CICLO]]-(TabCuotasIMSS[[#This Row],[S.B.C./S.D.I.]]*TabCuotasIMSS[[#This Row],[INC]])))*GMPO)</calculatedColumnFormula>
    </tableColumn>
    <tableColumn id="18" xr3:uid="{E41506C3-40BB-4C6F-970B-0014EE25A700}" name="TOTAL_x000a_O.P.5" dataCellStyle="Moneda">
      <calculatedColumnFormula>TabCuotasIMSS[[#This Row],[PATRON3]]+TabCuotasIMSS[[#This Row],[OBRERO4]]</calculatedColumnFormula>
    </tableColumn>
    <tableColumn id="19" xr3:uid="{2A97922A-AA2C-42C0-8750-76569421054C}" name="PATRON_x000a_0.50%" dataDxfId="54">
      <calculatedColumnFormula>((TabCuotasIMSS[[#This Row],[SALARIO
DEL CICLO]]-(TabCuotasIMSS[[#This Row],[S.B.C./S.D.I.]]*(TabCuotasIMSS[[#This Row],[INC]]+TabCuotasIMSS[[#This Row],[AUS]]))))*PRTP</calculatedColumnFormula>
    </tableColumn>
    <tableColumn id="20" xr3:uid="{37E3E157-D241-4CCF-8628-9D3DFA4DFAF7}" name="PATRON6" dataCellStyle="Moneda">
      <calculatedColumnFormula>IF(TabCuotasIMSS[[#This Row],[S.B.C./S.D.I.]]&lt;=SMGI,((TabCuotasIMSS[[#This Row],[SALARIO
DEL CICLO]]-(TabCuotasIMSS[[#This Row],[S.B.C./S.D.I.]]*(TabCuotasIMSS[[#This Row],[INC]]+TabCuotasIMSS[[#This Row],[AUS]]))))*IV,((TabCuotasIMSS[[#This Row],[SALARIO
DEL CICLO]]-(TabCuotasIMSS[[#This Row],[S.B.C./S.D.I.]]*(TabCuotasIMSS[[#This Row],[INC]]+TabCuotasIMSS[[#This Row],[AUS]]))))*IVP)</calculatedColumnFormula>
    </tableColumn>
    <tableColumn id="21" xr3:uid="{DF5D169D-DC57-4035-862D-B20212108CF0}" name="OBRERO7" dataCellStyle="Moneda">
      <calculatedColumnFormula>IF(TabCuotasIMSS[[#This Row],[S.B.C./S.D.I.]]&lt;=SMGI,0,((TabCuotasIMSS[[#This Row],[SALARIO
DEL CICLO]]-(TabCuotasIMSS[[#This Row],[S.B.C./S.D.I.]]*(TabCuotasIMSS[[#This Row],[INC]]+TabCuotasIMSS[[#This Row],[AUS]]))))*IVO)</calculatedColumnFormula>
    </tableColumn>
    <tableColumn id="22" xr3:uid="{908366D6-0231-4FC8-813F-8AC0ED86E51E}" name="TOTAL_x000a_O.P.8" dataCellStyle="Moneda">
      <calculatedColumnFormula>TabCuotasIMSS[[#This Row],[PATRON6]]+TabCuotasIMSS[[#This Row],[OBRERO7]]</calculatedColumnFormula>
    </tableColumn>
    <tableColumn id="23" xr3:uid="{6D8E056C-04CA-4105-BE35-D8E3F7C24847}" name="PATRON9" dataDxfId="53">
      <calculatedColumnFormula>((TabCuotasIMSS[[#This Row],[SALARIO
DEL CICLO]]-(TabCuotasIMSS[[#This Row],[S.B.C./S.D.I.]]*(TabCuotasIMSS[[#This Row],[INC]]+TabCuotasIMSS[[#This Row],[AUS]]))))*GPS</calculatedColumnFormula>
    </tableColumn>
    <tableColumn id="24" xr3:uid="{4CC48D8F-3001-4F1D-8F31-CEC2AFCA8F5A}" name="OBRERO10" dataDxfId="52">
      <calculatedColumnFormula>TabCuotasIMSS[[#This Row],[SALARIO
DEL CICLO]]*0</calculatedColumnFormula>
    </tableColumn>
    <tableColumn id="25" xr3:uid="{188C69E8-BC15-4515-8183-D926F7C82DE5}" name="TOTAL_x000a_O.P.11" dataDxfId="51">
      <calculatedColumnFormula>TabCuotasIMSS[[#This Row],[PATRON9]]+TabCuotasIMSS[[#This Row],[OBRERO10]]</calculatedColumnFormula>
    </tableColumn>
    <tableColumn id="26" xr3:uid="{074D4D83-C42E-4741-872B-279DC7AC8102}" name="TOTAL_x000a_PATRONAL" dataDxfId="50">
      <calculatedColumnFormula>TabCuotasIMSS[[#This Row],[PATRON]]+TabCuotasIMSS[[#This Row],[EXCED.
PATRON]]+TabCuotasIMSS[[#This Row],[PATRON2]]+TabCuotasIMSS[[#This Row],[PATRON3]]+TabCuotasIMSS[[#This Row],[PATRON
0.50%]]+TabCuotasIMSS[[#This Row],[PATRON6]]+TabCuotasIMSS[[#This Row],[PATRON9]]</calculatedColumnFormula>
    </tableColumn>
    <tableColumn id="27" xr3:uid="{E693E527-4989-4817-ABD9-A874008772C8}" name="TOTAL_x000a_OBRERO" dataDxfId="49">
      <calculatedColumnFormula>TabCuotasIMSS[[#This Row],[EXCED.
OBRERO]]+TabCuotasIMSS[[#This Row],[OBRERO]]+TabCuotasIMSS[[#This Row],[OBRERO4]]+TabCuotasIMSS[[#This Row],[OBRERO7]]+TabCuotasIMSS[[#This Row],[OBRERO10]]</calculatedColumnFormula>
    </tableColumn>
    <tableColumn id="28" xr3:uid="{B1C935E5-879B-401A-9D8C-163B469D7166}" name="TOTAL_x000a_OBRERO_x000a_PATRONAL" dataDxfId="48">
      <calculatedColumnFormula>TabCuotasIMSS[[#This Row],[TOTAL
PATRONAL]]+TabCuotasIMSS[[#This Row],[TOTAL
OBRERO]]</calculatedColumnFormula>
    </tableColumn>
    <tableColumn id="30" xr3:uid="{CCBF63F8-629A-45EF-BC9F-3643530AA969}" name="2%" dataDxfId="47">
      <calculatedColumnFormula>((TabCuotasIMSS[[#This Row],[SALARIO
DEL CICLO]]-(TabCuotasIMSS[[#This Row],[S.B.C./S.D.I.]]*TabCuotasIMSS[[#This Row],[AUS]]))*R_)</calculatedColumnFormula>
    </tableColumn>
    <tableColumn id="31" xr3:uid="{8F44E906-9B6D-434E-B46E-56AD9F6A8469}" name="PATRON13" dataDxfId="46">
      <calculatedColumnFormula>IF(TabCuotasIMSS[[#This Row],[S.B.C./S.D.I.]]&lt;=SMGI,((TabCuotasIMSS[[#This Row],[SALARIO
DEL CICLO]]-(TabCuotasIMSS[[#This Row],[S.B.C./S.D.I.]]*(TabCuotasIMSS[[#This Row],[INC]]+TabCuotasIMSS[[#This Row],[AUS]]))))*CV,((TabCuotasIMSS[[#This Row],[SALARIO
DEL CICLO]]-(TabCuotasIMSS[[#This Row],[S.B.C./S.D.I.]]*(TabCuotasIMSS[[#This Row],[INC]]+TabCuotasIMSS[[#This Row],[AUS]]))))*CVP)</calculatedColumnFormula>
    </tableColumn>
    <tableColumn id="32" xr3:uid="{F4A93E8A-3107-41DE-9DD1-E0897DA7E589}" name="OBRERO14" dataDxfId="45">
      <calculatedColumnFormula>IF(TabCuotasIMSS[[#This Row],[S.B.C./S.D.I.]]&lt;=SMGI,0,((TabCuotasIMSS[[#This Row],[SALARIO
DEL CICLO]]-(TabCuotasIMSS[[#This Row],[S.B.C./S.D.I.]]*(TabCuotasIMSS[[#This Row],[INC]]+TabCuotasIMSS[[#This Row],[AUS]]))))*CVO)</calculatedColumnFormula>
    </tableColumn>
    <tableColumn id="33" xr3:uid="{699A600E-5B3A-4B99-9971-6E1E82EC97F3}" name="SUMA_x000a_O.P." dataDxfId="44">
      <calculatedColumnFormula>SUM(TabCuotasIMSS[[#This Row],[2%]]:TabCuotasIMSS[[#This Row],[OBRERO14]])</calculatedColumnFormula>
    </tableColumn>
    <tableColumn id="36" xr3:uid="{54B59104-4B71-4891-A456-632132A41B9A}" name="5%" dataDxfId="43">
      <calculatedColumnFormula>((TabCuotasIMSS[[#This Row],[SALARIO
DEL CICLO]]-(TabCuotasIMSS[[#This Row],[S.B.C./S.D.I.]]*(TabCuotasIMSS[[#This Row],[AUS]])))*I)</calculatedColumnFormula>
    </tableColumn>
    <tableColumn id="38" xr3:uid="{774F2F59-58D5-47DB-9FB1-816C9549D1F5}" name="TOTAL_x000a_PATRONAL18" dataDxfId="42">
      <calculatedColumnFormula>TabCuotasIMSS[[#This Row],[TOTAL
O.P.11]]+TabCuotasIMSS[[#This Row],[2%]]+TabCuotasIMSS[[#This Row],[PATRON13]]+TabCuotasIMSS[[#This Row],[5%]]</calculatedColumnFormula>
    </tableColumn>
    <tableColumn id="39" xr3:uid="{B081D117-C6B6-4309-BF81-51708CD55710}" name="TOTAL_x000a_OBRERO19" dataDxfId="41">
      <calculatedColumnFormula>TabCuotasIMSS[[#This Row],[TOTAL
OBRERO]]+TabCuotasIMSS[[#This Row],[OBRERO14]]</calculatedColumnFormula>
    </tableColumn>
  </tableColumns>
  <tableStyleInfo name="TableStyleLight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66A66A3-EA39-42FE-AFC7-831218C0A759}" name="TabImpuestos" displayName="TabImpuestos" ref="A2:Z77" totalsRowShown="0">
  <autoFilter ref="A2:Z77" xr:uid="{266A66A3-EA39-42FE-AFC7-831218C0A759}"/>
  <tableColumns count="26">
    <tableColumn id="1" xr3:uid="{B34806D3-6158-44E5-89BF-422ECCF600E7}" name="ID" dataDxfId="38">
      <calculatedColumnFormula>A2+1</calculatedColumnFormula>
    </tableColumn>
    <tableColumn id="2" xr3:uid="{FB4D6951-9E8F-48AF-AFC6-D4B8D6D91971}" name="Nombre" dataDxfId="37">
      <calculatedColumnFormula array="1">VLOOKUP(A3,TabEmpleados[],COLUMN(TabEmpleados[Nombre]),FALSE)</calculatedColumnFormula>
    </tableColumn>
    <tableColumn id="3" xr3:uid="{C8B0D9CC-FB8B-4CFF-99F5-31CE573AA55B}" name="Base Gravable" dataDxfId="36" dataCellStyle="Moneda">
      <calculatedColumnFormula array="1">(VLOOKUP(TabImpuestos[[#This Row],[ID]],TabEmpleados[],COLUMN(TabEmpleados[SD Fiscal]))*VLOOKUP(TabImpuestos[[#This Row],[ID]],TabAsistencias[],COLUMN(TabAsistencias[''Total de dias laborados])))+
TabImpuestos[[#This Row],[Bono Asistencia]]+TabImpuestos[[#This Row],[Bono Puntualidad]]+TabImpuestos[[#This Row],[Prima Dominical]]+TabImpuestos[[#This Row],[Prima Vacacional]]+TabImpuestos[[#This Row],[Bono Festivo/ Descanso]]</calculatedColumnFormula>
    </tableColumn>
    <tableColumn id="14" xr3:uid="{ACE4B211-4859-4239-B7BC-3E90008FA406}" name="Bono Asistencia" dataDxfId="35" dataCellStyle="Moneda">
      <calculatedColumnFormula array="1">VLOOKUP(TabImpuestos[[#This Row],[ID]],TabDesSalariosFiscal[],COLUMN(TabDesSalariosFiscal[Bono Asistencia]),FALSE)</calculatedColumnFormula>
    </tableColumn>
    <tableColumn id="15" xr3:uid="{CEBAD4EE-43D2-43E7-9546-FF1E6FCF6764}" name="Bono Puntualidad" dataDxfId="34" dataCellStyle="Moneda">
      <calculatedColumnFormula array="1">VLOOKUP(TabImpuestos[[#This Row],[ID]],TabDesSalariosFiscal[],COLUMN(TabDesSalariosFiscal[Bono Puntualidad]),FALSE)</calculatedColumnFormula>
    </tableColumn>
    <tableColumn id="16" xr3:uid="{35A13F91-A5AB-4CBC-9E3D-50D87F74B542}" name="Prima Dominical" dataDxfId="33" dataCellStyle="Moneda">
      <calculatedColumnFormula array="1">IF(VLOOKUP(TabImpuestos[[#This Row],[ID]],TabDesSalariosFiscal[],COLUMN(TabDesSalariosFiscal[Prima dominical]),FALSE)-SMDF&lt;0,0,VLOOKUP(TabImpuestos[[#This Row],[ID]],TabDesSalariosFiscal[],COLUMN(TabDesSalariosFiscal[Prima dominical]),FALSE)-SMDF)</calculatedColumnFormula>
    </tableColumn>
    <tableColumn id="20" xr3:uid="{2ECCCF3A-48B0-402E-B045-5C9D3D6CEAAB}" name="Prima Vacacional" dataDxfId="32" dataCellStyle="Moneda">
      <calculatedColumnFormula array="1">IF(VLOOKUP(TabImpuestos[[#This Row],[ID]],TabDesSalariosFiscal[],COLUMN(TabDesSalariosFiscal[Prima vacacional]),FALSE)-(15*SMDF)&lt;0,0,VLOOKUP(TabImpuestos[[#This Row],[ID]],TabDesSalariosFiscal[],COLUMN(TabDesSalariosFiscal[Prima vacacional]),FALSE)-(15*SMDF))</calculatedColumnFormula>
    </tableColumn>
    <tableColumn id="17" xr3:uid="{2259AF2C-6CFA-4DFB-9653-62F664E7C5FF}" name="Bono Festivo/ Descanso" dataDxfId="31" dataCellStyle="Moneda">
      <calculatedColumnFormula array="1">(VLOOKUP(TabImpuestos[[#This Row],[ID]],TabDesSalariosFiscal[],COLUMN(TabDesSalariosFiscal[Dia Festivo/ Descanso]),FALSE)*50%)</calculatedColumnFormula>
    </tableColumn>
    <tableColumn id="4" xr3:uid="{D9AB82A5-9C33-4798-950D-ABFC454B6E6E}" name="(-) Lim. Inferior" dataDxfId="30" dataCellStyle="Moneda">
      <calculatedColumnFormula array="1">IFERROR(VLOOKUP(TabImpuestos[[#This Row],[Base Gravable]],TabISR[],COLUMN(TabISR[Límite inferior])),0)</calculatedColumnFormula>
    </tableColumn>
    <tableColumn id="5" xr3:uid="{348A4FA8-9BB1-4517-A83B-4811841A7D00}" name="EXC. Lim. Inferior" dataDxfId="29" dataCellStyle="Moneda">
      <calculatedColumnFormula>IFERROR(TabImpuestos[[#This Row],[Base Gravable]]-TabImpuestos[[#This Row],[(-) Lim. Inferior]],0)</calculatedColumnFormula>
    </tableColumn>
    <tableColumn id="6" xr3:uid="{640B0666-DD92-400A-8EF4-935AEEF3B162}" name="(*) % Lim. Inf." dataDxfId="28" dataCellStyle="Porcentaje">
      <calculatedColumnFormula array="1">IFERROR(VLOOKUP(TabImpuestos[[#This Row],[Base Gravable]],TabISR[],COLUMN(TabISR[Por ciento para aplicarse sobre el excedente del límite inferior])),0)</calculatedColumnFormula>
    </tableColumn>
    <tableColumn id="7" xr3:uid="{31AFD148-C85E-40ED-9AA8-2FFAD69E4895}" name="Impuesto marginal" dataDxfId="27" dataCellStyle="Moneda">
      <calculatedColumnFormula>IFERROR(TabImpuestos[[#This Row],[EXC. Lim. Inferior]]*TabImpuestos[[#This Row],[(*) % Lim. Inf.]],0)</calculatedColumnFormula>
    </tableColumn>
    <tableColumn id="8" xr3:uid="{11EB6D97-6E29-411A-8661-3BDF1062935E}" name="(+) Cuota Fija" dataDxfId="26" dataCellStyle="Moneda">
      <calculatedColumnFormula array="1">IFERROR(VLOOKUP(TabImpuestos[[#This Row],[Base Gravable]],TabISR[],COLUMN(TabISR[Cuota fija])),0)</calculatedColumnFormula>
    </tableColumn>
    <tableColumn id="9" xr3:uid="{3AD0FEAE-37EE-4F53-B977-F9C510370546}" name="Imp. Art. 96 ISR" dataDxfId="25" dataCellStyle="Moneda">
      <calculatedColumnFormula>IFERROR(TabImpuestos[[#This Row],[Impuesto marginal]]+TabImpuestos[[#This Row],[(+) Cuota Fija]],0)</calculatedColumnFormula>
    </tableColumn>
    <tableColumn id="10" xr3:uid="{59627E8A-0EF5-494C-B125-68553D0A7CAD}" name="(-) Subsidio para el empleo" dataDxfId="24" dataCellStyle="Moneda">
      <calculatedColumnFormula array="1">IFERROR(VLOOKUP(TabImpuestos[[#This Row],[Base Gravable]],TabSubsidio[],COLUMN(TabSubsidio[SUBSIDIO])),0)</calculatedColumnFormula>
    </tableColumn>
    <tableColumn id="11" xr3:uid="{C9DCBCD1-BE4A-4606-B1BE-D7D7AEE8C2EF}" name="Total ISR" dataDxfId="23" dataCellStyle="Moneda">
      <calculatedColumnFormula>IFERROR(TabImpuestos[[#This Row],[Imp. Art. 96 ISR]]-TabImpuestos[[#This Row],[(-) Subsidio para el empleo]],0)</calculatedColumnFormula>
    </tableColumn>
    <tableColumn id="13" xr3:uid="{0C17D72E-FD25-40F8-BE28-AA44B368A85C}" name="Ingreso Neto" dataDxfId="22" dataCellStyle="Moneda">
      <calculatedColumnFormula array="1">IF('Desglose Salarios Fiscal'!$Q$1=1,TabImpuestos[[#This Row],[Ingreso ordinario]]+((15*VLOOKUP(TabImpuestos[[#This Row],[ID]],TabEmpleados[],COLUMN(TabEmpleados[SD Fiscal]),FALSE))-(30*SMDF)),0)</calculatedColumnFormula>
    </tableColumn>
    <tableColumn id="18" xr3:uid="{61638E2F-2A11-43E3-9DA3-2B946B896425}" name="Ingreso ordinario" dataDxfId="21" dataCellStyle="Moneda">
      <calculatedColumnFormula array="1">IF('Desglose Salarios Fiscal'!$Q$1=1,(VLOOKUP(TabImpuestos[[#This Row],[ID]],TabEmpleados[],COLUMN(TabEmpleados[SD Fiscal]),FALSE)*30.4)-TabImpuestos[[#This Row],[(-) Subsidio para el empleo]],0)</calculatedColumnFormula>
    </tableColumn>
    <tableColumn id="12" xr3:uid="{257E478F-5A8B-46B9-B0E0-76D7832A0EEC}" name="ISR de Aguinaldo 1" dataDxfId="20" dataCellStyle="Moneda">
      <calculatedColumnFormula array="1">IFERROR(IF('Desglose Salarios Fiscal'!$Q$1=1,IFERROR((((TabImpuestos[[#This Row],[Ingreso Neto]]-(VLOOKUP(TabImpuestos[[#This Row],[Ingreso Neto]],TabISR[],COLUMN(TabISR[Límite inferior]))))*(VLOOKUP(TabImpuestos[[#This Row],[Ingreso Neto]],TabISR[],COLUMN(TabISR[Por ciento para aplicarse sobre el excedente del límite inferior]))))+(VLOOKUP(TabImpuestos[[#This Row],[Ingreso Neto]],TabISR[],COLUMN(TabISR[Cuota fija]))))-(((TabImpuestos[[#This Row],[Ingreso ordinario]]-(VLOOKUP(TabImpuestos[[#This Row],[Ingreso ordinario]],TabISR[],COLUMN(TabISR[Límite inferior]))))*(VLOOKUP(TabImpuestos[[#This Row],[Ingreso ordinario]],TabISR[],COLUMN(TabISR[Por ciento para aplicarse sobre el excedente del límite inferior]))))+(VLOOKUP(TabImpuestos[[#This Row],[Ingreso ordinario]],TabISR[],COLUMN(TabISR[Cuota fija])))),0),0),0)</calculatedColumnFormula>
    </tableColumn>
    <tableColumn id="22" xr3:uid="{9EDBBE7C-B5C8-4AC5-B6D3-96AF23C0222A}" name="Aguinaldo Gravado Mensual" dataDxfId="19" dataCellStyle="Moneda">
      <calculatedColumnFormula array="1">((15*VLOOKUP(TabImpuestos[[#This Row],[ID]],TabEmpleados[],COLUMN(TabEmpleados[SD Fiscal]),FALSE))-(30*SMDF))/365*30.4</calculatedColumnFormula>
    </tableColumn>
    <tableColumn id="23" xr3:uid="{197515BD-65A3-432D-A4A3-51B2FD0D848B}" name="Ingresos totales" dataDxfId="18" dataCellStyle="Moneda">
      <calculatedColumnFormula>TabImpuestos[[#This Row],[Ingreso ordinario]]+TabImpuestos[[#This Row],[Aguinaldo Gravado Mensual]]</calculatedColumnFormula>
    </tableColumn>
    <tableColumn id="24" xr3:uid="{5FE03A43-194A-4271-83DD-24D64EFF25A3}" name="ISR Por ingresos totales" dataDxfId="17" dataCellStyle="Moneda">
      <calculatedColumnFormula array="1">(((TabImpuestos[[#This Row],[Ingresos totales]]-(VLOOKUP(TabImpuestos[[#This Row],[Ingresos totales]],TabISR[],COLUMN(TabISR[Límite inferior]))))*(VLOOKUP(TabImpuestos[[#This Row],[Ingresos totales]],TabISR[],COLUMN(TabISR[Por ciento para aplicarse sobre el excedente del límite inferior]))))+(VLOOKUP(TabImpuestos[[#This Row],[Ingresos totales]],TabISR[],COLUMN(TabISR[Cuota fija]))))</calculatedColumnFormula>
    </tableColumn>
    <tableColumn id="25" xr3:uid="{A14DEA25-0507-43C4-AD37-824A7A5E1FFC}" name="ISR por ingreso ordinario" dataDxfId="16" dataCellStyle="Moneda">
      <calculatedColumnFormula array="1">(((TabImpuestos[[#This Row],[Ingreso ordinario]]-(VLOOKUP(TabImpuestos[[#This Row],[Ingreso ordinario]],TabISR[],COLUMN(TabISR[Límite inferior]))))*(VLOOKUP(TabImpuestos[[#This Row],[Ingreso ordinario]],TabISR[],COLUMN(TabISR[Por ciento para aplicarse sobre el excedente del límite inferior]))))+(VLOOKUP(TabImpuestos[[#This Row],[Ingreso ordinario]],TabISR[],COLUMN(TabISR[Cuota fija]))))</calculatedColumnFormula>
    </tableColumn>
    <tableColumn id="26" xr3:uid="{7E05D978-4AE7-41EF-A305-8BE55EAEC575}" name="Diferencia de ISR's" dataDxfId="15" dataCellStyle="Moneda">
      <calculatedColumnFormula>TabImpuestos[[#This Row],[ISR Por ingresos totales]]-TabImpuestos[[#This Row],[ISR por ingreso ordinario]]</calculatedColumnFormula>
    </tableColumn>
    <tableColumn id="27" xr3:uid="{21AC1915-3927-4D66-A53E-0ED97FD5DF69}" name="Tasa D %" dataDxfId="14" dataCellStyle="Moneda">
      <calculatedColumnFormula>TabImpuestos[[#This Row],[Diferencia de ISR''s]]/TabImpuestos[[#This Row],[Aguinaldo Gravado Mensual]]</calculatedColumnFormula>
    </tableColumn>
    <tableColumn id="19" xr3:uid="{2941BAF0-FEB5-4889-8FDA-3ECDA7A31432}" name="ISR de Aguinaldo 2" dataDxfId="13" dataCellStyle="Moneda">
      <calculatedColumnFormula array="1">IFERROR(IF('Desglose Salarios Fiscal'!$Q$1=1,((15*VLOOKUP(TabImpuestos[[#This Row],[ID]],TabEmpleados[],COLUMN(TabEmpleados[SD Fiscal]),FALSE))-(30*SMDF))*TabImpuestos[[#This Row],[Tasa D %]],0),0)</calculatedColumnFormula>
    </tableColumn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O3" dT="2022-11-28T21:40:16.74" personId="{36170F40-C5F2-4FB3-B294-7A211421F84C}" id="{337436D3-502A-4DEE-B415-A995ED195B0C}">
    <text xml:space="preserve">Porcentaje de riesgo de trabajo PATRON.
</text>
  </threadedComment>
  <threadedComment ref="O4" dT="2022-11-28T21:41:50.46" personId="{36170F40-C5F2-4FB3-B294-7A211421F84C}" id="{2C96AC90-90C0-4ED2-B6B6-F4673A7BEB95}">
    <text>Obrero</text>
  </threadedComment>
  <threadedComment ref="C32" dT="2022-11-23T22:54:16.13" personId="{36170F40-C5F2-4FB3-B294-7A211421F84C}" id="{C814901F-F912-43C5-9EC2-65EBFA59DAB1}">
    <text>0 = NO, 1 = SI</text>
  </threadedComment>
  <threadedComment ref="D32" dT="2022-12-15T00:06:29.60" personId="{36170F40-C5F2-4FB3-B294-7A211421F84C}" id="{9EDE7648-4370-45AE-87F5-84978FF7C9D2}">
    <text>Numero de alimentos por dia</text>
  </threadedComment>
  <threadedComment ref="A123" dT="2022-12-16T23:09:48.31" personId="{36170F40-C5F2-4FB3-B294-7A211421F84C}" id="{2F13E767-D62E-4B83-881D-D9103A130411}">
    <text>Si se quiere cambiar los valores, se cambian directamente en la Hoja "Empleados".</text>
  </threadedComment>
  <threadedComment ref="C123" dT="2022-12-16T23:10:50.44" personId="{36170F40-C5F2-4FB3-B294-7A211421F84C}" id="{F6CFCD21-3A18-4E9B-90B9-140BE9CE0BC6}">
    <text>Es el valor que se le da a las asistencias para pago de Nomina.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1" dT="2022-11-23T15:58:18.95" personId="{36170F40-C5F2-4FB3-B294-7A211421F84C}" id="{79BD2EFA-021F-440A-ABFF-C71B0509FF39}">
    <text>Es un calculo de 15 días de salario diario.</text>
  </threadedComment>
  <threadedComment ref="H1" dT="2022-11-24T21:14:40.24" personId="{36170F40-C5F2-4FB3-B294-7A211421F84C}" id="{F1B4A687-BD1A-4CA9-8655-BFD5CE6EC3F5}">
    <text>Para fines de IMSS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B1" dT="2022-12-14T17:31:06.36" personId="{36170F40-C5F2-4FB3-B294-7A211421F84C}" id="{A8AE8366-FDA8-4B1F-9DFF-7699520435F4}">
    <text>NO CAMBIAR EL AñO</text>
  </threadedComment>
  <threadedComment ref="A3" dT="2023-01-05T22:22:01.77" personId="{459F92EB-0FA7-44FD-90D3-C32375D9E60C}" id="{04BC31A3-F505-428E-BB22-FAB75511916A}">
    <text>Fecha final para mostrar en tabla.</text>
  </threadedComment>
  <threadedComment ref="A4" dT="2023-01-05T22:21:35.91" personId="{459F92EB-0FA7-44FD-90D3-C32375D9E60C}" id="{7FD4BBB9-D3F4-46CE-A404-23632D6BF17D}">
    <text>Fecha de inicio para mostrar en tabla.</text>
  </threadedComment>
  <threadedComment ref="B5" dT="2022-11-23T16:28:35.04" personId="{36170F40-C5F2-4FB3-B294-7A211421F84C}" id="{44C22DE1-F390-4C94-8E7E-4D59314D7DB6}">
    <text>Poner un dia mas del que desea mostrar</text>
  </threadedComment>
  <threadedComment ref="QL29" dT="2023-01-14T03:15:03.35" personId="{459F92EB-0FA7-44FD-90D3-C32375D9E60C}" id="{11FBD81A-0441-4F30-B5E0-21440A5C0993}">
    <text>Días laborados</text>
  </threadedComment>
  <threadedComment ref="QO29" dT="2023-01-14T03:15:20.06" personId="{459F92EB-0FA7-44FD-90D3-C32375D9E60C}" id="{68E80770-9B7C-44F7-A42E-B57B367336FA}">
    <text>Días de vacaciones</text>
  </threadedComment>
  <threadedComment ref="QQ29" dT="2023-01-14T03:15:51.04" personId="{459F92EB-0FA7-44FD-90D3-C32375D9E60C}" id="{CE6B7A9A-EC7B-4F12-9BBA-2408AD502F2B}">
    <text>Días de faltas.</text>
  </threadedComment>
  <threadedComment ref="QV29" dT="2023-01-14T03:18:10.46" personId="{459F92EB-0FA7-44FD-90D3-C32375D9E60C}" id="{D7D01C46-2025-4630-9FB7-8965CB3EAEDA}">
    <text>Días de incapacidad general.</text>
  </threadedComment>
  <threadedComment ref="QX29" dT="2023-01-14T03:18:54.19" personId="{459F92EB-0FA7-44FD-90D3-C32375D9E60C}" id="{4C2D1539-A44D-4032-A05A-459D4ED62C0D}">
    <text>Días feriados trabajados.</text>
  </threadedComment>
  <threadedComment ref="RA29" dT="2023-01-14T03:19:27.77" personId="{459F92EB-0FA7-44FD-90D3-C32375D9E60C}" id="{F5B5378E-744B-4A84-895E-9762865DA1B4}">
    <text>Días de incapacidad.</text>
  </threadedComment>
  <threadedComment ref="RE29" dT="2023-01-14T03:20:16.12" personId="{459F92EB-0FA7-44FD-90D3-C32375D9E60C}" id="{DDF6601B-A3C3-413E-B2DD-E5308BB2FB0D}">
    <text>Días de baja.</text>
  </threadedComment>
  <threadedComment ref="QK30" dT="2023-01-14T04:26:17.10" personId="{459F92EB-0FA7-44FD-90D3-C32375D9E60C}" id="{E801FE5F-5C99-40B9-B827-C6D7CFB576E2}">
    <text>Solo del año seleccionado, no del anterior.</text>
  </threadedComment>
  <threadedComment ref="QK30" dT="2023-01-14T04:28:44.29" personId="{459F92EB-0FA7-44FD-90D3-C32375D9E60C}" id="{FE6EB788-9DDA-4AE8-B591-C208E5450214}" parentId="{E801FE5F-5C99-40B9-B827-C6D7CFB576E2}">
    <text>Columna AH a PN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Q1" dT="2022-12-27T01:28:35.90" personId="{459F92EB-0FA7-44FD-90D3-C32375D9E60C}" id="{9B27AB1C-4473-44CA-BE4E-DC689885159A}">
    <text>Si se aplica junto al pago de Nomina el ISR aumenta a si se paga por separado.</text>
  </threadedComment>
  <threadedComment ref="M2" dT="2023-01-04T21:32:24.07" personId="{459F92EB-0FA7-44FD-90D3-C32375D9E60C}" id="{14E451F6-E21C-4E6C-9BA4-6B49A937F962}">
    <text>Actualizar la formula de manera manual.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K2" dT="2022-12-31T02:36:06.50" personId="{459F92EB-0FA7-44FD-90D3-C32375D9E60C}" id="{D4575704-FF99-4CC3-A085-992F85150196}">
    <text>Cambiar el "&gt;3 y "-3" por "&gt;0" y "-0" cuando sea necesario "=SI([@[Dias Incapacidad/General]]&gt;0,(([@[Dias Incapacidad/General]]-0)*((BUSCARV([@id],Empleados!A:H,6,FALSO)))*[@[% pagado por incapacidad]]),0)"</text>
  </threadedComment>
  <threadedComment ref="M2" dT="2023-01-04T21:33:28.24" personId="{459F92EB-0FA7-44FD-90D3-C32375D9E60C}" id="{C38AD2E3-CE9B-431F-904F-6D4945330307}">
    <text>Actualizar la formula de manera manual.</text>
  </threadedComment>
  <threadedComment ref="O2" dT="2022-12-14T19:03:10.61" personId="{36170F40-C5F2-4FB3-B294-7A211421F84C}" id="{A8B3C59D-DF7F-460C-AA3C-E6A4389A2943}">
    <text>+ o - cualquier concepto</text>
  </threadedComment>
</ThreadedComments>
</file>

<file path=xl/threadedComments/threadedComment6.xml><?xml version="1.0" encoding="utf-8"?>
<ThreadedComments xmlns="http://schemas.microsoft.com/office/spreadsheetml/2018/threadedcomments" xmlns:x="http://schemas.openxmlformats.org/spreadsheetml/2006/main">
  <threadedComment ref="S2" dT="2022-12-28T02:42:00.95" personId="{459F92EB-0FA7-44FD-90D3-C32375D9E60C}" id="{E5256D35-41D1-495D-9FF9-0991ED294FD3}">
    <text>Ley del Impuesto Sobre la Renta</text>
  </threadedComment>
  <threadedComment ref="Z2" dT="2022-12-28T02:42:24.78" personId="{459F92EB-0FA7-44FD-90D3-C32375D9E60C}" id="{3E4D99DD-A841-48E1-B884-8D25432E671C}">
    <text>Reglamento de la Ley del ISR</text>
  </threadedComment>
</ThreadedComment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1.vml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10" Type="http://schemas.microsoft.com/office/2017/10/relationships/threadedComment" Target="../threadedComments/threadedComment1.xml"/><Relationship Id="rId4" Type="http://schemas.openxmlformats.org/officeDocument/2006/relationships/table" Target="../tables/table3.xml"/><Relationship Id="rId9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Relationship Id="rId5" Type="http://schemas.microsoft.com/office/2017/10/relationships/threadedComment" Target="../threadedComments/threadedComment2.xml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microsoft.com/office/2017/10/relationships/threadedComment" Target="../threadedComments/threadedComment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3.xml"/><Relationship Id="rId5" Type="http://schemas.openxmlformats.org/officeDocument/2006/relationships/table" Target="../tables/table9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2.xml"/><Relationship Id="rId4" Type="http://schemas.openxmlformats.org/officeDocument/2006/relationships/table" Target="../tables/table10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3.xml"/><Relationship Id="rId4" Type="http://schemas.openxmlformats.org/officeDocument/2006/relationships/table" Target="../tables/table1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4.xml"/><Relationship Id="rId4" Type="http://schemas.openxmlformats.org/officeDocument/2006/relationships/table" Target="../tables/table1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5.xml"/><Relationship Id="rId4" Type="http://schemas.openxmlformats.org/officeDocument/2006/relationships/table" Target="../tables/table1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table" Target="../tables/table14.xml"/><Relationship Id="rId1" Type="http://schemas.openxmlformats.org/officeDocument/2006/relationships/vmlDrawing" Target="../drawings/vmlDrawing8.vml"/><Relationship Id="rId4" Type="http://schemas.microsoft.com/office/2017/10/relationships/threadedComment" Target="../threadedComments/threadedComment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table" Target="../tables/table15.xml"/><Relationship Id="rId1" Type="http://schemas.openxmlformats.org/officeDocument/2006/relationships/vmlDrawing" Target="../drawings/vmlDrawing9.vml"/><Relationship Id="rId4" Type="http://schemas.microsoft.com/office/2017/10/relationships/threadedComment" Target="../threadedComments/threadedComment5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.xml"/><Relationship Id="rId1" Type="http://schemas.openxmlformats.org/officeDocument/2006/relationships/printerSettings" Target="../printerSettings/printerSettings3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7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4.bin"/><Relationship Id="rId5" Type="http://schemas.microsoft.com/office/2017/10/relationships/threadedComment" Target="../threadedComments/threadedComment6.xml"/><Relationship Id="rId4" Type="http://schemas.openxmlformats.org/officeDocument/2006/relationships/comments" Target="../comments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7E47F4-36E9-4C8A-9818-D3A1D7021EDA}">
  <sheetPr codeName="Hoja3">
    <tabColor rgb="FF7030A0"/>
  </sheetPr>
  <dimension ref="A1:AC143"/>
  <sheetViews>
    <sheetView tabSelected="1" topLeftCell="A116" zoomScaleNormal="100" workbookViewId="0">
      <selection activeCell="A144" sqref="A144"/>
    </sheetView>
  </sheetViews>
  <sheetFormatPr baseColWidth="10" defaultRowHeight="15" x14ac:dyDescent="0.25"/>
  <cols>
    <col min="1" max="1" width="24.7109375" bestFit="1" customWidth="1"/>
    <col min="2" max="2" width="17.85546875" customWidth="1"/>
    <col min="3" max="3" width="15.28515625" customWidth="1"/>
    <col min="4" max="5" width="14" customWidth="1"/>
    <col min="6" max="6" width="11.7109375" customWidth="1"/>
    <col min="7" max="7" width="9.7109375" customWidth="1"/>
    <col min="8" max="8" width="7.85546875" customWidth="1"/>
    <col min="10" max="10" width="29.7109375" customWidth="1"/>
    <col min="11" max="11" width="13.42578125" customWidth="1"/>
    <col min="12" max="12" width="10.28515625" customWidth="1"/>
    <col min="14" max="14" width="13" customWidth="1"/>
    <col min="15" max="17" width="12.7109375" customWidth="1"/>
    <col min="19" max="19" width="11.7109375" style="2" customWidth="1"/>
    <col min="20" max="20" width="23.42578125" style="110" customWidth="1"/>
    <col min="22" max="22" width="15.5703125" style="2" customWidth="1"/>
    <col min="23" max="23" width="27.28515625" style="56" bestFit="1" customWidth="1"/>
    <col min="24" max="24" width="14.42578125" style="2" customWidth="1"/>
    <col min="25" max="25" width="38.140625" bestFit="1" customWidth="1"/>
    <col min="27" max="27" width="16.7109375" customWidth="1"/>
    <col min="28" max="28" width="18" style="2" customWidth="1"/>
    <col min="29" max="29" width="10.85546875" style="104" customWidth="1"/>
    <col min="30" max="30" width="14.28515625" customWidth="1"/>
    <col min="36" max="36" width="14.140625" bestFit="1" customWidth="1"/>
    <col min="37" max="37" width="43.5703125" bestFit="1" customWidth="1"/>
  </cols>
  <sheetData>
    <row r="1" spans="1:20" ht="28.15" customHeight="1" thickBot="1" x14ac:dyDescent="0.3"/>
    <row r="2" spans="1:20" ht="28.15" customHeight="1" thickBot="1" x14ac:dyDescent="0.35">
      <c r="A2" s="297" t="s">
        <v>429</v>
      </c>
      <c r="B2" s="37" t="s">
        <v>413</v>
      </c>
      <c r="C2" s="38"/>
      <c r="D2" s="38"/>
      <c r="J2" s="348" t="s">
        <v>143</v>
      </c>
      <c r="K2" s="349"/>
      <c r="L2" s="350"/>
      <c r="N2" s="146" t="s">
        <v>412</v>
      </c>
      <c r="O2" s="147" t="s">
        <v>287</v>
      </c>
      <c r="S2"/>
      <c r="T2"/>
    </row>
    <row r="3" spans="1:20" ht="30" customHeight="1" thickBot="1" x14ac:dyDescent="0.3">
      <c r="A3" s="44" t="s">
        <v>191</v>
      </c>
      <c r="B3" s="44" t="s">
        <v>192</v>
      </c>
      <c r="C3" s="44" t="s">
        <v>193</v>
      </c>
      <c r="D3" s="45" t="s">
        <v>194</v>
      </c>
      <c r="J3" s="142" t="s">
        <v>144</v>
      </c>
      <c r="K3" s="255" t="s">
        <v>145</v>
      </c>
      <c r="L3" s="250">
        <v>172.87</v>
      </c>
      <c r="N3" s="229">
        <v>0.5</v>
      </c>
      <c r="O3" s="248" t="s">
        <v>306</v>
      </c>
      <c r="S3"/>
      <c r="T3"/>
    </row>
    <row r="4" spans="1:20" ht="28.15" customHeight="1" x14ac:dyDescent="0.25">
      <c r="A4" s="39">
        <v>0.01</v>
      </c>
      <c r="B4" s="39">
        <v>368.1</v>
      </c>
      <c r="C4" s="40">
        <v>0</v>
      </c>
      <c r="D4" s="41">
        <v>1.9199999999999998E-2</v>
      </c>
      <c r="J4" s="143" t="s">
        <v>146</v>
      </c>
      <c r="K4" s="256" t="s">
        <v>147</v>
      </c>
      <c r="L4" s="251">
        <v>96.22</v>
      </c>
      <c r="N4" s="230">
        <f>100%-N3</f>
        <v>0.5</v>
      </c>
      <c r="O4" s="249" t="s">
        <v>307</v>
      </c>
      <c r="S4"/>
      <c r="T4"/>
    </row>
    <row r="5" spans="1:20" ht="28.15" customHeight="1" x14ac:dyDescent="0.25">
      <c r="A5" s="39">
        <v>368.11</v>
      </c>
      <c r="B5" s="39">
        <v>3124.35</v>
      </c>
      <c r="C5" s="40">
        <v>7.05</v>
      </c>
      <c r="D5" s="41">
        <v>6.4000000000000001E-2</v>
      </c>
      <c r="J5" s="143" t="s">
        <v>148</v>
      </c>
      <c r="K5" s="256" t="s">
        <v>149</v>
      </c>
      <c r="L5" s="251" cm="1">
        <f t="array" ref="L5">+SMDF*3</f>
        <v>288.65999999999997</v>
      </c>
      <c r="N5" s="2"/>
      <c r="O5" s="110"/>
      <c r="S5"/>
      <c r="T5"/>
    </row>
    <row r="6" spans="1:20" ht="28.15" customHeight="1" x14ac:dyDescent="0.25">
      <c r="A6" s="39">
        <v>3124.36</v>
      </c>
      <c r="B6" s="39">
        <v>5490.75</v>
      </c>
      <c r="C6" s="40">
        <v>183.45</v>
      </c>
      <c r="D6" s="41">
        <v>0.10879999999999999</v>
      </c>
      <c r="J6" s="144" t="s">
        <v>150</v>
      </c>
      <c r="K6" s="256" t="s">
        <v>151</v>
      </c>
      <c r="L6" s="252">
        <v>0.20399999999999999</v>
      </c>
      <c r="N6" s="2"/>
      <c r="O6" s="110"/>
      <c r="S6"/>
      <c r="T6"/>
    </row>
    <row r="7" spans="1:20" ht="28.15" customHeight="1" x14ac:dyDescent="0.25">
      <c r="A7" s="39">
        <v>5490.76</v>
      </c>
      <c r="B7" s="39">
        <v>6382.8</v>
      </c>
      <c r="C7" s="39">
        <v>441</v>
      </c>
      <c r="D7" s="41">
        <v>0.16</v>
      </c>
      <c r="J7" s="143" t="s">
        <v>152</v>
      </c>
      <c r="K7" s="256" t="s">
        <v>153</v>
      </c>
      <c r="L7" s="252">
        <v>1.0999999999999999E-2</v>
      </c>
      <c r="N7" s="109" t="s">
        <v>288</v>
      </c>
      <c r="O7" s="110" t="s">
        <v>287</v>
      </c>
      <c r="R7" s="172"/>
      <c r="S7"/>
      <c r="T7"/>
    </row>
    <row r="8" spans="1:20" ht="28.15" customHeight="1" x14ac:dyDescent="0.25">
      <c r="A8" s="39">
        <v>6382.81</v>
      </c>
      <c r="B8" s="39">
        <v>7641.9</v>
      </c>
      <c r="C8" s="39">
        <v>583.65</v>
      </c>
      <c r="D8" s="41">
        <v>0.1792</v>
      </c>
      <c r="J8" s="143" t="s">
        <v>154</v>
      </c>
      <c r="K8" s="256" t="s">
        <v>155</v>
      </c>
      <c r="L8" s="252">
        <v>4.0000000000000001E-3</v>
      </c>
      <c r="N8" s="245">
        <f>DATE(Asistencias!$B$1,3,DAY(1))-DAY(1)</f>
        <v>44985</v>
      </c>
      <c r="O8" s="111" t="s">
        <v>289</v>
      </c>
      <c r="R8" s="278" t="s">
        <v>424</v>
      </c>
      <c r="S8"/>
      <c r="T8"/>
    </row>
    <row r="9" spans="1:20" ht="28.15" customHeight="1" x14ac:dyDescent="0.25">
      <c r="A9" s="39">
        <v>7641.91</v>
      </c>
      <c r="B9" s="39">
        <v>15412.8</v>
      </c>
      <c r="C9" s="39">
        <v>809.25</v>
      </c>
      <c r="D9" s="41">
        <v>0.21360000000000001</v>
      </c>
      <c r="J9" s="144" t="s">
        <v>156</v>
      </c>
      <c r="K9" s="256" t="s">
        <v>157</v>
      </c>
      <c r="L9" s="252">
        <v>9.4999999999999998E-3</v>
      </c>
      <c r="N9" s="246">
        <f>DATE(Asistencias!$B$1,MONTH(1),DAY(1))</f>
        <v>44927</v>
      </c>
      <c r="O9" s="27" t="s">
        <v>323</v>
      </c>
      <c r="R9" s="347" t="s">
        <v>422</v>
      </c>
      <c r="S9"/>
      <c r="T9"/>
    </row>
    <row r="10" spans="1:20" ht="28.15" customHeight="1" x14ac:dyDescent="0.25">
      <c r="A10" s="42">
        <v>15412.81</v>
      </c>
      <c r="B10" s="42">
        <v>24292.65</v>
      </c>
      <c r="C10" s="42">
        <v>2469.15</v>
      </c>
      <c r="D10" s="41">
        <v>0.23519999999999999</v>
      </c>
      <c r="J10" s="143" t="s">
        <v>158</v>
      </c>
      <c r="K10" s="256" t="s">
        <v>159</v>
      </c>
      <c r="L10" s="252">
        <v>7.0000000000000001E-3</v>
      </c>
      <c r="N10" s="246">
        <f>DATE(AñoActual+1,MONTH(1),DAY(1))-DAY(1)</f>
        <v>45291</v>
      </c>
      <c r="O10" s="27" t="s">
        <v>324</v>
      </c>
      <c r="R10" s="281" t="s">
        <v>415</v>
      </c>
      <c r="S10"/>
      <c r="T10"/>
    </row>
    <row r="11" spans="1:20" ht="28.15" customHeight="1" x14ac:dyDescent="0.25">
      <c r="A11" s="42">
        <v>24292.66</v>
      </c>
      <c r="B11" s="42">
        <v>46378.5</v>
      </c>
      <c r="C11" s="42">
        <v>4557.75</v>
      </c>
      <c r="D11" s="41">
        <v>0.3</v>
      </c>
      <c r="J11" s="143" t="s">
        <v>160</v>
      </c>
      <c r="K11" s="256" t="s">
        <v>161</v>
      </c>
      <c r="L11" s="252">
        <v>2.5000000000000001E-3</v>
      </c>
      <c r="N11" s="149" cm="1">
        <f t="array" ref="N11">SUM(INT((WEEKDAY($N$10-{1})+$N$10-$N$9)/7))</f>
        <v>53</v>
      </c>
      <c r="O11" s="27" t="s">
        <v>290</v>
      </c>
      <c r="R11" s="281" t="s">
        <v>416</v>
      </c>
      <c r="S11"/>
      <c r="T11"/>
    </row>
    <row r="12" spans="1:20" ht="28.15" customHeight="1" x14ac:dyDescent="0.25">
      <c r="A12" s="42">
        <v>46378.51</v>
      </c>
      <c r="B12" s="42">
        <v>61838.1</v>
      </c>
      <c r="C12" s="42">
        <v>11183.4</v>
      </c>
      <c r="D12" s="41">
        <v>0.32</v>
      </c>
      <c r="J12" s="144" t="s">
        <v>162</v>
      </c>
      <c r="K12" s="256" t="s">
        <v>163</v>
      </c>
      <c r="L12" s="253">
        <v>1.4250000000000001E-2</v>
      </c>
      <c r="N12" s="247">
        <f>N11/2</f>
        <v>26.5</v>
      </c>
      <c r="O12" s="111" t="s">
        <v>357</v>
      </c>
      <c r="R12" s="281" t="s">
        <v>425</v>
      </c>
      <c r="S12"/>
      <c r="T12"/>
    </row>
    <row r="13" spans="1:20" ht="28.15" customHeight="1" x14ac:dyDescent="0.25">
      <c r="A13" s="42">
        <v>61838.11</v>
      </c>
      <c r="B13" s="42">
        <v>185514.3</v>
      </c>
      <c r="C13" s="42">
        <v>16130.55</v>
      </c>
      <c r="D13" s="41">
        <v>0.34</v>
      </c>
      <c r="J13" s="143" t="s">
        <v>164</v>
      </c>
      <c r="K13" s="256" t="s">
        <v>165</v>
      </c>
      <c r="L13" s="253">
        <v>1.0500000000000001E-2</v>
      </c>
      <c r="N13" s="149">
        <f>(_xlfn.DAYS(DATE(AñoActual+1,MONTH(1),DAY(1))-DAY(1),"01/01/"&amp;AñoActual))+1</f>
        <v>365</v>
      </c>
      <c r="O13" s="27" t="s">
        <v>367</v>
      </c>
      <c r="R13" s="280" t="s">
        <v>426</v>
      </c>
      <c r="S13"/>
      <c r="T13"/>
    </row>
    <row r="14" spans="1:20" ht="28.15" customHeight="1" x14ac:dyDescent="0.25">
      <c r="A14" s="46">
        <v>185514.31</v>
      </c>
      <c r="B14" s="47" t="s">
        <v>195</v>
      </c>
      <c r="C14" s="46">
        <v>58180.35</v>
      </c>
      <c r="D14" s="48">
        <v>0.35</v>
      </c>
      <c r="J14" s="143" t="s">
        <v>166</v>
      </c>
      <c r="K14" s="256" t="s">
        <v>167</v>
      </c>
      <c r="L14" s="253">
        <v>3.7499999999999999E-3</v>
      </c>
      <c r="N14" s="110"/>
      <c r="O14" s="110"/>
      <c r="S14"/>
      <c r="T14"/>
    </row>
    <row r="15" spans="1:20" ht="28.15" customHeight="1" x14ac:dyDescent="0.25">
      <c r="J15" s="144" t="s">
        <v>168</v>
      </c>
      <c r="K15" s="256" t="s">
        <v>169</v>
      </c>
      <c r="L15" s="253">
        <v>2.375E-2</v>
      </c>
      <c r="S15"/>
      <c r="T15"/>
    </row>
    <row r="16" spans="1:20" ht="18.75" x14ac:dyDescent="0.3">
      <c r="A16" s="297" t="s">
        <v>430</v>
      </c>
      <c r="B16" s="38"/>
      <c r="C16" s="38"/>
      <c r="J16" s="143" t="s">
        <v>170</v>
      </c>
      <c r="K16" s="256" t="s">
        <v>171</v>
      </c>
      <c r="L16" s="252">
        <v>1.7500000000000002E-2</v>
      </c>
      <c r="S16"/>
      <c r="T16"/>
    </row>
    <row r="17" spans="1:20" ht="22.5" x14ac:dyDescent="0.25">
      <c r="A17" s="49" t="s">
        <v>197</v>
      </c>
      <c r="B17" s="50" t="s">
        <v>198</v>
      </c>
      <c r="C17" s="51" t="s">
        <v>196</v>
      </c>
      <c r="J17" s="143" t="s">
        <v>172</v>
      </c>
      <c r="K17" s="256" t="s">
        <v>173</v>
      </c>
      <c r="L17" s="253">
        <v>6.2500000000000003E-3</v>
      </c>
      <c r="N17" s="244"/>
      <c r="O17" s="198"/>
      <c r="S17"/>
      <c r="T17"/>
    </row>
    <row r="18" spans="1:20" x14ac:dyDescent="0.25">
      <c r="A18" s="40">
        <v>0.01</v>
      </c>
      <c r="B18" s="39">
        <v>872.85</v>
      </c>
      <c r="C18" s="40">
        <v>200.85</v>
      </c>
      <c r="J18" s="144" t="s">
        <v>174</v>
      </c>
      <c r="K18" s="256" t="s">
        <v>175</v>
      </c>
      <c r="L18" s="252">
        <v>0.01</v>
      </c>
      <c r="N18" t="s">
        <v>330</v>
      </c>
      <c r="O18" t="s">
        <v>211</v>
      </c>
      <c r="P18" t="s">
        <v>331</v>
      </c>
      <c r="S18"/>
      <c r="T18"/>
    </row>
    <row r="19" spans="1:20" x14ac:dyDescent="0.25">
      <c r="A19" s="39">
        <v>872.86</v>
      </c>
      <c r="B19" s="39">
        <v>1309.2</v>
      </c>
      <c r="C19" s="40">
        <v>200.7</v>
      </c>
      <c r="J19" s="144" t="s">
        <v>176</v>
      </c>
      <c r="K19" s="256" t="s">
        <v>177</v>
      </c>
      <c r="L19" s="253">
        <v>4.2750000000000003E-2</v>
      </c>
      <c r="N19" s="274">
        <v>15</v>
      </c>
      <c r="O19" s="198" t="s">
        <v>333</v>
      </c>
      <c r="P19" t="s">
        <v>332</v>
      </c>
      <c r="S19"/>
      <c r="T19"/>
    </row>
    <row r="20" spans="1:20" x14ac:dyDescent="0.25">
      <c r="A20" s="39">
        <v>1309.21</v>
      </c>
      <c r="B20" s="39">
        <v>1713.6</v>
      </c>
      <c r="C20" s="40">
        <v>200.7</v>
      </c>
      <c r="J20" s="143" t="s">
        <v>178</v>
      </c>
      <c r="K20" s="256" t="s">
        <v>179</v>
      </c>
      <c r="L20" s="252">
        <v>3.15E-2</v>
      </c>
      <c r="N20" s="273">
        <v>1</v>
      </c>
      <c r="O20" s="198" t="s">
        <v>350</v>
      </c>
      <c r="P20" t="s">
        <v>351</v>
      </c>
      <c r="S20"/>
      <c r="T20"/>
    </row>
    <row r="21" spans="1:20" x14ac:dyDescent="0.25">
      <c r="A21" s="39">
        <v>1713.61</v>
      </c>
      <c r="B21" s="39">
        <v>1745.7</v>
      </c>
      <c r="C21" s="40">
        <v>193.8</v>
      </c>
      <c r="J21" s="143" t="s">
        <v>180</v>
      </c>
      <c r="K21" s="256" t="s">
        <v>181</v>
      </c>
      <c r="L21" s="253">
        <v>1.125E-2</v>
      </c>
      <c r="N21" s="272">
        <v>0.1</v>
      </c>
      <c r="O21" s="198" t="s">
        <v>354</v>
      </c>
      <c r="P21" t="s">
        <v>355</v>
      </c>
      <c r="S21"/>
      <c r="T21"/>
    </row>
    <row r="22" spans="1:20" x14ac:dyDescent="0.25">
      <c r="A22" s="39">
        <v>1745.71</v>
      </c>
      <c r="B22" s="39">
        <v>2193.75</v>
      </c>
      <c r="C22" s="40">
        <v>188.7</v>
      </c>
      <c r="J22" s="144" t="s">
        <v>182</v>
      </c>
      <c r="K22" s="256" t="s">
        <v>132</v>
      </c>
      <c r="L22" s="252">
        <v>0.02</v>
      </c>
      <c r="N22" s="274">
        <v>500</v>
      </c>
      <c r="O22" s="198" t="s">
        <v>420</v>
      </c>
      <c r="P22" t="s">
        <v>421</v>
      </c>
      <c r="S22"/>
      <c r="T22"/>
    </row>
    <row r="23" spans="1:20" ht="15.75" thickBot="1" x14ac:dyDescent="0.3">
      <c r="A23" s="39">
        <v>2193.7600000000002</v>
      </c>
      <c r="B23" s="39">
        <v>2327.5500000000002</v>
      </c>
      <c r="C23" s="40">
        <v>174.75</v>
      </c>
      <c r="J23" s="145" t="s">
        <v>183</v>
      </c>
      <c r="K23" s="257" t="s">
        <v>133</v>
      </c>
      <c r="L23" s="254">
        <v>0.05</v>
      </c>
      <c r="S23"/>
      <c r="T23"/>
    </row>
    <row r="24" spans="1:20" x14ac:dyDescent="0.25">
      <c r="A24" s="39">
        <v>2327.56</v>
      </c>
      <c r="B24" s="39">
        <v>2632.65</v>
      </c>
      <c r="C24" s="40">
        <v>160.35</v>
      </c>
      <c r="S24"/>
      <c r="T24"/>
    </row>
    <row r="25" spans="1:20" x14ac:dyDescent="0.25">
      <c r="A25" s="39">
        <v>2632.66</v>
      </c>
      <c r="B25" s="39">
        <v>3071.4</v>
      </c>
      <c r="C25" s="40">
        <v>145.35</v>
      </c>
    </row>
    <row r="26" spans="1:20" x14ac:dyDescent="0.25">
      <c r="A26" s="39">
        <v>3071.41</v>
      </c>
      <c r="B26" s="39">
        <v>3510.15</v>
      </c>
      <c r="C26" s="40">
        <v>125.1</v>
      </c>
    </row>
    <row r="27" spans="1:20" x14ac:dyDescent="0.25">
      <c r="A27" s="39">
        <v>3510.16</v>
      </c>
      <c r="B27" s="39">
        <v>3642.6</v>
      </c>
      <c r="C27" s="40">
        <v>107.4</v>
      </c>
    </row>
    <row r="28" spans="1:20" x14ac:dyDescent="0.25">
      <c r="A28" s="52">
        <v>3642.61</v>
      </c>
      <c r="B28" s="53" t="s">
        <v>195</v>
      </c>
      <c r="C28" s="53">
        <v>0</v>
      </c>
    </row>
    <row r="30" spans="1:20" x14ac:dyDescent="0.25">
      <c r="A30" s="172"/>
      <c r="B30" s="172"/>
      <c r="C30" s="172"/>
      <c r="D30" s="172"/>
    </row>
    <row r="31" spans="1:20" ht="18.75" x14ac:dyDescent="0.3">
      <c r="A31" s="298" t="s">
        <v>431</v>
      </c>
      <c r="B31" s="172"/>
      <c r="C31" s="172"/>
      <c r="D31" s="172"/>
    </row>
    <row r="32" spans="1:20" x14ac:dyDescent="0.25">
      <c r="A32" s="49" t="s">
        <v>200</v>
      </c>
      <c r="B32" s="301" t="s">
        <v>199</v>
      </c>
      <c r="C32" s="51" t="s">
        <v>232</v>
      </c>
      <c r="D32" s="50" t="s">
        <v>291</v>
      </c>
    </row>
    <row r="33" spans="1:4" x14ac:dyDescent="0.25">
      <c r="A33" s="135" t="s">
        <v>304</v>
      </c>
      <c r="B33" s="135" t="s">
        <v>202</v>
      </c>
      <c r="C33" s="137">
        <v>0</v>
      </c>
      <c r="D33" s="137">
        <v>1</v>
      </c>
    </row>
    <row r="34" spans="1:4" x14ac:dyDescent="0.25">
      <c r="A34" s="135" t="s">
        <v>303</v>
      </c>
      <c r="B34" s="135" t="s">
        <v>202</v>
      </c>
      <c r="C34" s="137">
        <v>0</v>
      </c>
      <c r="D34" s="137">
        <v>1</v>
      </c>
    </row>
    <row r="35" spans="1:4" x14ac:dyDescent="0.25">
      <c r="A35" s="135" t="s">
        <v>302</v>
      </c>
      <c r="B35" s="135" t="s">
        <v>300</v>
      </c>
      <c r="C35" s="137">
        <v>1</v>
      </c>
      <c r="D35" s="137">
        <v>1</v>
      </c>
    </row>
    <row r="36" spans="1:4" x14ac:dyDescent="0.25">
      <c r="A36" s="135" t="s">
        <v>203</v>
      </c>
      <c r="B36" s="135" t="s">
        <v>202</v>
      </c>
      <c r="C36" s="137">
        <v>0</v>
      </c>
      <c r="D36" s="137">
        <v>1</v>
      </c>
    </row>
    <row r="37" spans="1:4" x14ac:dyDescent="0.25">
      <c r="A37" s="135" t="s">
        <v>85</v>
      </c>
      <c r="B37" s="135" t="s">
        <v>202</v>
      </c>
      <c r="C37" s="137">
        <v>0</v>
      </c>
      <c r="D37" s="137">
        <v>1</v>
      </c>
    </row>
    <row r="38" spans="1:4" x14ac:dyDescent="0.25">
      <c r="A38" s="135" t="s">
        <v>204</v>
      </c>
      <c r="B38" s="135" t="s">
        <v>86</v>
      </c>
      <c r="C38" s="137">
        <v>0</v>
      </c>
      <c r="D38" s="137">
        <v>0</v>
      </c>
    </row>
    <row r="39" spans="1:4" x14ac:dyDescent="0.25">
      <c r="A39" s="135" t="s">
        <v>294</v>
      </c>
      <c r="B39" s="135" t="s">
        <v>300</v>
      </c>
      <c r="C39" s="137">
        <v>1</v>
      </c>
      <c r="D39" s="137">
        <v>1</v>
      </c>
    </row>
    <row r="40" spans="1:4" x14ac:dyDescent="0.25">
      <c r="A40" s="135" t="s">
        <v>292</v>
      </c>
      <c r="B40" s="135" t="s">
        <v>94</v>
      </c>
      <c r="C40" s="137">
        <v>1</v>
      </c>
      <c r="D40" s="137">
        <v>1</v>
      </c>
    </row>
    <row r="41" spans="1:4" x14ac:dyDescent="0.25">
      <c r="A41" s="135" t="s">
        <v>293</v>
      </c>
      <c r="B41" s="135" t="s">
        <v>206</v>
      </c>
      <c r="C41" s="137">
        <v>1</v>
      </c>
      <c r="D41" s="137">
        <v>1</v>
      </c>
    </row>
    <row r="42" spans="1:4" x14ac:dyDescent="0.25">
      <c r="A42" s="135" t="s">
        <v>295</v>
      </c>
      <c r="B42" s="135" t="s">
        <v>206</v>
      </c>
      <c r="C42" s="137">
        <v>1</v>
      </c>
      <c r="D42" s="137">
        <v>1</v>
      </c>
    </row>
    <row r="43" spans="1:4" x14ac:dyDescent="0.25">
      <c r="A43" s="136" t="s">
        <v>93</v>
      </c>
      <c r="B43" s="136" t="s">
        <v>94</v>
      </c>
      <c r="C43" s="138">
        <v>1</v>
      </c>
      <c r="D43" s="138">
        <v>1</v>
      </c>
    </row>
    <row r="44" spans="1:4" x14ac:dyDescent="0.25">
      <c r="A44" s="136" t="s">
        <v>205</v>
      </c>
      <c r="B44" s="136" t="s">
        <v>202</v>
      </c>
      <c r="C44" s="138">
        <v>1</v>
      </c>
      <c r="D44" s="138">
        <v>1</v>
      </c>
    </row>
    <row r="45" spans="1:4" x14ac:dyDescent="0.25">
      <c r="A45" s="136" t="s">
        <v>92</v>
      </c>
      <c r="B45" s="136" t="s">
        <v>202</v>
      </c>
      <c r="C45" s="138">
        <v>1</v>
      </c>
      <c r="D45" s="138">
        <v>1</v>
      </c>
    </row>
    <row r="46" spans="1:4" x14ac:dyDescent="0.25">
      <c r="A46" s="136" t="s">
        <v>83</v>
      </c>
      <c r="B46" s="139" t="s">
        <v>201</v>
      </c>
      <c r="C46" s="138">
        <v>0</v>
      </c>
      <c r="D46" s="138">
        <v>0</v>
      </c>
    </row>
    <row r="47" spans="1:4" x14ac:dyDescent="0.25">
      <c r="A47" s="139" t="s">
        <v>207</v>
      </c>
      <c r="B47" s="136" t="s">
        <v>206</v>
      </c>
      <c r="C47" s="138">
        <v>1</v>
      </c>
      <c r="D47" s="138">
        <v>1</v>
      </c>
    </row>
    <row r="48" spans="1:4" x14ac:dyDescent="0.25">
      <c r="A48" s="136" t="s">
        <v>90</v>
      </c>
      <c r="B48" s="136" t="s">
        <v>206</v>
      </c>
      <c r="C48" s="138">
        <v>1</v>
      </c>
      <c r="D48" s="138">
        <v>1</v>
      </c>
    </row>
    <row r="49" spans="1:4" x14ac:dyDescent="0.25">
      <c r="A49" s="136" t="s">
        <v>86</v>
      </c>
      <c r="B49" s="136" t="s">
        <v>86</v>
      </c>
      <c r="C49" s="138">
        <v>0</v>
      </c>
      <c r="D49" s="138">
        <v>0</v>
      </c>
    </row>
    <row r="50" spans="1:4" x14ac:dyDescent="0.25">
      <c r="A50" s="136" t="s">
        <v>296</v>
      </c>
      <c r="B50" s="136" t="s">
        <v>300</v>
      </c>
      <c r="C50" s="138">
        <v>0</v>
      </c>
      <c r="D50" s="138">
        <v>0</v>
      </c>
    </row>
    <row r="51" spans="1:4" x14ac:dyDescent="0.25">
      <c r="A51" s="136" t="s">
        <v>97</v>
      </c>
      <c r="B51" s="136" t="s">
        <v>300</v>
      </c>
      <c r="C51" s="138">
        <v>0</v>
      </c>
      <c r="D51" s="138">
        <v>0</v>
      </c>
    </row>
    <row r="52" spans="1:4" x14ac:dyDescent="0.25">
      <c r="A52" s="136" t="s">
        <v>297</v>
      </c>
      <c r="B52" s="136" t="s">
        <v>201</v>
      </c>
      <c r="C52" s="138">
        <v>0</v>
      </c>
      <c r="D52" s="138">
        <v>0</v>
      </c>
    </row>
    <row r="53" spans="1:4" x14ac:dyDescent="0.25">
      <c r="A53" s="136" t="s">
        <v>98</v>
      </c>
      <c r="B53" s="136" t="s">
        <v>94</v>
      </c>
      <c r="C53" s="138">
        <v>1</v>
      </c>
      <c r="D53" s="138">
        <v>1</v>
      </c>
    </row>
    <row r="54" spans="1:4" x14ac:dyDescent="0.25">
      <c r="A54" s="136" t="s">
        <v>96</v>
      </c>
      <c r="B54" s="136" t="s">
        <v>94</v>
      </c>
      <c r="C54" s="138">
        <v>1</v>
      </c>
      <c r="D54" s="138">
        <v>1</v>
      </c>
    </row>
    <row r="55" spans="1:4" x14ac:dyDescent="0.25">
      <c r="A55" s="136" t="s">
        <v>305</v>
      </c>
      <c r="B55" s="136" t="s">
        <v>94</v>
      </c>
      <c r="C55" s="138">
        <v>1</v>
      </c>
      <c r="D55" s="138">
        <v>1</v>
      </c>
    </row>
    <row r="56" spans="1:4" x14ac:dyDescent="0.25">
      <c r="A56" s="136" t="s">
        <v>87</v>
      </c>
      <c r="B56" s="136" t="s">
        <v>206</v>
      </c>
      <c r="C56" s="138">
        <v>1</v>
      </c>
      <c r="D56" s="138">
        <v>1</v>
      </c>
    </row>
    <row r="57" spans="1:4" x14ac:dyDescent="0.25">
      <c r="A57" s="136" t="s">
        <v>89</v>
      </c>
      <c r="B57" s="136" t="s">
        <v>300</v>
      </c>
      <c r="C57" s="138">
        <v>1</v>
      </c>
      <c r="D57" s="138">
        <v>1</v>
      </c>
    </row>
    <row r="58" spans="1:4" x14ac:dyDescent="0.25">
      <c r="A58" s="136" t="s">
        <v>99</v>
      </c>
      <c r="B58" s="136" t="s">
        <v>300</v>
      </c>
      <c r="C58" s="138">
        <v>1</v>
      </c>
      <c r="D58" s="138">
        <v>1</v>
      </c>
    </row>
    <row r="59" spans="1:4" x14ac:dyDescent="0.25">
      <c r="A59" s="136" t="s">
        <v>298</v>
      </c>
      <c r="B59" s="136" t="s">
        <v>300</v>
      </c>
      <c r="C59" s="138">
        <v>1</v>
      </c>
      <c r="D59" s="138">
        <v>1</v>
      </c>
    </row>
    <row r="60" spans="1:4" x14ac:dyDescent="0.25">
      <c r="A60" s="136" t="s">
        <v>299</v>
      </c>
      <c r="B60" s="136" t="s">
        <v>300</v>
      </c>
      <c r="C60" s="138">
        <v>1</v>
      </c>
      <c r="D60" s="138">
        <v>1</v>
      </c>
    </row>
    <row r="61" spans="1:4" x14ac:dyDescent="0.25">
      <c r="A61" s="136" t="s">
        <v>301</v>
      </c>
      <c r="B61" s="136" t="s">
        <v>94</v>
      </c>
      <c r="C61" s="138">
        <v>1</v>
      </c>
      <c r="D61" s="138">
        <v>1</v>
      </c>
    </row>
    <row r="62" spans="1:4" x14ac:dyDescent="0.25">
      <c r="A62" s="136" t="s">
        <v>88</v>
      </c>
      <c r="B62" s="136" t="s">
        <v>206</v>
      </c>
      <c r="C62" s="138">
        <v>1</v>
      </c>
      <c r="D62" s="138">
        <v>1</v>
      </c>
    </row>
    <row r="63" spans="1:4" x14ac:dyDescent="0.25">
      <c r="A63" s="136" t="s">
        <v>95</v>
      </c>
      <c r="B63" s="136" t="s">
        <v>300</v>
      </c>
      <c r="C63" s="138">
        <v>1</v>
      </c>
      <c r="D63" s="138">
        <v>1</v>
      </c>
    </row>
    <row r="64" spans="1:4" x14ac:dyDescent="0.25">
      <c r="A64" s="136" t="s">
        <v>84</v>
      </c>
      <c r="B64" s="136" t="s">
        <v>202</v>
      </c>
      <c r="C64" s="138">
        <v>0</v>
      </c>
      <c r="D64" s="138">
        <v>0</v>
      </c>
    </row>
    <row r="65" spans="1:7" x14ac:dyDescent="0.25">
      <c r="A65" s="136" t="s">
        <v>84</v>
      </c>
      <c r="B65" s="136" t="s">
        <v>202</v>
      </c>
      <c r="C65" s="138">
        <v>0</v>
      </c>
      <c r="D65" s="138">
        <v>0</v>
      </c>
    </row>
    <row r="66" spans="1:7" x14ac:dyDescent="0.25">
      <c r="A66" s="136" t="s">
        <v>91</v>
      </c>
      <c r="B66" s="136" t="s">
        <v>206</v>
      </c>
      <c r="C66" s="138">
        <v>1</v>
      </c>
      <c r="D66" s="138">
        <v>1</v>
      </c>
    </row>
    <row r="69" spans="1:7" ht="19.5" thickBot="1" x14ac:dyDescent="0.35">
      <c r="A69" s="297" t="s">
        <v>428</v>
      </c>
    </row>
    <row r="70" spans="1:7" ht="43.9" customHeight="1" thickTop="1" x14ac:dyDescent="0.25">
      <c r="A70" s="101" t="s">
        <v>280</v>
      </c>
      <c r="B70" s="103" t="s">
        <v>286</v>
      </c>
      <c r="C70" s="105" t="s">
        <v>281</v>
      </c>
      <c r="D70" s="102" t="s">
        <v>282</v>
      </c>
      <c r="E70" s="106" t="s">
        <v>283</v>
      </c>
      <c r="F70" s="107" t="s">
        <v>284</v>
      </c>
      <c r="G70" s="108" t="s">
        <v>285</v>
      </c>
    </row>
    <row r="71" spans="1:7" x14ac:dyDescent="0.25">
      <c r="A71" s="266">
        <v>1</v>
      </c>
      <c r="B71" s="259">
        <v>12</v>
      </c>
      <c r="C71" s="268">
        <v>0.25</v>
      </c>
      <c r="D71" s="270">
        <v>8.3299999999999999E-2</v>
      </c>
      <c r="E71" s="259">
        <v>15</v>
      </c>
      <c r="F71" s="266">
        <f>((TabFactorIntegracion[[#This Row],[Días de
aguinaldo]]+(TabFactorIntegracion[[#This Row],[Días vacacionales
establecidos por ley]]*TabFactorIntegracion[[#This Row],[% de prima 
vacacional y dominical]]))/365)</f>
        <v>4.9315068493150684E-2</v>
      </c>
      <c r="G71" s="271">
        <f>+($N$12/365)*TabFactorIntegracion[[#This Row],[% de prima 
vacacional y dominical]]</f>
        <v>1.8150684931506848E-2</v>
      </c>
    </row>
    <row r="72" spans="1:7" x14ac:dyDescent="0.25">
      <c r="A72" s="266">
        <v>2</v>
      </c>
      <c r="B72" s="259">
        <v>14</v>
      </c>
      <c r="C72" s="268">
        <f>C71</f>
        <v>0.25</v>
      </c>
      <c r="D72" s="270">
        <f>D71</f>
        <v>8.3299999999999999E-2</v>
      </c>
      <c r="E72" s="259">
        <f>E71</f>
        <v>15</v>
      </c>
      <c r="F72" s="266">
        <f>((TabFactorIntegracion[[#This Row],[Días de
aguinaldo]]+(TabFactorIntegracion[[#This Row],[Días vacacionales
establecidos por ley]]*TabFactorIntegracion[[#This Row],[% de prima 
vacacional y dominical]]))/365)</f>
        <v>5.0684931506849315E-2</v>
      </c>
      <c r="G72" s="271">
        <f>+($N$12/365)*TabFactorIntegracion[[#This Row],[% de prima 
vacacional y dominical]]</f>
        <v>1.8150684931506848E-2</v>
      </c>
    </row>
    <row r="73" spans="1:7" x14ac:dyDescent="0.25">
      <c r="A73" s="266">
        <v>3</v>
      </c>
      <c r="B73" s="259">
        <v>16</v>
      </c>
      <c r="C73" s="268">
        <f t="shared" ref="C73:C75" si="0">C72</f>
        <v>0.25</v>
      </c>
      <c r="D73" s="270">
        <f t="shared" ref="D73:D120" si="1">D72</f>
        <v>8.3299999999999999E-2</v>
      </c>
      <c r="E73" s="259">
        <f t="shared" ref="E73:E120" si="2">E72</f>
        <v>15</v>
      </c>
      <c r="F73" s="266">
        <f>((TabFactorIntegracion[[#This Row],[Días de
aguinaldo]]+(TabFactorIntegracion[[#This Row],[Días vacacionales
establecidos por ley]]*TabFactorIntegracion[[#This Row],[% de prima 
vacacional y dominical]]))/365)</f>
        <v>5.2054794520547946E-2</v>
      </c>
      <c r="G73" s="271">
        <f>+($N$12/365)*TabFactorIntegracion[[#This Row],[% de prima 
vacacional y dominical]]</f>
        <v>1.8150684931506848E-2</v>
      </c>
    </row>
    <row r="74" spans="1:7" x14ac:dyDescent="0.25">
      <c r="A74" s="266">
        <v>4</v>
      </c>
      <c r="B74" s="259">
        <v>18</v>
      </c>
      <c r="C74" s="268">
        <f t="shared" si="0"/>
        <v>0.25</v>
      </c>
      <c r="D74" s="270">
        <f t="shared" si="1"/>
        <v>8.3299999999999999E-2</v>
      </c>
      <c r="E74" s="259">
        <f t="shared" si="2"/>
        <v>15</v>
      </c>
      <c r="F74" s="266">
        <f>((TabFactorIntegracion[[#This Row],[Días de
aguinaldo]]+(TabFactorIntegracion[[#This Row],[Días vacacionales
establecidos por ley]]*TabFactorIntegracion[[#This Row],[% de prima 
vacacional y dominical]]))/365)</f>
        <v>5.3424657534246578E-2</v>
      </c>
      <c r="G74" s="271">
        <f>+($N$12/365)*TabFactorIntegracion[[#This Row],[% de prima 
vacacional y dominical]]</f>
        <v>1.8150684931506848E-2</v>
      </c>
    </row>
    <row r="75" spans="1:7" x14ac:dyDescent="0.25">
      <c r="A75" s="267">
        <v>5</v>
      </c>
      <c r="B75" s="261">
        <v>20</v>
      </c>
      <c r="C75" s="268">
        <f t="shared" si="0"/>
        <v>0.25</v>
      </c>
      <c r="D75" s="270">
        <f t="shared" si="1"/>
        <v>8.3299999999999999E-2</v>
      </c>
      <c r="E75" s="259">
        <f t="shared" si="2"/>
        <v>15</v>
      </c>
      <c r="F75" s="266">
        <f>((TabFactorIntegracion[[#This Row],[Días de
aguinaldo]]+(TabFactorIntegracion[[#This Row],[Días vacacionales
establecidos por ley]]*TabFactorIntegracion[[#This Row],[% de prima 
vacacional y dominical]]))/365)</f>
        <v>5.4794520547945202E-2</v>
      </c>
      <c r="G75" s="271">
        <f>+($N$12/365)*TabFactorIntegracion[[#This Row],[% de prima 
vacacional y dominical]]</f>
        <v>1.8150684931506848E-2</v>
      </c>
    </row>
    <row r="76" spans="1:7" x14ac:dyDescent="0.25">
      <c r="A76" s="267">
        <v>6</v>
      </c>
      <c r="B76" s="261">
        <v>20</v>
      </c>
      <c r="C76" s="269">
        <f t="shared" ref="C76:C120" si="3">C75</f>
        <v>0.25</v>
      </c>
      <c r="D76" s="270">
        <f t="shared" si="1"/>
        <v>8.3299999999999999E-2</v>
      </c>
      <c r="E76" s="259">
        <f t="shared" si="2"/>
        <v>15</v>
      </c>
      <c r="F76" s="266">
        <f>((TabFactorIntegracion[[#This Row],[Días de
aguinaldo]]+(TabFactorIntegracion[[#This Row],[Días vacacionales
establecidos por ley]]*TabFactorIntegracion[[#This Row],[% de prima 
vacacional y dominical]]))/365)</f>
        <v>5.4794520547945202E-2</v>
      </c>
      <c r="G76" s="271">
        <f>+($N$12/365)*TabFactorIntegracion[[#This Row],[% de prima 
vacacional y dominical]]</f>
        <v>1.8150684931506848E-2</v>
      </c>
    </row>
    <row r="77" spans="1:7" x14ac:dyDescent="0.25">
      <c r="A77" s="267">
        <v>7</v>
      </c>
      <c r="B77" s="261">
        <v>20</v>
      </c>
      <c r="C77" s="269">
        <f t="shared" si="3"/>
        <v>0.25</v>
      </c>
      <c r="D77" s="270">
        <f t="shared" si="1"/>
        <v>8.3299999999999999E-2</v>
      </c>
      <c r="E77" s="259">
        <f t="shared" si="2"/>
        <v>15</v>
      </c>
      <c r="F77" s="266">
        <f>((TabFactorIntegracion[[#This Row],[Días de
aguinaldo]]+(TabFactorIntegracion[[#This Row],[Días vacacionales
establecidos por ley]]*TabFactorIntegracion[[#This Row],[% de prima 
vacacional y dominical]]))/365)</f>
        <v>5.4794520547945202E-2</v>
      </c>
      <c r="G77" s="271">
        <f>+($N$12/365)*TabFactorIntegracion[[#This Row],[% de prima 
vacacional y dominical]]</f>
        <v>1.8150684931506848E-2</v>
      </c>
    </row>
    <row r="78" spans="1:7" x14ac:dyDescent="0.25">
      <c r="A78" s="267">
        <v>8</v>
      </c>
      <c r="B78" s="261">
        <v>20</v>
      </c>
      <c r="C78" s="269">
        <f t="shared" si="3"/>
        <v>0.25</v>
      </c>
      <c r="D78" s="270">
        <f t="shared" si="1"/>
        <v>8.3299999999999999E-2</v>
      </c>
      <c r="E78" s="259">
        <f t="shared" si="2"/>
        <v>15</v>
      </c>
      <c r="F78" s="266">
        <f>((TabFactorIntegracion[[#This Row],[Días de
aguinaldo]]+(TabFactorIntegracion[[#This Row],[Días vacacionales
establecidos por ley]]*TabFactorIntegracion[[#This Row],[% de prima 
vacacional y dominical]]))/365)</f>
        <v>5.4794520547945202E-2</v>
      </c>
      <c r="G78" s="271">
        <f>+($N$12/365)*TabFactorIntegracion[[#This Row],[% de prima 
vacacional y dominical]]</f>
        <v>1.8150684931506848E-2</v>
      </c>
    </row>
    <row r="79" spans="1:7" x14ac:dyDescent="0.25">
      <c r="A79" s="267">
        <v>9</v>
      </c>
      <c r="B79" s="261">
        <v>20</v>
      </c>
      <c r="C79" s="269">
        <f t="shared" si="3"/>
        <v>0.25</v>
      </c>
      <c r="D79" s="270">
        <f t="shared" si="1"/>
        <v>8.3299999999999999E-2</v>
      </c>
      <c r="E79" s="259">
        <f t="shared" si="2"/>
        <v>15</v>
      </c>
      <c r="F79" s="266">
        <f>((TabFactorIntegracion[[#This Row],[Días de
aguinaldo]]+(TabFactorIntegracion[[#This Row],[Días vacacionales
establecidos por ley]]*TabFactorIntegracion[[#This Row],[% de prima 
vacacional y dominical]]))/365)</f>
        <v>5.4794520547945202E-2</v>
      </c>
      <c r="G79" s="271">
        <f>+($N$12/365)*TabFactorIntegracion[[#This Row],[% de prima 
vacacional y dominical]]</f>
        <v>1.8150684931506848E-2</v>
      </c>
    </row>
    <row r="80" spans="1:7" x14ac:dyDescent="0.25">
      <c r="A80" s="267">
        <v>10</v>
      </c>
      <c r="B80" s="261">
        <v>20</v>
      </c>
      <c r="C80" s="269">
        <f t="shared" si="3"/>
        <v>0.25</v>
      </c>
      <c r="D80" s="270">
        <f t="shared" si="1"/>
        <v>8.3299999999999999E-2</v>
      </c>
      <c r="E80" s="259">
        <f t="shared" si="2"/>
        <v>15</v>
      </c>
      <c r="F80" s="266">
        <f>((TabFactorIntegracion[[#This Row],[Días de
aguinaldo]]+(TabFactorIntegracion[[#This Row],[Días vacacionales
establecidos por ley]]*TabFactorIntegracion[[#This Row],[% de prima 
vacacional y dominical]]))/365)</f>
        <v>5.4794520547945202E-2</v>
      </c>
      <c r="G80" s="271">
        <f>+($N$12/365)*TabFactorIntegracion[[#This Row],[% de prima 
vacacional y dominical]]</f>
        <v>1.8150684931506848E-2</v>
      </c>
    </row>
    <row r="81" spans="1:7" x14ac:dyDescent="0.25">
      <c r="A81" s="267">
        <v>11</v>
      </c>
      <c r="B81" s="261">
        <v>24</v>
      </c>
      <c r="C81" s="269">
        <f t="shared" si="3"/>
        <v>0.25</v>
      </c>
      <c r="D81" s="270">
        <f t="shared" si="1"/>
        <v>8.3299999999999999E-2</v>
      </c>
      <c r="E81" s="259">
        <f t="shared" si="2"/>
        <v>15</v>
      </c>
      <c r="F81" s="266">
        <f>((TabFactorIntegracion[[#This Row],[Días de
aguinaldo]]+(TabFactorIntegracion[[#This Row],[Días vacacionales
establecidos por ley]]*TabFactorIntegracion[[#This Row],[% de prima 
vacacional y dominical]]))/365)</f>
        <v>5.7534246575342465E-2</v>
      </c>
      <c r="G81" s="271">
        <f>+($N$12/365)*TabFactorIntegracion[[#This Row],[% de prima 
vacacional y dominical]]</f>
        <v>1.8150684931506848E-2</v>
      </c>
    </row>
    <row r="82" spans="1:7" x14ac:dyDescent="0.25">
      <c r="A82" s="267">
        <v>12</v>
      </c>
      <c r="B82" s="261">
        <v>24</v>
      </c>
      <c r="C82" s="269">
        <f>C81</f>
        <v>0.25</v>
      </c>
      <c r="D82" s="270">
        <f>D81</f>
        <v>8.3299999999999999E-2</v>
      </c>
      <c r="E82" s="259">
        <f t="shared" si="2"/>
        <v>15</v>
      </c>
      <c r="F82" s="266">
        <f>((TabFactorIntegracion[[#This Row],[Días de
aguinaldo]]+(TabFactorIntegracion[[#This Row],[Días vacacionales
establecidos por ley]]*TabFactorIntegracion[[#This Row],[% de prima 
vacacional y dominical]]))/365)</f>
        <v>5.7534246575342465E-2</v>
      </c>
      <c r="G82" s="271">
        <f>+($N$12/365)*TabFactorIntegracion[[#This Row],[% de prima 
vacacional y dominical]]</f>
        <v>1.8150684931506848E-2</v>
      </c>
    </row>
    <row r="83" spans="1:7" x14ac:dyDescent="0.25">
      <c r="A83" s="267">
        <v>13</v>
      </c>
      <c r="B83" s="261">
        <v>24</v>
      </c>
      <c r="C83" s="269">
        <f t="shared" si="3"/>
        <v>0.25</v>
      </c>
      <c r="D83" s="270">
        <f t="shared" si="1"/>
        <v>8.3299999999999999E-2</v>
      </c>
      <c r="E83" s="259">
        <f t="shared" si="2"/>
        <v>15</v>
      </c>
      <c r="F83" s="266">
        <f>((TabFactorIntegracion[[#This Row],[Días de
aguinaldo]]+(TabFactorIntegracion[[#This Row],[Días vacacionales
establecidos por ley]]*TabFactorIntegracion[[#This Row],[% de prima 
vacacional y dominical]]))/365)</f>
        <v>5.7534246575342465E-2</v>
      </c>
      <c r="G83" s="271">
        <f>+($N$12/365)*TabFactorIntegracion[[#This Row],[% de prima 
vacacional y dominical]]</f>
        <v>1.8150684931506848E-2</v>
      </c>
    </row>
    <row r="84" spans="1:7" x14ac:dyDescent="0.25">
      <c r="A84" s="267">
        <v>14</v>
      </c>
      <c r="B84" s="261">
        <v>24</v>
      </c>
      <c r="C84" s="269">
        <f t="shared" si="3"/>
        <v>0.25</v>
      </c>
      <c r="D84" s="270">
        <f t="shared" si="1"/>
        <v>8.3299999999999999E-2</v>
      </c>
      <c r="E84" s="259">
        <f t="shared" si="2"/>
        <v>15</v>
      </c>
      <c r="F84" s="266">
        <f>((TabFactorIntegracion[[#This Row],[Días de
aguinaldo]]+(TabFactorIntegracion[[#This Row],[Días vacacionales
establecidos por ley]]*TabFactorIntegracion[[#This Row],[% de prima 
vacacional y dominical]]))/365)</f>
        <v>5.7534246575342465E-2</v>
      </c>
      <c r="G84" s="271">
        <f>+($N$12/365)*TabFactorIntegracion[[#This Row],[% de prima 
vacacional y dominical]]</f>
        <v>1.8150684931506848E-2</v>
      </c>
    </row>
    <row r="85" spans="1:7" x14ac:dyDescent="0.25">
      <c r="A85" s="267">
        <v>15</v>
      </c>
      <c r="B85" s="261">
        <v>24</v>
      </c>
      <c r="C85" s="269">
        <f t="shared" si="3"/>
        <v>0.25</v>
      </c>
      <c r="D85" s="270">
        <f t="shared" si="1"/>
        <v>8.3299999999999999E-2</v>
      </c>
      <c r="E85" s="259">
        <f t="shared" si="2"/>
        <v>15</v>
      </c>
      <c r="F85" s="266">
        <f>((TabFactorIntegracion[[#This Row],[Días de
aguinaldo]]+(TabFactorIntegracion[[#This Row],[Días vacacionales
establecidos por ley]]*TabFactorIntegracion[[#This Row],[% de prima 
vacacional y dominical]]))/365)</f>
        <v>5.7534246575342465E-2</v>
      </c>
      <c r="G85" s="271">
        <f>+($N$12/365)*TabFactorIntegracion[[#This Row],[% de prima 
vacacional y dominical]]</f>
        <v>1.8150684931506848E-2</v>
      </c>
    </row>
    <row r="86" spans="1:7" x14ac:dyDescent="0.25">
      <c r="A86" s="267">
        <v>16</v>
      </c>
      <c r="B86" s="261">
        <v>26</v>
      </c>
      <c r="C86" s="269">
        <f t="shared" si="3"/>
        <v>0.25</v>
      </c>
      <c r="D86" s="270">
        <f t="shared" si="1"/>
        <v>8.3299999999999999E-2</v>
      </c>
      <c r="E86" s="259">
        <f t="shared" si="2"/>
        <v>15</v>
      </c>
      <c r="F86" s="266">
        <f>((TabFactorIntegracion[[#This Row],[Días de
aguinaldo]]+(TabFactorIntegracion[[#This Row],[Días vacacionales
establecidos por ley]]*TabFactorIntegracion[[#This Row],[% de prima 
vacacional y dominical]]))/365)</f>
        <v>5.8904109589041097E-2</v>
      </c>
      <c r="G86" s="271">
        <f>+($N$12/365)*TabFactorIntegracion[[#This Row],[% de prima 
vacacional y dominical]]</f>
        <v>1.8150684931506848E-2</v>
      </c>
    </row>
    <row r="87" spans="1:7" x14ac:dyDescent="0.25">
      <c r="A87" s="267">
        <v>17</v>
      </c>
      <c r="B87" s="261">
        <v>26</v>
      </c>
      <c r="C87" s="269">
        <f t="shared" si="3"/>
        <v>0.25</v>
      </c>
      <c r="D87" s="270">
        <f t="shared" si="1"/>
        <v>8.3299999999999999E-2</v>
      </c>
      <c r="E87" s="259">
        <f t="shared" si="2"/>
        <v>15</v>
      </c>
      <c r="F87" s="266">
        <f>((TabFactorIntegracion[[#This Row],[Días de
aguinaldo]]+(TabFactorIntegracion[[#This Row],[Días vacacionales
establecidos por ley]]*TabFactorIntegracion[[#This Row],[% de prima 
vacacional y dominical]]))/365)</f>
        <v>5.8904109589041097E-2</v>
      </c>
      <c r="G87" s="271">
        <f>+($N$12/365)*TabFactorIntegracion[[#This Row],[% de prima 
vacacional y dominical]]</f>
        <v>1.8150684931506848E-2</v>
      </c>
    </row>
    <row r="88" spans="1:7" x14ac:dyDescent="0.25">
      <c r="A88" s="267">
        <v>18</v>
      </c>
      <c r="B88" s="261">
        <v>26</v>
      </c>
      <c r="C88" s="269">
        <f t="shared" si="3"/>
        <v>0.25</v>
      </c>
      <c r="D88" s="270">
        <f t="shared" si="1"/>
        <v>8.3299999999999999E-2</v>
      </c>
      <c r="E88" s="259">
        <f t="shared" si="2"/>
        <v>15</v>
      </c>
      <c r="F88" s="266">
        <f>((TabFactorIntegracion[[#This Row],[Días de
aguinaldo]]+(TabFactorIntegracion[[#This Row],[Días vacacionales
establecidos por ley]]*TabFactorIntegracion[[#This Row],[% de prima 
vacacional y dominical]]))/365)</f>
        <v>5.8904109589041097E-2</v>
      </c>
      <c r="G88" s="271">
        <f>+($N$12/365)*TabFactorIntegracion[[#This Row],[% de prima 
vacacional y dominical]]</f>
        <v>1.8150684931506848E-2</v>
      </c>
    </row>
    <row r="89" spans="1:7" x14ac:dyDescent="0.25">
      <c r="A89" s="267">
        <v>19</v>
      </c>
      <c r="B89" s="261">
        <v>26</v>
      </c>
      <c r="C89" s="269">
        <f t="shared" si="3"/>
        <v>0.25</v>
      </c>
      <c r="D89" s="270">
        <f t="shared" si="1"/>
        <v>8.3299999999999999E-2</v>
      </c>
      <c r="E89" s="259">
        <f t="shared" si="2"/>
        <v>15</v>
      </c>
      <c r="F89" s="266">
        <f>((TabFactorIntegracion[[#This Row],[Días de
aguinaldo]]+(TabFactorIntegracion[[#This Row],[Días vacacionales
establecidos por ley]]*TabFactorIntegracion[[#This Row],[% de prima 
vacacional y dominical]]))/365)</f>
        <v>5.8904109589041097E-2</v>
      </c>
      <c r="G89" s="271">
        <f>+($N$12/365)*TabFactorIntegracion[[#This Row],[% de prima 
vacacional y dominical]]</f>
        <v>1.8150684931506848E-2</v>
      </c>
    </row>
    <row r="90" spans="1:7" x14ac:dyDescent="0.25">
      <c r="A90" s="267">
        <v>20</v>
      </c>
      <c r="B90" s="261">
        <v>26</v>
      </c>
      <c r="C90" s="269">
        <f t="shared" si="3"/>
        <v>0.25</v>
      </c>
      <c r="D90" s="270">
        <f t="shared" si="1"/>
        <v>8.3299999999999999E-2</v>
      </c>
      <c r="E90" s="259">
        <f t="shared" si="2"/>
        <v>15</v>
      </c>
      <c r="F90" s="266">
        <f>((TabFactorIntegracion[[#This Row],[Días de
aguinaldo]]+(TabFactorIntegracion[[#This Row],[Días vacacionales
establecidos por ley]]*TabFactorIntegracion[[#This Row],[% de prima 
vacacional y dominical]]))/365)</f>
        <v>5.8904109589041097E-2</v>
      </c>
      <c r="G90" s="271">
        <f>+($N$12/365)*TabFactorIntegracion[[#This Row],[% de prima 
vacacional y dominical]]</f>
        <v>1.8150684931506848E-2</v>
      </c>
    </row>
    <row r="91" spans="1:7" x14ac:dyDescent="0.25">
      <c r="A91" s="267">
        <v>21</v>
      </c>
      <c r="B91" s="261">
        <v>28</v>
      </c>
      <c r="C91" s="269">
        <f t="shared" si="3"/>
        <v>0.25</v>
      </c>
      <c r="D91" s="270">
        <f t="shared" si="1"/>
        <v>8.3299999999999999E-2</v>
      </c>
      <c r="E91" s="259">
        <f t="shared" si="2"/>
        <v>15</v>
      </c>
      <c r="F91" s="266">
        <f>((TabFactorIntegracion[[#This Row],[Días de
aguinaldo]]+(TabFactorIntegracion[[#This Row],[Días vacacionales
establecidos por ley]]*TabFactorIntegracion[[#This Row],[% de prima 
vacacional y dominical]]))/365)</f>
        <v>6.0273972602739728E-2</v>
      </c>
      <c r="G91" s="271">
        <f>+($N$12/365)*TabFactorIntegracion[[#This Row],[% de prima 
vacacional y dominical]]</f>
        <v>1.8150684931506848E-2</v>
      </c>
    </row>
    <row r="92" spans="1:7" x14ac:dyDescent="0.25">
      <c r="A92" s="267">
        <v>22</v>
      </c>
      <c r="B92" s="261">
        <v>28</v>
      </c>
      <c r="C92" s="269">
        <f t="shared" si="3"/>
        <v>0.25</v>
      </c>
      <c r="D92" s="270">
        <f t="shared" si="1"/>
        <v>8.3299999999999999E-2</v>
      </c>
      <c r="E92" s="259">
        <f t="shared" si="2"/>
        <v>15</v>
      </c>
      <c r="F92" s="266">
        <f>((TabFactorIntegracion[[#This Row],[Días de
aguinaldo]]+(TabFactorIntegracion[[#This Row],[Días vacacionales
establecidos por ley]]*TabFactorIntegracion[[#This Row],[% de prima 
vacacional y dominical]]))/365)</f>
        <v>6.0273972602739728E-2</v>
      </c>
      <c r="G92" s="271">
        <f>+($N$12/365)*TabFactorIntegracion[[#This Row],[% de prima 
vacacional y dominical]]</f>
        <v>1.8150684931506848E-2</v>
      </c>
    </row>
    <row r="93" spans="1:7" x14ac:dyDescent="0.25">
      <c r="A93" s="267">
        <v>23</v>
      </c>
      <c r="B93" s="261">
        <v>28</v>
      </c>
      <c r="C93" s="269">
        <f t="shared" si="3"/>
        <v>0.25</v>
      </c>
      <c r="D93" s="270">
        <f t="shared" si="1"/>
        <v>8.3299999999999999E-2</v>
      </c>
      <c r="E93" s="259">
        <f t="shared" si="2"/>
        <v>15</v>
      </c>
      <c r="F93" s="266">
        <f>((TabFactorIntegracion[[#This Row],[Días de
aguinaldo]]+(TabFactorIntegracion[[#This Row],[Días vacacionales
establecidos por ley]]*TabFactorIntegracion[[#This Row],[% de prima 
vacacional y dominical]]))/365)</f>
        <v>6.0273972602739728E-2</v>
      </c>
      <c r="G93" s="271">
        <f>+($N$12/365)*TabFactorIntegracion[[#This Row],[% de prima 
vacacional y dominical]]</f>
        <v>1.8150684931506848E-2</v>
      </c>
    </row>
    <row r="94" spans="1:7" x14ac:dyDescent="0.25">
      <c r="A94" s="267">
        <v>24</v>
      </c>
      <c r="B94" s="261">
        <v>28</v>
      </c>
      <c r="C94" s="269">
        <f t="shared" si="3"/>
        <v>0.25</v>
      </c>
      <c r="D94" s="270">
        <f t="shared" si="1"/>
        <v>8.3299999999999999E-2</v>
      </c>
      <c r="E94" s="259">
        <f t="shared" si="2"/>
        <v>15</v>
      </c>
      <c r="F94" s="266">
        <f>((TabFactorIntegracion[[#This Row],[Días de
aguinaldo]]+(TabFactorIntegracion[[#This Row],[Días vacacionales
establecidos por ley]]*TabFactorIntegracion[[#This Row],[% de prima 
vacacional y dominical]]))/365)</f>
        <v>6.0273972602739728E-2</v>
      </c>
      <c r="G94" s="271">
        <f>+($N$12/365)*TabFactorIntegracion[[#This Row],[% de prima 
vacacional y dominical]]</f>
        <v>1.8150684931506848E-2</v>
      </c>
    </row>
    <row r="95" spans="1:7" x14ac:dyDescent="0.25">
      <c r="A95" s="267">
        <v>25</v>
      </c>
      <c r="B95" s="261">
        <v>28</v>
      </c>
      <c r="C95" s="269">
        <f t="shared" si="3"/>
        <v>0.25</v>
      </c>
      <c r="D95" s="270">
        <f t="shared" si="1"/>
        <v>8.3299999999999999E-2</v>
      </c>
      <c r="E95" s="259">
        <f t="shared" si="2"/>
        <v>15</v>
      </c>
      <c r="F95" s="266">
        <f>((TabFactorIntegracion[[#This Row],[Días de
aguinaldo]]+(TabFactorIntegracion[[#This Row],[Días vacacionales
establecidos por ley]]*TabFactorIntegracion[[#This Row],[% de prima 
vacacional y dominical]]))/365)</f>
        <v>6.0273972602739728E-2</v>
      </c>
      <c r="G95" s="271">
        <f>+($N$12/365)*TabFactorIntegracion[[#This Row],[% de prima 
vacacional y dominical]]</f>
        <v>1.8150684931506848E-2</v>
      </c>
    </row>
    <row r="96" spans="1:7" x14ac:dyDescent="0.25">
      <c r="A96" s="267">
        <v>26</v>
      </c>
      <c r="B96" s="261">
        <v>30</v>
      </c>
      <c r="C96" s="269">
        <f t="shared" si="3"/>
        <v>0.25</v>
      </c>
      <c r="D96" s="270">
        <f t="shared" si="1"/>
        <v>8.3299999999999999E-2</v>
      </c>
      <c r="E96" s="259">
        <f t="shared" si="2"/>
        <v>15</v>
      </c>
      <c r="F96" s="266">
        <f>((TabFactorIntegracion[[#This Row],[Días de
aguinaldo]]+(TabFactorIntegracion[[#This Row],[Días vacacionales
establecidos por ley]]*TabFactorIntegracion[[#This Row],[% de prima 
vacacional y dominical]]))/365)</f>
        <v>6.1643835616438353E-2</v>
      </c>
      <c r="G96" s="271">
        <f>+($N$12/365)*TabFactorIntegracion[[#This Row],[% de prima 
vacacional y dominical]]</f>
        <v>1.8150684931506848E-2</v>
      </c>
    </row>
    <row r="97" spans="1:7" x14ac:dyDescent="0.25">
      <c r="A97" s="267">
        <v>27</v>
      </c>
      <c r="B97" s="261">
        <f t="shared" ref="B97:B120" si="4">B96</f>
        <v>30</v>
      </c>
      <c r="C97" s="269">
        <f t="shared" si="3"/>
        <v>0.25</v>
      </c>
      <c r="D97" s="270">
        <f t="shared" si="1"/>
        <v>8.3299999999999999E-2</v>
      </c>
      <c r="E97" s="259">
        <f t="shared" si="2"/>
        <v>15</v>
      </c>
      <c r="F97" s="266">
        <f>((TabFactorIntegracion[[#This Row],[Días de
aguinaldo]]+(TabFactorIntegracion[[#This Row],[Días vacacionales
establecidos por ley]]*TabFactorIntegracion[[#This Row],[% de prima 
vacacional y dominical]]))/365)</f>
        <v>6.1643835616438353E-2</v>
      </c>
      <c r="G97" s="271">
        <f>+($N$12/365)*TabFactorIntegracion[[#This Row],[% de prima 
vacacional y dominical]]</f>
        <v>1.8150684931506848E-2</v>
      </c>
    </row>
    <row r="98" spans="1:7" x14ac:dyDescent="0.25">
      <c r="A98" s="267">
        <v>28</v>
      </c>
      <c r="B98" s="261">
        <f t="shared" si="4"/>
        <v>30</v>
      </c>
      <c r="C98" s="269">
        <f t="shared" si="3"/>
        <v>0.25</v>
      </c>
      <c r="D98" s="270">
        <f t="shared" si="1"/>
        <v>8.3299999999999999E-2</v>
      </c>
      <c r="E98" s="259">
        <f t="shared" si="2"/>
        <v>15</v>
      </c>
      <c r="F98" s="266">
        <f>((TabFactorIntegracion[[#This Row],[Días de
aguinaldo]]+(TabFactorIntegracion[[#This Row],[Días vacacionales
establecidos por ley]]*TabFactorIntegracion[[#This Row],[% de prima 
vacacional y dominical]]))/365)</f>
        <v>6.1643835616438353E-2</v>
      </c>
      <c r="G98" s="271">
        <f>+($N$12/365)*TabFactorIntegracion[[#This Row],[% de prima 
vacacional y dominical]]</f>
        <v>1.8150684931506848E-2</v>
      </c>
    </row>
    <row r="99" spans="1:7" x14ac:dyDescent="0.25">
      <c r="A99" s="267">
        <v>29</v>
      </c>
      <c r="B99" s="261">
        <f t="shared" si="4"/>
        <v>30</v>
      </c>
      <c r="C99" s="269">
        <f t="shared" si="3"/>
        <v>0.25</v>
      </c>
      <c r="D99" s="270">
        <f t="shared" si="1"/>
        <v>8.3299999999999999E-2</v>
      </c>
      <c r="E99" s="259">
        <f t="shared" si="2"/>
        <v>15</v>
      </c>
      <c r="F99" s="266">
        <f>((TabFactorIntegracion[[#This Row],[Días de
aguinaldo]]+(TabFactorIntegracion[[#This Row],[Días vacacionales
establecidos por ley]]*TabFactorIntegracion[[#This Row],[% de prima 
vacacional y dominical]]))/365)</f>
        <v>6.1643835616438353E-2</v>
      </c>
      <c r="G99" s="271">
        <f>+($N$12/365)*TabFactorIntegracion[[#This Row],[% de prima 
vacacional y dominical]]</f>
        <v>1.8150684931506848E-2</v>
      </c>
    </row>
    <row r="100" spans="1:7" x14ac:dyDescent="0.25">
      <c r="A100" s="267">
        <v>30</v>
      </c>
      <c r="B100" s="261">
        <f t="shared" si="4"/>
        <v>30</v>
      </c>
      <c r="C100" s="269">
        <f t="shared" si="3"/>
        <v>0.25</v>
      </c>
      <c r="D100" s="270">
        <f t="shared" si="1"/>
        <v>8.3299999999999999E-2</v>
      </c>
      <c r="E100" s="259">
        <f t="shared" si="2"/>
        <v>15</v>
      </c>
      <c r="F100" s="266">
        <f>((TabFactorIntegracion[[#This Row],[Días de
aguinaldo]]+(TabFactorIntegracion[[#This Row],[Días vacacionales
establecidos por ley]]*TabFactorIntegracion[[#This Row],[% de prima 
vacacional y dominical]]))/365)</f>
        <v>6.1643835616438353E-2</v>
      </c>
      <c r="G100" s="271">
        <f>+($N$12/365)*TabFactorIntegracion[[#This Row],[% de prima 
vacacional y dominical]]</f>
        <v>1.8150684931506848E-2</v>
      </c>
    </row>
    <row r="101" spans="1:7" x14ac:dyDescent="0.25">
      <c r="A101" s="267">
        <v>31</v>
      </c>
      <c r="B101" s="261">
        <f t="shared" si="4"/>
        <v>30</v>
      </c>
      <c r="C101" s="269">
        <f t="shared" si="3"/>
        <v>0.25</v>
      </c>
      <c r="D101" s="270">
        <f t="shared" si="1"/>
        <v>8.3299999999999999E-2</v>
      </c>
      <c r="E101" s="259">
        <f t="shared" si="2"/>
        <v>15</v>
      </c>
      <c r="F101" s="266">
        <f>((TabFactorIntegracion[[#This Row],[Días de
aguinaldo]]+(TabFactorIntegracion[[#This Row],[Días vacacionales
establecidos por ley]]*TabFactorIntegracion[[#This Row],[% de prima 
vacacional y dominical]]))/365)</f>
        <v>6.1643835616438353E-2</v>
      </c>
      <c r="G101" s="271">
        <f>+($N$12/365)*TabFactorIntegracion[[#This Row],[% de prima 
vacacional y dominical]]</f>
        <v>1.8150684931506848E-2</v>
      </c>
    </row>
    <row r="102" spans="1:7" x14ac:dyDescent="0.25">
      <c r="A102" s="267">
        <v>32</v>
      </c>
      <c r="B102" s="261">
        <f t="shared" si="4"/>
        <v>30</v>
      </c>
      <c r="C102" s="269">
        <f t="shared" si="3"/>
        <v>0.25</v>
      </c>
      <c r="D102" s="270">
        <f t="shared" si="1"/>
        <v>8.3299999999999999E-2</v>
      </c>
      <c r="E102" s="259">
        <f t="shared" si="2"/>
        <v>15</v>
      </c>
      <c r="F102" s="266">
        <f>((TabFactorIntegracion[[#This Row],[Días de
aguinaldo]]+(TabFactorIntegracion[[#This Row],[Días vacacionales
establecidos por ley]]*TabFactorIntegracion[[#This Row],[% de prima 
vacacional y dominical]]))/365)</f>
        <v>6.1643835616438353E-2</v>
      </c>
      <c r="G102" s="271">
        <f>+($N$12/365)*TabFactorIntegracion[[#This Row],[% de prima 
vacacional y dominical]]</f>
        <v>1.8150684931506848E-2</v>
      </c>
    </row>
    <row r="103" spans="1:7" x14ac:dyDescent="0.25">
      <c r="A103" s="267">
        <v>33</v>
      </c>
      <c r="B103" s="261">
        <f t="shared" si="4"/>
        <v>30</v>
      </c>
      <c r="C103" s="269">
        <f t="shared" si="3"/>
        <v>0.25</v>
      </c>
      <c r="D103" s="270">
        <f t="shared" si="1"/>
        <v>8.3299999999999999E-2</v>
      </c>
      <c r="E103" s="259">
        <f t="shared" si="2"/>
        <v>15</v>
      </c>
      <c r="F103" s="266">
        <f>((TabFactorIntegracion[[#This Row],[Días de
aguinaldo]]+(TabFactorIntegracion[[#This Row],[Días vacacionales
establecidos por ley]]*TabFactorIntegracion[[#This Row],[% de prima 
vacacional y dominical]]))/365)</f>
        <v>6.1643835616438353E-2</v>
      </c>
      <c r="G103" s="271">
        <f>+($N$12/365)*TabFactorIntegracion[[#This Row],[% de prima 
vacacional y dominical]]</f>
        <v>1.8150684931506848E-2</v>
      </c>
    </row>
    <row r="104" spans="1:7" x14ac:dyDescent="0.25">
      <c r="A104" s="267">
        <v>34</v>
      </c>
      <c r="B104" s="261">
        <f t="shared" si="4"/>
        <v>30</v>
      </c>
      <c r="C104" s="269">
        <f t="shared" si="3"/>
        <v>0.25</v>
      </c>
      <c r="D104" s="270">
        <f t="shared" si="1"/>
        <v>8.3299999999999999E-2</v>
      </c>
      <c r="E104" s="259">
        <f t="shared" si="2"/>
        <v>15</v>
      </c>
      <c r="F104" s="266">
        <f>((TabFactorIntegracion[[#This Row],[Días de
aguinaldo]]+(TabFactorIntegracion[[#This Row],[Días vacacionales
establecidos por ley]]*TabFactorIntegracion[[#This Row],[% de prima 
vacacional y dominical]]))/365)</f>
        <v>6.1643835616438353E-2</v>
      </c>
      <c r="G104" s="271">
        <f>+($N$12/365)*TabFactorIntegracion[[#This Row],[% de prima 
vacacional y dominical]]</f>
        <v>1.8150684931506848E-2</v>
      </c>
    </row>
    <row r="105" spans="1:7" x14ac:dyDescent="0.25">
      <c r="A105" s="267">
        <v>35</v>
      </c>
      <c r="B105" s="261">
        <f t="shared" si="4"/>
        <v>30</v>
      </c>
      <c r="C105" s="269">
        <f t="shared" si="3"/>
        <v>0.25</v>
      </c>
      <c r="D105" s="270">
        <f t="shared" si="1"/>
        <v>8.3299999999999999E-2</v>
      </c>
      <c r="E105" s="259">
        <f t="shared" si="2"/>
        <v>15</v>
      </c>
      <c r="F105" s="266">
        <f>((TabFactorIntegracion[[#This Row],[Días de
aguinaldo]]+(TabFactorIntegracion[[#This Row],[Días vacacionales
establecidos por ley]]*TabFactorIntegracion[[#This Row],[% de prima 
vacacional y dominical]]))/365)</f>
        <v>6.1643835616438353E-2</v>
      </c>
      <c r="G105" s="271">
        <f>+($N$12/365)*TabFactorIntegracion[[#This Row],[% de prima 
vacacional y dominical]]</f>
        <v>1.8150684931506848E-2</v>
      </c>
    </row>
    <row r="106" spans="1:7" x14ac:dyDescent="0.25">
      <c r="A106" s="267">
        <v>36</v>
      </c>
      <c r="B106" s="261">
        <f t="shared" si="4"/>
        <v>30</v>
      </c>
      <c r="C106" s="269">
        <f t="shared" si="3"/>
        <v>0.25</v>
      </c>
      <c r="D106" s="270">
        <f t="shared" si="1"/>
        <v>8.3299999999999999E-2</v>
      </c>
      <c r="E106" s="259">
        <f t="shared" si="2"/>
        <v>15</v>
      </c>
      <c r="F106" s="266">
        <f>((TabFactorIntegracion[[#This Row],[Días de
aguinaldo]]+(TabFactorIntegracion[[#This Row],[Días vacacionales
establecidos por ley]]*TabFactorIntegracion[[#This Row],[% de prima 
vacacional y dominical]]))/365)</f>
        <v>6.1643835616438353E-2</v>
      </c>
      <c r="G106" s="271">
        <f>+($N$12/365)*TabFactorIntegracion[[#This Row],[% de prima 
vacacional y dominical]]</f>
        <v>1.8150684931506848E-2</v>
      </c>
    </row>
    <row r="107" spans="1:7" x14ac:dyDescent="0.25">
      <c r="A107" s="267">
        <v>37</v>
      </c>
      <c r="B107" s="261">
        <f t="shared" si="4"/>
        <v>30</v>
      </c>
      <c r="C107" s="269">
        <f t="shared" si="3"/>
        <v>0.25</v>
      </c>
      <c r="D107" s="270">
        <f t="shared" si="1"/>
        <v>8.3299999999999999E-2</v>
      </c>
      <c r="E107" s="259">
        <f t="shared" si="2"/>
        <v>15</v>
      </c>
      <c r="F107" s="266">
        <f>((TabFactorIntegracion[[#This Row],[Días de
aguinaldo]]+(TabFactorIntegracion[[#This Row],[Días vacacionales
establecidos por ley]]*TabFactorIntegracion[[#This Row],[% de prima 
vacacional y dominical]]))/365)</f>
        <v>6.1643835616438353E-2</v>
      </c>
      <c r="G107" s="271">
        <f>+($N$12/365)*TabFactorIntegracion[[#This Row],[% de prima 
vacacional y dominical]]</f>
        <v>1.8150684931506848E-2</v>
      </c>
    </row>
    <row r="108" spans="1:7" x14ac:dyDescent="0.25">
      <c r="A108" s="267">
        <v>38</v>
      </c>
      <c r="B108" s="261">
        <f t="shared" si="4"/>
        <v>30</v>
      </c>
      <c r="C108" s="269">
        <f t="shared" si="3"/>
        <v>0.25</v>
      </c>
      <c r="D108" s="270">
        <f t="shared" si="1"/>
        <v>8.3299999999999999E-2</v>
      </c>
      <c r="E108" s="259">
        <f t="shared" si="2"/>
        <v>15</v>
      </c>
      <c r="F108" s="266">
        <f>((TabFactorIntegracion[[#This Row],[Días de
aguinaldo]]+(TabFactorIntegracion[[#This Row],[Días vacacionales
establecidos por ley]]*TabFactorIntegracion[[#This Row],[% de prima 
vacacional y dominical]]))/365)</f>
        <v>6.1643835616438353E-2</v>
      </c>
      <c r="G108" s="271">
        <f>+($N$12/365)*TabFactorIntegracion[[#This Row],[% de prima 
vacacional y dominical]]</f>
        <v>1.8150684931506848E-2</v>
      </c>
    </row>
    <row r="109" spans="1:7" x14ac:dyDescent="0.25">
      <c r="A109" s="267">
        <v>39</v>
      </c>
      <c r="B109" s="261">
        <f t="shared" si="4"/>
        <v>30</v>
      </c>
      <c r="C109" s="269">
        <f t="shared" si="3"/>
        <v>0.25</v>
      </c>
      <c r="D109" s="270">
        <f t="shared" si="1"/>
        <v>8.3299999999999999E-2</v>
      </c>
      <c r="E109" s="259">
        <f t="shared" si="2"/>
        <v>15</v>
      </c>
      <c r="F109" s="266">
        <f>((TabFactorIntegracion[[#This Row],[Días de
aguinaldo]]+(TabFactorIntegracion[[#This Row],[Días vacacionales
establecidos por ley]]*TabFactorIntegracion[[#This Row],[% de prima 
vacacional y dominical]]))/365)</f>
        <v>6.1643835616438353E-2</v>
      </c>
      <c r="G109" s="271">
        <f>+($N$12/365)*TabFactorIntegracion[[#This Row],[% de prima 
vacacional y dominical]]</f>
        <v>1.8150684931506848E-2</v>
      </c>
    </row>
    <row r="110" spans="1:7" x14ac:dyDescent="0.25">
      <c r="A110" s="267">
        <v>40</v>
      </c>
      <c r="B110" s="261">
        <f t="shared" si="4"/>
        <v>30</v>
      </c>
      <c r="C110" s="269">
        <f t="shared" si="3"/>
        <v>0.25</v>
      </c>
      <c r="D110" s="270">
        <f t="shared" si="1"/>
        <v>8.3299999999999999E-2</v>
      </c>
      <c r="E110" s="259">
        <f t="shared" si="2"/>
        <v>15</v>
      </c>
      <c r="F110" s="266">
        <f>((TabFactorIntegracion[[#This Row],[Días de
aguinaldo]]+(TabFactorIntegracion[[#This Row],[Días vacacionales
establecidos por ley]]*TabFactorIntegracion[[#This Row],[% de prima 
vacacional y dominical]]))/365)</f>
        <v>6.1643835616438353E-2</v>
      </c>
      <c r="G110" s="271">
        <f>+($N$12/365)*TabFactorIntegracion[[#This Row],[% de prima 
vacacional y dominical]]</f>
        <v>1.8150684931506848E-2</v>
      </c>
    </row>
    <row r="111" spans="1:7" x14ac:dyDescent="0.25">
      <c r="A111" s="267">
        <v>41</v>
      </c>
      <c r="B111" s="261">
        <f t="shared" si="4"/>
        <v>30</v>
      </c>
      <c r="C111" s="269">
        <f t="shared" si="3"/>
        <v>0.25</v>
      </c>
      <c r="D111" s="270">
        <f t="shared" si="1"/>
        <v>8.3299999999999999E-2</v>
      </c>
      <c r="E111" s="259">
        <f t="shared" si="2"/>
        <v>15</v>
      </c>
      <c r="F111" s="266">
        <f>((TabFactorIntegracion[[#This Row],[Días de
aguinaldo]]+(TabFactorIntegracion[[#This Row],[Días vacacionales
establecidos por ley]]*TabFactorIntegracion[[#This Row],[% de prima 
vacacional y dominical]]))/365)</f>
        <v>6.1643835616438353E-2</v>
      </c>
      <c r="G111" s="271">
        <f>+($N$12/365)*TabFactorIntegracion[[#This Row],[% de prima 
vacacional y dominical]]</f>
        <v>1.8150684931506848E-2</v>
      </c>
    </row>
    <row r="112" spans="1:7" x14ac:dyDescent="0.25">
      <c r="A112" s="267">
        <v>42</v>
      </c>
      <c r="B112" s="261">
        <f t="shared" si="4"/>
        <v>30</v>
      </c>
      <c r="C112" s="269">
        <f t="shared" si="3"/>
        <v>0.25</v>
      </c>
      <c r="D112" s="270">
        <f t="shared" si="1"/>
        <v>8.3299999999999999E-2</v>
      </c>
      <c r="E112" s="259">
        <f t="shared" si="2"/>
        <v>15</v>
      </c>
      <c r="F112" s="266">
        <f>((TabFactorIntegracion[[#This Row],[Días de
aguinaldo]]+(TabFactorIntegracion[[#This Row],[Días vacacionales
establecidos por ley]]*TabFactorIntegracion[[#This Row],[% de prima 
vacacional y dominical]]))/365)</f>
        <v>6.1643835616438353E-2</v>
      </c>
      <c r="G112" s="271">
        <f>+($N$12/365)*TabFactorIntegracion[[#This Row],[% de prima 
vacacional y dominical]]</f>
        <v>1.8150684931506848E-2</v>
      </c>
    </row>
    <row r="113" spans="1:7" x14ac:dyDescent="0.25">
      <c r="A113" s="267">
        <v>43</v>
      </c>
      <c r="B113" s="261">
        <f t="shared" si="4"/>
        <v>30</v>
      </c>
      <c r="C113" s="269">
        <f t="shared" si="3"/>
        <v>0.25</v>
      </c>
      <c r="D113" s="270">
        <f t="shared" si="1"/>
        <v>8.3299999999999999E-2</v>
      </c>
      <c r="E113" s="259">
        <f t="shared" si="2"/>
        <v>15</v>
      </c>
      <c r="F113" s="266">
        <f>((TabFactorIntegracion[[#This Row],[Días de
aguinaldo]]+(TabFactorIntegracion[[#This Row],[Días vacacionales
establecidos por ley]]*TabFactorIntegracion[[#This Row],[% de prima 
vacacional y dominical]]))/365)</f>
        <v>6.1643835616438353E-2</v>
      </c>
      <c r="G113" s="271">
        <f>+($N$12/365)*TabFactorIntegracion[[#This Row],[% de prima 
vacacional y dominical]]</f>
        <v>1.8150684931506848E-2</v>
      </c>
    </row>
    <row r="114" spans="1:7" x14ac:dyDescent="0.25">
      <c r="A114" s="267">
        <v>44</v>
      </c>
      <c r="B114" s="261">
        <f t="shared" si="4"/>
        <v>30</v>
      </c>
      <c r="C114" s="269">
        <f t="shared" si="3"/>
        <v>0.25</v>
      </c>
      <c r="D114" s="270">
        <f t="shared" si="1"/>
        <v>8.3299999999999999E-2</v>
      </c>
      <c r="E114" s="259">
        <f t="shared" si="2"/>
        <v>15</v>
      </c>
      <c r="F114" s="266">
        <f>((TabFactorIntegracion[[#This Row],[Días de
aguinaldo]]+(TabFactorIntegracion[[#This Row],[Días vacacionales
establecidos por ley]]*TabFactorIntegracion[[#This Row],[% de prima 
vacacional y dominical]]))/365)</f>
        <v>6.1643835616438353E-2</v>
      </c>
      <c r="G114" s="271">
        <f>+($N$12/365)*TabFactorIntegracion[[#This Row],[% de prima 
vacacional y dominical]]</f>
        <v>1.8150684931506848E-2</v>
      </c>
    </row>
    <row r="115" spans="1:7" x14ac:dyDescent="0.25">
      <c r="A115" s="267">
        <v>45</v>
      </c>
      <c r="B115" s="261">
        <f t="shared" si="4"/>
        <v>30</v>
      </c>
      <c r="C115" s="269">
        <f t="shared" si="3"/>
        <v>0.25</v>
      </c>
      <c r="D115" s="270">
        <f t="shared" si="1"/>
        <v>8.3299999999999999E-2</v>
      </c>
      <c r="E115" s="259">
        <f t="shared" si="2"/>
        <v>15</v>
      </c>
      <c r="F115" s="266">
        <f>((TabFactorIntegracion[[#This Row],[Días de
aguinaldo]]+(TabFactorIntegracion[[#This Row],[Días vacacionales
establecidos por ley]]*TabFactorIntegracion[[#This Row],[% de prima 
vacacional y dominical]]))/365)</f>
        <v>6.1643835616438353E-2</v>
      </c>
      <c r="G115" s="271">
        <f>+($N$12/365)*TabFactorIntegracion[[#This Row],[% de prima 
vacacional y dominical]]</f>
        <v>1.8150684931506848E-2</v>
      </c>
    </row>
    <row r="116" spans="1:7" x14ac:dyDescent="0.25">
      <c r="A116" s="267">
        <v>46</v>
      </c>
      <c r="B116" s="261">
        <f t="shared" si="4"/>
        <v>30</v>
      </c>
      <c r="C116" s="269">
        <f t="shared" si="3"/>
        <v>0.25</v>
      </c>
      <c r="D116" s="270">
        <f t="shared" si="1"/>
        <v>8.3299999999999999E-2</v>
      </c>
      <c r="E116" s="259">
        <f t="shared" si="2"/>
        <v>15</v>
      </c>
      <c r="F116" s="266">
        <f>((TabFactorIntegracion[[#This Row],[Días de
aguinaldo]]+(TabFactorIntegracion[[#This Row],[Días vacacionales
establecidos por ley]]*TabFactorIntegracion[[#This Row],[% de prima 
vacacional y dominical]]))/365)</f>
        <v>6.1643835616438353E-2</v>
      </c>
      <c r="G116" s="271">
        <f>+($N$12/365)*TabFactorIntegracion[[#This Row],[% de prima 
vacacional y dominical]]</f>
        <v>1.8150684931506848E-2</v>
      </c>
    </row>
    <row r="117" spans="1:7" x14ac:dyDescent="0.25">
      <c r="A117" s="267">
        <v>47</v>
      </c>
      <c r="B117" s="261">
        <f t="shared" si="4"/>
        <v>30</v>
      </c>
      <c r="C117" s="269">
        <f t="shared" si="3"/>
        <v>0.25</v>
      </c>
      <c r="D117" s="270">
        <f t="shared" si="1"/>
        <v>8.3299999999999999E-2</v>
      </c>
      <c r="E117" s="259">
        <f t="shared" si="2"/>
        <v>15</v>
      </c>
      <c r="F117" s="266">
        <f>((TabFactorIntegracion[[#This Row],[Días de
aguinaldo]]+(TabFactorIntegracion[[#This Row],[Días vacacionales
establecidos por ley]]*TabFactorIntegracion[[#This Row],[% de prima 
vacacional y dominical]]))/365)</f>
        <v>6.1643835616438353E-2</v>
      </c>
      <c r="G117" s="271">
        <f>+($N$12/365)*TabFactorIntegracion[[#This Row],[% de prima 
vacacional y dominical]]</f>
        <v>1.8150684931506848E-2</v>
      </c>
    </row>
    <row r="118" spans="1:7" x14ac:dyDescent="0.25">
      <c r="A118" s="267">
        <v>48</v>
      </c>
      <c r="B118" s="261">
        <f t="shared" si="4"/>
        <v>30</v>
      </c>
      <c r="C118" s="269">
        <f t="shared" si="3"/>
        <v>0.25</v>
      </c>
      <c r="D118" s="270">
        <f t="shared" si="1"/>
        <v>8.3299999999999999E-2</v>
      </c>
      <c r="E118" s="259">
        <f t="shared" si="2"/>
        <v>15</v>
      </c>
      <c r="F118" s="266">
        <f>((TabFactorIntegracion[[#This Row],[Días de
aguinaldo]]+(TabFactorIntegracion[[#This Row],[Días vacacionales
establecidos por ley]]*TabFactorIntegracion[[#This Row],[% de prima 
vacacional y dominical]]))/365)</f>
        <v>6.1643835616438353E-2</v>
      </c>
      <c r="G118" s="271">
        <f>+($N$12/365)*TabFactorIntegracion[[#This Row],[% de prima 
vacacional y dominical]]</f>
        <v>1.8150684931506848E-2</v>
      </c>
    </row>
    <row r="119" spans="1:7" x14ac:dyDescent="0.25">
      <c r="A119" s="267">
        <v>49</v>
      </c>
      <c r="B119" s="261">
        <f t="shared" si="4"/>
        <v>30</v>
      </c>
      <c r="C119" s="269">
        <f t="shared" si="3"/>
        <v>0.25</v>
      </c>
      <c r="D119" s="270">
        <f t="shared" si="1"/>
        <v>8.3299999999999999E-2</v>
      </c>
      <c r="E119" s="259">
        <f t="shared" si="2"/>
        <v>15</v>
      </c>
      <c r="F119" s="266">
        <f>((TabFactorIntegracion[[#This Row],[Días de
aguinaldo]]+(TabFactorIntegracion[[#This Row],[Días vacacionales
establecidos por ley]]*TabFactorIntegracion[[#This Row],[% de prima 
vacacional y dominical]]))/365)</f>
        <v>6.1643835616438353E-2</v>
      </c>
      <c r="G119" s="271">
        <f>+($N$12/365)*TabFactorIntegracion[[#This Row],[% de prima 
vacacional y dominical]]</f>
        <v>1.8150684931506848E-2</v>
      </c>
    </row>
    <row r="120" spans="1:7" x14ac:dyDescent="0.25">
      <c r="A120" s="267">
        <v>50</v>
      </c>
      <c r="B120" s="261">
        <f t="shared" si="4"/>
        <v>30</v>
      </c>
      <c r="C120" s="269">
        <f t="shared" si="3"/>
        <v>0.25</v>
      </c>
      <c r="D120" s="270">
        <f t="shared" si="1"/>
        <v>8.3299999999999999E-2</v>
      </c>
      <c r="E120" s="259">
        <f t="shared" si="2"/>
        <v>15</v>
      </c>
      <c r="F120" s="266">
        <f>((TabFactorIntegracion[[#This Row],[Días de
aguinaldo]]+(TabFactorIntegracion[[#This Row],[Días vacacionales
establecidos por ley]]*TabFactorIntegracion[[#This Row],[% de prima 
vacacional y dominical]]))/365)</f>
        <v>6.1643835616438353E-2</v>
      </c>
      <c r="G120" s="271">
        <f>+($N$12/365)*TabFactorIntegracion[[#This Row],[% de prima 
vacacional y dominical]]</f>
        <v>1.8150684931506848E-2</v>
      </c>
    </row>
    <row r="122" spans="1:7" ht="18.75" x14ac:dyDescent="0.3">
      <c r="A122" s="299" t="s">
        <v>432</v>
      </c>
      <c r="B122" s="258"/>
      <c r="C122" s="272"/>
      <c r="D122" s="244"/>
    </row>
    <row r="123" spans="1:7" x14ac:dyDescent="0.25">
      <c r="A123" s="265" t="s">
        <v>212</v>
      </c>
      <c r="B123" s="131" t="s">
        <v>213</v>
      </c>
      <c r="C123" s="132" t="s">
        <v>214</v>
      </c>
      <c r="D123" s="133" t="s">
        <v>528</v>
      </c>
    </row>
    <row r="124" spans="1:7" x14ac:dyDescent="0.25">
      <c r="A124" s="112" t="str">
        <f>TabAsistencias[[#Headers],[1]]</f>
        <v>1</v>
      </c>
      <c r="B124" s="263" t="str">
        <f>Asistencias!B6</f>
        <v>Asistencia</v>
      </c>
      <c r="C124" s="259">
        <v>1</v>
      </c>
      <c r="D124" s="260" t="s">
        <v>218</v>
      </c>
    </row>
    <row r="125" spans="1:7" x14ac:dyDescent="0.25">
      <c r="A125" s="113" t="str">
        <f>TabAsistencias[[#Headers],[E]]</f>
        <v>E</v>
      </c>
      <c r="B125" s="263" t="str">
        <f>Asistencias!B7</f>
        <v>Eventos</v>
      </c>
      <c r="C125" s="259">
        <v>0</v>
      </c>
      <c r="D125" s="300" t="s">
        <v>433</v>
      </c>
    </row>
    <row r="126" spans="1:7" x14ac:dyDescent="0.25">
      <c r="A126" s="114" t="str">
        <f>TabAsistencias[[#Headers],[DE]]</f>
        <v>DE</v>
      </c>
      <c r="B126" s="263" t="str">
        <f>Asistencias!B8</f>
        <v>Descanso</v>
      </c>
      <c r="C126" s="259">
        <v>1</v>
      </c>
      <c r="D126" s="260" t="s">
        <v>219</v>
      </c>
    </row>
    <row r="127" spans="1:7" x14ac:dyDescent="0.25">
      <c r="A127" s="115" t="str">
        <f>TabAsistencias[[#Headers],[V]]</f>
        <v>V</v>
      </c>
      <c r="B127" s="263" t="str">
        <f>Asistencias!B9</f>
        <v>Vacaciones</v>
      </c>
      <c r="C127" s="259">
        <v>1</v>
      </c>
      <c r="D127" s="260" t="s">
        <v>220</v>
      </c>
    </row>
    <row r="128" spans="1:7" x14ac:dyDescent="0.25">
      <c r="A128" s="116" t="str">
        <f>TabAsistencias[[#Headers],[DO]]</f>
        <v>DO</v>
      </c>
      <c r="B128" s="263" t="str">
        <f>Asistencias!B10</f>
        <v>Doble turno/Descanso trabajado</v>
      </c>
      <c r="C128" s="259">
        <v>2</v>
      </c>
      <c r="D128" s="260" t="s">
        <v>221</v>
      </c>
    </row>
    <row r="129" spans="1:4" x14ac:dyDescent="0.25">
      <c r="A129" s="117" t="str">
        <f>TabAsistencias[[#Headers],[P]]</f>
        <v>P</v>
      </c>
      <c r="B129" s="263" t="str">
        <f>Asistencias!B11</f>
        <v>Permiso</v>
      </c>
      <c r="C129" s="259">
        <v>0</v>
      </c>
      <c r="D129" s="260" t="s">
        <v>217</v>
      </c>
    </row>
    <row r="130" spans="1:4" x14ac:dyDescent="0.25">
      <c r="A130" s="118" t="str">
        <f>TabAsistencias[[#Headers],[F]]</f>
        <v>F</v>
      </c>
      <c r="B130" s="263" t="str">
        <f>Asistencias!B12</f>
        <v>FALTA</v>
      </c>
      <c r="C130" s="259">
        <v>0</v>
      </c>
      <c r="D130" s="260" t="s">
        <v>222</v>
      </c>
    </row>
    <row r="131" spans="1:4" x14ac:dyDescent="0.25">
      <c r="A131" s="119" t="str">
        <f>TabAsistencias[[#Headers],[R]]</f>
        <v>R</v>
      </c>
      <c r="B131" s="263" t="str">
        <f>Asistencias!B13</f>
        <v>Retardo</v>
      </c>
      <c r="C131" s="259">
        <v>1</v>
      </c>
      <c r="D131" s="260" t="s">
        <v>223</v>
      </c>
    </row>
    <row r="132" spans="1:4" x14ac:dyDescent="0.25">
      <c r="A132" s="120" t="str">
        <f>TabAsistencias[[#Headers],[PP]]</f>
        <v>PP</v>
      </c>
      <c r="B132" s="263" t="str">
        <f>Asistencias!B14</f>
        <v>PERMISO POR LEY (DIA FESTIVO)</v>
      </c>
      <c r="C132" s="259">
        <v>1</v>
      </c>
      <c r="D132" s="260" t="s">
        <v>224</v>
      </c>
    </row>
    <row r="133" spans="1:4" x14ac:dyDescent="0.25">
      <c r="A133" s="121" t="str">
        <f>TabAsistencias[[#Headers],[0]]</f>
        <v>0</v>
      </c>
      <c r="B133" s="263" t="str">
        <f>Asistencias!B15</f>
        <v>CIERRE DE RESTAURANT</v>
      </c>
      <c r="C133" s="259">
        <v>0</v>
      </c>
      <c r="D133" s="260" t="s">
        <v>225</v>
      </c>
    </row>
    <row r="134" spans="1:4" x14ac:dyDescent="0.25">
      <c r="A134" s="122" t="str">
        <f>TabAsistencias[[#Headers],[IG]]</f>
        <v>IG</v>
      </c>
      <c r="B134" s="263" t="str">
        <f>Asistencias!B16</f>
        <v>Incapacidad General 40%</v>
      </c>
      <c r="C134" s="259">
        <v>0</v>
      </c>
      <c r="D134" s="300" t="s">
        <v>328</v>
      </c>
    </row>
    <row r="135" spans="1:4" x14ac:dyDescent="0.25">
      <c r="A135" s="123" t="str">
        <f>TabAsistencias[[#Headers],[NA]]</f>
        <v>NA</v>
      </c>
      <c r="B135" s="263" t="str">
        <f>Asistencias!B17</f>
        <v>No anotado</v>
      </c>
      <c r="C135" s="259">
        <v>1</v>
      </c>
      <c r="D135" s="260" t="s">
        <v>216</v>
      </c>
    </row>
    <row r="136" spans="1:4" x14ac:dyDescent="0.25">
      <c r="A136" s="124" t="str">
        <f>TabAsistencias[[#Headers],[DF]]</f>
        <v>DF</v>
      </c>
      <c r="B136" s="263" t="str">
        <f>Asistencias!B18</f>
        <v>Día feriado trabajado</v>
      </c>
      <c r="C136" s="259">
        <v>2</v>
      </c>
      <c r="D136" s="260" t="s">
        <v>226</v>
      </c>
    </row>
    <row r="137" spans="1:4" x14ac:dyDescent="0.25">
      <c r="A137" s="125" t="str">
        <f>TabAsistencias[[#Headers],[3]]</f>
        <v>3</v>
      </c>
      <c r="B137" s="263" t="str">
        <f>Asistencias!B19</f>
        <v>Día feriado trabajado doble</v>
      </c>
      <c r="C137" s="259">
        <v>3</v>
      </c>
      <c r="D137" s="260" t="s">
        <v>461</v>
      </c>
    </row>
    <row r="138" spans="1:4" x14ac:dyDescent="0.25">
      <c r="A138" s="126" t="str">
        <f>TabAsistencias[[#Headers],[CP]]</f>
        <v>CP</v>
      </c>
      <c r="B138" s="263" t="str">
        <f>Asistencias!B20</f>
        <v>Capacitacion pagada</v>
      </c>
      <c r="C138" s="259">
        <v>1</v>
      </c>
      <c r="D138" s="260" t="s">
        <v>227</v>
      </c>
    </row>
    <row r="139" spans="1:4" x14ac:dyDescent="0.25">
      <c r="A139" s="127" t="str">
        <f>TabAsistencias[[#Headers],[I]]</f>
        <v>I</v>
      </c>
      <c r="B139" s="263" t="str">
        <f>Asistencias!B21</f>
        <v>Incapacidad 100%</v>
      </c>
      <c r="C139" s="259">
        <v>0</v>
      </c>
      <c r="D139" s="300" t="s">
        <v>329</v>
      </c>
    </row>
    <row r="140" spans="1:4" x14ac:dyDescent="0.25">
      <c r="A140" s="128" t="s">
        <v>215</v>
      </c>
      <c r="B140" s="263" t="str">
        <f>Asistencias!B22</f>
        <v>Tiempo 1/2</v>
      </c>
      <c r="C140" s="259">
        <v>1.5</v>
      </c>
      <c r="D140" s="260" t="s">
        <v>228</v>
      </c>
    </row>
    <row r="141" spans="1:4" x14ac:dyDescent="0.25">
      <c r="A141" s="129" t="str">
        <f>TabAsistencias[[#Headers],[ME]]</f>
        <v>ME</v>
      </c>
      <c r="B141" s="263" t="str">
        <f>Asistencias!B23</f>
        <v>Medio Turno</v>
      </c>
      <c r="C141" s="259">
        <v>0.5</v>
      </c>
      <c r="D141" s="300" t="s">
        <v>236</v>
      </c>
    </row>
    <row r="142" spans="1:4" x14ac:dyDescent="0.25">
      <c r="A142" s="130" t="str">
        <f>TabAsistencias[[#Headers],[DP]]</f>
        <v>DP</v>
      </c>
      <c r="B142" s="263" t="str">
        <f>Asistencias!B24</f>
        <v>Descanso que se debia</v>
      </c>
      <c r="C142" s="259">
        <v>1</v>
      </c>
      <c r="D142" s="300" t="s">
        <v>237</v>
      </c>
    </row>
    <row r="143" spans="1:4" x14ac:dyDescent="0.25">
      <c r="A143" s="134" t="str">
        <f>TabAsistencias[[#Headers],[B]]</f>
        <v>B</v>
      </c>
      <c r="B143" s="264" t="str">
        <f>Asistencias!B25</f>
        <v>Baja</v>
      </c>
      <c r="C143" s="261">
        <v>0</v>
      </c>
      <c r="D143" s="262" t="s">
        <v>229</v>
      </c>
    </row>
  </sheetData>
  <mergeCells count="1">
    <mergeCell ref="J2:L2"/>
  </mergeCells>
  <phoneticPr fontId="7" type="noConversion"/>
  <dataValidations count="2">
    <dataValidation type="whole" allowBlank="1" showInputMessage="1" showErrorMessage="1" sqref="C33:C66" xr:uid="{684CA352-E7FC-4134-920F-EE8AE68C2042}">
      <formula1>0</formula1>
      <formula2>1</formula2>
    </dataValidation>
    <dataValidation type="whole" allowBlank="1" showInputMessage="1" showErrorMessage="1" sqref="D33:D66" xr:uid="{75AD6814-59C0-4FC2-AFF2-DE65DCC3218A}">
      <formula1>0</formula1>
      <formula2>7</formula2>
    </dataValidation>
  </dataValidations>
  <pageMargins left="0.7" right="0.7" top="0.75" bottom="0.75" header="0.3" footer="0.3"/>
  <legacyDrawing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CF88E9-0317-4AFA-B8CE-0556124079B0}">
  <sheetPr codeName="Hoja1">
    <tabColor rgb="FF99F9E0"/>
  </sheetPr>
  <dimension ref="A1:P84"/>
  <sheetViews>
    <sheetView topLeftCell="B1" workbookViewId="0">
      <selection activeCell="L5" sqref="L5"/>
    </sheetView>
  </sheetViews>
  <sheetFormatPr baseColWidth="10" defaultRowHeight="15" x14ac:dyDescent="0.25"/>
  <cols>
    <col min="1" max="1" width="4.140625" customWidth="1"/>
    <col min="2" max="2" width="39.7109375" bestFit="1" customWidth="1"/>
    <col min="3" max="3" width="21.85546875" bestFit="1" customWidth="1"/>
    <col min="4" max="4" width="16.42578125" customWidth="1"/>
    <col min="5" max="5" width="17.140625" bestFit="1" customWidth="1"/>
    <col min="6" max="7" width="13.28515625" bestFit="1" customWidth="1"/>
    <col min="8" max="8" width="13.28515625" customWidth="1"/>
    <col min="11" max="11" width="18" bestFit="1" customWidth="1"/>
    <col min="12" max="12" width="15.7109375" bestFit="1" customWidth="1"/>
    <col min="20" max="20" width="12.85546875" bestFit="1" customWidth="1"/>
    <col min="21" max="21" width="14.28515625" bestFit="1" customWidth="1"/>
  </cols>
  <sheetData>
    <row r="1" spans="1:16" x14ac:dyDescent="0.25">
      <c r="A1" t="s">
        <v>103</v>
      </c>
      <c r="B1" t="s">
        <v>0</v>
      </c>
      <c r="C1" t="s">
        <v>76</v>
      </c>
      <c r="D1" t="s">
        <v>77</v>
      </c>
      <c r="E1" t="s">
        <v>78</v>
      </c>
      <c r="F1" t="s">
        <v>278</v>
      </c>
      <c r="G1" s="198" t="s">
        <v>79</v>
      </c>
      <c r="H1" t="s">
        <v>381</v>
      </c>
      <c r="I1" t="s">
        <v>81</v>
      </c>
      <c r="J1" t="s">
        <v>80</v>
      </c>
      <c r="K1" t="s">
        <v>82</v>
      </c>
      <c r="L1" t="s">
        <v>414</v>
      </c>
      <c r="M1" t="s">
        <v>898</v>
      </c>
    </row>
    <row r="2" spans="1:16" x14ac:dyDescent="0.25">
      <c r="A2">
        <v>1</v>
      </c>
      <c r="B2" t="s">
        <v>1</v>
      </c>
      <c r="C2" t="s">
        <v>83</v>
      </c>
      <c r="D2" s="1">
        <v>44509</v>
      </c>
      <c r="E2" t="s">
        <v>100</v>
      </c>
      <c r="F2" s="55">
        <v>300</v>
      </c>
      <c r="G2" s="231">
        <f>TabEmpleados[[#This Row],[SD Real]]*15</f>
        <v>4500</v>
      </c>
      <c r="H2" s="55">
        <v>1825</v>
      </c>
      <c r="I2" s="141"/>
      <c r="J2" s="141"/>
      <c r="K2" s="1">
        <f>TabEmpleados[[#This Row],[Fecha de ingreso]]</f>
        <v>44509</v>
      </c>
      <c r="L2" t="s">
        <v>415</v>
      </c>
    </row>
    <row r="3" spans="1:16" x14ac:dyDescent="0.25">
      <c r="A3">
        <v>2</v>
      </c>
      <c r="B3" t="s">
        <v>2</v>
      </c>
      <c r="C3" t="s">
        <v>303</v>
      </c>
      <c r="D3" s="1">
        <v>42796</v>
      </c>
      <c r="E3" t="s">
        <v>100</v>
      </c>
      <c r="F3" s="55">
        <v>3333.3333320000002</v>
      </c>
      <c r="G3" s="231">
        <f>TabEmpleados[[#This Row],[SD Real]]*15</f>
        <v>49999.999980000001</v>
      </c>
      <c r="H3" s="55">
        <v>1825</v>
      </c>
      <c r="K3" s="1">
        <f>TabEmpleados[[#This Row],[Fecha de ingreso]]</f>
        <v>42796</v>
      </c>
      <c r="L3" t="s">
        <v>416</v>
      </c>
    </row>
    <row r="4" spans="1:16" x14ac:dyDescent="0.25">
      <c r="A4">
        <v>3</v>
      </c>
      <c r="B4" t="s">
        <v>3</v>
      </c>
      <c r="C4" t="s">
        <v>84</v>
      </c>
      <c r="D4" s="1">
        <v>44197</v>
      </c>
      <c r="E4" t="s">
        <v>101</v>
      </c>
      <c r="F4" s="55">
        <v>466.67</v>
      </c>
      <c r="G4" s="231">
        <f>TabEmpleados[[#This Row],[SD Real]]*15</f>
        <v>7000.05</v>
      </c>
      <c r="H4" s="55">
        <v>260</v>
      </c>
      <c r="K4" s="1">
        <f>TabEmpleados[[#This Row],[Fecha de ingreso]]</f>
        <v>44197</v>
      </c>
      <c r="L4" t="s">
        <v>416</v>
      </c>
    </row>
    <row r="5" spans="1:16" x14ac:dyDescent="0.25">
      <c r="A5">
        <v>4</v>
      </c>
      <c r="B5" t="s">
        <v>4</v>
      </c>
      <c r="C5" t="s">
        <v>203</v>
      </c>
      <c r="D5" s="1">
        <v>44782</v>
      </c>
      <c r="E5" t="s">
        <v>102</v>
      </c>
      <c r="F5" s="55">
        <v>350</v>
      </c>
      <c r="G5" s="231">
        <f>TabEmpleados[[#This Row],[SD Real]]*15</f>
        <v>5250</v>
      </c>
      <c r="H5" s="55">
        <v>208.77</v>
      </c>
      <c r="K5" s="1">
        <f>TabEmpleados[[#This Row],[Fecha de ingreso]]</f>
        <v>44782</v>
      </c>
      <c r="L5" t="s">
        <v>416</v>
      </c>
    </row>
    <row r="6" spans="1:16" x14ac:dyDescent="0.25">
      <c r="A6">
        <v>5</v>
      </c>
      <c r="B6" t="s">
        <v>5</v>
      </c>
      <c r="C6" t="s">
        <v>302</v>
      </c>
      <c r="D6" s="1">
        <v>44205</v>
      </c>
      <c r="E6" t="s">
        <v>102</v>
      </c>
      <c r="F6" s="55">
        <v>500</v>
      </c>
      <c r="G6" s="231">
        <f>TabEmpleados[[#This Row],[SD Real]]*15</f>
        <v>7500</v>
      </c>
      <c r="H6" s="55">
        <v>220</v>
      </c>
      <c r="K6" s="1">
        <f>TabEmpleados[[#This Row],[Fecha de ingreso]]</f>
        <v>44205</v>
      </c>
      <c r="L6" t="s">
        <v>416</v>
      </c>
    </row>
    <row r="7" spans="1:16" x14ac:dyDescent="0.25">
      <c r="A7">
        <v>6</v>
      </c>
      <c r="B7" t="s">
        <v>6</v>
      </c>
      <c r="C7" t="s">
        <v>85</v>
      </c>
      <c r="D7" s="1">
        <v>44509</v>
      </c>
      <c r="E7" t="s">
        <v>102</v>
      </c>
      <c r="F7" s="55">
        <v>350</v>
      </c>
      <c r="G7" s="231">
        <f>TabEmpleados[[#This Row],[SD Real]]*15</f>
        <v>5250</v>
      </c>
      <c r="H7" s="55">
        <v>208.77</v>
      </c>
      <c r="K7" s="1">
        <f>TabEmpleados[[#This Row],[Fecha de ingreso]]</f>
        <v>44509</v>
      </c>
      <c r="L7" t="s">
        <v>416</v>
      </c>
    </row>
    <row r="8" spans="1:16" x14ac:dyDescent="0.25">
      <c r="A8">
        <v>7</v>
      </c>
      <c r="B8" t="s">
        <v>7</v>
      </c>
      <c r="C8" t="s">
        <v>86</v>
      </c>
      <c r="D8" s="1">
        <v>44509</v>
      </c>
      <c r="E8" t="s">
        <v>102</v>
      </c>
      <c r="F8" s="55">
        <v>366.66666600000002</v>
      </c>
      <c r="G8" s="231">
        <f>TabEmpleados[[#This Row],[SD Real]]*15</f>
        <v>5499.9999900000003</v>
      </c>
      <c r="H8" s="55">
        <f>TabEmpleados[[#This Row],[SD Real]]-(TabEmpleados[[#This Row],[SD Real]]/10*7)</f>
        <v>109.99999980000001</v>
      </c>
      <c r="K8" s="1">
        <f>TabEmpleados[[#This Row],[Fecha de ingreso]]</f>
        <v>44509</v>
      </c>
      <c r="L8" t="s">
        <v>416</v>
      </c>
    </row>
    <row r="9" spans="1:16" x14ac:dyDescent="0.25">
      <c r="A9">
        <v>8</v>
      </c>
      <c r="B9" t="s">
        <v>8</v>
      </c>
      <c r="C9" t="s">
        <v>204</v>
      </c>
      <c r="D9" s="1">
        <v>44509</v>
      </c>
      <c r="E9" t="s">
        <v>102</v>
      </c>
      <c r="F9" s="55">
        <v>283.33333329999999</v>
      </c>
      <c r="G9" s="231">
        <f>TabEmpleados[[#This Row],[SD Real]]*15</f>
        <v>4249.9999994999998</v>
      </c>
      <c r="H9" s="55">
        <f>TabEmpleados[[#This Row],[SD Real]]-(TabEmpleados[[#This Row],[SD Real]]/10*7)</f>
        <v>84.999999989999992</v>
      </c>
      <c r="K9" s="1">
        <f>TabEmpleados[[#This Row],[Fecha de ingreso]]</f>
        <v>44509</v>
      </c>
      <c r="L9" t="s">
        <v>422</v>
      </c>
    </row>
    <row r="10" spans="1:16" x14ac:dyDescent="0.25">
      <c r="A10">
        <v>9</v>
      </c>
      <c r="B10" t="s">
        <v>9</v>
      </c>
      <c r="C10" t="s">
        <v>205</v>
      </c>
      <c r="D10" s="1">
        <v>40817</v>
      </c>
      <c r="E10" t="s">
        <v>102</v>
      </c>
      <c r="F10" s="55">
        <v>280</v>
      </c>
      <c r="G10" s="231">
        <f>TabEmpleados[[#This Row],[SD Real]]*15</f>
        <v>4200</v>
      </c>
      <c r="H10" s="55"/>
      <c r="K10" s="1"/>
      <c r="L10" t="s">
        <v>422</v>
      </c>
      <c r="M10">
        <v>1000</v>
      </c>
      <c r="O10">
        <v>18</v>
      </c>
      <c r="P10">
        <v>24</v>
      </c>
    </row>
    <row r="11" spans="1:16" x14ac:dyDescent="0.25">
      <c r="A11">
        <v>10</v>
      </c>
      <c r="B11" t="s">
        <v>10</v>
      </c>
      <c r="C11" t="s">
        <v>205</v>
      </c>
      <c r="D11" s="1">
        <v>44509</v>
      </c>
      <c r="E11" t="s">
        <v>102</v>
      </c>
      <c r="F11" s="55">
        <v>250</v>
      </c>
      <c r="G11" s="231">
        <f>TabEmpleados[[#This Row],[SD Real]]*15</f>
        <v>3750</v>
      </c>
      <c r="H11" s="55">
        <f>TabEmpleados[[#This Row],[SD Real]]-(TabEmpleados[[#This Row],[SD Real]]/10*7)</f>
        <v>75</v>
      </c>
      <c r="K11" s="1">
        <f>TabEmpleados[[#This Row],[Fecha de ingreso]]</f>
        <v>44509</v>
      </c>
      <c r="L11" t="s">
        <v>416</v>
      </c>
    </row>
    <row r="12" spans="1:16" x14ac:dyDescent="0.25">
      <c r="A12">
        <v>11</v>
      </c>
      <c r="B12" t="s">
        <v>11</v>
      </c>
      <c r="C12" t="s">
        <v>207</v>
      </c>
      <c r="D12" s="1">
        <v>44509</v>
      </c>
      <c r="E12" t="s">
        <v>102</v>
      </c>
      <c r="F12" s="55">
        <v>450</v>
      </c>
      <c r="G12" s="231">
        <f>TabEmpleados[[#This Row],[SD Real]]*15</f>
        <v>6750</v>
      </c>
      <c r="H12" s="55">
        <f>TabEmpleados[[#This Row],[SD Real]]-(TabEmpleados[[#This Row],[SD Real]]/10*7)</f>
        <v>135</v>
      </c>
      <c r="K12" s="1">
        <f>TabEmpleados[[#This Row],[Fecha de ingreso]]</f>
        <v>44509</v>
      </c>
      <c r="L12" t="s">
        <v>416</v>
      </c>
    </row>
    <row r="13" spans="1:16" x14ac:dyDescent="0.25">
      <c r="A13">
        <v>12</v>
      </c>
      <c r="B13" t="s">
        <v>12</v>
      </c>
      <c r="C13" t="s">
        <v>87</v>
      </c>
      <c r="D13" s="1">
        <v>44509</v>
      </c>
      <c r="E13" t="s">
        <v>102</v>
      </c>
      <c r="F13" s="55">
        <v>650</v>
      </c>
      <c r="G13" s="231">
        <f>TabEmpleados[[#This Row],[SD Real]]*15</f>
        <v>9750</v>
      </c>
      <c r="H13" s="55">
        <f>TabEmpleados[[#This Row],[SD Real]]-(TabEmpleados[[#This Row],[SD Real]]/10*7)</f>
        <v>195</v>
      </c>
      <c r="K13" s="1">
        <f>TabEmpleados[[#This Row],[Fecha de ingreso]]</f>
        <v>44509</v>
      </c>
      <c r="L13" t="s">
        <v>416</v>
      </c>
    </row>
    <row r="14" spans="1:16" x14ac:dyDescent="0.25">
      <c r="A14">
        <v>13</v>
      </c>
      <c r="B14" t="s">
        <v>13</v>
      </c>
      <c r="C14" t="s">
        <v>88</v>
      </c>
      <c r="D14" s="1">
        <v>44509</v>
      </c>
      <c r="E14" t="s">
        <v>102</v>
      </c>
      <c r="F14" s="55">
        <v>600</v>
      </c>
      <c r="G14" s="231">
        <f>TabEmpleados[[#This Row],[SD Real]]*15</f>
        <v>9000</v>
      </c>
      <c r="H14" s="55">
        <f>TabEmpleados[[#This Row],[SD Real]]-(TabEmpleados[[#This Row],[SD Real]]/10*7)</f>
        <v>180</v>
      </c>
      <c r="K14" s="1">
        <f>TabEmpleados[[#This Row],[Fecha de ingreso]]</f>
        <v>44509</v>
      </c>
      <c r="L14" t="s">
        <v>416</v>
      </c>
    </row>
    <row r="15" spans="1:16" x14ac:dyDescent="0.25">
      <c r="A15">
        <v>14</v>
      </c>
      <c r="B15" t="s">
        <v>14</v>
      </c>
      <c r="C15" t="s">
        <v>89</v>
      </c>
      <c r="D15" s="1">
        <v>44509</v>
      </c>
      <c r="E15" t="s">
        <v>102</v>
      </c>
      <c r="F15" s="55">
        <v>300</v>
      </c>
      <c r="G15" s="231">
        <f>TabEmpleados[[#This Row],[SD Real]]*15</f>
        <v>4500</v>
      </c>
      <c r="H15" s="55">
        <f>TabEmpleados[[#This Row],[SD Real]]-(TabEmpleados[[#This Row],[SD Real]]/10*7)</f>
        <v>90</v>
      </c>
      <c r="K15" s="1">
        <f>TabEmpleados[[#This Row],[Fecha de ingreso]]</f>
        <v>44509</v>
      </c>
      <c r="L15" t="s">
        <v>416</v>
      </c>
    </row>
    <row r="16" spans="1:16" x14ac:dyDescent="0.25">
      <c r="A16">
        <v>15</v>
      </c>
      <c r="B16" t="s">
        <v>15</v>
      </c>
      <c r="C16" t="s">
        <v>90</v>
      </c>
      <c r="D16" s="1">
        <v>44509</v>
      </c>
      <c r="E16" t="s">
        <v>102</v>
      </c>
      <c r="F16" s="55">
        <v>380</v>
      </c>
      <c r="G16" s="231">
        <f>TabEmpleados[[#This Row],[SD Real]]*15</f>
        <v>5700</v>
      </c>
      <c r="H16" s="55">
        <f>TabEmpleados[[#This Row],[SD Real]]-(TabEmpleados[[#This Row],[SD Real]]/10*7)</f>
        <v>114</v>
      </c>
      <c r="K16" s="1">
        <f>TabEmpleados[[#This Row],[Fecha de ingreso]]</f>
        <v>44509</v>
      </c>
      <c r="L16" t="s">
        <v>415</v>
      </c>
    </row>
    <row r="17" spans="1:12" x14ac:dyDescent="0.25">
      <c r="A17">
        <v>16</v>
      </c>
      <c r="B17" t="s">
        <v>16</v>
      </c>
      <c r="C17" t="s">
        <v>89</v>
      </c>
      <c r="D17" s="1">
        <v>44509</v>
      </c>
      <c r="E17" t="s">
        <v>102</v>
      </c>
      <c r="F17" s="55">
        <v>350</v>
      </c>
      <c r="G17" s="231">
        <f>TabEmpleados[[#This Row],[SD Real]]*15</f>
        <v>5250</v>
      </c>
      <c r="H17" s="55">
        <f>TabEmpleados[[#This Row],[SD Real]]-(TabEmpleados[[#This Row],[SD Real]]/10*7)</f>
        <v>105</v>
      </c>
      <c r="K17" s="1">
        <f>TabEmpleados[[#This Row],[Fecha de ingreso]]</f>
        <v>44509</v>
      </c>
      <c r="L17" t="s">
        <v>416</v>
      </c>
    </row>
    <row r="18" spans="1:12" x14ac:dyDescent="0.25">
      <c r="A18">
        <v>17</v>
      </c>
      <c r="B18" t="s">
        <v>17</v>
      </c>
      <c r="C18" t="s">
        <v>298</v>
      </c>
      <c r="D18" s="1">
        <v>41198</v>
      </c>
      <c r="E18" t="s">
        <v>102</v>
      </c>
      <c r="F18" s="55">
        <v>400</v>
      </c>
      <c r="G18" s="231">
        <f>TabEmpleados[[#This Row],[SD Real]]*15</f>
        <v>6000</v>
      </c>
      <c r="H18" s="55">
        <v>173</v>
      </c>
      <c r="K18" s="1">
        <f>TabEmpleados[[#This Row],[Fecha de ingreso]]</f>
        <v>41198</v>
      </c>
      <c r="L18" t="s">
        <v>416</v>
      </c>
    </row>
    <row r="19" spans="1:12" x14ac:dyDescent="0.25">
      <c r="A19">
        <v>18</v>
      </c>
      <c r="B19" t="s">
        <v>18</v>
      </c>
      <c r="C19" t="s">
        <v>294</v>
      </c>
      <c r="D19" s="1">
        <v>44509</v>
      </c>
      <c r="E19" t="s">
        <v>102</v>
      </c>
      <c r="F19" s="55">
        <v>350</v>
      </c>
      <c r="G19" s="231">
        <f>TabEmpleados[[#This Row],[SD Real]]*15</f>
        <v>5250</v>
      </c>
      <c r="H19" s="55">
        <f>TabEmpleados[[#This Row],[SD Real]]-(TabEmpleados[[#This Row],[SD Real]]/10*7)</f>
        <v>105</v>
      </c>
      <c r="K19" s="1">
        <f>TabEmpleados[[#This Row],[Fecha de ingreso]]</f>
        <v>44509</v>
      </c>
      <c r="L19" t="s">
        <v>416</v>
      </c>
    </row>
    <row r="20" spans="1:12" x14ac:dyDescent="0.25">
      <c r="A20">
        <v>19</v>
      </c>
      <c r="B20" t="s">
        <v>19</v>
      </c>
      <c r="C20" t="s">
        <v>293</v>
      </c>
      <c r="D20" s="1">
        <v>44509</v>
      </c>
      <c r="E20" t="s">
        <v>102</v>
      </c>
      <c r="F20" s="55">
        <v>450</v>
      </c>
      <c r="G20" s="231">
        <f>TabEmpleados[[#This Row],[SD Real]]*15</f>
        <v>6750</v>
      </c>
      <c r="H20" s="55">
        <f>TabEmpleados[[#This Row],[SD Real]]-(TabEmpleados[[#This Row],[SD Real]]/10*7)</f>
        <v>135</v>
      </c>
      <c r="K20" s="1">
        <f>TabEmpleados[[#This Row],[Fecha de ingreso]]</f>
        <v>44509</v>
      </c>
      <c r="L20" t="s">
        <v>416</v>
      </c>
    </row>
    <row r="21" spans="1:12" x14ac:dyDescent="0.25">
      <c r="A21">
        <v>20</v>
      </c>
      <c r="B21" t="s">
        <v>20</v>
      </c>
      <c r="C21" t="s">
        <v>91</v>
      </c>
      <c r="D21" s="1">
        <v>44509</v>
      </c>
      <c r="E21" t="s">
        <v>102</v>
      </c>
      <c r="F21" s="55">
        <v>400</v>
      </c>
      <c r="G21" s="231">
        <f>TabEmpleados[[#This Row],[SD Real]]*15</f>
        <v>6000</v>
      </c>
      <c r="H21" s="55">
        <f>TabEmpleados[[#This Row],[SD Real]]-(TabEmpleados[[#This Row],[SD Real]]/10*7)</f>
        <v>120</v>
      </c>
      <c r="K21" s="1">
        <f>TabEmpleados[[#This Row],[Fecha de ingreso]]</f>
        <v>44509</v>
      </c>
      <c r="L21" t="s">
        <v>416</v>
      </c>
    </row>
    <row r="22" spans="1:12" x14ac:dyDescent="0.25">
      <c r="A22">
        <v>21</v>
      </c>
      <c r="B22" t="s">
        <v>21</v>
      </c>
      <c r="C22" t="s">
        <v>89</v>
      </c>
      <c r="D22" s="1">
        <v>44509</v>
      </c>
      <c r="E22" t="s">
        <v>102</v>
      </c>
      <c r="F22" s="55">
        <v>280</v>
      </c>
      <c r="G22" s="231">
        <f>TabEmpleados[[#This Row],[SD Real]]*15</f>
        <v>4200</v>
      </c>
      <c r="H22" s="55">
        <f>TabEmpleados[[#This Row],[SD Real]]-(TabEmpleados[[#This Row],[SD Real]]/10*7)</f>
        <v>84</v>
      </c>
      <c r="K22" s="1">
        <f>TabEmpleados[[#This Row],[Fecha de ingreso]]</f>
        <v>44509</v>
      </c>
      <c r="L22" t="s">
        <v>416</v>
      </c>
    </row>
    <row r="23" spans="1:12" x14ac:dyDescent="0.25">
      <c r="A23">
        <v>22</v>
      </c>
      <c r="B23" t="s">
        <v>22</v>
      </c>
      <c r="C23" t="s">
        <v>90</v>
      </c>
      <c r="D23" s="1">
        <v>44509</v>
      </c>
      <c r="E23" t="s">
        <v>102</v>
      </c>
      <c r="F23" s="55">
        <v>280</v>
      </c>
      <c r="G23" s="231">
        <f>TabEmpleados[[#This Row],[SD Real]]*15</f>
        <v>4200</v>
      </c>
      <c r="H23" s="55">
        <f>TabEmpleados[[#This Row],[SD Real]]-(TabEmpleados[[#This Row],[SD Real]]/10*7)</f>
        <v>84</v>
      </c>
      <c r="K23" s="1">
        <f>TabEmpleados[[#This Row],[Fecha de ingreso]]</f>
        <v>44509</v>
      </c>
      <c r="L23" t="s">
        <v>416</v>
      </c>
    </row>
    <row r="24" spans="1:12" x14ac:dyDescent="0.25">
      <c r="A24">
        <v>23</v>
      </c>
      <c r="B24" t="s">
        <v>23</v>
      </c>
      <c r="C24" t="s">
        <v>295</v>
      </c>
      <c r="D24" s="1">
        <v>44509</v>
      </c>
      <c r="E24" t="s">
        <v>102</v>
      </c>
      <c r="F24" s="55">
        <v>350</v>
      </c>
      <c r="G24" s="231">
        <f>TabEmpleados[[#This Row],[SD Real]]*15</f>
        <v>5250</v>
      </c>
      <c r="H24" s="55">
        <f>TabEmpleados[[#This Row],[SD Real]]-(TabEmpleados[[#This Row],[SD Real]]/10*7)</f>
        <v>105</v>
      </c>
      <c r="K24" s="1">
        <f>TabEmpleados[[#This Row],[Fecha de ingreso]]</f>
        <v>44509</v>
      </c>
      <c r="L24" t="s">
        <v>416</v>
      </c>
    </row>
    <row r="25" spans="1:12" x14ac:dyDescent="0.25">
      <c r="A25">
        <v>24</v>
      </c>
      <c r="B25" t="s">
        <v>24</v>
      </c>
      <c r="C25" t="s">
        <v>293</v>
      </c>
      <c r="D25" s="1">
        <v>44509</v>
      </c>
      <c r="E25" t="s">
        <v>102</v>
      </c>
      <c r="F25" s="55">
        <v>300</v>
      </c>
      <c r="G25" s="231">
        <f>TabEmpleados[[#This Row],[SD Real]]*15</f>
        <v>4500</v>
      </c>
      <c r="H25" s="55">
        <v>0</v>
      </c>
      <c r="K25" s="1">
        <f>TabEmpleados[[#This Row],[Fecha de ingreso]]</f>
        <v>44509</v>
      </c>
      <c r="L25" t="s">
        <v>422</v>
      </c>
    </row>
    <row r="26" spans="1:12" x14ac:dyDescent="0.25">
      <c r="A26">
        <v>25</v>
      </c>
      <c r="B26" t="s">
        <v>25</v>
      </c>
      <c r="C26" t="s">
        <v>293</v>
      </c>
      <c r="D26" s="1">
        <v>44509</v>
      </c>
      <c r="E26" t="s">
        <v>102</v>
      </c>
      <c r="F26" s="55">
        <v>350</v>
      </c>
      <c r="G26" s="231">
        <f>TabEmpleados[[#This Row],[SD Real]]*15</f>
        <v>5250</v>
      </c>
      <c r="H26" s="55">
        <f>TabEmpleados[[#This Row],[SD Real]]-(TabEmpleados[[#This Row],[SD Real]]/10*7)</f>
        <v>105</v>
      </c>
      <c r="K26" s="1">
        <f>TabEmpleados[[#This Row],[Fecha de ingreso]]</f>
        <v>44509</v>
      </c>
      <c r="L26" t="s">
        <v>416</v>
      </c>
    </row>
    <row r="27" spans="1:12" x14ac:dyDescent="0.25">
      <c r="A27">
        <v>26</v>
      </c>
      <c r="B27" t="s">
        <v>26</v>
      </c>
      <c r="C27" t="s">
        <v>293</v>
      </c>
      <c r="D27" s="1">
        <v>44509</v>
      </c>
      <c r="E27" t="s">
        <v>102</v>
      </c>
      <c r="F27" s="55">
        <v>350</v>
      </c>
      <c r="G27" s="231">
        <f>TabEmpleados[[#This Row],[SD Real]]*15</f>
        <v>5250</v>
      </c>
      <c r="H27" s="55">
        <f>TabEmpleados[[#This Row],[SD Real]]-(TabEmpleados[[#This Row],[SD Real]]/10*7)</f>
        <v>105</v>
      </c>
      <c r="K27" s="1">
        <f>TabEmpleados[[#This Row],[Fecha de ingreso]]</f>
        <v>44509</v>
      </c>
      <c r="L27" t="s">
        <v>416</v>
      </c>
    </row>
    <row r="28" spans="1:12" x14ac:dyDescent="0.25">
      <c r="A28">
        <v>27</v>
      </c>
      <c r="B28" t="s">
        <v>27</v>
      </c>
      <c r="C28" t="s">
        <v>293</v>
      </c>
      <c r="D28" s="1">
        <v>44509</v>
      </c>
      <c r="E28" t="s">
        <v>102</v>
      </c>
      <c r="F28" s="55">
        <v>300</v>
      </c>
      <c r="G28" s="231">
        <f>TabEmpleados[[#This Row],[SD Real]]*15</f>
        <v>4500</v>
      </c>
      <c r="H28" s="55">
        <f>TabEmpleados[[#This Row],[SD Real]]-(TabEmpleados[[#This Row],[SD Real]]/10*7)</f>
        <v>90</v>
      </c>
      <c r="K28" s="1">
        <f>TabEmpleados[[#This Row],[Fecha de ingreso]]</f>
        <v>44509</v>
      </c>
      <c r="L28" t="s">
        <v>416</v>
      </c>
    </row>
    <row r="29" spans="1:12" x14ac:dyDescent="0.25">
      <c r="A29">
        <v>28</v>
      </c>
      <c r="B29" t="s">
        <v>28</v>
      </c>
      <c r="C29" t="s">
        <v>293</v>
      </c>
      <c r="D29" s="1">
        <v>44509</v>
      </c>
      <c r="E29" t="s">
        <v>102</v>
      </c>
      <c r="F29" s="55">
        <v>300</v>
      </c>
      <c r="G29" s="231">
        <f>TabEmpleados[[#This Row],[SD Real]]*15</f>
        <v>4500</v>
      </c>
      <c r="H29" s="55">
        <f>TabEmpleados[[#This Row],[SD Real]]-(TabEmpleados[[#This Row],[SD Real]]/10*7)</f>
        <v>90</v>
      </c>
      <c r="K29" s="1">
        <f>TabEmpleados[[#This Row],[Fecha de ingreso]]</f>
        <v>44509</v>
      </c>
      <c r="L29" t="s">
        <v>416</v>
      </c>
    </row>
    <row r="30" spans="1:12" x14ac:dyDescent="0.25">
      <c r="A30">
        <v>29</v>
      </c>
      <c r="B30" t="s">
        <v>29</v>
      </c>
      <c r="C30" t="s">
        <v>293</v>
      </c>
      <c r="D30" s="1">
        <v>44509</v>
      </c>
      <c r="E30" t="s">
        <v>102</v>
      </c>
      <c r="F30" s="55">
        <v>320</v>
      </c>
      <c r="G30" s="231">
        <f>TabEmpleados[[#This Row],[SD Real]]*15</f>
        <v>4800</v>
      </c>
      <c r="H30" s="55">
        <f>TabEmpleados[[#This Row],[SD Real]]-(TabEmpleados[[#This Row],[SD Real]]/10*7)</f>
        <v>96</v>
      </c>
      <c r="K30" s="1">
        <f>TabEmpleados[[#This Row],[Fecha de ingreso]]</f>
        <v>44509</v>
      </c>
      <c r="L30" t="s">
        <v>416</v>
      </c>
    </row>
    <row r="31" spans="1:12" x14ac:dyDescent="0.25">
      <c r="A31">
        <v>30</v>
      </c>
      <c r="B31" t="s">
        <v>30</v>
      </c>
      <c r="C31" t="s">
        <v>293</v>
      </c>
      <c r="D31" s="1">
        <v>44509</v>
      </c>
      <c r="E31" t="s">
        <v>102</v>
      </c>
      <c r="F31" s="55">
        <v>300</v>
      </c>
      <c r="G31" s="231">
        <f>TabEmpleados[[#This Row],[SD Real]]*15</f>
        <v>4500</v>
      </c>
      <c r="H31" s="55">
        <f>TabEmpleados[[#This Row],[SD Real]]-(TabEmpleados[[#This Row],[SD Real]]/10*7)</f>
        <v>90</v>
      </c>
      <c r="K31" s="1">
        <f>TabEmpleados[[#This Row],[Fecha de ingreso]]</f>
        <v>44509</v>
      </c>
      <c r="L31" t="s">
        <v>416</v>
      </c>
    </row>
    <row r="32" spans="1:12" x14ac:dyDescent="0.25">
      <c r="A32">
        <v>31</v>
      </c>
      <c r="B32" t="s">
        <v>31</v>
      </c>
      <c r="C32" t="s">
        <v>293</v>
      </c>
      <c r="D32" s="1">
        <v>39037</v>
      </c>
      <c r="E32" t="s">
        <v>102</v>
      </c>
      <c r="F32" s="55">
        <v>300</v>
      </c>
      <c r="G32" s="231">
        <f>TabEmpleados[[#This Row],[SD Real]]*15</f>
        <v>4500</v>
      </c>
      <c r="H32" s="55">
        <v>173</v>
      </c>
      <c r="K32" s="1">
        <f>TabEmpleados[[#This Row],[Fecha de ingreso]]</f>
        <v>39037</v>
      </c>
      <c r="L32" t="s">
        <v>416</v>
      </c>
    </row>
    <row r="33" spans="1:12" x14ac:dyDescent="0.25">
      <c r="A33">
        <v>32</v>
      </c>
      <c r="B33" t="s">
        <v>32</v>
      </c>
      <c r="C33" t="s">
        <v>295</v>
      </c>
      <c r="D33" s="1">
        <v>44509</v>
      </c>
      <c r="E33" t="s">
        <v>102</v>
      </c>
      <c r="F33" s="55">
        <v>280</v>
      </c>
      <c r="G33" s="231">
        <f>TabEmpleados[[#This Row],[SD Real]]*15</f>
        <v>4200</v>
      </c>
      <c r="H33" s="55">
        <f>TabEmpleados[[#This Row],[SD Real]]-(TabEmpleados[[#This Row],[SD Real]]/10*7)</f>
        <v>84</v>
      </c>
      <c r="K33" s="1">
        <f>TabEmpleados[[#This Row],[Fecha de ingreso]]</f>
        <v>44509</v>
      </c>
      <c r="L33" t="s">
        <v>416</v>
      </c>
    </row>
    <row r="34" spans="1:12" x14ac:dyDescent="0.25">
      <c r="A34">
        <v>33</v>
      </c>
      <c r="B34" t="s">
        <v>33</v>
      </c>
      <c r="C34" t="s">
        <v>293</v>
      </c>
      <c r="D34" s="1">
        <v>44509</v>
      </c>
      <c r="E34" t="s">
        <v>102</v>
      </c>
      <c r="F34" s="55">
        <v>280</v>
      </c>
      <c r="G34" s="231">
        <f>TabEmpleados[[#This Row],[SD Real]]*15</f>
        <v>4200</v>
      </c>
      <c r="H34" s="55">
        <f>TabEmpleados[[#This Row],[SD Real]]-(TabEmpleados[[#This Row],[SD Real]]/10*7)</f>
        <v>84</v>
      </c>
      <c r="K34" s="1">
        <f>TabEmpleados[[#This Row],[Fecha de ingreso]]</f>
        <v>44509</v>
      </c>
      <c r="L34" t="s">
        <v>416</v>
      </c>
    </row>
    <row r="35" spans="1:12" x14ac:dyDescent="0.25">
      <c r="A35">
        <v>34</v>
      </c>
      <c r="B35" t="s">
        <v>34</v>
      </c>
      <c r="C35" t="s">
        <v>293</v>
      </c>
      <c r="D35" s="1">
        <v>44509</v>
      </c>
      <c r="E35" t="s">
        <v>102</v>
      </c>
      <c r="F35" s="55">
        <v>250</v>
      </c>
      <c r="G35" s="231">
        <f>TabEmpleados[[#This Row],[SD Real]]*15</f>
        <v>3750</v>
      </c>
      <c r="H35" s="55">
        <f>TabEmpleados[[#This Row],[SD Real]]-(TabEmpleados[[#This Row],[SD Real]]/10*7)</f>
        <v>75</v>
      </c>
      <c r="K35" s="1">
        <f>TabEmpleados[[#This Row],[Fecha de ingreso]]</f>
        <v>44509</v>
      </c>
      <c r="L35" t="s">
        <v>415</v>
      </c>
    </row>
    <row r="36" spans="1:12" x14ac:dyDescent="0.25">
      <c r="A36">
        <v>35</v>
      </c>
      <c r="B36" t="s">
        <v>35</v>
      </c>
      <c r="C36" t="s">
        <v>293</v>
      </c>
      <c r="D36" s="1">
        <v>44509</v>
      </c>
      <c r="E36" t="s">
        <v>102</v>
      </c>
      <c r="F36" s="55">
        <v>280</v>
      </c>
      <c r="G36" s="231">
        <f>TabEmpleados[[#This Row],[SD Real]]*15</f>
        <v>4200</v>
      </c>
      <c r="H36" s="55">
        <f>TabEmpleados[[#This Row],[SD Real]]-(TabEmpleados[[#This Row],[SD Real]]/10*7)</f>
        <v>84</v>
      </c>
      <c r="K36" s="1">
        <f>TabEmpleados[[#This Row],[Fecha de ingreso]]</f>
        <v>44509</v>
      </c>
      <c r="L36" t="s">
        <v>416</v>
      </c>
    </row>
    <row r="37" spans="1:12" x14ac:dyDescent="0.25">
      <c r="A37">
        <v>36</v>
      </c>
      <c r="B37" t="s">
        <v>36</v>
      </c>
      <c r="C37" t="s">
        <v>294</v>
      </c>
      <c r="D37" s="1">
        <v>44509</v>
      </c>
      <c r="E37" t="s">
        <v>102</v>
      </c>
      <c r="F37" s="55">
        <v>250</v>
      </c>
      <c r="G37" s="231">
        <f>TabEmpleados[[#This Row],[SD Real]]*15</f>
        <v>3750</v>
      </c>
      <c r="H37" s="55">
        <f>TabEmpleados[[#This Row],[SD Real]]-(TabEmpleados[[#This Row],[SD Real]]/10*7)</f>
        <v>75</v>
      </c>
      <c r="K37" s="1">
        <f>TabEmpleados[[#This Row],[Fecha de ingreso]]</f>
        <v>44509</v>
      </c>
      <c r="L37" t="s">
        <v>416</v>
      </c>
    </row>
    <row r="38" spans="1:12" x14ac:dyDescent="0.25">
      <c r="A38">
        <v>37</v>
      </c>
      <c r="B38" t="s">
        <v>37</v>
      </c>
      <c r="C38" t="s">
        <v>293</v>
      </c>
      <c r="D38" s="1">
        <v>44509</v>
      </c>
      <c r="E38" t="s">
        <v>102</v>
      </c>
      <c r="F38" s="55">
        <v>250</v>
      </c>
      <c r="G38" s="231">
        <f>TabEmpleados[[#This Row],[SD Real]]*15</f>
        <v>3750</v>
      </c>
      <c r="H38" s="55">
        <f>TabEmpleados[[#This Row],[SD Real]]-(TabEmpleados[[#This Row],[SD Real]]/10*7)</f>
        <v>75</v>
      </c>
      <c r="K38" s="1">
        <f>TabEmpleados[[#This Row],[Fecha de ingreso]]</f>
        <v>44509</v>
      </c>
      <c r="L38" t="s">
        <v>416</v>
      </c>
    </row>
    <row r="39" spans="1:12" x14ac:dyDescent="0.25">
      <c r="A39">
        <v>38</v>
      </c>
      <c r="B39" t="s">
        <v>38</v>
      </c>
      <c r="C39" t="s">
        <v>293</v>
      </c>
      <c r="D39" s="1">
        <v>44509</v>
      </c>
      <c r="E39" t="s">
        <v>102</v>
      </c>
      <c r="F39" s="55">
        <v>300</v>
      </c>
      <c r="G39" s="231">
        <f>TabEmpleados[[#This Row],[SD Real]]*15</f>
        <v>4500</v>
      </c>
      <c r="H39" s="55">
        <f>TabEmpleados[[#This Row],[SD Real]]-(TabEmpleados[[#This Row],[SD Real]]/10*7)</f>
        <v>90</v>
      </c>
      <c r="K39" s="1">
        <f>TabEmpleados[[#This Row],[Fecha de ingreso]]</f>
        <v>44509</v>
      </c>
      <c r="L39" t="s">
        <v>416</v>
      </c>
    </row>
    <row r="40" spans="1:12" x14ac:dyDescent="0.25">
      <c r="A40">
        <v>39</v>
      </c>
      <c r="B40" t="s">
        <v>39</v>
      </c>
      <c r="C40" t="s">
        <v>294</v>
      </c>
      <c r="D40" s="1">
        <v>44509</v>
      </c>
      <c r="E40" t="s">
        <v>102</v>
      </c>
      <c r="F40" s="55">
        <v>250</v>
      </c>
      <c r="G40" s="231">
        <f>TabEmpleados[[#This Row],[SD Real]]*15</f>
        <v>3750</v>
      </c>
      <c r="H40" s="55">
        <f>TabEmpleados[[#This Row],[SD Real]]-(TabEmpleados[[#This Row],[SD Real]]/10*7)</f>
        <v>75</v>
      </c>
      <c r="K40" s="1">
        <f>TabEmpleados[[#This Row],[Fecha de ingreso]]</f>
        <v>44509</v>
      </c>
      <c r="L40" t="s">
        <v>416</v>
      </c>
    </row>
    <row r="41" spans="1:12" x14ac:dyDescent="0.25">
      <c r="A41">
        <v>40</v>
      </c>
      <c r="B41" t="s">
        <v>40</v>
      </c>
      <c r="C41" t="s">
        <v>89</v>
      </c>
      <c r="D41" s="1">
        <v>44509</v>
      </c>
      <c r="E41" t="s">
        <v>102</v>
      </c>
      <c r="F41" s="55">
        <v>250</v>
      </c>
      <c r="G41" s="231">
        <f>TabEmpleados[[#This Row],[SD Real]]*15</f>
        <v>3750</v>
      </c>
      <c r="H41" s="55">
        <f>TabEmpleados[[#This Row],[SD Real]]-(TabEmpleados[[#This Row],[SD Real]]/10*7)</f>
        <v>75</v>
      </c>
      <c r="K41" s="1">
        <f>TabEmpleados[[#This Row],[Fecha de ingreso]]</f>
        <v>44509</v>
      </c>
      <c r="L41" t="s">
        <v>416</v>
      </c>
    </row>
    <row r="42" spans="1:12" x14ac:dyDescent="0.25">
      <c r="A42">
        <v>41</v>
      </c>
      <c r="B42" t="s">
        <v>41</v>
      </c>
      <c r="C42" t="s">
        <v>92</v>
      </c>
      <c r="D42" s="1">
        <v>44509</v>
      </c>
      <c r="E42" t="s">
        <v>102</v>
      </c>
      <c r="F42" s="55">
        <v>350</v>
      </c>
      <c r="G42" s="231">
        <f>TabEmpleados[[#This Row],[SD Real]]*15</f>
        <v>5250</v>
      </c>
      <c r="H42" s="55">
        <f>TabEmpleados[[#This Row],[SD Real]]-(TabEmpleados[[#This Row],[SD Real]]/10*7)</f>
        <v>105</v>
      </c>
      <c r="K42" s="1">
        <f>TabEmpleados[[#This Row],[Fecha de ingreso]]</f>
        <v>44509</v>
      </c>
      <c r="L42" t="s">
        <v>416</v>
      </c>
    </row>
    <row r="43" spans="1:12" x14ac:dyDescent="0.25">
      <c r="A43">
        <v>42</v>
      </c>
      <c r="B43" t="s">
        <v>42</v>
      </c>
      <c r="C43" t="s">
        <v>93</v>
      </c>
      <c r="D43" s="1">
        <v>40452</v>
      </c>
      <c r="E43" t="s">
        <v>102</v>
      </c>
      <c r="F43" s="55">
        <v>400</v>
      </c>
      <c r="G43" s="231">
        <f>TabEmpleados[[#This Row],[SD Real]]*15</f>
        <v>6000</v>
      </c>
      <c r="H43" s="55">
        <v>185</v>
      </c>
      <c r="K43" s="1">
        <f>TabEmpleados[[#This Row],[Fecha de ingreso]]</f>
        <v>40452</v>
      </c>
      <c r="L43" t="s">
        <v>416</v>
      </c>
    </row>
    <row r="44" spans="1:12" x14ac:dyDescent="0.25">
      <c r="A44">
        <v>43</v>
      </c>
      <c r="B44" t="s">
        <v>43</v>
      </c>
      <c r="C44" t="s">
        <v>296</v>
      </c>
      <c r="D44" s="1">
        <v>44509</v>
      </c>
      <c r="E44" t="s">
        <v>102</v>
      </c>
      <c r="F44" s="55">
        <v>450</v>
      </c>
      <c r="G44" s="231">
        <f>TabEmpleados[[#This Row],[SD Real]]*15</f>
        <v>6750</v>
      </c>
      <c r="H44" s="55">
        <f>TabEmpleados[[#This Row],[SD Real]]-(TabEmpleados[[#This Row],[SD Real]]/10*7)</f>
        <v>135</v>
      </c>
      <c r="K44" s="1">
        <f>TabEmpleados[[#This Row],[Fecha de ingreso]]</f>
        <v>44509</v>
      </c>
      <c r="L44" t="s">
        <v>416</v>
      </c>
    </row>
    <row r="45" spans="1:12" x14ac:dyDescent="0.25">
      <c r="A45">
        <v>44</v>
      </c>
      <c r="B45" t="s">
        <v>44</v>
      </c>
      <c r="C45" t="s">
        <v>292</v>
      </c>
      <c r="D45" s="1">
        <v>44509</v>
      </c>
      <c r="E45" t="s">
        <v>102</v>
      </c>
      <c r="F45" s="55">
        <v>350</v>
      </c>
      <c r="G45" s="231">
        <f>TabEmpleados[[#This Row],[SD Real]]*15</f>
        <v>5250</v>
      </c>
      <c r="H45" s="55">
        <f>TabEmpleados[[#This Row],[SD Real]]-(TabEmpleados[[#This Row],[SD Real]]/10*7)</f>
        <v>105</v>
      </c>
      <c r="K45" s="1">
        <f>TabEmpleados[[#This Row],[Fecha de ingreso]]</f>
        <v>44509</v>
      </c>
      <c r="L45" t="s">
        <v>416</v>
      </c>
    </row>
    <row r="46" spans="1:12" x14ac:dyDescent="0.25">
      <c r="A46">
        <v>45</v>
      </c>
      <c r="B46" t="s">
        <v>45</v>
      </c>
      <c r="C46" t="s">
        <v>92</v>
      </c>
      <c r="D46" s="1">
        <v>42339</v>
      </c>
      <c r="E46" t="s">
        <v>102</v>
      </c>
      <c r="F46" s="55">
        <v>350</v>
      </c>
      <c r="G46" s="231">
        <f>TabEmpleados[[#This Row],[SD Real]]*15</f>
        <v>5250</v>
      </c>
      <c r="H46" s="55">
        <v>188</v>
      </c>
      <c r="K46" s="1">
        <f>TabEmpleados[[#This Row],[Fecha de ingreso]]</f>
        <v>42339</v>
      </c>
      <c r="L46" t="s">
        <v>416</v>
      </c>
    </row>
    <row r="47" spans="1:12" x14ac:dyDescent="0.25">
      <c r="A47">
        <v>46</v>
      </c>
      <c r="B47" t="s">
        <v>46</v>
      </c>
      <c r="C47" t="s">
        <v>292</v>
      </c>
      <c r="D47" s="1">
        <v>44509</v>
      </c>
      <c r="E47" t="s">
        <v>102</v>
      </c>
      <c r="F47" s="55">
        <v>300</v>
      </c>
      <c r="G47" s="231">
        <f>TabEmpleados[[#This Row],[SD Real]]*15</f>
        <v>4500</v>
      </c>
      <c r="H47" s="55">
        <f>TabEmpleados[[#This Row],[SD Real]]-(TabEmpleados[[#This Row],[SD Real]]/10*7)</f>
        <v>90</v>
      </c>
      <c r="K47" s="1">
        <f>TabEmpleados[[#This Row],[Fecha de ingreso]]</f>
        <v>44509</v>
      </c>
      <c r="L47" t="s">
        <v>416</v>
      </c>
    </row>
    <row r="48" spans="1:12" x14ac:dyDescent="0.25">
      <c r="A48">
        <v>47</v>
      </c>
      <c r="B48" t="s">
        <v>47</v>
      </c>
      <c r="C48" t="s">
        <v>292</v>
      </c>
      <c r="D48" s="1">
        <v>44509</v>
      </c>
      <c r="E48" t="s">
        <v>102</v>
      </c>
      <c r="F48" s="55">
        <v>300</v>
      </c>
      <c r="G48" s="231">
        <f>TabEmpleados[[#This Row],[SD Real]]*15</f>
        <v>4500</v>
      </c>
      <c r="H48" s="55">
        <f>TabEmpleados[[#This Row],[SD Real]]-(TabEmpleados[[#This Row],[SD Real]]/10*7)</f>
        <v>90</v>
      </c>
      <c r="K48" s="1">
        <f>TabEmpleados[[#This Row],[Fecha de ingreso]]</f>
        <v>44509</v>
      </c>
      <c r="L48" t="s">
        <v>416</v>
      </c>
    </row>
    <row r="49" spans="1:12" x14ac:dyDescent="0.25">
      <c r="A49">
        <v>48</v>
      </c>
      <c r="B49" t="s">
        <v>48</v>
      </c>
      <c r="C49" t="s">
        <v>301</v>
      </c>
      <c r="D49" s="1">
        <v>44509</v>
      </c>
      <c r="E49" t="s">
        <v>102</v>
      </c>
      <c r="F49" s="55">
        <v>200</v>
      </c>
      <c r="G49" s="231">
        <f>TabEmpleados[[#This Row],[SD Real]]*15</f>
        <v>3000</v>
      </c>
      <c r="H49" s="55">
        <f>TabEmpleados[[#This Row],[SD Real]]-(TabEmpleados[[#This Row],[SD Real]]/10*7)</f>
        <v>60</v>
      </c>
      <c r="K49" s="1">
        <f>TabEmpleados[[#This Row],[Fecha de ingreso]]</f>
        <v>44509</v>
      </c>
      <c r="L49" t="s">
        <v>416</v>
      </c>
    </row>
    <row r="50" spans="1:12" x14ac:dyDescent="0.25">
      <c r="A50">
        <v>49</v>
      </c>
      <c r="B50" t="s">
        <v>49</v>
      </c>
      <c r="C50" t="s">
        <v>301</v>
      </c>
      <c r="D50" s="1">
        <v>44509</v>
      </c>
      <c r="E50" t="s">
        <v>102</v>
      </c>
      <c r="F50" s="55">
        <v>220</v>
      </c>
      <c r="G50" s="231">
        <f>TabEmpleados[[#This Row],[SD Real]]*15</f>
        <v>3300</v>
      </c>
      <c r="H50" s="55">
        <f>TabEmpleados[[#This Row],[SD Real]]-(TabEmpleados[[#This Row],[SD Real]]/10*7)</f>
        <v>66</v>
      </c>
      <c r="K50" s="1">
        <f>TabEmpleados[[#This Row],[Fecha de ingreso]]</f>
        <v>44509</v>
      </c>
      <c r="L50" t="s">
        <v>416</v>
      </c>
    </row>
    <row r="51" spans="1:12" x14ac:dyDescent="0.25">
      <c r="A51">
        <v>50</v>
      </c>
      <c r="B51" t="s">
        <v>50</v>
      </c>
      <c r="C51" t="s">
        <v>292</v>
      </c>
      <c r="D51" s="1">
        <v>44509</v>
      </c>
      <c r="E51" t="s">
        <v>102</v>
      </c>
      <c r="F51" s="55">
        <v>250</v>
      </c>
      <c r="G51" s="231">
        <f>TabEmpleados[[#This Row],[SD Real]]*15</f>
        <v>3750</v>
      </c>
      <c r="H51" s="55">
        <f>TabEmpleados[[#This Row],[SD Real]]-(TabEmpleados[[#This Row],[SD Real]]/10*7)</f>
        <v>75</v>
      </c>
      <c r="K51" s="1">
        <f>TabEmpleados[[#This Row],[Fecha de ingreso]]</f>
        <v>44509</v>
      </c>
      <c r="L51" t="s">
        <v>416</v>
      </c>
    </row>
    <row r="52" spans="1:12" x14ac:dyDescent="0.25">
      <c r="A52">
        <v>51</v>
      </c>
      <c r="B52" t="s">
        <v>51</v>
      </c>
      <c r="C52" t="s">
        <v>301</v>
      </c>
      <c r="D52" s="1">
        <v>44509</v>
      </c>
      <c r="E52" t="s">
        <v>102</v>
      </c>
      <c r="F52" s="55">
        <v>200</v>
      </c>
      <c r="G52" s="231">
        <f>TabEmpleados[[#This Row],[SD Real]]*15</f>
        <v>3000</v>
      </c>
      <c r="H52" s="55">
        <f>TabEmpleados[[#This Row],[SD Real]]-(TabEmpleados[[#This Row],[SD Real]]/10*7)</f>
        <v>60</v>
      </c>
      <c r="K52" s="1">
        <f>TabEmpleados[[#This Row],[Fecha de ingreso]]</f>
        <v>44509</v>
      </c>
      <c r="L52" t="s">
        <v>416</v>
      </c>
    </row>
    <row r="53" spans="1:12" x14ac:dyDescent="0.25">
      <c r="A53">
        <v>52</v>
      </c>
      <c r="B53" t="s">
        <v>52</v>
      </c>
      <c r="C53" t="s">
        <v>301</v>
      </c>
      <c r="D53" s="1">
        <v>44509</v>
      </c>
      <c r="E53" t="s">
        <v>102</v>
      </c>
      <c r="F53" s="55">
        <v>200</v>
      </c>
      <c r="G53" s="231">
        <f>TabEmpleados[[#This Row],[SD Real]]*15</f>
        <v>3000</v>
      </c>
      <c r="H53" s="55">
        <f>TabEmpleados[[#This Row],[SD Real]]-(TabEmpleados[[#This Row],[SD Real]]/10*7)</f>
        <v>60</v>
      </c>
      <c r="K53" s="1">
        <f>TabEmpleados[[#This Row],[Fecha de ingreso]]</f>
        <v>44509</v>
      </c>
      <c r="L53" t="s">
        <v>416</v>
      </c>
    </row>
    <row r="54" spans="1:12" x14ac:dyDescent="0.25">
      <c r="A54">
        <v>53</v>
      </c>
      <c r="B54" t="s">
        <v>53</v>
      </c>
      <c r="C54" t="s">
        <v>292</v>
      </c>
      <c r="D54" s="1">
        <v>44509</v>
      </c>
      <c r="E54" t="s">
        <v>102</v>
      </c>
      <c r="F54" s="55">
        <v>250</v>
      </c>
      <c r="G54" s="231">
        <f>TabEmpleados[[#This Row],[SD Real]]*15</f>
        <v>3750</v>
      </c>
      <c r="H54" s="55">
        <f>TabEmpleados[[#This Row],[SD Real]]-(TabEmpleados[[#This Row],[SD Real]]/10*7)</f>
        <v>75</v>
      </c>
      <c r="K54" s="1">
        <f>TabEmpleados[[#This Row],[Fecha de ingreso]]</f>
        <v>44509</v>
      </c>
      <c r="L54" t="s">
        <v>416</v>
      </c>
    </row>
    <row r="55" spans="1:12" x14ac:dyDescent="0.25">
      <c r="A55">
        <v>54</v>
      </c>
      <c r="B55" t="s">
        <v>54</v>
      </c>
      <c r="C55" t="s">
        <v>301</v>
      </c>
      <c r="D55" s="1">
        <v>44509</v>
      </c>
      <c r="E55" t="s">
        <v>102</v>
      </c>
      <c r="F55" s="55">
        <v>220</v>
      </c>
      <c r="G55" s="231">
        <f>TabEmpleados[[#This Row],[SD Real]]*15</f>
        <v>3300</v>
      </c>
      <c r="H55" s="55">
        <f>TabEmpleados[[#This Row],[SD Real]]-(TabEmpleados[[#This Row],[SD Real]]/10*7)</f>
        <v>66</v>
      </c>
      <c r="K55" s="1">
        <f>TabEmpleados[[#This Row],[Fecha de ingreso]]</f>
        <v>44509</v>
      </c>
      <c r="L55" t="s">
        <v>415</v>
      </c>
    </row>
    <row r="56" spans="1:12" x14ac:dyDescent="0.25">
      <c r="A56">
        <v>55</v>
      </c>
      <c r="B56" t="s">
        <v>55</v>
      </c>
      <c r="C56" t="s">
        <v>299</v>
      </c>
      <c r="D56" s="1">
        <v>44509</v>
      </c>
      <c r="E56" t="s">
        <v>102</v>
      </c>
      <c r="F56" s="55">
        <v>300</v>
      </c>
      <c r="G56" s="231">
        <f>TabEmpleados[[#This Row],[SD Real]]*15</f>
        <v>4500</v>
      </c>
      <c r="H56" s="55">
        <f>TabEmpleados[[#This Row],[SD Real]]-(TabEmpleados[[#This Row],[SD Real]]/10*7)</f>
        <v>90</v>
      </c>
      <c r="K56" s="1">
        <f>TabEmpleados[[#This Row],[Fecha de ingreso]]</f>
        <v>44509</v>
      </c>
      <c r="L56" t="s">
        <v>416</v>
      </c>
    </row>
    <row r="57" spans="1:12" x14ac:dyDescent="0.25">
      <c r="A57">
        <v>56</v>
      </c>
      <c r="B57" t="s">
        <v>56</v>
      </c>
      <c r="C57" t="s">
        <v>301</v>
      </c>
      <c r="D57" s="1">
        <v>44509</v>
      </c>
      <c r="E57" t="s">
        <v>102</v>
      </c>
      <c r="F57" s="55">
        <v>200</v>
      </c>
      <c r="G57" s="231">
        <f>TabEmpleados[[#This Row],[SD Real]]*15</f>
        <v>3000</v>
      </c>
      <c r="H57" s="55">
        <f>TabEmpleados[[#This Row],[SD Real]]-(TabEmpleados[[#This Row],[SD Real]]/10*7)</f>
        <v>60</v>
      </c>
      <c r="K57" s="1">
        <f>TabEmpleados[[#This Row],[Fecha de ingreso]]</f>
        <v>44509</v>
      </c>
      <c r="L57" t="s">
        <v>416</v>
      </c>
    </row>
    <row r="58" spans="1:12" x14ac:dyDescent="0.25">
      <c r="A58">
        <v>57</v>
      </c>
      <c r="B58" t="s">
        <v>57</v>
      </c>
      <c r="C58" t="s">
        <v>301</v>
      </c>
      <c r="D58" s="1">
        <v>44509</v>
      </c>
      <c r="E58" t="s">
        <v>102</v>
      </c>
      <c r="F58" s="55">
        <v>220</v>
      </c>
      <c r="G58" s="231">
        <f>TabEmpleados[[#This Row],[SD Real]]*15</f>
        <v>3300</v>
      </c>
      <c r="H58" s="55">
        <f>TabEmpleados[[#This Row],[SD Real]]-(TabEmpleados[[#This Row],[SD Real]]/10*7)</f>
        <v>66</v>
      </c>
      <c r="K58" s="1">
        <f>TabEmpleados[[#This Row],[Fecha de ingreso]]</f>
        <v>44509</v>
      </c>
      <c r="L58" t="s">
        <v>416</v>
      </c>
    </row>
    <row r="59" spans="1:12" x14ac:dyDescent="0.25">
      <c r="A59">
        <v>58</v>
      </c>
      <c r="B59" t="s">
        <v>58</v>
      </c>
      <c r="C59" t="s">
        <v>301</v>
      </c>
      <c r="D59" s="1">
        <v>44509</v>
      </c>
      <c r="E59" t="s">
        <v>102</v>
      </c>
      <c r="F59" s="55">
        <v>220</v>
      </c>
      <c r="G59" s="231">
        <f>TabEmpleados[[#This Row],[SD Real]]*15</f>
        <v>3300</v>
      </c>
      <c r="H59" s="55">
        <f>TabEmpleados[[#This Row],[SD Real]]-(TabEmpleados[[#This Row],[SD Real]]/10*7)</f>
        <v>66</v>
      </c>
      <c r="K59" s="1">
        <f>TabEmpleados[[#This Row],[Fecha de ingreso]]</f>
        <v>44509</v>
      </c>
      <c r="L59" t="s">
        <v>416</v>
      </c>
    </row>
    <row r="60" spans="1:12" x14ac:dyDescent="0.25">
      <c r="A60">
        <v>59</v>
      </c>
      <c r="B60" t="s">
        <v>59</v>
      </c>
      <c r="C60" t="s">
        <v>301</v>
      </c>
      <c r="D60" s="1">
        <v>44509</v>
      </c>
      <c r="E60" t="s">
        <v>102</v>
      </c>
      <c r="F60" s="55">
        <v>200</v>
      </c>
      <c r="G60" s="231">
        <f>TabEmpleados[[#This Row],[SD Real]]*15</f>
        <v>3000</v>
      </c>
      <c r="H60" s="55">
        <f>TabEmpleados[[#This Row],[SD Real]]-(TabEmpleados[[#This Row],[SD Real]]/10*7)</f>
        <v>60</v>
      </c>
      <c r="K60" s="1">
        <f>TabEmpleados[[#This Row],[Fecha de ingreso]]</f>
        <v>44509</v>
      </c>
      <c r="L60" t="s">
        <v>416</v>
      </c>
    </row>
    <row r="61" spans="1:12" x14ac:dyDescent="0.25">
      <c r="A61">
        <v>60</v>
      </c>
      <c r="B61" t="s">
        <v>60</v>
      </c>
      <c r="C61" t="s">
        <v>301</v>
      </c>
      <c r="D61" s="1">
        <v>44509</v>
      </c>
      <c r="E61" t="s">
        <v>102</v>
      </c>
      <c r="F61" s="55">
        <v>200</v>
      </c>
      <c r="G61" s="231">
        <f>TabEmpleados[[#This Row],[SD Real]]*15</f>
        <v>3000</v>
      </c>
      <c r="H61" s="55">
        <f>TabEmpleados[[#This Row],[SD Real]]-(TabEmpleados[[#This Row],[SD Real]]/10*7)</f>
        <v>60</v>
      </c>
      <c r="K61" s="1">
        <f>TabEmpleados[[#This Row],[Fecha de ingreso]]</f>
        <v>44509</v>
      </c>
      <c r="L61" t="s">
        <v>416</v>
      </c>
    </row>
    <row r="62" spans="1:12" x14ac:dyDescent="0.25">
      <c r="A62">
        <v>61</v>
      </c>
      <c r="B62" t="s">
        <v>61</v>
      </c>
      <c r="C62" t="s">
        <v>292</v>
      </c>
      <c r="D62" s="1">
        <v>44509</v>
      </c>
      <c r="E62" t="s">
        <v>102</v>
      </c>
      <c r="F62" s="55">
        <v>220</v>
      </c>
      <c r="G62" s="231">
        <f>TabEmpleados[[#This Row],[SD Real]]*15</f>
        <v>3300</v>
      </c>
      <c r="H62" s="55">
        <f>TabEmpleados[[#This Row],[SD Real]]-(TabEmpleados[[#This Row],[SD Real]]/10*7)</f>
        <v>66</v>
      </c>
      <c r="K62" s="1">
        <f>TabEmpleados[[#This Row],[Fecha de ingreso]]</f>
        <v>44509</v>
      </c>
      <c r="L62" t="s">
        <v>416</v>
      </c>
    </row>
    <row r="63" spans="1:12" x14ac:dyDescent="0.25">
      <c r="A63">
        <v>62</v>
      </c>
      <c r="B63" t="s">
        <v>62</v>
      </c>
      <c r="C63" t="s">
        <v>95</v>
      </c>
      <c r="D63" s="1">
        <v>44509</v>
      </c>
      <c r="E63" t="s">
        <v>102</v>
      </c>
      <c r="F63" s="55">
        <v>300</v>
      </c>
      <c r="G63" s="231">
        <f>TabEmpleados[[#This Row],[SD Real]]*15</f>
        <v>4500</v>
      </c>
      <c r="H63" s="55">
        <f>TabEmpleados[[#This Row],[SD Real]]-(TabEmpleados[[#This Row],[SD Real]]/10*7)</f>
        <v>90</v>
      </c>
      <c r="K63" s="1">
        <f>TabEmpleados[[#This Row],[Fecha de ingreso]]</f>
        <v>44509</v>
      </c>
      <c r="L63" t="s">
        <v>416</v>
      </c>
    </row>
    <row r="64" spans="1:12" x14ac:dyDescent="0.25">
      <c r="A64">
        <v>63</v>
      </c>
      <c r="B64" t="s">
        <v>63</v>
      </c>
      <c r="C64" t="s">
        <v>96</v>
      </c>
      <c r="D64" s="1">
        <v>44509</v>
      </c>
      <c r="E64" t="s">
        <v>102</v>
      </c>
      <c r="F64" s="55">
        <v>300</v>
      </c>
      <c r="G64" s="231">
        <f>TabEmpleados[[#This Row],[SD Real]]*15</f>
        <v>4500</v>
      </c>
      <c r="H64" s="55">
        <f>TabEmpleados[[#This Row],[SD Real]]-(TabEmpleados[[#This Row],[SD Real]]/10*7)</f>
        <v>90</v>
      </c>
      <c r="K64" s="1">
        <f>TabEmpleados[[#This Row],[Fecha de ingreso]]</f>
        <v>44509</v>
      </c>
      <c r="L64" t="s">
        <v>416</v>
      </c>
    </row>
    <row r="65" spans="1:12" x14ac:dyDescent="0.25">
      <c r="A65">
        <v>64</v>
      </c>
      <c r="B65" t="s">
        <v>64</v>
      </c>
      <c r="C65" t="s">
        <v>305</v>
      </c>
      <c r="D65" s="1">
        <v>44509</v>
      </c>
      <c r="E65" t="s">
        <v>102</v>
      </c>
      <c r="F65" s="55">
        <v>300</v>
      </c>
      <c r="G65" s="231">
        <f>TabEmpleados[[#This Row],[SD Real]]*15</f>
        <v>4500</v>
      </c>
      <c r="H65" s="55">
        <f>TabEmpleados[[#This Row],[SD Real]]-(TabEmpleados[[#This Row],[SD Real]]/10*7)</f>
        <v>90</v>
      </c>
      <c r="K65" s="1">
        <f>TabEmpleados[[#This Row],[Fecha de ingreso]]</f>
        <v>44509</v>
      </c>
      <c r="L65" t="s">
        <v>416</v>
      </c>
    </row>
    <row r="66" spans="1:12" x14ac:dyDescent="0.25">
      <c r="A66">
        <v>65</v>
      </c>
      <c r="B66" t="s">
        <v>65</v>
      </c>
      <c r="C66" t="s">
        <v>97</v>
      </c>
      <c r="D66" s="1">
        <v>44509</v>
      </c>
      <c r="E66" t="s">
        <v>102</v>
      </c>
      <c r="F66" s="55">
        <v>300</v>
      </c>
      <c r="G66" s="231">
        <f>TabEmpleados[[#This Row],[SD Real]]*15</f>
        <v>4500</v>
      </c>
      <c r="H66" s="55">
        <f>TabEmpleados[[#This Row],[SD Real]]-(TabEmpleados[[#This Row],[SD Real]]/10*7)</f>
        <v>90</v>
      </c>
      <c r="K66" s="1">
        <f>TabEmpleados[[#This Row],[Fecha de ingreso]]</f>
        <v>44509</v>
      </c>
      <c r="L66" t="s">
        <v>416</v>
      </c>
    </row>
    <row r="67" spans="1:12" x14ac:dyDescent="0.25">
      <c r="A67">
        <v>66</v>
      </c>
      <c r="B67" t="s">
        <v>66</v>
      </c>
      <c r="C67" t="s">
        <v>292</v>
      </c>
      <c r="D67" s="1">
        <v>44509</v>
      </c>
      <c r="E67" t="s">
        <v>102</v>
      </c>
      <c r="F67" s="55">
        <v>220</v>
      </c>
      <c r="G67" s="231">
        <f>TabEmpleados[[#This Row],[SD Real]]*15</f>
        <v>3300</v>
      </c>
      <c r="H67" s="55">
        <f>TabEmpleados[[#This Row],[SD Real]]-(TabEmpleados[[#This Row],[SD Real]]/10*7)</f>
        <v>66</v>
      </c>
      <c r="K67" s="1">
        <f>TabEmpleados[[#This Row],[Fecha de ingreso]]</f>
        <v>44509</v>
      </c>
      <c r="L67" t="s">
        <v>416</v>
      </c>
    </row>
    <row r="68" spans="1:12" x14ac:dyDescent="0.25">
      <c r="A68">
        <v>67</v>
      </c>
      <c r="B68" t="s">
        <v>67</v>
      </c>
      <c r="C68" t="s">
        <v>301</v>
      </c>
      <c r="D68" s="1">
        <v>44509</v>
      </c>
      <c r="E68" t="s">
        <v>102</v>
      </c>
      <c r="F68" s="55">
        <v>200</v>
      </c>
      <c r="G68" s="231">
        <f>TabEmpleados[[#This Row],[SD Real]]*15</f>
        <v>3000</v>
      </c>
      <c r="H68" s="55">
        <f>TabEmpleados[[#This Row],[SD Real]]-(TabEmpleados[[#This Row],[SD Real]]/10*7)</f>
        <v>60</v>
      </c>
      <c r="K68" s="1">
        <f>TabEmpleados[[#This Row],[Fecha de ingreso]]</f>
        <v>44509</v>
      </c>
      <c r="L68" t="s">
        <v>416</v>
      </c>
    </row>
    <row r="69" spans="1:12" x14ac:dyDescent="0.25">
      <c r="A69">
        <v>68</v>
      </c>
      <c r="B69" t="s">
        <v>68</v>
      </c>
      <c r="C69" t="s">
        <v>301</v>
      </c>
      <c r="D69" s="1">
        <v>44509</v>
      </c>
      <c r="E69" t="s">
        <v>102</v>
      </c>
      <c r="F69" s="55">
        <v>220</v>
      </c>
      <c r="G69" s="231">
        <f>TabEmpleados[[#This Row],[SD Real]]*15</f>
        <v>3300</v>
      </c>
      <c r="H69" s="55">
        <f>TabEmpleados[[#This Row],[SD Real]]-(TabEmpleados[[#This Row],[SD Real]]/10*7)</f>
        <v>66</v>
      </c>
      <c r="K69" s="1">
        <f>TabEmpleados[[#This Row],[Fecha de ingreso]]</f>
        <v>44509</v>
      </c>
      <c r="L69" t="s">
        <v>416</v>
      </c>
    </row>
    <row r="70" spans="1:12" x14ac:dyDescent="0.25">
      <c r="A70">
        <v>69</v>
      </c>
      <c r="B70" t="s">
        <v>69</v>
      </c>
      <c r="C70" t="s">
        <v>85</v>
      </c>
      <c r="D70" s="1">
        <v>44509</v>
      </c>
      <c r="E70" t="s">
        <v>102</v>
      </c>
      <c r="F70" s="55">
        <v>200</v>
      </c>
      <c r="G70" s="231">
        <f>TabEmpleados[[#This Row],[SD Real]]*15</f>
        <v>3000</v>
      </c>
      <c r="H70" s="55">
        <f>TabEmpleados[[#This Row],[SD Real]]-(TabEmpleados[[#This Row],[SD Real]]/10*7)</f>
        <v>60</v>
      </c>
      <c r="K70" s="1">
        <f>TabEmpleados[[#This Row],[Fecha de ingreso]]</f>
        <v>44509</v>
      </c>
      <c r="L70" t="s">
        <v>416</v>
      </c>
    </row>
    <row r="71" spans="1:12" x14ac:dyDescent="0.25">
      <c r="A71">
        <v>70</v>
      </c>
      <c r="B71" t="s">
        <v>70</v>
      </c>
      <c r="C71" t="s">
        <v>301</v>
      </c>
      <c r="D71" s="1">
        <v>44509</v>
      </c>
      <c r="E71" t="s">
        <v>102</v>
      </c>
      <c r="F71" s="55">
        <v>200</v>
      </c>
      <c r="G71" s="231">
        <f>TabEmpleados[[#This Row],[SD Real]]*15</f>
        <v>3000</v>
      </c>
      <c r="H71" s="55">
        <f>TabEmpleados[[#This Row],[SD Real]]-(TabEmpleados[[#This Row],[SD Real]]/10*7)</f>
        <v>60</v>
      </c>
      <c r="K71" s="1">
        <f>TabEmpleados[[#This Row],[Fecha de ingreso]]</f>
        <v>44509</v>
      </c>
      <c r="L71" t="s">
        <v>416</v>
      </c>
    </row>
    <row r="72" spans="1:12" x14ac:dyDescent="0.25">
      <c r="A72">
        <v>71</v>
      </c>
      <c r="B72" t="s">
        <v>71</v>
      </c>
      <c r="C72" t="s">
        <v>301</v>
      </c>
      <c r="D72" s="1">
        <v>44509</v>
      </c>
      <c r="E72" t="s">
        <v>102</v>
      </c>
      <c r="F72" s="55">
        <v>200</v>
      </c>
      <c r="G72" s="231">
        <f>TabEmpleados[[#This Row],[SD Real]]*15</f>
        <v>3000</v>
      </c>
      <c r="H72" s="55">
        <f>TabEmpleados[[#This Row],[SD Real]]-(TabEmpleados[[#This Row],[SD Real]]/10*7)</f>
        <v>60</v>
      </c>
      <c r="K72" s="1">
        <f>TabEmpleados[[#This Row],[Fecha de ingreso]]</f>
        <v>44509</v>
      </c>
      <c r="L72" t="s">
        <v>416</v>
      </c>
    </row>
    <row r="73" spans="1:12" x14ac:dyDescent="0.25">
      <c r="A73">
        <v>72</v>
      </c>
      <c r="B73" t="s">
        <v>72</v>
      </c>
      <c r="C73" t="s">
        <v>98</v>
      </c>
      <c r="D73" s="1">
        <v>44509</v>
      </c>
      <c r="E73" t="s">
        <v>102</v>
      </c>
      <c r="F73" s="55">
        <v>300</v>
      </c>
      <c r="G73" s="231">
        <f>TabEmpleados[[#This Row],[SD Real]]*15</f>
        <v>4500</v>
      </c>
      <c r="H73" s="55">
        <f>TabEmpleados[[#This Row],[SD Real]]-(TabEmpleados[[#This Row],[SD Real]]/10*7)</f>
        <v>90</v>
      </c>
      <c r="K73" s="1">
        <f>TabEmpleados[[#This Row],[Fecha de ingreso]]</f>
        <v>44509</v>
      </c>
      <c r="L73" t="s">
        <v>416</v>
      </c>
    </row>
    <row r="74" spans="1:12" x14ac:dyDescent="0.25">
      <c r="A74">
        <v>73</v>
      </c>
      <c r="B74" t="s">
        <v>73</v>
      </c>
      <c r="C74" t="s">
        <v>98</v>
      </c>
      <c r="D74" s="1">
        <v>44509</v>
      </c>
      <c r="E74" t="s">
        <v>102</v>
      </c>
      <c r="F74" s="55">
        <v>300</v>
      </c>
      <c r="G74" s="231">
        <f>TabEmpleados[[#This Row],[SD Real]]*15</f>
        <v>4500</v>
      </c>
      <c r="H74" s="55">
        <f>TabEmpleados[[#This Row],[SD Real]]-(TabEmpleados[[#This Row],[SD Real]]/10*7)</f>
        <v>90</v>
      </c>
      <c r="K74" s="1">
        <f>TabEmpleados[[#This Row],[Fecha de ingreso]]</f>
        <v>44509</v>
      </c>
      <c r="L74" t="s">
        <v>415</v>
      </c>
    </row>
    <row r="75" spans="1:12" x14ac:dyDescent="0.25">
      <c r="A75">
        <v>74</v>
      </c>
      <c r="B75" t="s">
        <v>74</v>
      </c>
      <c r="C75" t="s">
        <v>292</v>
      </c>
      <c r="D75" s="1">
        <v>44509</v>
      </c>
      <c r="E75" t="s">
        <v>102</v>
      </c>
      <c r="F75" s="55">
        <v>200</v>
      </c>
      <c r="G75" s="231">
        <f>TabEmpleados[[#This Row],[SD Real]]*15</f>
        <v>3000</v>
      </c>
      <c r="H75" s="55">
        <f>TabEmpleados[[#This Row],[SD Real]]-(TabEmpleados[[#This Row],[SD Real]]/10*7)</f>
        <v>60</v>
      </c>
      <c r="K75" s="1">
        <f>TabEmpleados[[#This Row],[Fecha de ingreso]]</f>
        <v>44509</v>
      </c>
      <c r="L75" t="s">
        <v>416</v>
      </c>
    </row>
    <row r="76" spans="1:12" x14ac:dyDescent="0.25">
      <c r="A76">
        <v>75</v>
      </c>
      <c r="B76" t="s">
        <v>75</v>
      </c>
      <c r="C76" t="s">
        <v>99</v>
      </c>
      <c r="D76" s="1">
        <v>44874</v>
      </c>
      <c r="E76" t="s">
        <v>102</v>
      </c>
      <c r="F76" s="55">
        <v>450</v>
      </c>
      <c r="G76" s="231">
        <f>TabEmpleados[[#This Row],[SD Real]]*15</f>
        <v>6750</v>
      </c>
      <c r="H76" s="55">
        <v>206</v>
      </c>
      <c r="K76" s="1">
        <f>TabEmpleados[[#This Row],[Fecha de ingreso]]</f>
        <v>44874</v>
      </c>
      <c r="L76" t="s">
        <v>416</v>
      </c>
    </row>
    <row r="84" spans="3:3" x14ac:dyDescent="0.25">
      <c r="C84" s="140"/>
    </row>
  </sheetData>
  <conditionalFormatting sqref="A1:A1048576">
    <cfRule type="duplicateValues" dxfId="633" priority="4"/>
  </conditionalFormatting>
  <conditionalFormatting sqref="A2:A76">
    <cfRule type="duplicateValues" dxfId="632" priority="2"/>
  </conditionalFormatting>
  <conditionalFormatting sqref="L2:L76">
    <cfRule type="expression" dxfId="631" priority="1">
      <formula>AND($H2&gt;0,$L2=EFE)</formula>
    </cfRule>
  </conditionalFormatting>
  <dataValidations count="3">
    <dataValidation type="list" allowBlank="1" showInputMessage="1" showErrorMessage="1" sqref="C2:C76" xr:uid="{E2C50CF5-B965-4F0E-8931-5BB7B2E18B78}">
      <formula1>PuestoS</formula1>
    </dataValidation>
    <dataValidation type="whole" operator="greaterThan" allowBlank="1" showInputMessage="1" showErrorMessage="1" sqref="A2:A76" xr:uid="{4A2C7BFB-AFC0-4FD5-9E23-834B61089915}">
      <formula1>0</formula1>
    </dataValidation>
    <dataValidation type="date" operator="notEqual" allowBlank="1" showInputMessage="1" showErrorMessage="1" sqref="D2:D76 K2:K76" xr:uid="{3E7E812D-EC2D-4935-9E10-CB06792FE76E}">
      <formula1>1</formula1>
    </dataValidation>
  </dataValidations>
  <pageMargins left="0.7" right="0.7" top="0.75" bottom="0.75" header="0.3" footer="0.3"/>
  <pageSetup orientation="portrait" r:id="rId1"/>
  <legacy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0C41392-7AE3-47C1-B63E-00B89C4AD804}">
          <x14:formula1>
            <xm:f>'Tablas de informacion'!$R$9:$R$13</xm:f>
          </x14:formula1>
          <xm:sqref>L2:L76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A2DA21-5FAD-4D1D-B801-E77E630A603A}">
  <sheetPr codeName="Hoja2">
    <tabColor rgb="FFA3A3E1"/>
  </sheetPr>
  <dimension ref="A1:RG105"/>
  <sheetViews>
    <sheetView showGridLines="0" topLeftCell="A10" zoomScaleNormal="100" workbookViewId="0">
      <pane xSplit="2" topLeftCell="AH1" activePane="topRight" state="frozen"/>
      <selection activeCell="A4" sqref="A4"/>
      <selection pane="topRight" activeCell="AX36" sqref="AX36"/>
    </sheetView>
  </sheetViews>
  <sheetFormatPr baseColWidth="10" defaultRowHeight="15" x14ac:dyDescent="0.25"/>
  <cols>
    <col min="1" max="1" width="6.7109375" customWidth="1"/>
    <col min="2" max="2" width="39.7109375" bestFit="1" customWidth="1"/>
    <col min="3" max="33" width="4.140625" style="24" hidden="1" customWidth="1"/>
    <col min="34" max="106" width="4.140625" style="24" customWidth="1"/>
    <col min="107" max="430" width="4.140625" style="24" hidden="1" customWidth="1"/>
    <col min="431" max="450" width="4.140625" style="2" customWidth="1"/>
    <col min="451" max="451" width="11.5703125" style="2"/>
    <col min="452" max="452" width="10" style="2" customWidth="1"/>
    <col min="453" max="453" width="10.28515625" style="2" customWidth="1"/>
    <col min="454" max="454" width="11.5703125" customWidth="1"/>
    <col min="455" max="458" width="4.28515625" customWidth="1"/>
    <col min="459" max="460" width="4.28515625" hidden="1" customWidth="1"/>
    <col min="461" max="462" width="4.28515625" customWidth="1"/>
    <col min="463" max="463" width="4.28515625" hidden="1" customWidth="1"/>
    <col min="464" max="470" width="4.28515625" customWidth="1"/>
    <col min="471" max="471" width="4.28515625" hidden="1" customWidth="1"/>
    <col min="472" max="472" width="4.28515625" customWidth="1"/>
    <col min="473" max="473" width="4.28515625" hidden="1" customWidth="1"/>
    <col min="474" max="475" width="11.5703125" customWidth="1"/>
  </cols>
  <sheetData>
    <row r="1" spans="1:6" x14ac:dyDescent="0.25">
      <c r="A1" s="170" t="s">
        <v>104</v>
      </c>
      <c r="B1" s="171">
        <v>2023</v>
      </c>
    </row>
    <row r="2" spans="1:6" x14ac:dyDescent="0.25">
      <c r="A2" t="s">
        <v>434</v>
      </c>
      <c r="B2" s="203">
        <v>44958</v>
      </c>
    </row>
    <row r="3" spans="1:6" x14ac:dyDescent="0.25">
      <c r="A3" t="s">
        <v>435</v>
      </c>
      <c r="B3" s="203">
        <v>44988</v>
      </c>
    </row>
    <row r="4" spans="1:6" x14ac:dyDescent="0.25">
      <c r="A4" t="s">
        <v>436</v>
      </c>
      <c r="B4" s="310">
        <v>44927</v>
      </c>
    </row>
    <row r="5" spans="1:6" x14ac:dyDescent="0.25">
      <c r="A5" t="s">
        <v>437</v>
      </c>
      <c r="B5" s="310">
        <v>45000</v>
      </c>
    </row>
    <row r="6" spans="1:6" x14ac:dyDescent="0.25">
      <c r="A6" s="23" t="str">
        <f>TabAsistencias[[#Headers],[1]]</f>
        <v>1</v>
      </c>
      <c r="B6" s="4" t="s">
        <v>137</v>
      </c>
    </row>
    <row r="7" spans="1:6" x14ac:dyDescent="0.25">
      <c r="A7" s="3" t="str">
        <f>TabAsistencias[[#Headers],[E]]</f>
        <v>E</v>
      </c>
      <c r="B7" s="4" t="s">
        <v>108</v>
      </c>
    </row>
    <row r="8" spans="1:6" x14ac:dyDescent="0.25">
      <c r="A8" s="5" t="str">
        <f>TabAsistencias[[#Headers],[DE]]</f>
        <v>DE</v>
      </c>
      <c r="B8" s="4" t="s">
        <v>109</v>
      </c>
    </row>
    <row r="9" spans="1:6" x14ac:dyDescent="0.25">
      <c r="A9" s="6" t="str">
        <f>TabAsistencias[[#Headers],[V]]</f>
        <v>V</v>
      </c>
      <c r="B9" s="4" t="s">
        <v>110</v>
      </c>
      <c r="F9" s="26"/>
    </row>
    <row r="10" spans="1:6" x14ac:dyDescent="0.25">
      <c r="A10" s="7" t="str">
        <f>TabAsistencias[[#Headers],[DO]]</f>
        <v>DO</v>
      </c>
      <c r="B10" s="4" t="s">
        <v>234</v>
      </c>
    </row>
    <row r="11" spans="1:6" x14ac:dyDescent="0.25">
      <c r="A11" s="8" t="str">
        <f>TabAsistencias[[#Headers],[P]]</f>
        <v>P</v>
      </c>
      <c r="B11" s="4" t="s">
        <v>112</v>
      </c>
    </row>
    <row r="12" spans="1:6" x14ac:dyDescent="0.25">
      <c r="A12" s="22" t="str">
        <f>TabAsistencias[[#Headers],[F]]</f>
        <v>F</v>
      </c>
      <c r="B12" s="4" t="s">
        <v>126</v>
      </c>
    </row>
    <row r="13" spans="1:6" x14ac:dyDescent="0.25">
      <c r="A13" s="17" t="str">
        <f>TabAsistencias[[#Headers],[R]]</f>
        <v>R</v>
      </c>
      <c r="B13" s="4" t="s">
        <v>122</v>
      </c>
    </row>
    <row r="14" spans="1:6" x14ac:dyDescent="0.25">
      <c r="A14" s="11" t="str">
        <f>TabAsistencias[[#Headers],[PP]]</f>
        <v>PP</v>
      </c>
      <c r="B14" s="4" t="s">
        <v>208</v>
      </c>
    </row>
    <row r="15" spans="1:6" x14ac:dyDescent="0.25">
      <c r="A15" s="12" t="str">
        <f>TabAsistencias[[#Headers],[0]]</f>
        <v>0</v>
      </c>
      <c r="B15" s="4" t="s">
        <v>117</v>
      </c>
    </row>
    <row r="16" spans="1:6" x14ac:dyDescent="0.25">
      <c r="A16" s="13" t="str">
        <f>TabAsistencias[[#Headers],[IG]]</f>
        <v>IG</v>
      </c>
      <c r="B16" s="4" t="s">
        <v>326</v>
      </c>
    </row>
    <row r="17" spans="1:475" x14ac:dyDescent="0.25">
      <c r="A17" s="14" t="str">
        <f>TabAsistencias[[#Headers],[NA]]</f>
        <v>NA</v>
      </c>
      <c r="B17" s="4" t="s">
        <v>233</v>
      </c>
    </row>
    <row r="18" spans="1:475" x14ac:dyDescent="0.25">
      <c r="A18" s="15" t="str">
        <f>TabAsistencias[[#Headers],[DF]]</f>
        <v>DF</v>
      </c>
      <c r="B18" s="4" t="s">
        <v>382</v>
      </c>
    </row>
    <row r="19" spans="1:475" x14ac:dyDescent="0.25">
      <c r="A19" s="16" t="str">
        <f>TabAsistencias[[#Headers],[3]]</f>
        <v>3</v>
      </c>
      <c r="B19" s="4" t="s">
        <v>458</v>
      </c>
    </row>
    <row r="20" spans="1:475" x14ac:dyDescent="0.25">
      <c r="A20" s="10" t="str">
        <f>TabAsistencias[[#Headers],[CP]]</f>
        <v>CP</v>
      </c>
      <c r="B20" s="4" t="s">
        <v>115</v>
      </c>
    </row>
    <row r="21" spans="1:475" x14ac:dyDescent="0.25">
      <c r="A21" s="18" t="str">
        <f>TabAsistencias[[#Headers],[I]]</f>
        <v>I</v>
      </c>
      <c r="B21" s="4" t="s">
        <v>325</v>
      </c>
    </row>
    <row r="22" spans="1:475" x14ac:dyDescent="0.25">
      <c r="A22" s="19" t="str">
        <f>TabAsistencias[[#Headers],[T/2]]</f>
        <v>T/2</v>
      </c>
      <c r="B22" s="4" t="s">
        <v>309</v>
      </c>
    </row>
    <row r="23" spans="1:475" x14ac:dyDescent="0.25">
      <c r="A23" s="20" t="str">
        <f>TabAsistencias[[#Headers],[ME]]</f>
        <v>ME</v>
      </c>
      <c r="B23" s="4" t="s">
        <v>896</v>
      </c>
    </row>
    <row r="24" spans="1:475" x14ac:dyDescent="0.25">
      <c r="A24" s="21" t="str">
        <f>TabAsistencias[[#Headers],[DP]]</f>
        <v>DP</v>
      </c>
      <c r="B24" s="4" t="s">
        <v>125</v>
      </c>
      <c r="QN24" s="311"/>
      <c r="RC24" s="311"/>
    </row>
    <row r="25" spans="1:475" ht="15.75" thickBot="1" x14ac:dyDescent="0.3">
      <c r="A25" s="9" t="str">
        <f>TabAsistencias[[#Headers],[B]]</f>
        <v>B</v>
      </c>
      <c r="B25" s="4" t="s">
        <v>114</v>
      </c>
      <c r="C25" s="305"/>
      <c r="D25" s="305"/>
      <c r="E25" s="305"/>
      <c r="F25" s="305"/>
      <c r="G25" s="305"/>
      <c r="H25" s="305"/>
      <c r="I25" s="305"/>
      <c r="J25" s="305"/>
      <c r="K25" s="305"/>
      <c r="L25" s="305"/>
      <c r="M25" s="305"/>
      <c r="N25" s="305"/>
      <c r="O25" s="305"/>
      <c r="P25" s="305"/>
      <c r="Q25" s="305"/>
      <c r="R25" s="305"/>
      <c r="S25" s="305"/>
      <c r="T25" s="305"/>
      <c r="U25" s="305"/>
      <c r="V25" s="305"/>
      <c r="W25" s="305"/>
      <c r="X25" s="305"/>
      <c r="Y25" s="305"/>
      <c r="Z25" s="305"/>
      <c r="AA25" s="305"/>
      <c r="AB25" s="305"/>
      <c r="AC25" s="305"/>
      <c r="AD25" s="305"/>
      <c r="AE25" s="305"/>
      <c r="AF25" s="305"/>
      <c r="AG25" s="305"/>
      <c r="AH25" s="204"/>
      <c r="AI25" s="204"/>
      <c r="AJ25" s="204"/>
      <c r="AK25" s="204"/>
      <c r="AL25" s="204"/>
      <c r="AM25" s="204"/>
      <c r="AN25" s="204"/>
      <c r="AO25" s="204"/>
      <c r="AP25" s="204"/>
      <c r="AQ25" s="204"/>
      <c r="AR25" s="204"/>
      <c r="AS25" s="204"/>
      <c r="AT25" s="204"/>
      <c r="AU25" s="204"/>
      <c r="AV25" s="204"/>
      <c r="AW25" s="204"/>
      <c r="AX25" s="204"/>
      <c r="AY25" s="204"/>
      <c r="AZ25" s="204"/>
      <c r="BA25" s="204"/>
      <c r="BB25" s="204"/>
      <c r="BC25" s="204"/>
      <c r="BD25" s="204"/>
      <c r="BE25" s="204"/>
      <c r="BF25" s="204"/>
      <c r="BG25" s="204"/>
      <c r="BH25" s="204"/>
      <c r="BI25" s="204"/>
      <c r="BJ25" s="204"/>
      <c r="BK25" s="204"/>
      <c r="BL25" s="204"/>
      <c r="BM25" s="204"/>
      <c r="BN25" s="204"/>
      <c r="BO25" s="204"/>
      <c r="BP25" s="204"/>
      <c r="BQ25" s="204"/>
      <c r="BR25" s="204"/>
      <c r="BS25" s="204"/>
      <c r="BT25" s="204"/>
      <c r="BU25" s="204"/>
      <c r="BV25" s="204"/>
      <c r="BW25" s="204"/>
      <c r="BX25" s="204"/>
      <c r="BY25" s="204"/>
      <c r="BZ25" s="204"/>
      <c r="CA25" s="204"/>
      <c r="CB25" s="204"/>
      <c r="CC25" s="204"/>
      <c r="CD25" s="204"/>
      <c r="CE25" s="204"/>
      <c r="CF25" s="204"/>
      <c r="CG25" s="204"/>
      <c r="CH25" s="204"/>
      <c r="CI25" s="204"/>
      <c r="CJ25" s="204"/>
      <c r="CK25" s="204"/>
      <c r="CL25" s="204"/>
      <c r="CM25" s="204"/>
      <c r="CN25" s="204"/>
      <c r="CO25" s="204"/>
      <c r="CP25" s="204"/>
      <c r="CQ25" s="204"/>
      <c r="CR25" s="204"/>
      <c r="CS25" s="204"/>
      <c r="CT25" s="204"/>
      <c r="CU25" s="204"/>
      <c r="CV25" s="204"/>
      <c r="CW25" s="204"/>
      <c r="CX25" s="204"/>
      <c r="CY25" s="204"/>
      <c r="CZ25" s="204"/>
      <c r="DA25" s="204"/>
      <c r="DB25" s="204"/>
      <c r="DC25" s="204"/>
      <c r="DD25" s="204"/>
      <c r="DE25" s="204"/>
      <c r="DF25" s="204"/>
      <c r="DG25" s="204"/>
      <c r="DH25" s="204"/>
      <c r="DI25" s="204"/>
      <c r="DJ25" s="204"/>
      <c r="DK25" s="204"/>
      <c r="DL25" s="204"/>
      <c r="DM25" s="204"/>
      <c r="DN25" s="204"/>
      <c r="DO25" s="204"/>
      <c r="DP25" s="204"/>
      <c r="DQ25" s="204"/>
      <c r="DR25" s="204"/>
      <c r="DS25" s="204"/>
      <c r="DT25" s="204"/>
      <c r="DU25" s="204"/>
      <c r="DV25" s="204"/>
      <c r="DW25" s="204"/>
      <c r="DX25" s="204"/>
      <c r="DY25" s="204"/>
      <c r="DZ25" s="204"/>
      <c r="EA25" s="204"/>
      <c r="EB25" s="204"/>
      <c r="EC25" s="204"/>
      <c r="ED25" s="204"/>
      <c r="EE25" s="204"/>
      <c r="EF25" s="204"/>
      <c r="EG25" s="204"/>
      <c r="EH25" s="204"/>
      <c r="EI25" s="204"/>
      <c r="EJ25" s="204"/>
      <c r="EK25" s="204"/>
      <c r="EL25" s="204"/>
      <c r="EM25" s="204"/>
      <c r="EN25" s="204"/>
      <c r="EO25" s="204"/>
      <c r="EP25" s="204"/>
      <c r="EQ25" s="204"/>
      <c r="ER25" s="204"/>
      <c r="ES25" s="204"/>
      <c r="ET25" s="204"/>
      <c r="EU25" s="204"/>
      <c r="EV25" s="204"/>
      <c r="EW25" s="204"/>
      <c r="EX25" s="204"/>
      <c r="EY25" s="204"/>
      <c r="EZ25" s="204"/>
      <c r="FA25" s="204"/>
      <c r="FB25" s="204"/>
      <c r="FC25" s="204"/>
      <c r="FD25" s="204"/>
      <c r="FE25" s="204"/>
      <c r="FF25" s="204"/>
      <c r="FG25" s="204"/>
      <c r="FH25" s="204"/>
      <c r="FI25" s="204"/>
      <c r="FJ25" s="204"/>
      <c r="FK25" s="204"/>
      <c r="FL25" s="204"/>
      <c r="FM25" s="204"/>
      <c r="FN25" s="204"/>
      <c r="FO25" s="204"/>
      <c r="FP25" s="204"/>
      <c r="FQ25" s="204"/>
      <c r="FR25" s="204"/>
      <c r="FS25" s="204"/>
      <c r="FT25" s="204"/>
      <c r="FU25" s="204"/>
      <c r="FV25" s="204"/>
      <c r="FW25" s="204"/>
      <c r="FX25" s="204"/>
      <c r="FY25" s="204"/>
      <c r="FZ25" s="204"/>
      <c r="GA25" s="204"/>
      <c r="GB25" s="204"/>
      <c r="GC25" s="204"/>
      <c r="GD25" s="204"/>
      <c r="GE25" s="204"/>
      <c r="GF25" s="204"/>
      <c r="GG25" s="204"/>
      <c r="GH25" s="204"/>
      <c r="GI25" s="204"/>
      <c r="GJ25" s="204"/>
      <c r="GK25" s="204"/>
      <c r="GL25" s="204"/>
      <c r="GM25" s="204"/>
      <c r="GN25" s="204"/>
      <c r="GO25" s="204"/>
      <c r="GP25" s="204"/>
      <c r="GQ25" s="204"/>
      <c r="GR25" s="204"/>
      <c r="GS25" s="204"/>
      <c r="GT25" s="204"/>
      <c r="GU25" s="204"/>
      <c r="GV25" s="204"/>
      <c r="GW25" s="204"/>
      <c r="GX25" s="204"/>
      <c r="GY25" s="204"/>
      <c r="GZ25" s="204"/>
      <c r="HA25" s="204"/>
      <c r="HB25" s="204"/>
      <c r="HC25" s="204"/>
      <c r="HD25" s="204"/>
      <c r="HE25" s="204"/>
      <c r="HF25" s="204"/>
      <c r="HG25" s="204"/>
      <c r="HH25" s="204"/>
      <c r="HI25" s="204"/>
      <c r="HJ25" s="204"/>
      <c r="HK25" s="204"/>
      <c r="HL25" s="204"/>
      <c r="HM25" s="204"/>
      <c r="HN25" s="204"/>
      <c r="HO25" s="204"/>
      <c r="HP25" s="204"/>
      <c r="HQ25" s="204"/>
      <c r="HR25" s="204"/>
      <c r="HS25" s="204"/>
      <c r="HT25" s="204"/>
      <c r="HU25" s="204"/>
      <c r="HV25" s="204"/>
      <c r="HW25" s="204"/>
      <c r="HX25" s="204"/>
      <c r="HY25" s="204"/>
      <c r="HZ25" s="204"/>
      <c r="IA25" s="204"/>
      <c r="IB25" s="204"/>
      <c r="IC25" s="204"/>
      <c r="ID25" s="204"/>
      <c r="IE25" s="204"/>
      <c r="IF25" s="204"/>
      <c r="IG25" s="204"/>
      <c r="IH25" s="204"/>
      <c r="II25" s="204"/>
      <c r="IJ25" s="204"/>
      <c r="IK25" s="204"/>
      <c r="IL25" s="204"/>
      <c r="IM25" s="204"/>
      <c r="IN25" s="204"/>
      <c r="IO25" s="204"/>
      <c r="IP25" s="204"/>
      <c r="IQ25" s="204"/>
      <c r="IR25" s="204"/>
      <c r="IS25" s="204"/>
      <c r="IT25" s="204"/>
      <c r="IU25" s="204"/>
      <c r="IV25" s="204"/>
      <c r="IW25" s="204"/>
      <c r="IX25" s="204"/>
      <c r="IY25" s="204"/>
      <c r="IZ25" s="204"/>
      <c r="JA25" s="204"/>
      <c r="JB25" s="204"/>
      <c r="JC25" s="204"/>
      <c r="JD25" s="204"/>
      <c r="JE25" s="204"/>
      <c r="JF25" s="204"/>
      <c r="JG25" s="204"/>
      <c r="JH25" s="204"/>
      <c r="JI25" s="204"/>
      <c r="JJ25" s="204"/>
      <c r="JK25" s="204"/>
      <c r="JL25" s="204"/>
      <c r="JM25" s="204"/>
      <c r="JN25" s="204"/>
      <c r="JO25" s="204"/>
      <c r="JP25" s="204"/>
      <c r="JQ25" s="204"/>
      <c r="JR25" s="204"/>
      <c r="JS25" s="204"/>
      <c r="JT25" s="204"/>
      <c r="JU25" s="204"/>
      <c r="JV25" s="204"/>
      <c r="JW25" s="204"/>
      <c r="JX25" s="204"/>
      <c r="JY25" s="204"/>
      <c r="JZ25" s="204"/>
      <c r="KA25" s="204"/>
      <c r="KB25" s="204"/>
      <c r="KC25" s="204"/>
      <c r="KD25" s="204"/>
      <c r="KE25" s="204"/>
      <c r="KF25" s="204"/>
      <c r="KG25" s="204"/>
      <c r="KH25" s="204"/>
      <c r="KI25" s="204"/>
      <c r="KJ25" s="204"/>
      <c r="KK25" s="204"/>
      <c r="KL25" s="204"/>
      <c r="KM25" s="204"/>
      <c r="KN25" s="204"/>
      <c r="KO25" s="204"/>
      <c r="KP25" s="204"/>
      <c r="KQ25" s="204"/>
      <c r="KR25" s="204"/>
      <c r="KS25" s="204"/>
      <c r="KT25" s="204"/>
      <c r="KU25" s="204"/>
      <c r="KV25" s="204"/>
      <c r="KW25" s="204"/>
      <c r="KX25" s="204"/>
      <c r="KY25" s="204"/>
      <c r="KZ25" s="204"/>
      <c r="LA25" s="204"/>
      <c r="LB25" s="204"/>
      <c r="LC25" s="204"/>
      <c r="LD25" s="204"/>
      <c r="LE25" s="204"/>
      <c r="LF25" s="204"/>
      <c r="LG25" s="204"/>
      <c r="LH25" s="204"/>
      <c r="LI25" s="204"/>
      <c r="LJ25" s="204"/>
      <c r="LK25" s="204"/>
      <c r="LL25" s="204"/>
      <c r="LM25" s="204"/>
      <c r="LN25" s="204"/>
      <c r="LO25" s="204"/>
      <c r="LP25" s="204"/>
      <c r="LQ25" s="204"/>
      <c r="LR25" s="204"/>
      <c r="LS25" s="204"/>
      <c r="LT25" s="204"/>
      <c r="LU25" s="204"/>
      <c r="LV25" s="204"/>
      <c r="LW25" s="204"/>
      <c r="LX25" s="204"/>
      <c r="LY25" s="204"/>
      <c r="LZ25" s="204"/>
      <c r="MA25" s="204"/>
      <c r="MB25" s="204"/>
      <c r="MC25" s="204"/>
      <c r="MD25" s="204"/>
      <c r="ME25" s="204"/>
      <c r="MF25" s="204"/>
      <c r="MG25" s="204"/>
      <c r="MH25" s="204"/>
      <c r="MI25" s="204"/>
      <c r="MJ25" s="204"/>
      <c r="MK25" s="204"/>
      <c r="ML25" s="204"/>
      <c r="MM25" s="204"/>
      <c r="MN25" s="204"/>
      <c r="MO25" s="204"/>
      <c r="MP25" s="204"/>
      <c r="MQ25" s="204"/>
      <c r="MR25" s="204"/>
      <c r="MS25" s="204"/>
      <c r="MT25" s="204"/>
      <c r="MU25" s="204"/>
      <c r="MV25" s="204"/>
      <c r="MW25" s="204"/>
      <c r="MX25" s="204"/>
      <c r="MY25" s="204"/>
      <c r="MZ25" s="204"/>
      <c r="NA25" s="204"/>
      <c r="NB25" s="204"/>
      <c r="NC25" s="204"/>
      <c r="ND25" s="204"/>
      <c r="NE25" s="204"/>
      <c r="NF25" s="204"/>
      <c r="NG25" s="204"/>
      <c r="NH25" s="204"/>
      <c r="NI25" s="204"/>
      <c r="NJ25" s="204"/>
      <c r="NK25" s="204"/>
      <c r="NL25" s="204"/>
      <c r="NM25" s="204"/>
      <c r="NN25" s="204"/>
      <c r="NO25" s="204"/>
      <c r="NP25" s="204"/>
      <c r="NQ25" s="204"/>
      <c r="NR25" s="204"/>
      <c r="NS25" s="204"/>
      <c r="NT25" s="204"/>
      <c r="NU25" s="204"/>
      <c r="NV25" s="204"/>
      <c r="NW25" s="204"/>
      <c r="NX25" s="204"/>
      <c r="NY25" s="204"/>
      <c r="NZ25" s="204"/>
      <c r="OA25" s="204"/>
      <c r="OB25" s="204"/>
      <c r="OC25" s="204"/>
      <c r="OD25" s="204"/>
      <c r="OE25" s="204"/>
      <c r="OF25" s="204"/>
      <c r="OG25" s="204"/>
      <c r="OH25" s="204"/>
      <c r="OI25" s="204"/>
      <c r="OJ25" s="305"/>
      <c r="OK25" s="305"/>
      <c r="OL25" s="305"/>
      <c r="OM25" s="305"/>
      <c r="ON25" s="305"/>
      <c r="OO25" s="305"/>
      <c r="OP25" s="305"/>
      <c r="OQ25" s="305"/>
      <c r="OR25" s="305"/>
      <c r="OS25" s="305"/>
      <c r="OT25" s="305"/>
      <c r="OU25" s="305"/>
      <c r="OV25" s="305"/>
      <c r="OW25" s="305"/>
      <c r="OX25" s="305"/>
      <c r="OY25" s="305"/>
      <c r="OZ25" s="305"/>
      <c r="PA25" s="305"/>
      <c r="PB25" s="305"/>
      <c r="PC25" s="305"/>
      <c r="PD25" s="305"/>
      <c r="PE25" s="305"/>
      <c r="PF25" s="305"/>
      <c r="PG25" s="305"/>
      <c r="PH25" s="305"/>
      <c r="PI25" s="305"/>
      <c r="PJ25" s="305"/>
      <c r="PK25" s="305"/>
      <c r="PL25" s="305"/>
      <c r="PM25" s="305"/>
      <c r="PN25" s="305"/>
      <c r="PO25" s="149"/>
      <c r="PP25" s="149"/>
      <c r="PQ25" s="149"/>
      <c r="PR25" s="149"/>
      <c r="PS25" s="149"/>
      <c r="PT25" s="149"/>
      <c r="PU25" s="149"/>
      <c r="PV25" s="149"/>
      <c r="PW25" s="149"/>
      <c r="PX25" s="149"/>
      <c r="PY25" s="149"/>
      <c r="PZ25" s="149"/>
      <c r="QA25" s="149"/>
      <c r="QB25" s="149"/>
      <c r="QC25" s="149"/>
      <c r="QD25" s="149"/>
      <c r="QE25" s="149"/>
      <c r="QF25" s="149"/>
      <c r="QG25" s="149"/>
      <c r="QH25" s="149"/>
      <c r="QI25" s="149"/>
      <c r="QJ25" s="149"/>
      <c r="QK25" s="149"/>
      <c r="QL25" s="353" t="s">
        <v>525</v>
      </c>
      <c r="QM25" s="353"/>
      <c r="QN25" s="353"/>
      <c r="QO25" s="353"/>
      <c r="QP25" s="353"/>
      <c r="QQ25" s="353"/>
      <c r="QR25" s="353"/>
      <c r="QS25" s="353"/>
      <c r="QT25" s="353"/>
      <c r="QU25" s="353"/>
      <c r="QV25" s="353"/>
      <c r="QW25" s="353"/>
      <c r="QX25" s="353"/>
      <c r="QY25" s="353"/>
      <c r="QZ25" s="353"/>
      <c r="RA25" s="353"/>
      <c r="RB25" s="353"/>
      <c r="RC25" s="353"/>
      <c r="RD25" s="353"/>
      <c r="RE25" s="353"/>
      <c r="RF25" s="353"/>
      <c r="RG25" s="306"/>
    </row>
    <row r="26" spans="1:475" hidden="1" x14ac:dyDescent="0.25">
      <c r="A26" s="4"/>
      <c r="B26" s="4"/>
      <c r="D26" s="28"/>
      <c r="E26" s="28"/>
      <c r="F26" s="28"/>
      <c r="G26" s="28"/>
      <c r="H26" s="28"/>
      <c r="I26" s="28"/>
      <c r="J26" s="28"/>
      <c r="K26" s="28"/>
      <c r="L26" s="28"/>
      <c r="M26" s="28"/>
      <c r="N26" s="28"/>
      <c r="O26" s="28"/>
      <c r="P26" s="28"/>
      <c r="Q26" s="28"/>
      <c r="R26" s="28"/>
      <c r="S26" s="28"/>
      <c r="T26" s="28"/>
      <c r="U26" s="28"/>
      <c r="V26" s="28"/>
      <c r="W26" s="28"/>
      <c r="X26" s="28"/>
      <c r="Y26" s="28"/>
      <c r="Z26" s="28"/>
      <c r="AA26" s="28"/>
      <c r="AB26" s="28"/>
      <c r="AC26" s="28"/>
      <c r="AD26" s="28"/>
      <c r="AE26" s="28"/>
      <c r="AF26" s="28"/>
      <c r="AG26" s="28"/>
      <c r="AH26" s="28"/>
      <c r="AI26" s="28"/>
      <c r="AJ26" s="28"/>
      <c r="AK26" s="28"/>
      <c r="AL26" s="28"/>
      <c r="AM26" s="28"/>
      <c r="AN26" s="28"/>
      <c r="AO26" s="28"/>
      <c r="AP26" s="28"/>
      <c r="AQ26" s="28"/>
      <c r="AR26" s="28"/>
      <c r="AS26" s="28"/>
      <c r="AT26" s="28"/>
      <c r="AU26" s="28"/>
      <c r="AV26" s="28"/>
      <c r="AW26" s="28"/>
      <c r="AX26" s="28"/>
      <c r="AY26" s="28"/>
      <c r="AZ26" s="28"/>
      <c r="BA26" s="28"/>
      <c r="BB26" s="28"/>
      <c r="BC26" s="28"/>
      <c r="BD26" s="28"/>
      <c r="BE26" s="28"/>
      <c r="BF26" s="28"/>
      <c r="BG26" s="28"/>
      <c r="BH26" s="28"/>
      <c r="BI26" s="28"/>
      <c r="BJ26" s="28"/>
      <c r="BK26" s="28"/>
      <c r="BL26" s="28"/>
      <c r="BM26" s="28"/>
      <c r="BN26" s="28"/>
      <c r="BO26" s="28"/>
    </row>
    <row r="27" spans="1:475" s="1" customFormat="1" hidden="1" x14ac:dyDescent="0.25">
      <c r="A27" s="312"/>
      <c r="B27" s="312" t="s">
        <v>105</v>
      </c>
      <c r="C27" s="313">
        <f t="shared" ref="C27:AF27" si="0">D27-1</f>
        <v>44896</v>
      </c>
      <c r="D27" s="313">
        <f t="shared" si="0"/>
        <v>44897</v>
      </c>
      <c r="E27" s="313">
        <f t="shared" si="0"/>
        <v>44898</v>
      </c>
      <c r="F27" s="313">
        <f t="shared" si="0"/>
        <v>44899</v>
      </c>
      <c r="G27" s="313">
        <f t="shared" si="0"/>
        <v>44900</v>
      </c>
      <c r="H27" s="313">
        <f t="shared" si="0"/>
        <v>44901</v>
      </c>
      <c r="I27" s="313">
        <f t="shared" si="0"/>
        <v>44902</v>
      </c>
      <c r="J27" s="313">
        <f t="shared" si="0"/>
        <v>44903</v>
      </c>
      <c r="K27" s="313">
        <f t="shared" si="0"/>
        <v>44904</v>
      </c>
      <c r="L27" s="313">
        <f t="shared" si="0"/>
        <v>44905</v>
      </c>
      <c r="M27" s="313">
        <f t="shared" si="0"/>
        <v>44906</v>
      </c>
      <c r="N27" s="313">
        <f t="shared" si="0"/>
        <v>44907</v>
      </c>
      <c r="O27" s="313">
        <f t="shared" si="0"/>
        <v>44908</v>
      </c>
      <c r="P27" s="313">
        <f t="shared" si="0"/>
        <v>44909</v>
      </c>
      <c r="Q27" s="313">
        <f t="shared" si="0"/>
        <v>44910</v>
      </c>
      <c r="R27" s="313">
        <f t="shared" si="0"/>
        <v>44911</v>
      </c>
      <c r="S27" s="313">
        <f t="shared" si="0"/>
        <v>44912</v>
      </c>
      <c r="T27" s="313">
        <f t="shared" si="0"/>
        <v>44913</v>
      </c>
      <c r="U27" s="313">
        <f t="shared" si="0"/>
        <v>44914</v>
      </c>
      <c r="V27" s="313">
        <f t="shared" si="0"/>
        <v>44915</v>
      </c>
      <c r="W27" s="313">
        <f t="shared" si="0"/>
        <v>44916</v>
      </c>
      <c r="X27" s="313">
        <f t="shared" si="0"/>
        <v>44917</v>
      </c>
      <c r="Y27" s="313">
        <f t="shared" si="0"/>
        <v>44918</v>
      </c>
      <c r="Z27" s="313">
        <f t="shared" si="0"/>
        <v>44919</v>
      </c>
      <c r="AA27" s="313">
        <f t="shared" si="0"/>
        <v>44920</v>
      </c>
      <c r="AB27" s="313">
        <f t="shared" si="0"/>
        <v>44921</v>
      </c>
      <c r="AC27" s="313">
        <f t="shared" si="0"/>
        <v>44922</v>
      </c>
      <c r="AD27" s="313">
        <f t="shared" si="0"/>
        <v>44923</v>
      </c>
      <c r="AE27" s="313">
        <f t="shared" si="0"/>
        <v>44924</v>
      </c>
      <c r="AF27" s="313">
        <f t="shared" si="0"/>
        <v>44925</v>
      </c>
      <c r="AG27" s="313">
        <f>AH27-1</f>
        <v>44926</v>
      </c>
      <c r="AH27" s="313">
        <f>DATE(B1,1,1)</f>
        <v>44927</v>
      </c>
      <c r="AI27" s="313">
        <f>AH27+1</f>
        <v>44928</v>
      </c>
      <c r="AJ27" s="313">
        <f>AI27+1</f>
        <v>44929</v>
      </c>
      <c r="AK27" s="313">
        <f t="shared" ref="AK27:CU27" si="1">AJ27+1</f>
        <v>44930</v>
      </c>
      <c r="AL27" s="313">
        <f t="shared" si="1"/>
        <v>44931</v>
      </c>
      <c r="AM27" s="313">
        <f t="shared" si="1"/>
        <v>44932</v>
      </c>
      <c r="AN27" s="313">
        <f t="shared" si="1"/>
        <v>44933</v>
      </c>
      <c r="AO27" s="313">
        <f t="shared" si="1"/>
        <v>44934</v>
      </c>
      <c r="AP27" s="313">
        <f t="shared" si="1"/>
        <v>44935</v>
      </c>
      <c r="AQ27" s="313">
        <f t="shared" si="1"/>
        <v>44936</v>
      </c>
      <c r="AR27" s="313">
        <f t="shared" si="1"/>
        <v>44937</v>
      </c>
      <c r="AS27" s="313">
        <f t="shared" si="1"/>
        <v>44938</v>
      </c>
      <c r="AT27" s="313">
        <f t="shared" si="1"/>
        <v>44939</v>
      </c>
      <c r="AU27" s="313">
        <f t="shared" si="1"/>
        <v>44940</v>
      </c>
      <c r="AV27" s="313">
        <f t="shared" si="1"/>
        <v>44941</v>
      </c>
      <c r="AW27" s="313">
        <f t="shared" si="1"/>
        <v>44942</v>
      </c>
      <c r="AX27" s="313">
        <f t="shared" si="1"/>
        <v>44943</v>
      </c>
      <c r="AY27" s="313">
        <f t="shared" si="1"/>
        <v>44944</v>
      </c>
      <c r="AZ27" s="313">
        <f t="shared" si="1"/>
        <v>44945</v>
      </c>
      <c r="BA27" s="313">
        <f t="shared" si="1"/>
        <v>44946</v>
      </c>
      <c r="BB27" s="313">
        <f t="shared" si="1"/>
        <v>44947</v>
      </c>
      <c r="BC27" s="313">
        <f t="shared" si="1"/>
        <v>44948</v>
      </c>
      <c r="BD27" s="313">
        <f t="shared" si="1"/>
        <v>44949</v>
      </c>
      <c r="BE27" s="313">
        <f t="shared" si="1"/>
        <v>44950</v>
      </c>
      <c r="BF27" s="313">
        <f t="shared" si="1"/>
        <v>44951</v>
      </c>
      <c r="BG27" s="313">
        <f t="shared" si="1"/>
        <v>44952</v>
      </c>
      <c r="BH27" s="313">
        <f t="shared" si="1"/>
        <v>44953</v>
      </c>
      <c r="BI27" s="313">
        <f t="shared" si="1"/>
        <v>44954</v>
      </c>
      <c r="BJ27" s="313">
        <f t="shared" si="1"/>
        <v>44955</v>
      </c>
      <c r="BK27" s="313">
        <f t="shared" si="1"/>
        <v>44956</v>
      </c>
      <c r="BL27" s="313">
        <f t="shared" si="1"/>
        <v>44957</v>
      </c>
      <c r="BM27" s="313">
        <f t="shared" si="1"/>
        <v>44958</v>
      </c>
      <c r="BN27" s="313">
        <f t="shared" si="1"/>
        <v>44959</v>
      </c>
      <c r="BO27" s="313">
        <f t="shared" si="1"/>
        <v>44960</v>
      </c>
      <c r="BP27" s="313">
        <f t="shared" si="1"/>
        <v>44961</v>
      </c>
      <c r="BQ27" s="313">
        <f t="shared" si="1"/>
        <v>44962</v>
      </c>
      <c r="BR27" s="313">
        <f t="shared" si="1"/>
        <v>44963</v>
      </c>
      <c r="BS27" s="313">
        <f t="shared" si="1"/>
        <v>44964</v>
      </c>
      <c r="BT27" s="313">
        <f t="shared" si="1"/>
        <v>44965</v>
      </c>
      <c r="BU27" s="313">
        <f t="shared" si="1"/>
        <v>44966</v>
      </c>
      <c r="BV27" s="313">
        <f t="shared" si="1"/>
        <v>44967</v>
      </c>
      <c r="BW27" s="313">
        <f t="shared" si="1"/>
        <v>44968</v>
      </c>
      <c r="BX27" s="313">
        <f t="shared" si="1"/>
        <v>44969</v>
      </c>
      <c r="BY27" s="313">
        <f t="shared" si="1"/>
        <v>44970</v>
      </c>
      <c r="BZ27" s="313">
        <f t="shared" si="1"/>
        <v>44971</v>
      </c>
      <c r="CA27" s="313">
        <f t="shared" si="1"/>
        <v>44972</v>
      </c>
      <c r="CB27" s="313">
        <f t="shared" si="1"/>
        <v>44973</v>
      </c>
      <c r="CC27" s="313">
        <f t="shared" si="1"/>
        <v>44974</v>
      </c>
      <c r="CD27" s="313">
        <f t="shared" si="1"/>
        <v>44975</v>
      </c>
      <c r="CE27" s="313">
        <f t="shared" si="1"/>
        <v>44976</v>
      </c>
      <c r="CF27" s="313">
        <f t="shared" si="1"/>
        <v>44977</v>
      </c>
      <c r="CG27" s="313">
        <f t="shared" si="1"/>
        <v>44978</v>
      </c>
      <c r="CH27" s="313">
        <f t="shared" si="1"/>
        <v>44979</v>
      </c>
      <c r="CI27" s="313">
        <f t="shared" si="1"/>
        <v>44980</v>
      </c>
      <c r="CJ27" s="313">
        <f t="shared" si="1"/>
        <v>44981</v>
      </c>
      <c r="CK27" s="313">
        <f t="shared" si="1"/>
        <v>44982</v>
      </c>
      <c r="CL27" s="313">
        <f t="shared" si="1"/>
        <v>44983</v>
      </c>
      <c r="CM27" s="313">
        <f t="shared" si="1"/>
        <v>44984</v>
      </c>
      <c r="CN27" s="313">
        <f t="shared" si="1"/>
        <v>44985</v>
      </c>
      <c r="CO27" s="313">
        <f t="shared" si="1"/>
        <v>44986</v>
      </c>
      <c r="CP27" s="313">
        <f t="shared" si="1"/>
        <v>44987</v>
      </c>
      <c r="CQ27" s="313">
        <f t="shared" si="1"/>
        <v>44988</v>
      </c>
      <c r="CR27" s="313">
        <f t="shared" si="1"/>
        <v>44989</v>
      </c>
      <c r="CS27" s="313">
        <f t="shared" si="1"/>
        <v>44990</v>
      </c>
      <c r="CT27" s="313">
        <f t="shared" si="1"/>
        <v>44991</v>
      </c>
      <c r="CU27" s="313">
        <f t="shared" si="1"/>
        <v>44992</v>
      </c>
      <c r="CV27" s="313">
        <f t="shared" ref="CV27:FG27" si="2">CU27+1</f>
        <v>44993</v>
      </c>
      <c r="CW27" s="313">
        <f t="shared" si="2"/>
        <v>44994</v>
      </c>
      <c r="CX27" s="313">
        <f t="shared" si="2"/>
        <v>44995</v>
      </c>
      <c r="CY27" s="313">
        <f t="shared" si="2"/>
        <v>44996</v>
      </c>
      <c r="CZ27" s="313">
        <f t="shared" si="2"/>
        <v>44997</v>
      </c>
      <c r="DA27" s="313">
        <f t="shared" si="2"/>
        <v>44998</v>
      </c>
      <c r="DB27" s="313">
        <f t="shared" si="2"/>
        <v>44999</v>
      </c>
      <c r="DC27" s="313">
        <f t="shared" si="2"/>
        <v>45000</v>
      </c>
      <c r="DD27" s="313">
        <f t="shared" si="2"/>
        <v>45001</v>
      </c>
      <c r="DE27" s="313">
        <f t="shared" si="2"/>
        <v>45002</v>
      </c>
      <c r="DF27" s="313">
        <f t="shared" si="2"/>
        <v>45003</v>
      </c>
      <c r="DG27" s="313">
        <f t="shared" si="2"/>
        <v>45004</v>
      </c>
      <c r="DH27" s="313">
        <f t="shared" si="2"/>
        <v>45005</v>
      </c>
      <c r="DI27" s="313">
        <f t="shared" si="2"/>
        <v>45006</v>
      </c>
      <c r="DJ27" s="313">
        <f t="shared" si="2"/>
        <v>45007</v>
      </c>
      <c r="DK27" s="313">
        <f t="shared" si="2"/>
        <v>45008</v>
      </c>
      <c r="DL27" s="313">
        <f t="shared" si="2"/>
        <v>45009</v>
      </c>
      <c r="DM27" s="313">
        <f t="shared" si="2"/>
        <v>45010</v>
      </c>
      <c r="DN27" s="313">
        <f t="shared" si="2"/>
        <v>45011</v>
      </c>
      <c r="DO27" s="313">
        <f t="shared" si="2"/>
        <v>45012</v>
      </c>
      <c r="DP27" s="313">
        <f t="shared" si="2"/>
        <v>45013</v>
      </c>
      <c r="DQ27" s="313">
        <f t="shared" si="2"/>
        <v>45014</v>
      </c>
      <c r="DR27" s="313">
        <f t="shared" si="2"/>
        <v>45015</v>
      </c>
      <c r="DS27" s="313">
        <f t="shared" si="2"/>
        <v>45016</v>
      </c>
      <c r="DT27" s="313">
        <f t="shared" si="2"/>
        <v>45017</v>
      </c>
      <c r="DU27" s="313">
        <f t="shared" si="2"/>
        <v>45018</v>
      </c>
      <c r="DV27" s="313">
        <f t="shared" si="2"/>
        <v>45019</v>
      </c>
      <c r="DW27" s="313">
        <f t="shared" si="2"/>
        <v>45020</v>
      </c>
      <c r="DX27" s="313">
        <f t="shared" si="2"/>
        <v>45021</v>
      </c>
      <c r="DY27" s="313">
        <f t="shared" si="2"/>
        <v>45022</v>
      </c>
      <c r="DZ27" s="313">
        <f t="shared" si="2"/>
        <v>45023</v>
      </c>
      <c r="EA27" s="313">
        <f t="shared" si="2"/>
        <v>45024</v>
      </c>
      <c r="EB27" s="313">
        <f t="shared" si="2"/>
        <v>45025</v>
      </c>
      <c r="EC27" s="313">
        <f t="shared" si="2"/>
        <v>45026</v>
      </c>
      <c r="ED27" s="313">
        <f t="shared" si="2"/>
        <v>45027</v>
      </c>
      <c r="EE27" s="313">
        <f t="shared" si="2"/>
        <v>45028</v>
      </c>
      <c r="EF27" s="313">
        <f t="shared" si="2"/>
        <v>45029</v>
      </c>
      <c r="EG27" s="313">
        <f t="shared" si="2"/>
        <v>45030</v>
      </c>
      <c r="EH27" s="313">
        <f t="shared" si="2"/>
        <v>45031</v>
      </c>
      <c r="EI27" s="313">
        <f t="shared" si="2"/>
        <v>45032</v>
      </c>
      <c r="EJ27" s="313">
        <f t="shared" si="2"/>
        <v>45033</v>
      </c>
      <c r="EK27" s="313">
        <f t="shared" si="2"/>
        <v>45034</v>
      </c>
      <c r="EL27" s="313">
        <f t="shared" si="2"/>
        <v>45035</v>
      </c>
      <c r="EM27" s="313">
        <f t="shared" si="2"/>
        <v>45036</v>
      </c>
      <c r="EN27" s="313">
        <f t="shared" si="2"/>
        <v>45037</v>
      </c>
      <c r="EO27" s="313">
        <f t="shared" si="2"/>
        <v>45038</v>
      </c>
      <c r="EP27" s="313">
        <f t="shared" si="2"/>
        <v>45039</v>
      </c>
      <c r="EQ27" s="313">
        <f t="shared" si="2"/>
        <v>45040</v>
      </c>
      <c r="ER27" s="313">
        <f t="shared" si="2"/>
        <v>45041</v>
      </c>
      <c r="ES27" s="313">
        <f t="shared" si="2"/>
        <v>45042</v>
      </c>
      <c r="ET27" s="313">
        <f t="shared" si="2"/>
        <v>45043</v>
      </c>
      <c r="EU27" s="313">
        <f t="shared" si="2"/>
        <v>45044</v>
      </c>
      <c r="EV27" s="313">
        <f t="shared" si="2"/>
        <v>45045</v>
      </c>
      <c r="EW27" s="313">
        <f t="shared" si="2"/>
        <v>45046</v>
      </c>
      <c r="EX27" s="313">
        <f t="shared" si="2"/>
        <v>45047</v>
      </c>
      <c r="EY27" s="313">
        <f t="shared" si="2"/>
        <v>45048</v>
      </c>
      <c r="EZ27" s="313">
        <f t="shared" si="2"/>
        <v>45049</v>
      </c>
      <c r="FA27" s="313">
        <f t="shared" si="2"/>
        <v>45050</v>
      </c>
      <c r="FB27" s="313">
        <f t="shared" si="2"/>
        <v>45051</v>
      </c>
      <c r="FC27" s="313">
        <f t="shared" si="2"/>
        <v>45052</v>
      </c>
      <c r="FD27" s="313">
        <f t="shared" si="2"/>
        <v>45053</v>
      </c>
      <c r="FE27" s="313">
        <f t="shared" si="2"/>
        <v>45054</v>
      </c>
      <c r="FF27" s="313">
        <f t="shared" si="2"/>
        <v>45055</v>
      </c>
      <c r="FG27" s="313">
        <f t="shared" si="2"/>
        <v>45056</v>
      </c>
      <c r="FH27" s="313">
        <f t="shared" ref="FH27:HS27" si="3">FG27+1</f>
        <v>45057</v>
      </c>
      <c r="FI27" s="313">
        <f t="shared" si="3"/>
        <v>45058</v>
      </c>
      <c r="FJ27" s="313">
        <f t="shared" si="3"/>
        <v>45059</v>
      </c>
      <c r="FK27" s="313">
        <f t="shared" si="3"/>
        <v>45060</v>
      </c>
      <c r="FL27" s="313">
        <f t="shared" si="3"/>
        <v>45061</v>
      </c>
      <c r="FM27" s="313">
        <f t="shared" si="3"/>
        <v>45062</v>
      </c>
      <c r="FN27" s="313">
        <f t="shared" si="3"/>
        <v>45063</v>
      </c>
      <c r="FO27" s="313">
        <f t="shared" si="3"/>
        <v>45064</v>
      </c>
      <c r="FP27" s="313">
        <f t="shared" si="3"/>
        <v>45065</v>
      </c>
      <c r="FQ27" s="313">
        <f t="shared" si="3"/>
        <v>45066</v>
      </c>
      <c r="FR27" s="313">
        <f t="shared" si="3"/>
        <v>45067</v>
      </c>
      <c r="FS27" s="313">
        <f t="shared" si="3"/>
        <v>45068</v>
      </c>
      <c r="FT27" s="313">
        <f t="shared" si="3"/>
        <v>45069</v>
      </c>
      <c r="FU27" s="313">
        <f t="shared" si="3"/>
        <v>45070</v>
      </c>
      <c r="FV27" s="313">
        <f t="shared" si="3"/>
        <v>45071</v>
      </c>
      <c r="FW27" s="313">
        <f t="shared" si="3"/>
        <v>45072</v>
      </c>
      <c r="FX27" s="313">
        <f t="shared" si="3"/>
        <v>45073</v>
      </c>
      <c r="FY27" s="313">
        <f t="shared" si="3"/>
        <v>45074</v>
      </c>
      <c r="FZ27" s="313">
        <f t="shared" si="3"/>
        <v>45075</v>
      </c>
      <c r="GA27" s="313">
        <f t="shared" si="3"/>
        <v>45076</v>
      </c>
      <c r="GB27" s="313">
        <f t="shared" si="3"/>
        <v>45077</v>
      </c>
      <c r="GC27" s="313">
        <f t="shared" si="3"/>
        <v>45078</v>
      </c>
      <c r="GD27" s="313">
        <f t="shared" si="3"/>
        <v>45079</v>
      </c>
      <c r="GE27" s="313">
        <f t="shared" si="3"/>
        <v>45080</v>
      </c>
      <c r="GF27" s="313">
        <f t="shared" si="3"/>
        <v>45081</v>
      </c>
      <c r="GG27" s="313">
        <f t="shared" si="3"/>
        <v>45082</v>
      </c>
      <c r="GH27" s="313">
        <f t="shared" si="3"/>
        <v>45083</v>
      </c>
      <c r="GI27" s="313">
        <f t="shared" si="3"/>
        <v>45084</v>
      </c>
      <c r="GJ27" s="313">
        <f t="shared" si="3"/>
        <v>45085</v>
      </c>
      <c r="GK27" s="313">
        <f t="shared" si="3"/>
        <v>45086</v>
      </c>
      <c r="GL27" s="313">
        <f t="shared" si="3"/>
        <v>45087</v>
      </c>
      <c r="GM27" s="313">
        <f t="shared" si="3"/>
        <v>45088</v>
      </c>
      <c r="GN27" s="313">
        <f t="shared" si="3"/>
        <v>45089</v>
      </c>
      <c r="GO27" s="313">
        <f t="shared" si="3"/>
        <v>45090</v>
      </c>
      <c r="GP27" s="313">
        <f t="shared" si="3"/>
        <v>45091</v>
      </c>
      <c r="GQ27" s="313">
        <f t="shared" si="3"/>
        <v>45092</v>
      </c>
      <c r="GR27" s="313">
        <f t="shared" si="3"/>
        <v>45093</v>
      </c>
      <c r="GS27" s="313">
        <f t="shared" si="3"/>
        <v>45094</v>
      </c>
      <c r="GT27" s="313">
        <f t="shared" si="3"/>
        <v>45095</v>
      </c>
      <c r="GU27" s="313">
        <f t="shared" si="3"/>
        <v>45096</v>
      </c>
      <c r="GV27" s="313">
        <f t="shared" si="3"/>
        <v>45097</v>
      </c>
      <c r="GW27" s="313">
        <f t="shared" si="3"/>
        <v>45098</v>
      </c>
      <c r="GX27" s="313">
        <f t="shared" si="3"/>
        <v>45099</v>
      </c>
      <c r="GY27" s="313">
        <f t="shared" si="3"/>
        <v>45100</v>
      </c>
      <c r="GZ27" s="313">
        <f t="shared" si="3"/>
        <v>45101</v>
      </c>
      <c r="HA27" s="313">
        <f t="shared" si="3"/>
        <v>45102</v>
      </c>
      <c r="HB27" s="313">
        <f t="shared" si="3"/>
        <v>45103</v>
      </c>
      <c r="HC27" s="313">
        <f t="shared" si="3"/>
        <v>45104</v>
      </c>
      <c r="HD27" s="313">
        <f t="shared" si="3"/>
        <v>45105</v>
      </c>
      <c r="HE27" s="313">
        <f t="shared" si="3"/>
        <v>45106</v>
      </c>
      <c r="HF27" s="313">
        <f t="shared" si="3"/>
        <v>45107</v>
      </c>
      <c r="HG27" s="313">
        <f t="shared" si="3"/>
        <v>45108</v>
      </c>
      <c r="HH27" s="313">
        <f t="shared" si="3"/>
        <v>45109</v>
      </c>
      <c r="HI27" s="313">
        <f t="shared" si="3"/>
        <v>45110</v>
      </c>
      <c r="HJ27" s="313">
        <f t="shared" si="3"/>
        <v>45111</v>
      </c>
      <c r="HK27" s="313">
        <f t="shared" si="3"/>
        <v>45112</v>
      </c>
      <c r="HL27" s="313">
        <f t="shared" si="3"/>
        <v>45113</v>
      </c>
      <c r="HM27" s="313">
        <f t="shared" si="3"/>
        <v>45114</v>
      </c>
      <c r="HN27" s="313">
        <f t="shared" si="3"/>
        <v>45115</v>
      </c>
      <c r="HO27" s="313">
        <f t="shared" si="3"/>
        <v>45116</v>
      </c>
      <c r="HP27" s="313">
        <f t="shared" si="3"/>
        <v>45117</v>
      </c>
      <c r="HQ27" s="313">
        <f t="shared" si="3"/>
        <v>45118</v>
      </c>
      <c r="HR27" s="313">
        <f t="shared" si="3"/>
        <v>45119</v>
      </c>
      <c r="HS27" s="313">
        <f t="shared" si="3"/>
        <v>45120</v>
      </c>
      <c r="HT27" s="313">
        <f t="shared" ref="HT27:KE27" si="4">HS27+1</f>
        <v>45121</v>
      </c>
      <c r="HU27" s="313">
        <f t="shared" si="4"/>
        <v>45122</v>
      </c>
      <c r="HV27" s="313">
        <f t="shared" si="4"/>
        <v>45123</v>
      </c>
      <c r="HW27" s="313">
        <f t="shared" si="4"/>
        <v>45124</v>
      </c>
      <c r="HX27" s="313">
        <f t="shared" si="4"/>
        <v>45125</v>
      </c>
      <c r="HY27" s="313">
        <f t="shared" si="4"/>
        <v>45126</v>
      </c>
      <c r="HZ27" s="313">
        <f t="shared" si="4"/>
        <v>45127</v>
      </c>
      <c r="IA27" s="313">
        <f t="shared" si="4"/>
        <v>45128</v>
      </c>
      <c r="IB27" s="313">
        <f t="shared" si="4"/>
        <v>45129</v>
      </c>
      <c r="IC27" s="313">
        <f t="shared" si="4"/>
        <v>45130</v>
      </c>
      <c r="ID27" s="313">
        <f t="shared" si="4"/>
        <v>45131</v>
      </c>
      <c r="IE27" s="313">
        <f t="shared" si="4"/>
        <v>45132</v>
      </c>
      <c r="IF27" s="313">
        <f t="shared" si="4"/>
        <v>45133</v>
      </c>
      <c r="IG27" s="313">
        <f t="shared" si="4"/>
        <v>45134</v>
      </c>
      <c r="IH27" s="313">
        <f t="shared" si="4"/>
        <v>45135</v>
      </c>
      <c r="II27" s="313">
        <f t="shared" si="4"/>
        <v>45136</v>
      </c>
      <c r="IJ27" s="313">
        <f t="shared" si="4"/>
        <v>45137</v>
      </c>
      <c r="IK27" s="313">
        <f t="shared" si="4"/>
        <v>45138</v>
      </c>
      <c r="IL27" s="313">
        <f t="shared" si="4"/>
        <v>45139</v>
      </c>
      <c r="IM27" s="313">
        <f t="shared" si="4"/>
        <v>45140</v>
      </c>
      <c r="IN27" s="313">
        <f t="shared" si="4"/>
        <v>45141</v>
      </c>
      <c r="IO27" s="313">
        <f t="shared" si="4"/>
        <v>45142</v>
      </c>
      <c r="IP27" s="313">
        <f t="shared" si="4"/>
        <v>45143</v>
      </c>
      <c r="IQ27" s="313">
        <f t="shared" si="4"/>
        <v>45144</v>
      </c>
      <c r="IR27" s="313">
        <f t="shared" si="4"/>
        <v>45145</v>
      </c>
      <c r="IS27" s="313">
        <f t="shared" si="4"/>
        <v>45146</v>
      </c>
      <c r="IT27" s="313">
        <f t="shared" si="4"/>
        <v>45147</v>
      </c>
      <c r="IU27" s="313">
        <f t="shared" si="4"/>
        <v>45148</v>
      </c>
      <c r="IV27" s="313">
        <f t="shared" si="4"/>
        <v>45149</v>
      </c>
      <c r="IW27" s="313">
        <f t="shared" si="4"/>
        <v>45150</v>
      </c>
      <c r="IX27" s="313">
        <f t="shared" si="4"/>
        <v>45151</v>
      </c>
      <c r="IY27" s="313">
        <f t="shared" si="4"/>
        <v>45152</v>
      </c>
      <c r="IZ27" s="313">
        <f t="shared" si="4"/>
        <v>45153</v>
      </c>
      <c r="JA27" s="313">
        <f t="shared" si="4"/>
        <v>45154</v>
      </c>
      <c r="JB27" s="313">
        <f t="shared" si="4"/>
        <v>45155</v>
      </c>
      <c r="JC27" s="313">
        <f t="shared" si="4"/>
        <v>45156</v>
      </c>
      <c r="JD27" s="313">
        <f t="shared" si="4"/>
        <v>45157</v>
      </c>
      <c r="JE27" s="313">
        <f t="shared" si="4"/>
        <v>45158</v>
      </c>
      <c r="JF27" s="313">
        <f t="shared" si="4"/>
        <v>45159</v>
      </c>
      <c r="JG27" s="313">
        <f t="shared" si="4"/>
        <v>45160</v>
      </c>
      <c r="JH27" s="313">
        <f t="shared" si="4"/>
        <v>45161</v>
      </c>
      <c r="JI27" s="313">
        <f t="shared" si="4"/>
        <v>45162</v>
      </c>
      <c r="JJ27" s="313">
        <f t="shared" si="4"/>
        <v>45163</v>
      </c>
      <c r="JK27" s="313">
        <f t="shared" si="4"/>
        <v>45164</v>
      </c>
      <c r="JL27" s="313">
        <f t="shared" si="4"/>
        <v>45165</v>
      </c>
      <c r="JM27" s="313">
        <f t="shared" si="4"/>
        <v>45166</v>
      </c>
      <c r="JN27" s="313">
        <f t="shared" si="4"/>
        <v>45167</v>
      </c>
      <c r="JO27" s="313">
        <f t="shared" si="4"/>
        <v>45168</v>
      </c>
      <c r="JP27" s="313">
        <f t="shared" si="4"/>
        <v>45169</v>
      </c>
      <c r="JQ27" s="313">
        <f t="shared" si="4"/>
        <v>45170</v>
      </c>
      <c r="JR27" s="313">
        <f t="shared" si="4"/>
        <v>45171</v>
      </c>
      <c r="JS27" s="313">
        <f t="shared" si="4"/>
        <v>45172</v>
      </c>
      <c r="JT27" s="313">
        <f t="shared" si="4"/>
        <v>45173</v>
      </c>
      <c r="JU27" s="313">
        <f t="shared" si="4"/>
        <v>45174</v>
      </c>
      <c r="JV27" s="313">
        <f t="shared" si="4"/>
        <v>45175</v>
      </c>
      <c r="JW27" s="313">
        <f t="shared" si="4"/>
        <v>45176</v>
      </c>
      <c r="JX27" s="313">
        <f t="shared" si="4"/>
        <v>45177</v>
      </c>
      <c r="JY27" s="313">
        <f t="shared" si="4"/>
        <v>45178</v>
      </c>
      <c r="JZ27" s="313">
        <f t="shared" si="4"/>
        <v>45179</v>
      </c>
      <c r="KA27" s="313">
        <f t="shared" si="4"/>
        <v>45180</v>
      </c>
      <c r="KB27" s="313">
        <f t="shared" si="4"/>
        <v>45181</v>
      </c>
      <c r="KC27" s="313">
        <f t="shared" si="4"/>
        <v>45182</v>
      </c>
      <c r="KD27" s="313">
        <f t="shared" si="4"/>
        <v>45183</v>
      </c>
      <c r="KE27" s="313">
        <f t="shared" si="4"/>
        <v>45184</v>
      </c>
      <c r="KF27" s="313">
        <f t="shared" ref="KF27:MQ27" si="5">KE27+1</f>
        <v>45185</v>
      </c>
      <c r="KG27" s="313">
        <f t="shared" si="5"/>
        <v>45186</v>
      </c>
      <c r="KH27" s="313">
        <f t="shared" si="5"/>
        <v>45187</v>
      </c>
      <c r="KI27" s="313">
        <f t="shared" si="5"/>
        <v>45188</v>
      </c>
      <c r="KJ27" s="313">
        <f t="shared" si="5"/>
        <v>45189</v>
      </c>
      <c r="KK27" s="313">
        <f t="shared" si="5"/>
        <v>45190</v>
      </c>
      <c r="KL27" s="313">
        <f t="shared" si="5"/>
        <v>45191</v>
      </c>
      <c r="KM27" s="313">
        <f t="shared" si="5"/>
        <v>45192</v>
      </c>
      <c r="KN27" s="313">
        <f t="shared" si="5"/>
        <v>45193</v>
      </c>
      <c r="KO27" s="313">
        <f t="shared" si="5"/>
        <v>45194</v>
      </c>
      <c r="KP27" s="313">
        <f t="shared" si="5"/>
        <v>45195</v>
      </c>
      <c r="KQ27" s="313">
        <f t="shared" si="5"/>
        <v>45196</v>
      </c>
      <c r="KR27" s="313">
        <f t="shared" si="5"/>
        <v>45197</v>
      </c>
      <c r="KS27" s="313">
        <f t="shared" si="5"/>
        <v>45198</v>
      </c>
      <c r="KT27" s="313">
        <f t="shared" si="5"/>
        <v>45199</v>
      </c>
      <c r="KU27" s="313">
        <f t="shared" si="5"/>
        <v>45200</v>
      </c>
      <c r="KV27" s="313">
        <f t="shared" si="5"/>
        <v>45201</v>
      </c>
      <c r="KW27" s="313">
        <f t="shared" si="5"/>
        <v>45202</v>
      </c>
      <c r="KX27" s="313">
        <f t="shared" si="5"/>
        <v>45203</v>
      </c>
      <c r="KY27" s="313">
        <f t="shared" si="5"/>
        <v>45204</v>
      </c>
      <c r="KZ27" s="313">
        <f t="shared" si="5"/>
        <v>45205</v>
      </c>
      <c r="LA27" s="313">
        <f t="shared" si="5"/>
        <v>45206</v>
      </c>
      <c r="LB27" s="313">
        <f t="shared" si="5"/>
        <v>45207</v>
      </c>
      <c r="LC27" s="313">
        <f t="shared" si="5"/>
        <v>45208</v>
      </c>
      <c r="LD27" s="313">
        <f t="shared" si="5"/>
        <v>45209</v>
      </c>
      <c r="LE27" s="313">
        <f t="shared" si="5"/>
        <v>45210</v>
      </c>
      <c r="LF27" s="313">
        <f t="shared" si="5"/>
        <v>45211</v>
      </c>
      <c r="LG27" s="313">
        <f t="shared" si="5"/>
        <v>45212</v>
      </c>
      <c r="LH27" s="313">
        <f t="shared" si="5"/>
        <v>45213</v>
      </c>
      <c r="LI27" s="313">
        <f t="shared" si="5"/>
        <v>45214</v>
      </c>
      <c r="LJ27" s="313">
        <f t="shared" si="5"/>
        <v>45215</v>
      </c>
      <c r="LK27" s="313">
        <f t="shared" si="5"/>
        <v>45216</v>
      </c>
      <c r="LL27" s="313">
        <f t="shared" si="5"/>
        <v>45217</v>
      </c>
      <c r="LM27" s="313">
        <f t="shared" si="5"/>
        <v>45218</v>
      </c>
      <c r="LN27" s="313">
        <f t="shared" si="5"/>
        <v>45219</v>
      </c>
      <c r="LO27" s="313">
        <f t="shared" si="5"/>
        <v>45220</v>
      </c>
      <c r="LP27" s="313">
        <f t="shared" si="5"/>
        <v>45221</v>
      </c>
      <c r="LQ27" s="313">
        <f t="shared" si="5"/>
        <v>45222</v>
      </c>
      <c r="LR27" s="313">
        <f t="shared" si="5"/>
        <v>45223</v>
      </c>
      <c r="LS27" s="313">
        <f t="shared" si="5"/>
        <v>45224</v>
      </c>
      <c r="LT27" s="313">
        <f t="shared" si="5"/>
        <v>45225</v>
      </c>
      <c r="LU27" s="313">
        <f t="shared" si="5"/>
        <v>45226</v>
      </c>
      <c r="LV27" s="313">
        <f t="shared" si="5"/>
        <v>45227</v>
      </c>
      <c r="LW27" s="313">
        <f t="shared" si="5"/>
        <v>45228</v>
      </c>
      <c r="LX27" s="313">
        <f t="shared" si="5"/>
        <v>45229</v>
      </c>
      <c r="LY27" s="313">
        <f t="shared" si="5"/>
        <v>45230</v>
      </c>
      <c r="LZ27" s="313">
        <f t="shared" si="5"/>
        <v>45231</v>
      </c>
      <c r="MA27" s="313">
        <f t="shared" si="5"/>
        <v>45232</v>
      </c>
      <c r="MB27" s="313">
        <f t="shared" si="5"/>
        <v>45233</v>
      </c>
      <c r="MC27" s="313">
        <f t="shared" si="5"/>
        <v>45234</v>
      </c>
      <c r="MD27" s="313">
        <f t="shared" si="5"/>
        <v>45235</v>
      </c>
      <c r="ME27" s="313">
        <f t="shared" si="5"/>
        <v>45236</v>
      </c>
      <c r="MF27" s="313">
        <f t="shared" si="5"/>
        <v>45237</v>
      </c>
      <c r="MG27" s="313">
        <f t="shared" si="5"/>
        <v>45238</v>
      </c>
      <c r="MH27" s="313">
        <f t="shared" si="5"/>
        <v>45239</v>
      </c>
      <c r="MI27" s="313">
        <f t="shared" si="5"/>
        <v>45240</v>
      </c>
      <c r="MJ27" s="313">
        <f t="shared" si="5"/>
        <v>45241</v>
      </c>
      <c r="MK27" s="313">
        <f t="shared" si="5"/>
        <v>45242</v>
      </c>
      <c r="ML27" s="313">
        <f t="shared" si="5"/>
        <v>45243</v>
      </c>
      <c r="MM27" s="313">
        <f t="shared" si="5"/>
        <v>45244</v>
      </c>
      <c r="MN27" s="313">
        <f t="shared" si="5"/>
        <v>45245</v>
      </c>
      <c r="MO27" s="313">
        <f t="shared" si="5"/>
        <v>45246</v>
      </c>
      <c r="MP27" s="313">
        <f t="shared" si="5"/>
        <v>45247</v>
      </c>
      <c r="MQ27" s="313">
        <f t="shared" si="5"/>
        <v>45248</v>
      </c>
      <c r="MR27" s="313">
        <f t="shared" ref="MR27:OG27" si="6">MQ27+1</f>
        <v>45249</v>
      </c>
      <c r="MS27" s="313">
        <f t="shared" si="6"/>
        <v>45250</v>
      </c>
      <c r="MT27" s="313">
        <f t="shared" si="6"/>
        <v>45251</v>
      </c>
      <c r="MU27" s="313">
        <f t="shared" si="6"/>
        <v>45252</v>
      </c>
      <c r="MV27" s="313">
        <f t="shared" si="6"/>
        <v>45253</v>
      </c>
      <c r="MW27" s="313">
        <f t="shared" si="6"/>
        <v>45254</v>
      </c>
      <c r="MX27" s="313">
        <f t="shared" si="6"/>
        <v>45255</v>
      </c>
      <c r="MY27" s="313">
        <f t="shared" si="6"/>
        <v>45256</v>
      </c>
      <c r="MZ27" s="313">
        <f t="shared" si="6"/>
        <v>45257</v>
      </c>
      <c r="NA27" s="313">
        <f t="shared" si="6"/>
        <v>45258</v>
      </c>
      <c r="NB27" s="313">
        <f t="shared" si="6"/>
        <v>45259</v>
      </c>
      <c r="NC27" s="313">
        <f t="shared" si="6"/>
        <v>45260</v>
      </c>
      <c r="ND27" s="313">
        <f t="shared" si="6"/>
        <v>45261</v>
      </c>
      <c r="NE27" s="313">
        <f t="shared" si="6"/>
        <v>45262</v>
      </c>
      <c r="NF27" s="313">
        <f t="shared" si="6"/>
        <v>45263</v>
      </c>
      <c r="NG27" s="313">
        <f t="shared" si="6"/>
        <v>45264</v>
      </c>
      <c r="NH27" s="313">
        <f t="shared" si="6"/>
        <v>45265</v>
      </c>
      <c r="NI27" s="313">
        <f t="shared" si="6"/>
        <v>45266</v>
      </c>
      <c r="NJ27" s="313">
        <f t="shared" si="6"/>
        <v>45267</v>
      </c>
      <c r="NK27" s="313">
        <f t="shared" si="6"/>
        <v>45268</v>
      </c>
      <c r="NL27" s="313">
        <f t="shared" si="6"/>
        <v>45269</v>
      </c>
      <c r="NM27" s="313">
        <f t="shared" si="6"/>
        <v>45270</v>
      </c>
      <c r="NN27" s="313">
        <f t="shared" si="6"/>
        <v>45271</v>
      </c>
      <c r="NO27" s="313">
        <f t="shared" si="6"/>
        <v>45272</v>
      </c>
      <c r="NP27" s="313">
        <f t="shared" si="6"/>
        <v>45273</v>
      </c>
      <c r="NQ27" s="313">
        <f t="shared" si="6"/>
        <v>45274</v>
      </c>
      <c r="NR27" s="313">
        <f t="shared" si="6"/>
        <v>45275</v>
      </c>
      <c r="NS27" s="313">
        <f t="shared" si="6"/>
        <v>45276</v>
      </c>
      <c r="NT27" s="313">
        <f t="shared" si="6"/>
        <v>45277</v>
      </c>
      <c r="NU27" s="313">
        <f t="shared" si="6"/>
        <v>45278</v>
      </c>
      <c r="NV27" s="313">
        <f t="shared" si="6"/>
        <v>45279</v>
      </c>
      <c r="NW27" s="313">
        <f t="shared" si="6"/>
        <v>45280</v>
      </c>
      <c r="NX27" s="313">
        <f t="shared" si="6"/>
        <v>45281</v>
      </c>
      <c r="NY27" s="313">
        <f t="shared" si="6"/>
        <v>45282</v>
      </c>
      <c r="NZ27" s="313">
        <f t="shared" si="6"/>
        <v>45283</v>
      </c>
      <c r="OA27" s="313">
        <f t="shared" si="6"/>
        <v>45284</v>
      </c>
      <c r="OB27" s="313">
        <f t="shared" si="6"/>
        <v>45285</v>
      </c>
      <c r="OC27" s="313">
        <f t="shared" si="6"/>
        <v>45286</v>
      </c>
      <c r="OD27" s="313">
        <f t="shared" si="6"/>
        <v>45287</v>
      </c>
      <c r="OE27" s="313">
        <f t="shared" si="6"/>
        <v>45288</v>
      </c>
      <c r="OF27" s="313">
        <f t="shared" si="6"/>
        <v>45289</v>
      </c>
      <c r="OG27" s="313">
        <f t="shared" si="6"/>
        <v>45290</v>
      </c>
      <c r="OH27" s="313">
        <f>OG27+1</f>
        <v>45291</v>
      </c>
      <c r="OI27" s="313">
        <f t="shared" ref="OI27:PN27" si="7">OH27+1</f>
        <v>45292</v>
      </c>
      <c r="OJ27" s="313">
        <f t="shared" si="7"/>
        <v>45293</v>
      </c>
      <c r="OK27" s="313">
        <f t="shared" si="7"/>
        <v>45294</v>
      </c>
      <c r="OL27" s="313">
        <f t="shared" si="7"/>
        <v>45295</v>
      </c>
      <c r="OM27" s="313">
        <f t="shared" si="7"/>
        <v>45296</v>
      </c>
      <c r="ON27" s="313">
        <f t="shared" si="7"/>
        <v>45297</v>
      </c>
      <c r="OO27" s="313">
        <f t="shared" si="7"/>
        <v>45298</v>
      </c>
      <c r="OP27" s="313">
        <f t="shared" si="7"/>
        <v>45299</v>
      </c>
      <c r="OQ27" s="313">
        <f t="shared" si="7"/>
        <v>45300</v>
      </c>
      <c r="OR27" s="313">
        <f t="shared" si="7"/>
        <v>45301</v>
      </c>
      <c r="OS27" s="313">
        <f t="shared" si="7"/>
        <v>45302</v>
      </c>
      <c r="OT27" s="313">
        <f t="shared" si="7"/>
        <v>45303</v>
      </c>
      <c r="OU27" s="313">
        <f t="shared" si="7"/>
        <v>45304</v>
      </c>
      <c r="OV27" s="313">
        <f t="shared" si="7"/>
        <v>45305</v>
      </c>
      <c r="OW27" s="313">
        <f t="shared" si="7"/>
        <v>45306</v>
      </c>
      <c r="OX27" s="313">
        <f t="shared" si="7"/>
        <v>45307</v>
      </c>
      <c r="OY27" s="313">
        <f t="shared" si="7"/>
        <v>45308</v>
      </c>
      <c r="OZ27" s="313">
        <f t="shared" si="7"/>
        <v>45309</v>
      </c>
      <c r="PA27" s="313">
        <f t="shared" si="7"/>
        <v>45310</v>
      </c>
      <c r="PB27" s="313">
        <f t="shared" si="7"/>
        <v>45311</v>
      </c>
      <c r="PC27" s="313">
        <f t="shared" si="7"/>
        <v>45312</v>
      </c>
      <c r="PD27" s="313">
        <f t="shared" si="7"/>
        <v>45313</v>
      </c>
      <c r="PE27" s="313">
        <f t="shared" si="7"/>
        <v>45314</v>
      </c>
      <c r="PF27" s="313">
        <f t="shared" si="7"/>
        <v>45315</v>
      </c>
      <c r="PG27" s="313">
        <f t="shared" si="7"/>
        <v>45316</v>
      </c>
      <c r="PH27" s="313">
        <f t="shared" si="7"/>
        <v>45317</v>
      </c>
      <c r="PI27" s="313">
        <f t="shared" si="7"/>
        <v>45318</v>
      </c>
      <c r="PJ27" s="313">
        <f t="shared" si="7"/>
        <v>45319</v>
      </c>
      <c r="PK27" s="313">
        <f t="shared" si="7"/>
        <v>45320</v>
      </c>
      <c r="PL27" s="313">
        <f t="shared" si="7"/>
        <v>45321</v>
      </c>
      <c r="PM27" s="313">
        <f t="shared" si="7"/>
        <v>45322</v>
      </c>
      <c r="PN27" s="313">
        <f t="shared" si="7"/>
        <v>45323</v>
      </c>
      <c r="PO27" s="246" t="str">
        <f>PO29</f>
        <v>Asistencia</v>
      </c>
      <c r="PP27" s="246" t="str">
        <f t="shared" ref="PP27:QH27" si="8">PP29</f>
        <v>Eventos</v>
      </c>
      <c r="PQ27" s="246" t="str">
        <f t="shared" si="8"/>
        <v>Descanso</v>
      </c>
      <c r="PR27" s="246" t="str">
        <f t="shared" si="8"/>
        <v>Vacaciones</v>
      </c>
      <c r="PS27" s="246" t="str">
        <f t="shared" si="8"/>
        <v>Doble turno/Día feriado</v>
      </c>
      <c r="PT27" s="246" t="str">
        <f t="shared" si="8"/>
        <v>Permiso</v>
      </c>
      <c r="PU27" s="246" t="str">
        <f t="shared" si="8"/>
        <v>FALTA</v>
      </c>
      <c r="PV27" s="246" t="str">
        <f t="shared" si="8"/>
        <v>Retardo</v>
      </c>
      <c r="PW27" s="246" t="str">
        <f t="shared" si="8"/>
        <v xml:space="preserve">PERMISO POR LEY </v>
      </c>
      <c r="PX27" s="246" t="str">
        <f t="shared" si="8"/>
        <v>CIERRE DE RESTAURANT</v>
      </c>
      <c r="PY27" s="246" t="str">
        <f t="shared" si="8"/>
        <v>INCAPACIDAD SIN SEGURO</v>
      </c>
      <c r="PZ27" s="246" t="str">
        <f t="shared" si="8"/>
        <v>No se anoto</v>
      </c>
      <c r="QA27" s="246" t="str">
        <f t="shared" si="8"/>
        <v>Descanso trabajado</v>
      </c>
      <c r="QB27" s="246" t="str">
        <f t="shared" si="8"/>
        <v>Castigo</v>
      </c>
      <c r="QC27" s="246" t="str">
        <f t="shared" si="8"/>
        <v>Capacitacion pagada</v>
      </c>
      <c r="QD27" s="246" t="str">
        <f t="shared" si="8"/>
        <v>Incapacidad</v>
      </c>
      <c r="QE27" s="246" t="str">
        <f t="shared" si="8"/>
        <v>Evento fuera</v>
      </c>
      <c r="QF27" s="246" t="str">
        <f t="shared" si="8"/>
        <v>PORTOZUELO</v>
      </c>
      <c r="QG27" s="246" t="str">
        <f t="shared" si="8"/>
        <v>Descanso que se debia</v>
      </c>
      <c r="QH27" s="246" t="str">
        <f t="shared" si="8"/>
        <v>Baja</v>
      </c>
      <c r="QI27" s="246"/>
      <c r="QJ27" s="246"/>
      <c r="QK27" s="246"/>
      <c r="QL27" s="312"/>
      <c r="QM27" s="312"/>
      <c r="QN27" s="312"/>
      <c r="QO27" s="312"/>
      <c r="QP27" s="312"/>
      <c r="QQ27" s="312"/>
      <c r="QR27" s="312"/>
      <c r="QS27" s="312"/>
      <c r="QT27" s="312"/>
      <c r="QU27" s="312"/>
      <c r="QV27" s="312"/>
      <c r="QW27" s="312"/>
      <c r="QX27" s="312"/>
      <c r="QY27" s="312"/>
      <c r="QZ27" s="312"/>
      <c r="RA27" s="312"/>
      <c r="RB27" s="312"/>
      <c r="RC27" s="312"/>
      <c r="RD27" s="312"/>
      <c r="RE27" s="312"/>
      <c r="RF27" s="312"/>
      <c r="RG27" s="312"/>
    </row>
    <row r="28" spans="1:475" s="2" customFormat="1" ht="15.75" hidden="1" thickBot="1" x14ac:dyDescent="0.3">
      <c r="B28" s="2" t="s">
        <v>106</v>
      </c>
      <c r="C28" s="24">
        <f t="shared" ref="C28:AF28" si="9">WEEKDAY(C27,1)</f>
        <v>5</v>
      </c>
      <c r="D28" s="24">
        <f t="shared" si="9"/>
        <v>6</v>
      </c>
      <c r="E28" s="24">
        <f t="shared" si="9"/>
        <v>7</v>
      </c>
      <c r="F28" s="24">
        <f t="shared" si="9"/>
        <v>1</v>
      </c>
      <c r="G28" s="24">
        <f t="shared" si="9"/>
        <v>2</v>
      </c>
      <c r="H28" s="24">
        <f t="shared" si="9"/>
        <v>3</v>
      </c>
      <c r="I28" s="24">
        <f t="shared" si="9"/>
        <v>4</v>
      </c>
      <c r="J28" s="24">
        <f t="shared" si="9"/>
        <v>5</v>
      </c>
      <c r="K28" s="24">
        <f t="shared" si="9"/>
        <v>6</v>
      </c>
      <c r="L28" s="24">
        <f t="shared" si="9"/>
        <v>7</v>
      </c>
      <c r="M28" s="24">
        <f t="shared" si="9"/>
        <v>1</v>
      </c>
      <c r="N28" s="24">
        <f t="shared" si="9"/>
        <v>2</v>
      </c>
      <c r="O28" s="24">
        <f t="shared" si="9"/>
        <v>3</v>
      </c>
      <c r="P28" s="24">
        <f t="shared" si="9"/>
        <v>4</v>
      </c>
      <c r="Q28" s="24">
        <f t="shared" si="9"/>
        <v>5</v>
      </c>
      <c r="R28" s="24">
        <f t="shared" si="9"/>
        <v>6</v>
      </c>
      <c r="S28" s="24">
        <f t="shared" si="9"/>
        <v>7</v>
      </c>
      <c r="T28" s="24">
        <f t="shared" si="9"/>
        <v>1</v>
      </c>
      <c r="U28" s="24">
        <f t="shared" si="9"/>
        <v>2</v>
      </c>
      <c r="V28" s="24">
        <f t="shared" si="9"/>
        <v>3</v>
      </c>
      <c r="W28" s="24">
        <f t="shared" si="9"/>
        <v>4</v>
      </c>
      <c r="X28" s="24">
        <f t="shared" si="9"/>
        <v>5</v>
      </c>
      <c r="Y28" s="24">
        <f t="shared" si="9"/>
        <v>6</v>
      </c>
      <c r="Z28" s="24">
        <f t="shared" si="9"/>
        <v>7</v>
      </c>
      <c r="AA28" s="24">
        <f t="shared" si="9"/>
        <v>1</v>
      </c>
      <c r="AB28" s="24">
        <f t="shared" si="9"/>
        <v>2</v>
      </c>
      <c r="AC28" s="24">
        <f t="shared" si="9"/>
        <v>3</v>
      </c>
      <c r="AD28" s="24">
        <f t="shared" si="9"/>
        <v>4</v>
      </c>
      <c r="AE28" s="24">
        <f t="shared" si="9"/>
        <v>5</v>
      </c>
      <c r="AF28" s="24">
        <f t="shared" si="9"/>
        <v>6</v>
      </c>
      <c r="AG28" s="24">
        <f>WEEKDAY(AG27,1)</f>
        <v>7</v>
      </c>
      <c r="AH28" s="24">
        <f>WEEKDAY(AH27,1)</f>
        <v>1</v>
      </c>
      <c r="AI28" s="24">
        <f>WEEKDAY(AI27,1)</f>
        <v>2</v>
      </c>
      <c r="AJ28" s="24">
        <f t="shared" ref="AJ28:CT28" si="10">WEEKDAY(AJ27,1)</f>
        <v>3</v>
      </c>
      <c r="AK28" s="24">
        <f t="shared" si="10"/>
        <v>4</v>
      </c>
      <c r="AL28" s="24">
        <f t="shared" si="10"/>
        <v>5</v>
      </c>
      <c r="AM28" s="24">
        <f t="shared" si="10"/>
        <v>6</v>
      </c>
      <c r="AN28" s="24">
        <f t="shared" si="10"/>
        <v>7</v>
      </c>
      <c r="AO28" s="24">
        <f t="shared" si="10"/>
        <v>1</v>
      </c>
      <c r="AP28" s="24">
        <f t="shared" si="10"/>
        <v>2</v>
      </c>
      <c r="AQ28" s="24">
        <f t="shared" si="10"/>
        <v>3</v>
      </c>
      <c r="AR28" s="24">
        <f t="shared" si="10"/>
        <v>4</v>
      </c>
      <c r="AS28" s="24">
        <f t="shared" si="10"/>
        <v>5</v>
      </c>
      <c r="AT28" s="24">
        <f t="shared" si="10"/>
        <v>6</v>
      </c>
      <c r="AU28" s="24">
        <f t="shared" si="10"/>
        <v>7</v>
      </c>
      <c r="AV28" s="24">
        <f t="shared" si="10"/>
        <v>1</v>
      </c>
      <c r="AW28" s="24">
        <f t="shared" si="10"/>
        <v>2</v>
      </c>
      <c r="AX28" s="24">
        <f t="shared" si="10"/>
        <v>3</v>
      </c>
      <c r="AY28" s="24">
        <f t="shared" si="10"/>
        <v>4</v>
      </c>
      <c r="AZ28" s="24">
        <f t="shared" si="10"/>
        <v>5</v>
      </c>
      <c r="BA28" s="24">
        <f t="shared" si="10"/>
        <v>6</v>
      </c>
      <c r="BB28" s="24">
        <f t="shared" si="10"/>
        <v>7</v>
      </c>
      <c r="BC28" s="24">
        <f t="shared" si="10"/>
        <v>1</v>
      </c>
      <c r="BD28" s="24">
        <f t="shared" si="10"/>
        <v>2</v>
      </c>
      <c r="BE28" s="24">
        <f t="shared" si="10"/>
        <v>3</v>
      </c>
      <c r="BF28" s="24">
        <f t="shared" si="10"/>
        <v>4</v>
      </c>
      <c r="BG28" s="24">
        <f t="shared" si="10"/>
        <v>5</v>
      </c>
      <c r="BH28" s="24">
        <f t="shared" si="10"/>
        <v>6</v>
      </c>
      <c r="BI28" s="24">
        <f t="shared" si="10"/>
        <v>7</v>
      </c>
      <c r="BJ28" s="24">
        <f t="shared" si="10"/>
        <v>1</v>
      </c>
      <c r="BK28" s="24">
        <f t="shared" si="10"/>
        <v>2</v>
      </c>
      <c r="BL28" s="24">
        <f t="shared" si="10"/>
        <v>3</v>
      </c>
      <c r="BM28" s="24">
        <f t="shared" si="10"/>
        <v>4</v>
      </c>
      <c r="BN28" s="24">
        <f t="shared" si="10"/>
        <v>5</v>
      </c>
      <c r="BO28" s="24">
        <f t="shared" si="10"/>
        <v>6</v>
      </c>
      <c r="BP28" s="24">
        <f t="shared" si="10"/>
        <v>7</v>
      </c>
      <c r="BQ28" s="24">
        <f t="shared" si="10"/>
        <v>1</v>
      </c>
      <c r="BR28" s="24">
        <f t="shared" si="10"/>
        <v>2</v>
      </c>
      <c r="BS28" s="24">
        <f t="shared" si="10"/>
        <v>3</v>
      </c>
      <c r="BT28" s="24">
        <f t="shared" si="10"/>
        <v>4</v>
      </c>
      <c r="BU28" s="24">
        <f t="shared" si="10"/>
        <v>5</v>
      </c>
      <c r="BV28" s="24">
        <f t="shared" si="10"/>
        <v>6</v>
      </c>
      <c r="BW28" s="24">
        <f t="shared" si="10"/>
        <v>7</v>
      </c>
      <c r="BX28" s="24">
        <f t="shared" si="10"/>
        <v>1</v>
      </c>
      <c r="BY28" s="24">
        <f t="shared" si="10"/>
        <v>2</v>
      </c>
      <c r="BZ28" s="24">
        <f t="shared" si="10"/>
        <v>3</v>
      </c>
      <c r="CA28" s="24">
        <f t="shared" si="10"/>
        <v>4</v>
      </c>
      <c r="CB28" s="24">
        <f t="shared" si="10"/>
        <v>5</v>
      </c>
      <c r="CC28" s="24">
        <f t="shared" si="10"/>
        <v>6</v>
      </c>
      <c r="CD28" s="24">
        <f t="shared" si="10"/>
        <v>7</v>
      </c>
      <c r="CE28" s="24">
        <f t="shared" si="10"/>
        <v>1</v>
      </c>
      <c r="CF28" s="24">
        <f t="shared" si="10"/>
        <v>2</v>
      </c>
      <c r="CG28" s="24">
        <f t="shared" si="10"/>
        <v>3</v>
      </c>
      <c r="CH28" s="24">
        <f t="shared" si="10"/>
        <v>4</v>
      </c>
      <c r="CI28" s="24">
        <f t="shared" si="10"/>
        <v>5</v>
      </c>
      <c r="CJ28" s="24">
        <f t="shared" si="10"/>
        <v>6</v>
      </c>
      <c r="CK28" s="24">
        <f t="shared" si="10"/>
        <v>7</v>
      </c>
      <c r="CL28" s="24">
        <f t="shared" si="10"/>
        <v>1</v>
      </c>
      <c r="CM28" s="24">
        <f t="shared" si="10"/>
        <v>2</v>
      </c>
      <c r="CN28" s="24">
        <f t="shared" si="10"/>
        <v>3</v>
      </c>
      <c r="CO28" s="24">
        <f t="shared" si="10"/>
        <v>4</v>
      </c>
      <c r="CP28" s="24">
        <f t="shared" si="10"/>
        <v>5</v>
      </c>
      <c r="CQ28" s="24">
        <f t="shared" si="10"/>
        <v>6</v>
      </c>
      <c r="CR28" s="24">
        <f t="shared" si="10"/>
        <v>7</v>
      </c>
      <c r="CS28" s="24">
        <f t="shared" si="10"/>
        <v>1</v>
      </c>
      <c r="CT28" s="24">
        <f t="shared" si="10"/>
        <v>2</v>
      </c>
      <c r="CU28" s="24">
        <f t="shared" ref="CU28:FF28" si="11">WEEKDAY(CU27,1)</f>
        <v>3</v>
      </c>
      <c r="CV28" s="24">
        <f t="shared" si="11"/>
        <v>4</v>
      </c>
      <c r="CW28" s="24">
        <f t="shared" si="11"/>
        <v>5</v>
      </c>
      <c r="CX28" s="24">
        <f t="shared" si="11"/>
        <v>6</v>
      </c>
      <c r="CY28" s="24">
        <f t="shared" si="11"/>
        <v>7</v>
      </c>
      <c r="CZ28" s="24">
        <f t="shared" si="11"/>
        <v>1</v>
      </c>
      <c r="DA28" s="24">
        <f t="shared" si="11"/>
        <v>2</v>
      </c>
      <c r="DB28" s="24">
        <f t="shared" si="11"/>
        <v>3</v>
      </c>
      <c r="DC28" s="24">
        <f t="shared" si="11"/>
        <v>4</v>
      </c>
      <c r="DD28" s="24">
        <f t="shared" si="11"/>
        <v>5</v>
      </c>
      <c r="DE28" s="24">
        <f t="shared" si="11"/>
        <v>6</v>
      </c>
      <c r="DF28" s="24">
        <f t="shared" si="11"/>
        <v>7</v>
      </c>
      <c r="DG28" s="24">
        <f t="shared" si="11"/>
        <v>1</v>
      </c>
      <c r="DH28" s="24">
        <f t="shared" si="11"/>
        <v>2</v>
      </c>
      <c r="DI28" s="24">
        <f t="shared" si="11"/>
        <v>3</v>
      </c>
      <c r="DJ28" s="24">
        <f t="shared" si="11"/>
        <v>4</v>
      </c>
      <c r="DK28" s="24">
        <f t="shared" si="11"/>
        <v>5</v>
      </c>
      <c r="DL28" s="24">
        <f t="shared" si="11"/>
        <v>6</v>
      </c>
      <c r="DM28" s="24">
        <f t="shared" si="11"/>
        <v>7</v>
      </c>
      <c r="DN28" s="24">
        <f t="shared" si="11"/>
        <v>1</v>
      </c>
      <c r="DO28" s="24">
        <f t="shared" si="11"/>
        <v>2</v>
      </c>
      <c r="DP28" s="24">
        <f t="shared" si="11"/>
        <v>3</v>
      </c>
      <c r="DQ28" s="24">
        <f t="shared" si="11"/>
        <v>4</v>
      </c>
      <c r="DR28" s="24">
        <f t="shared" si="11"/>
        <v>5</v>
      </c>
      <c r="DS28" s="24">
        <f t="shared" si="11"/>
        <v>6</v>
      </c>
      <c r="DT28" s="24">
        <f t="shared" si="11"/>
        <v>7</v>
      </c>
      <c r="DU28" s="24">
        <f t="shared" si="11"/>
        <v>1</v>
      </c>
      <c r="DV28" s="24">
        <f t="shared" si="11"/>
        <v>2</v>
      </c>
      <c r="DW28" s="24">
        <f t="shared" si="11"/>
        <v>3</v>
      </c>
      <c r="DX28" s="24">
        <f t="shared" si="11"/>
        <v>4</v>
      </c>
      <c r="DY28" s="24">
        <f t="shared" si="11"/>
        <v>5</v>
      </c>
      <c r="DZ28" s="24">
        <f t="shared" si="11"/>
        <v>6</v>
      </c>
      <c r="EA28" s="24">
        <f t="shared" si="11"/>
        <v>7</v>
      </c>
      <c r="EB28" s="24">
        <f t="shared" si="11"/>
        <v>1</v>
      </c>
      <c r="EC28" s="24">
        <f t="shared" si="11"/>
        <v>2</v>
      </c>
      <c r="ED28" s="24">
        <f t="shared" si="11"/>
        <v>3</v>
      </c>
      <c r="EE28" s="24">
        <f t="shared" si="11"/>
        <v>4</v>
      </c>
      <c r="EF28" s="24">
        <f t="shared" si="11"/>
        <v>5</v>
      </c>
      <c r="EG28" s="24">
        <f t="shared" si="11"/>
        <v>6</v>
      </c>
      <c r="EH28" s="24">
        <f t="shared" si="11"/>
        <v>7</v>
      </c>
      <c r="EI28" s="24">
        <f t="shared" si="11"/>
        <v>1</v>
      </c>
      <c r="EJ28" s="24">
        <f t="shared" si="11"/>
        <v>2</v>
      </c>
      <c r="EK28" s="24">
        <f t="shared" si="11"/>
        <v>3</v>
      </c>
      <c r="EL28" s="24">
        <f t="shared" si="11"/>
        <v>4</v>
      </c>
      <c r="EM28" s="24">
        <f t="shared" si="11"/>
        <v>5</v>
      </c>
      <c r="EN28" s="24">
        <f t="shared" si="11"/>
        <v>6</v>
      </c>
      <c r="EO28" s="24">
        <f t="shared" si="11"/>
        <v>7</v>
      </c>
      <c r="EP28" s="24">
        <f t="shared" si="11"/>
        <v>1</v>
      </c>
      <c r="EQ28" s="24">
        <f t="shared" si="11"/>
        <v>2</v>
      </c>
      <c r="ER28" s="24">
        <f t="shared" si="11"/>
        <v>3</v>
      </c>
      <c r="ES28" s="24">
        <f t="shared" si="11"/>
        <v>4</v>
      </c>
      <c r="ET28" s="24">
        <f t="shared" si="11"/>
        <v>5</v>
      </c>
      <c r="EU28" s="24">
        <f t="shared" si="11"/>
        <v>6</v>
      </c>
      <c r="EV28" s="24">
        <f t="shared" si="11"/>
        <v>7</v>
      </c>
      <c r="EW28" s="24">
        <f t="shared" si="11"/>
        <v>1</v>
      </c>
      <c r="EX28" s="24">
        <f t="shared" si="11"/>
        <v>2</v>
      </c>
      <c r="EY28" s="24">
        <f t="shared" si="11"/>
        <v>3</v>
      </c>
      <c r="EZ28" s="24">
        <f t="shared" si="11"/>
        <v>4</v>
      </c>
      <c r="FA28" s="24">
        <f t="shared" si="11"/>
        <v>5</v>
      </c>
      <c r="FB28" s="24">
        <f t="shared" si="11"/>
        <v>6</v>
      </c>
      <c r="FC28" s="24">
        <f t="shared" si="11"/>
        <v>7</v>
      </c>
      <c r="FD28" s="24">
        <f t="shared" si="11"/>
        <v>1</v>
      </c>
      <c r="FE28" s="24">
        <f t="shared" si="11"/>
        <v>2</v>
      </c>
      <c r="FF28" s="24">
        <f t="shared" si="11"/>
        <v>3</v>
      </c>
      <c r="FG28" s="24">
        <f t="shared" ref="FG28:HR28" si="12">WEEKDAY(FG27,1)</f>
        <v>4</v>
      </c>
      <c r="FH28" s="24">
        <f t="shared" si="12"/>
        <v>5</v>
      </c>
      <c r="FI28" s="24">
        <f t="shared" si="12"/>
        <v>6</v>
      </c>
      <c r="FJ28" s="24">
        <f t="shared" si="12"/>
        <v>7</v>
      </c>
      <c r="FK28" s="24">
        <f t="shared" si="12"/>
        <v>1</v>
      </c>
      <c r="FL28" s="24">
        <f t="shared" si="12"/>
        <v>2</v>
      </c>
      <c r="FM28" s="24">
        <f t="shared" si="12"/>
        <v>3</v>
      </c>
      <c r="FN28" s="24">
        <f t="shared" si="12"/>
        <v>4</v>
      </c>
      <c r="FO28" s="24">
        <f t="shared" si="12"/>
        <v>5</v>
      </c>
      <c r="FP28" s="24">
        <f t="shared" si="12"/>
        <v>6</v>
      </c>
      <c r="FQ28" s="24">
        <f t="shared" si="12"/>
        <v>7</v>
      </c>
      <c r="FR28" s="24">
        <f t="shared" si="12"/>
        <v>1</v>
      </c>
      <c r="FS28" s="24">
        <f t="shared" si="12"/>
        <v>2</v>
      </c>
      <c r="FT28" s="24">
        <f t="shared" si="12"/>
        <v>3</v>
      </c>
      <c r="FU28" s="24">
        <f t="shared" si="12"/>
        <v>4</v>
      </c>
      <c r="FV28" s="24">
        <f t="shared" si="12"/>
        <v>5</v>
      </c>
      <c r="FW28" s="24">
        <f t="shared" si="12"/>
        <v>6</v>
      </c>
      <c r="FX28" s="24">
        <f t="shared" si="12"/>
        <v>7</v>
      </c>
      <c r="FY28" s="24">
        <f t="shared" si="12"/>
        <v>1</v>
      </c>
      <c r="FZ28" s="24">
        <f t="shared" si="12"/>
        <v>2</v>
      </c>
      <c r="GA28" s="24">
        <f t="shared" si="12"/>
        <v>3</v>
      </c>
      <c r="GB28" s="24">
        <f t="shared" si="12"/>
        <v>4</v>
      </c>
      <c r="GC28" s="24">
        <f t="shared" si="12"/>
        <v>5</v>
      </c>
      <c r="GD28" s="24">
        <f t="shared" si="12"/>
        <v>6</v>
      </c>
      <c r="GE28" s="24">
        <f t="shared" si="12"/>
        <v>7</v>
      </c>
      <c r="GF28" s="24">
        <f t="shared" si="12"/>
        <v>1</v>
      </c>
      <c r="GG28" s="24">
        <f t="shared" si="12"/>
        <v>2</v>
      </c>
      <c r="GH28" s="24">
        <f t="shared" si="12"/>
        <v>3</v>
      </c>
      <c r="GI28" s="24">
        <f t="shared" si="12"/>
        <v>4</v>
      </c>
      <c r="GJ28" s="24">
        <f t="shared" si="12"/>
        <v>5</v>
      </c>
      <c r="GK28" s="24">
        <f t="shared" si="12"/>
        <v>6</v>
      </c>
      <c r="GL28" s="24">
        <f t="shared" si="12"/>
        <v>7</v>
      </c>
      <c r="GM28" s="24">
        <f t="shared" si="12"/>
        <v>1</v>
      </c>
      <c r="GN28" s="24">
        <f t="shared" si="12"/>
        <v>2</v>
      </c>
      <c r="GO28" s="24">
        <f t="shared" si="12"/>
        <v>3</v>
      </c>
      <c r="GP28" s="24">
        <f t="shared" si="12"/>
        <v>4</v>
      </c>
      <c r="GQ28" s="24">
        <f t="shared" si="12"/>
        <v>5</v>
      </c>
      <c r="GR28" s="24">
        <f t="shared" si="12"/>
        <v>6</v>
      </c>
      <c r="GS28" s="24">
        <f t="shared" si="12"/>
        <v>7</v>
      </c>
      <c r="GT28" s="24">
        <f t="shared" si="12"/>
        <v>1</v>
      </c>
      <c r="GU28" s="24">
        <f t="shared" si="12"/>
        <v>2</v>
      </c>
      <c r="GV28" s="24">
        <f t="shared" si="12"/>
        <v>3</v>
      </c>
      <c r="GW28" s="24">
        <f t="shared" si="12"/>
        <v>4</v>
      </c>
      <c r="GX28" s="24">
        <f t="shared" si="12"/>
        <v>5</v>
      </c>
      <c r="GY28" s="24">
        <f t="shared" si="12"/>
        <v>6</v>
      </c>
      <c r="GZ28" s="24">
        <f t="shared" si="12"/>
        <v>7</v>
      </c>
      <c r="HA28" s="24">
        <f t="shared" si="12"/>
        <v>1</v>
      </c>
      <c r="HB28" s="24">
        <f t="shared" si="12"/>
        <v>2</v>
      </c>
      <c r="HC28" s="24">
        <f t="shared" si="12"/>
        <v>3</v>
      </c>
      <c r="HD28" s="24">
        <f t="shared" si="12"/>
        <v>4</v>
      </c>
      <c r="HE28" s="24">
        <f t="shared" si="12"/>
        <v>5</v>
      </c>
      <c r="HF28" s="24">
        <f t="shared" si="12"/>
        <v>6</v>
      </c>
      <c r="HG28" s="24">
        <f t="shared" si="12"/>
        <v>7</v>
      </c>
      <c r="HH28" s="24">
        <f t="shared" si="12"/>
        <v>1</v>
      </c>
      <c r="HI28" s="24">
        <f t="shared" si="12"/>
        <v>2</v>
      </c>
      <c r="HJ28" s="24">
        <f t="shared" si="12"/>
        <v>3</v>
      </c>
      <c r="HK28" s="24">
        <f t="shared" si="12"/>
        <v>4</v>
      </c>
      <c r="HL28" s="24">
        <f t="shared" si="12"/>
        <v>5</v>
      </c>
      <c r="HM28" s="24">
        <f t="shared" si="12"/>
        <v>6</v>
      </c>
      <c r="HN28" s="24">
        <f t="shared" si="12"/>
        <v>7</v>
      </c>
      <c r="HO28" s="24">
        <f t="shared" si="12"/>
        <v>1</v>
      </c>
      <c r="HP28" s="24">
        <f t="shared" si="12"/>
        <v>2</v>
      </c>
      <c r="HQ28" s="24">
        <f t="shared" si="12"/>
        <v>3</v>
      </c>
      <c r="HR28" s="24">
        <f t="shared" si="12"/>
        <v>4</v>
      </c>
      <c r="HS28" s="24">
        <f t="shared" ref="HS28:KD28" si="13">WEEKDAY(HS27,1)</f>
        <v>5</v>
      </c>
      <c r="HT28" s="24">
        <f t="shared" si="13"/>
        <v>6</v>
      </c>
      <c r="HU28" s="24">
        <f t="shared" si="13"/>
        <v>7</v>
      </c>
      <c r="HV28" s="24">
        <f t="shared" si="13"/>
        <v>1</v>
      </c>
      <c r="HW28" s="24">
        <f t="shared" si="13"/>
        <v>2</v>
      </c>
      <c r="HX28" s="24">
        <f t="shared" si="13"/>
        <v>3</v>
      </c>
      <c r="HY28" s="24">
        <f t="shared" si="13"/>
        <v>4</v>
      </c>
      <c r="HZ28" s="24">
        <f t="shared" si="13"/>
        <v>5</v>
      </c>
      <c r="IA28" s="24">
        <f t="shared" si="13"/>
        <v>6</v>
      </c>
      <c r="IB28" s="24">
        <f t="shared" si="13"/>
        <v>7</v>
      </c>
      <c r="IC28" s="24">
        <f t="shared" si="13"/>
        <v>1</v>
      </c>
      <c r="ID28" s="24">
        <f t="shared" si="13"/>
        <v>2</v>
      </c>
      <c r="IE28" s="24">
        <f t="shared" si="13"/>
        <v>3</v>
      </c>
      <c r="IF28" s="24">
        <f t="shared" si="13"/>
        <v>4</v>
      </c>
      <c r="IG28" s="24">
        <f t="shared" si="13"/>
        <v>5</v>
      </c>
      <c r="IH28" s="24">
        <f t="shared" si="13"/>
        <v>6</v>
      </c>
      <c r="II28" s="24">
        <f t="shared" si="13"/>
        <v>7</v>
      </c>
      <c r="IJ28" s="24">
        <f t="shared" si="13"/>
        <v>1</v>
      </c>
      <c r="IK28" s="24">
        <f t="shared" si="13"/>
        <v>2</v>
      </c>
      <c r="IL28" s="24">
        <f t="shared" si="13"/>
        <v>3</v>
      </c>
      <c r="IM28" s="24">
        <f t="shared" si="13"/>
        <v>4</v>
      </c>
      <c r="IN28" s="24">
        <f t="shared" si="13"/>
        <v>5</v>
      </c>
      <c r="IO28" s="24">
        <f t="shared" si="13"/>
        <v>6</v>
      </c>
      <c r="IP28" s="24">
        <f t="shared" si="13"/>
        <v>7</v>
      </c>
      <c r="IQ28" s="24">
        <f t="shared" si="13"/>
        <v>1</v>
      </c>
      <c r="IR28" s="24">
        <f t="shared" si="13"/>
        <v>2</v>
      </c>
      <c r="IS28" s="24">
        <f t="shared" si="13"/>
        <v>3</v>
      </c>
      <c r="IT28" s="24">
        <f t="shared" si="13"/>
        <v>4</v>
      </c>
      <c r="IU28" s="24">
        <f t="shared" si="13"/>
        <v>5</v>
      </c>
      <c r="IV28" s="24">
        <f t="shared" si="13"/>
        <v>6</v>
      </c>
      <c r="IW28" s="24">
        <f t="shared" si="13"/>
        <v>7</v>
      </c>
      <c r="IX28" s="24">
        <f t="shared" si="13"/>
        <v>1</v>
      </c>
      <c r="IY28" s="24">
        <f t="shared" si="13"/>
        <v>2</v>
      </c>
      <c r="IZ28" s="24">
        <f t="shared" si="13"/>
        <v>3</v>
      </c>
      <c r="JA28" s="24">
        <f t="shared" si="13"/>
        <v>4</v>
      </c>
      <c r="JB28" s="24">
        <f t="shared" si="13"/>
        <v>5</v>
      </c>
      <c r="JC28" s="24">
        <f t="shared" si="13"/>
        <v>6</v>
      </c>
      <c r="JD28" s="24">
        <f t="shared" si="13"/>
        <v>7</v>
      </c>
      <c r="JE28" s="24">
        <f t="shared" si="13"/>
        <v>1</v>
      </c>
      <c r="JF28" s="24">
        <f t="shared" si="13"/>
        <v>2</v>
      </c>
      <c r="JG28" s="24">
        <f t="shared" si="13"/>
        <v>3</v>
      </c>
      <c r="JH28" s="24">
        <f t="shared" si="13"/>
        <v>4</v>
      </c>
      <c r="JI28" s="24">
        <f t="shared" si="13"/>
        <v>5</v>
      </c>
      <c r="JJ28" s="24">
        <f t="shared" si="13"/>
        <v>6</v>
      </c>
      <c r="JK28" s="24">
        <f t="shared" si="13"/>
        <v>7</v>
      </c>
      <c r="JL28" s="24">
        <f t="shared" si="13"/>
        <v>1</v>
      </c>
      <c r="JM28" s="24">
        <f t="shared" si="13"/>
        <v>2</v>
      </c>
      <c r="JN28" s="24">
        <f t="shared" si="13"/>
        <v>3</v>
      </c>
      <c r="JO28" s="24">
        <f t="shared" si="13"/>
        <v>4</v>
      </c>
      <c r="JP28" s="24">
        <f t="shared" si="13"/>
        <v>5</v>
      </c>
      <c r="JQ28" s="24">
        <f t="shared" si="13"/>
        <v>6</v>
      </c>
      <c r="JR28" s="24">
        <f t="shared" si="13"/>
        <v>7</v>
      </c>
      <c r="JS28" s="24">
        <f t="shared" si="13"/>
        <v>1</v>
      </c>
      <c r="JT28" s="24">
        <f t="shared" si="13"/>
        <v>2</v>
      </c>
      <c r="JU28" s="24">
        <f t="shared" si="13"/>
        <v>3</v>
      </c>
      <c r="JV28" s="24">
        <f t="shared" si="13"/>
        <v>4</v>
      </c>
      <c r="JW28" s="24">
        <f t="shared" si="13"/>
        <v>5</v>
      </c>
      <c r="JX28" s="24">
        <f t="shared" si="13"/>
        <v>6</v>
      </c>
      <c r="JY28" s="24">
        <f t="shared" si="13"/>
        <v>7</v>
      </c>
      <c r="JZ28" s="24">
        <f t="shared" si="13"/>
        <v>1</v>
      </c>
      <c r="KA28" s="24">
        <f t="shared" si="13"/>
        <v>2</v>
      </c>
      <c r="KB28" s="24">
        <f t="shared" si="13"/>
        <v>3</v>
      </c>
      <c r="KC28" s="24">
        <f t="shared" si="13"/>
        <v>4</v>
      </c>
      <c r="KD28" s="24">
        <f t="shared" si="13"/>
        <v>5</v>
      </c>
      <c r="KE28" s="24">
        <f t="shared" ref="KE28:MP28" si="14">WEEKDAY(KE27,1)</f>
        <v>6</v>
      </c>
      <c r="KF28" s="24">
        <f t="shared" si="14"/>
        <v>7</v>
      </c>
      <c r="KG28" s="24">
        <f t="shared" si="14"/>
        <v>1</v>
      </c>
      <c r="KH28" s="24">
        <f t="shared" si="14"/>
        <v>2</v>
      </c>
      <c r="KI28" s="24">
        <f t="shared" si="14"/>
        <v>3</v>
      </c>
      <c r="KJ28" s="24">
        <f t="shared" si="14"/>
        <v>4</v>
      </c>
      <c r="KK28" s="24">
        <f t="shared" si="14"/>
        <v>5</v>
      </c>
      <c r="KL28" s="24">
        <f t="shared" si="14"/>
        <v>6</v>
      </c>
      <c r="KM28" s="24">
        <f t="shared" si="14"/>
        <v>7</v>
      </c>
      <c r="KN28" s="24">
        <f t="shared" si="14"/>
        <v>1</v>
      </c>
      <c r="KO28" s="24">
        <f t="shared" si="14"/>
        <v>2</v>
      </c>
      <c r="KP28" s="24">
        <f t="shared" si="14"/>
        <v>3</v>
      </c>
      <c r="KQ28" s="24">
        <f t="shared" si="14"/>
        <v>4</v>
      </c>
      <c r="KR28" s="24">
        <f t="shared" si="14"/>
        <v>5</v>
      </c>
      <c r="KS28" s="24">
        <f t="shared" si="14"/>
        <v>6</v>
      </c>
      <c r="KT28" s="24">
        <f t="shared" si="14"/>
        <v>7</v>
      </c>
      <c r="KU28" s="24">
        <f t="shared" si="14"/>
        <v>1</v>
      </c>
      <c r="KV28" s="24">
        <f t="shared" si="14"/>
        <v>2</v>
      </c>
      <c r="KW28" s="24">
        <f t="shared" si="14"/>
        <v>3</v>
      </c>
      <c r="KX28" s="24">
        <f t="shared" si="14"/>
        <v>4</v>
      </c>
      <c r="KY28" s="24">
        <f t="shared" si="14"/>
        <v>5</v>
      </c>
      <c r="KZ28" s="24">
        <f t="shared" si="14"/>
        <v>6</v>
      </c>
      <c r="LA28" s="24">
        <f t="shared" si="14"/>
        <v>7</v>
      </c>
      <c r="LB28" s="24">
        <f t="shared" si="14"/>
        <v>1</v>
      </c>
      <c r="LC28" s="24">
        <f t="shared" si="14"/>
        <v>2</v>
      </c>
      <c r="LD28" s="24">
        <f t="shared" si="14"/>
        <v>3</v>
      </c>
      <c r="LE28" s="24">
        <f t="shared" si="14"/>
        <v>4</v>
      </c>
      <c r="LF28" s="24">
        <f t="shared" si="14"/>
        <v>5</v>
      </c>
      <c r="LG28" s="24">
        <f t="shared" si="14"/>
        <v>6</v>
      </c>
      <c r="LH28" s="24">
        <f t="shared" si="14"/>
        <v>7</v>
      </c>
      <c r="LI28" s="24">
        <f t="shared" si="14"/>
        <v>1</v>
      </c>
      <c r="LJ28" s="24">
        <f t="shared" si="14"/>
        <v>2</v>
      </c>
      <c r="LK28" s="24">
        <f t="shared" si="14"/>
        <v>3</v>
      </c>
      <c r="LL28" s="24">
        <f t="shared" si="14"/>
        <v>4</v>
      </c>
      <c r="LM28" s="24">
        <f t="shared" si="14"/>
        <v>5</v>
      </c>
      <c r="LN28" s="24">
        <f t="shared" si="14"/>
        <v>6</v>
      </c>
      <c r="LO28" s="24">
        <f t="shared" si="14"/>
        <v>7</v>
      </c>
      <c r="LP28" s="24">
        <f t="shared" si="14"/>
        <v>1</v>
      </c>
      <c r="LQ28" s="24">
        <f t="shared" si="14"/>
        <v>2</v>
      </c>
      <c r="LR28" s="24">
        <f t="shared" si="14"/>
        <v>3</v>
      </c>
      <c r="LS28" s="24">
        <f t="shared" si="14"/>
        <v>4</v>
      </c>
      <c r="LT28" s="24">
        <f t="shared" si="14"/>
        <v>5</v>
      </c>
      <c r="LU28" s="24">
        <f t="shared" si="14"/>
        <v>6</v>
      </c>
      <c r="LV28" s="24">
        <f t="shared" si="14"/>
        <v>7</v>
      </c>
      <c r="LW28" s="24">
        <f t="shared" si="14"/>
        <v>1</v>
      </c>
      <c r="LX28" s="24">
        <f t="shared" si="14"/>
        <v>2</v>
      </c>
      <c r="LY28" s="24">
        <f t="shared" si="14"/>
        <v>3</v>
      </c>
      <c r="LZ28" s="24">
        <f t="shared" si="14"/>
        <v>4</v>
      </c>
      <c r="MA28" s="24">
        <f t="shared" si="14"/>
        <v>5</v>
      </c>
      <c r="MB28" s="24">
        <f t="shared" si="14"/>
        <v>6</v>
      </c>
      <c r="MC28" s="24">
        <f t="shared" si="14"/>
        <v>7</v>
      </c>
      <c r="MD28" s="24">
        <f t="shared" si="14"/>
        <v>1</v>
      </c>
      <c r="ME28" s="24">
        <f t="shared" si="14"/>
        <v>2</v>
      </c>
      <c r="MF28" s="24">
        <f t="shared" si="14"/>
        <v>3</v>
      </c>
      <c r="MG28" s="24">
        <f t="shared" si="14"/>
        <v>4</v>
      </c>
      <c r="MH28" s="24">
        <f t="shared" si="14"/>
        <v>5</v>
      </c>
      <c r="MI28" s="24">
        <f t="shared" si="14"/>
        <v>6</v>
      </c>
      <c r="MJ28" s="24">
        <f t="shared" si="14"/>
        <v>7</v>
      </c>
      <c r="MK28" s="24">
        <f t="shared" si="14"/>
        <v>1</v>
      </c>
      <c r="ML28" s="24">
        <f t="shared" si="14"/>
        <v>2</v>
      </c>
      <c r="MM28" s="24">
        <f t="shared" si="14"/>
        <v>3</v>
      </c>
      <c r="MN28" s="24">
        <f t="shared" si="14"/>
        <v>4</v>
      </c>
      <c r="MO28" s="24">
        <f t="shared" si="14"/>
        <v>5</v>
      </c>
      <c r="MP28" s="24">
        <f t="shared" si="14"/>
        <v>6</v>
      </c>
      <c r="MQ28" s="24">
        <f t="shared" ref="MQ28:PN28" si="15">WEEKDAY(MQ27,1)</f>
        <v>7</v>
      </c>
      <c r="MR28" s="24">
        <f t="shared" si="15"/>
        <v>1</v>
      </c>
      <c r="MS28" s="24">
        <f t="shared" si="15"/>
        <v>2</v>
      </c>
      <c r="MT28" s="24">
        <f t="shared" si="15"/>
        <v>3</v>
      </c>
      <c r="MU28" s="24">
        <f t="shared" si="15"/>
        <v>4</v>
      </c>
      <c r="MV28" s="24">
        <f t="shared" si="15"/>
        <v>5</v>
      </c>
      <c r="MW28" s="24">
        <f t="shared" si="15"/>
        <v>6</v>
      </c>
      <c r="MX28" s="24">
        <f t="shared" si="15"/>
        <v>7</v>
      </c>
      <c r="MY28" s="24">
        <f t="shared" si="15"/>
        <v>1</v>
      </c>
      <c r="MZ28" s="24">
        <f t="shared" si="15"/>
        <v>2</v>
      </c>
      <c r="NA28" s="24">
        <f t="shared" si="15"/>
        <v>3</v>
      </c>
      <c r="NB28" s="24">
        <f t="shared" si="15"/>
        <v>4</v>
      </c>
      <c r="NC28" s="24">
        <f t="shared" si="15"/>
        <v>5</v>
      </c>
      <c r="ND28" s="24">
        <f t="shared" si="15"/>
        <v>6</v>
      </c>
      <c r="NE28" s="24">
        <f t="shared" si="15"/>
        <v>7</v>
      </c>
      <c r="NF28" s="24">
        <f t="shared" si="15"/>
        <v>1</v>
      </c>
      <c r="NG28" s="24">
        <f t="shared" si="15"/>
        <v>2</v>
      </c>
      <c r="NH28" s="24">
        <f t="shared" si="15"/>
        <v>3</v>
      </c>
      <c r="NI28" s="24">
        <f t="shared" si="15"/>
        <v>4</v>
      </c>
      <c r="NJ28" s="24">
        <f t="shared" si="15"/>
        <v>5</v>
      </c>
      <c r="NK28" s="24">
        <f t="shared" si="15"/>
        <v>6</v>
      </c>
      <c r="NL28" s="24">
        <f t="shared" si="15"/>
        <v>7</v>
      </c>
      <c r="NM28" s="24">
        <f t="shared" si="15"/>
        <v>1</v>
      </c>
      <c r="NN28" s="24">
        <f t="shared" si="15"/>
        <v>2</v>
      </c>
      <c r="NO28" s="24">
        <f t="shared" si="15"/>
        <v>3</v>
      </c>
      <c r="NP28" s="24">
        <f t="shared" si="15"/>
        <v>4</v>
      </c>
      <c r="NQ28" s="24">
        <f t="shared" si="15"/>
        <v>5</v>
      </c>
      <c r="NR28" s="24">
        <f t="shared" si="15"/>
        <v>6</v>
      </c>
      <c r="NS28" s="24">
        <f t="shared" si="15"/>
        <v>7</v>
      </c>
      <c r="NT28" s="24">
        <f t="shared" si="15"/>
        <v>1</v>
      </c>
      <c r="NU28" s="24">
        <f t="shared" si="15"/>
        <v>2</v>
      </c>
      <c r="NV28" s="24">
        <f t="shared" si="15"/>
        <v>3</v>
      </c>
      <c r="NW28" s="24">
        <f t="shared" si="15"/>
        <v>4</v>
      </c>
      <c r="NX28" s="24">
        <f t="shared" si="15"/>
        <v>5</v>
      </c>
      <c r="NY28" s="24">
        <f t="shared" si="15"/>
        <v>6</v>
      </c>
      <c r="NZ28" s="24">
        <f t="shared" si="15"/>
        <v>7</v>
      </c>
      <c r="OA28" s="24">
        <f t="shared" si="15"/>
        <v>1</v>
      </c>
      <c r="OB28" s="24">
        <f t="shared" si="15"/>
        <v>2</v>
      </c>
      <c r="OC28" s="24">
        <f t="shared" si="15"/>
        <v>3</v>
      </c>
      <c r="OD28" s="24">
        <f t="shared" si="15"/>
        <v>4</v>
      </c>
      <c r="OE28" s="24">
        <f t="shared" si="15"/>
        <v>5</v>
      </c>
      <c r="OF28" s="24">
        <f t="shared" si="15"/>
        <v>6</v>
      </c>
      <c r="OG28" s="24">
        <f t="shared" si="15"/>
        <v>7</v>
      </c>
      <c r="OH28" s="24">
        <f t="shared" si="15"/>
        <v>1</v>
      </c>
      <c r="OI28" s="24">
        <f t="shared" si="15"/>
        <v>2</v>
      </c>
      <c r="OJ28" s="24">
        <f t="shared" si="15"/>
        <v>3</v>
      </c>
      <c r="OK28" s="24">
        <f t="shared" si="15"/>
        <v>4</v>
      </c>
      <c r="OL28" s="24">
        <f t="shared" si="15"/>
        <v>5</v>
      </c>
      <c r="OM28" s="24">
        <f t="shared" si="15"/>
        <v>6</v>
      </c>
      <c r="ON28" s="24">
        <f t="shared" si="15"/>
        <v>7</v>
      </c>
      <c r="OO28" s="24">
        <f t="shared" si="15"/>
        <v>1</v>
      </c>
      <c r="OP28" s="24">
        <f t="shared" si="15"/>
        <v>2</v>
      </c>
      <c r="OQ28" s="24">
        <f t="shared" si="15"/>
        <v>3</v>
      </c>
      <c r="OR28" s="24">
        <f t="shared" si="15"/>
        <v>4</v>
      </c>
      <c r="OS28" s="24">
        <f t="shared" si="15"/>
        <v>5</v>
      </c>
      <c r="OT28" s="24">
        <f t="shared" si="15"/>
        <v>6</v>
      </c>
      <c r="OU28" s="24">
        <f t="shared" si="15"/>
        <v>7</v>
      </c>
      <c r="OV28" s="24">
        <f t="shared" si="15"/>
        <v>1</v>
      </c>
      <c r="OW28" s="24">
        <f t="shared" si="15"/>
        <v>2</v>
      </c>
      <c r="OX28" s="24">
        <f t="shared" si="15"/>
        <v>3</v>
      </c>
      <c r="OY28" s="24">
        <f t="shared" si="15"/>
        <v>4</v>
      </c>
      <c r="OZ28" s="24">
        <f t="shared" si="15"/>
        <v>5</v>
      </c>
      <c r="PA28" s="24">
        <f t="shared" si="15"/>
        <v>6</v>
      </c>
      <c r="PB28" s="24">
        <f t="shared" si="15"/>
        <v>7</v>
      </c>
      <c r="PC28" s="24">
        <f t="shared" si="15"/>
        <v>1</v>
      </c>
      <c r="PD28" s="24">
        <f t="shared" si="15"/>
        <v>2</v>
      </c>
      <c r="PE28" s="24">
        <f t="shared" si="15"/>
        <v>3</v>
      </c>
      <c r="PF28" s="24">
        <f t="shared" si="15"/>
        <v>4</v>
      </c>
      <c r="PG28" s="24">
        <f t="shared" si="15"/>
        <v>5</v>
      </c>
      <c r="PH28" s="24">
        <f t="shared" si="15"/>
        <v>6</v>
      </c>
      <c r="PI28" s="24">
        <f t="shared" si="15"/>
        <v>7</v>
      </c>
      <c r="PJ28" s="24">
        <f t="shared" si="15"/>
        <v>1</v>
      </c>
      <c r="PK28" s="24">
        <f t="shared" si="15"/>
        <v>2</v>
      </c>
      <c r="PL28" s="24">
        <f t="shared" si="15"/>
        <v>3</v>
      </c>
      <c r="PM28" s="24">
        <f t="shared" si="15"/>
        <v>4</v>
      </c>
      <c r="PN28" s="24">
        <f t="shared" si="15"/>
        <v>5</v>
      </c>
    </row>
    <row r="29" spans="1:475" s="2" customFormat="1" ht="15.75" hidden="1" thickBot="1" x14ac:dyDescent="0.3">
      <c r="B29" s="2" t="s">
        <v>107</v>
      </c>
      <c r="C29" s="24" t="str">
        <f>IF(C28=2,"Lu.",IF(C28=3,"Ma.",IF(C28=4,"Mi.",IF(C28=5,"Ju.",IF(C28=6,"Vi.",IF(C28=7,"Sa.","Do."))))))&amp;" "&amp;DAY(C27)&amp;"
/"&amp;MONTH(C27)</f>
        <v>Ju. 1
/12</v>
      </c>
      <c r="D29" s="24" t="str">
        <f t="shared" ref="D29:M29" si="16">IF(D28=2,"Lu.",IF(D28=3,"Ma.",IF(D28=4,"Mi.",IF(D28=5,"Ju.",IF(D28=6,"Vi.",IF(D28=7,"Sa.","Do."))))))&amp;" "&amp;DAY(D27)&amp;"
/"&amp;MONTH(D27)</f>
        <v>Vi. 2
/12</v>
      </c>
      <c r="E29" s="24" t="str">
        <f t="shared" si="16"/>
        <v>Sa. 3
/12</v>
      </c>
      <c r="F29" s="24" t="str">
        <f t="shared" si="16"/>
        <v>Do. 4
/12</v>
      </c>
      <c r="G29" s="24" t="str">
        <f t="shared" si="16"/>
        <v>Lu. 5
/12</v>
      </c>
      <c r="H29" s="24" t="str">
        <f t="shared" si="16"/>
        <v>Ma. 6
/12</v>
      </c>
      <c r="I29" s="24" t="str">
        <f t="shared" si="16"/>
        <v>Mi. 7
/12</v>
      </c>
      <c r="J29" s="24" t="str">
        <f t="shared" si="16"/>
        <v>Ju. 8
/12</v>
      </c>
      <c r="K29" s="24" t="str">
        <f t="shared" si="16"/>
        <v>Vi. 9
/12</v>
      </c>
      <c r="L29" s="24" t="str">
        <f t="shared" si="16"/>
        <v>Sa. 10
/12</v>
      </c>
      <c r="M29" s="24" t="str">
        <f t="shared" si="16"/>
        <v>Do. 11
/12</v>
      </c>
      <c r="N29" s="24" t="str">
        <f t="shared" ref="N29" si="17">IF(N28=2,"Lu.",IF(N28=3,"Ma.",IF(N28=4,"Mi.",IF(N28=5,"Ju.",IF(N28=6,"Vi.",IF(N28=7,"Sa.","Do."))))))&amp;" "&amp;DAY(N27)&amp;"
/"&amp;MONTH(N27)</f>
        <v>Lu. 12
/12</v>
      </c>
      <c r="O29" s="24" t="str">
        <f t="shared" ref="O29" si="18">IF(O28=2,"Lu.",IF(O28=3,"Ma.",IF(O28=4,"Mi.",IF(O28=5,"Ju.",IF(O28=6,"Vi.",IF(O28=7,"Sa.","Do."))))))&amp;" "&amp;DAY(O27)&amp;"
/"&amp;MONTH(O27)</f>
        <v>Ma. 13
/12</v>
      </c>
      <c r="P29" s="24" t="str">
        <f t="shared" ref="P29" si="19">IF(P28=2,"Lu.",IF(P28=3,"Ma.",IF(P28=4,"Mi.",IF(P28=5,"Ju.",IF(P28=6,"Vi.",IF(P28=7,"Sa.","Do."))))))&amp;" "&amp;DAY(P27)&amp;"
/"&amp;MONTH(P27)</f>
        <v>Mi. 14
/12</v>
      </c>
      <c r="Q29" s="24" t="str">
        <f t="shared" ref="Q29" si="20">IF(Q28=2,"Lu.",IF(Q28=3,"Ma.",IF(Q28=4,"Mi.",IF(Q28=5,"Ju.",IF(Q28=6,"Vi.",IF(Q28=7,"Sa.","Do."))))))&amp;" "&amp;DAY(Q27)&amp;"
/"&amp;MONTH(Q27)</f>
        <v>Ju. 15
/12</v>
      </c>
      <c r="R29" s="24" t="str">
        <f t="shared" ref="R29" si="21">IF(R28=2,"Lu.",IF(R28=3,"Ma.",IF(R28=4,"Mi.",IF(R28=5,"Ju.",IF(R28=6,"Vi.",IF(R28=7,"Sa.","Do."))))))&amp;" "&amp;DAY(R27)&amp;"
/"&amp;MONTH(R27)</f>
        <v>Vi. 16
/12</v>
      </c>
      <c r="S29" s="24" t="str">
        <f t="shared" ref="S29" si="22">IF(S28=2,"Lu.",IF(S28=3,"Ma.",IF(S28=4,"Mi.",IF(S28=5,"Ju.",IF(S28=6,"Vi.",IF(S28=7,"Sa.","Do."))))))&amp;" "&amp;DAY(S27)&amp;"
/"&amp;MONTH(S27)</f>
        <v>Sa. 17
/12</v>
      </c>
      <c r="T29" s="24" t="str">
        <f t="shared" ref="T29" si="23">IF(T28=2,"Lu.",IF(T28=3,"Ma.",IF(T28=4,"Mi.",IF(T28=5,"Ju.",IF(T28=6,"Vi.",IF(T28=7,"Sa.","Do."))))))&amp;" "&amp;DAY(T27)&amp;"
/"&amp;MONTH(T27)</f>
        <v>Do. 18
/12</v>
      </c>
      <c r="U29" s="24" t="str">
        <f t="shared" ref="U29" si="24">IF(U28=2,"Lu.",IF(U28=3,"Ma.",IF(U28=4,"Mi.",IF(U28=5,"Ju.",IF(U28=6,"Vi.",IF(U28=7,"Sa.","Do."))))))&amp;" "&amp;DAY(U27)&amp;"
/"&amp;MONTH(U27)</f>
        <v>Lu. 19
/12</v>
      </c>
      <c r="V29" s="24" t="str">
        <f t="shared" ref="V29" si="25">IF(V28=2,"Lu.",IF(V28=3,"Ma.",IF(V28=4,"Mi.",IF(V28=5,"Ju.",IF(V28=6,"Vi.",IF(V28=7,"Sa.","Do."))))))&amp;" "&amp;DAY(V27)&amp;"
/"&amp;MONTH(V27)</f>
        <v>Ma. 20
/12</v>
      </c>
      <c r="W29" s="24" t="str">
        <f t="shared" ref="W29" si="26">IF(W28=2,"Lu.",IF(W28=3,"Ma.",IF(W28=4,"Mi.",IF(W28=5,"Ju.",IF(W28=6,"Vi.",IF(W28=7,"Sa.","Do."))))))&amp;" "&amp;DAY(W27)&amp;"
/"&amp;MONTH(W27)</f>
        <v>Mi. 21
/12</v>
      </c>
      <c r="X29" s="24" t="str">
        <f t="shared" ref="X29" si="27">IF(X28=2,"Lu.",IF(X28=3,"Ma.",IF(X28=4,"Mi.",IF(X28=5,"Ju.",IF(X28=6,"Vi.",IF(X28=7,"Sa.","Do."))))))&amp;" "&amp;DAY(X27)&amp;"
/"&amp;MONTH(X27)</f>
        <v>Ju. 22
/12</v>
      </c>
      <c r="Y29" s="24" t="str">
        <f t="shared" ref="Y29" si="28">IF(Y28=2,"Lu.",IF(Y28=3,"Ma.",IF(Y28=4,"Mi.",IF(Y28=5,"Ju.",IF(Y28=6,"Vi.",IF(Y28=7,"Sa.","Do."))))))&amp;" "&amp;DAY(Y27)&amp;"
/"&amp;MONTH(Y27)</f>
        <v>Vi. 23
/12</v>
      </c>
      <c r="Z29" s="24" t="str">
        <f t="shared" ref="Z29" si="29">IF(Z28=2,"Lu.",IF(Z28=3,"Ma.",IF(Z28=4,"Mi.",IF(Z28=5,"Ju.",IF(Z28=6,"Vi.",IF(Z28=7,"Sa.","Do."))))))&amp;" "&amp;DAY(Z27)&amp;"
/"&amp;MONTH(Z27)</f>
        <v>Sa. 24
/12</v>
      </c>
      <c r="AA29" s="24" t="str">
        <f t="shared" ref="AA29" si="30">IF(AA28=2,"Lu.",IF(AA28=3,"Ma.",IF(AA28=4,"Mi.",IF(AA28=5,"Ju.",IF(AA28=6,"Vi.",IF(AA28=7,"Sa.","Do."))))))&amp;" "&amp;DAY(AA27)&amp;"
/"&amp;MONTH(AA27)</f>
        <v>Do. 25
/12</v>
      </c>
      <c r="AB29" s="24" t="str">
        <f t="shared" ref="AB29" si="31">IF(AB28=2,"Lu.",IF(AB28=3,"Ma.",IF(AB28=4,"Mi.",IF(AB28=5,"Ju.",IF(AB28=6,"Vi.",IF(AB28=7,"Sa.","Do."))))))&amp;" "&amp;DAY(AB27)&amp;"
/"&amp;MONTH(AB27)</f>
        <v>Lu. 26
/12</v>
      </c>
      <c r="AC29" s="24" t="str">
        <f t="shared" ref="AC29" si="32">IF(AC28=2,"Lu.",IF(AC28=3,"Ma.",IF(AC28=4,"Mi.",IF(AC28=5,"Ju.",IF(AC28=6,"Vi.",IF(AC28=7,"Sa.","Do."))))))&amp;" "&amp;DAY(AC27)&amp;"
/"&amp;MONTH(AC27)</f>
        <v>Ma. 27
/12</v>
      </c>
      <c r="AD29" s="24" t="str">
        <f t="shared" ref="AD29" si="33">IF(AD28=2,"Lu.",IF(AD28=3,"Ma.",IF(AD28=4,"Mi.",IF(AD28=5,"Ju.",IF(AD28=6,"Vi.",IF(AD28=7,"Sa.","Do."))))))&amp;" "&amp;DAY(AD27)&amp;"
/"&amp;MONTH(AD27)</f>
        <v>Mi. 28
/12</v>
      </c>
      <c r="AE29" s="24" t="str">
        <f t="shared" ref="AE29" si="34">IF(AE28=2,"Lu.",IF(AE28=3,"Ma.",IF(AE28=4,"Mi.",IF(AE28=5,"Ju.",IF(AE28=6,"Vi.",IF(AE28=7,"Sa.","Do."))))))&amp;" "&amp;DAY(AE27)&amp;"
/"&amp;MONTH(AE27)</f>
        <v>Ju. 29
/12</v>
      </c>
      <c r="AF29" s="24" t="str">
        <f t="shared" ref="AF29" si="35">IF(AF28=2,"Lu.",IF(AF28=3,"Ma.",IF(AF28=4,"Mi.",IF(AF28=5,"Ju.",IF(AF28=6,"Vi.",IF(AF28=7,"Sa.","Do."))))))&amp;" "&amp;DAY(AF27)&amp;"
/"&amp;MONTH(AF27)</f>
        <v>Vi. 30
/12</v>
      </c>
      <c r="AG29" s="24" t="str">
        <f t="shared" ref="AG29" si="36">IF(AG28=2,"Lu.",IF(AG28=3,"Ma.",IF(AG28=4,"Mi.",IF(AG28=5,"Ju.",IF(AG28=6,"Vi.",IF(AG28=7,"Sa.","Do."))))))&amp;" "&amp;DAY(AG27)&amp;"
/"&amp;MONTH(AG27)</f>
        <v>Sa. 31
/12</v>
      </c>
      <c r="AH29" s="24" t="str">
        <f t="shared" ref="AH29" si="37">IF(AH28=2,"Lu.",IF(AH28=3,"Ma.",IF(AH28=4,"Mi.",IF(AH28=5,"Ju.",IF(AH28=6,"Vi.",IF(AH28=7,"Sa.","Do."))))))&amp;" "&amp;DAY(AH27)&amp;"
/"&amp;MONTH(AH27)</f>
        <v>Do. 1
/1</v>
      </c>
      <c r="AI29" s="24" t="str">
        <f t="shared" ref="AI29" si="38">IF(AI28=2,"Lu.",IF(AI28=3,"Ma.",IF(AI28=4,"Mi.",IF(AI28=5,"Ju.",IF(AI28=6,"Vi.",IF(AI28=7,"Sa.","Do."))))))&amp;" "&amp;DAY(AI27)&amp;"
/"&amp;MONTH(AI27)</f>
        <v>Lu. 2
/1</v>
      </c>
      <c r="AJ29" s="24" t="str">
        <f t="shared" ref="AJ29" si="39">IF(AJ28=2,"Lu.",IF(AJ28=3,"Ma.",IF(AJ28=4,"Mi.",IF(AJ28=5,"Ju.",IF(AJ28=6,"Vi.",IF(AJ28=7,"Sa.","Do."))))))&amp;" "&amp;DAY(AJ27)&amp;"
/"&amp;MONTH(AJ27)</f>
        <v>Ma. 3
/1</v>
      </c>
      <c r="AK29" s="24" t="str">
        <f t="shared" ref="AK29" si="40">IF(AK28=2,"Lu.",IF(AK28=3,"Ma.",IF(AK28=4,"Mi.",IF(AK28=5,"Ju.",IF(AK28=6,"Vi.",IF(AK28=7,"Sa.","Do."))))))&amp;" "&amp;DAY(AK27)&amp;"
/"&amp;MONTH(AK27)</f>
        <v>Mi. 4
/1</v>
      </c>
      <c r="AL29" s="24" t="str">
        <f t="shared" ref="AL29" si="41">IF(AL28=2,"Lu.",IF(AL28=3,"Ma.",IF(AL28=4,"Mi.",IF(AL28=5,"Ju.",IF(AL28=6,"Vi.",IF(AL28=7,"Sa.","Do."))))))&amp;" "&amp;DAY(AL27)&amp;"
/"&amp;MONTH(AL27)</f>
        <v>Ju. 5
/1</v>
      </c>
      <c r="AM29" s="24" t="str">
        <f t="shared" ref="AM29" si="42">IF(AM28=2,"Lu.",IF(AM28=3,"Ma.",IF(AM28=4,"Mi.",IF(AM28=5,"Ju.",IF(AM28=6,"Vi.",IF(AM28=7,"Sa.","Do."))))))&amp;" "&amp;DAY(AM27)&amp;"
/"&amp;MONTH(AM27)</f>
        <v>Vi. 6
/1</v>
      </c>
      <c r="AN29" s="24" t="str">
        <f t="shared" ref="AN29" si="43">IF(AN28=2,"Lu.",IF(AN28=3,"Ma.",IF(AN28=4,"Mi.",IF(AN28=5,"Ju.",IF(AN28=6,"Vi.",IF(AN28=7,"Sa.","Do."))))))&amp;" "&amp;DAY(AN27)&amp;"
/"&amp;MONTH(AN27)</f>
        <v>Sa. 7
/1</v>
      </c>
      <c r="AO29" s="24" t="str">
        <f t="shared" ref="AO29" si="44">IF(AO28=2,"Lu.",IF(AO28=3,"Ma.",IF(AO28=4,"Mi.",IF(AO28=5,"Ju.",IF(AO28=6,"Vi.",IF(AO28=7,"Sa.","Do."))))))&amp;" "&amp;DAY(AO27)&amp;"
/"&amp;MONTH(AO27)</f>
        <v>Do. 8
/1</v>
      </c>
      <c r="AP29" s="24" t="str">
        <f t="shared" ref="AP29" si="45">IF(AP28=2,"Lu.",IF(AP28=3,"Ma.",IF(AP28=4,"Mi.",IF(AP28=5,"Ju.",IF(AP28=6,"Vi.",IF(AP28=7,"Sa.","Do."))))))&amp;" "&amp;DAY(AP27)&amp;"
/"&amp;MONTH(AP27)</f>
        <v>Lu. 9
/1</v>
      </c>
      <c r="AQ29" s="24" t="str">
        <f t="shared" ref="AQ29" si="46">IF(AQ28=2,"Lu.",IF(AQ28=3,"Ma.",IF(AQ28=4,"Mi.",IF(AQ28=5,"Ju.",IF(AQ28=6,"Vi.",IF(AQ28=7,"Sa.","Do."))))))&amp;" "&amp;DAY(AQ27)&amp;"
/"&amp;MONTH(AQ27)</f>
        <v>Ma. 10
/1</v>
      </c>
      <c r="AR29" s="24" t="str">
        <f t="shared" ref="AR29" si="47">IF(AR28=2,"Lu.",IF(AR28=3,"Ma.",IF(AR28=4,"Mi.",IF(AR28=5,"Ju.",IF(AR28=6,"Vi.",IF(AR28=7,"Sa.","Do."))))))&amp;" "&amp;DAY(AR27)&amp;"
/"&amp;MONTH(AR27)</f>
        <v>Mi. 11
/1</v>
      </c>
      <c r="AS29" s="24" t="str">
        <f t="shared" ref="AS29" si="48">IF(AS28=2,"Lu.",IF(AS28=3,"Ma.",IF(AS28=4,"Mi.",IF(AS28=5,"Ju.",IF(AS28=6,"Vi.",IF(AS28=7,"Sa.","Do."))))))&amp;" "&amp;DAY(AS27)&amp;"
/"&amp;MONTH(AS27)</f>
        <v>Ju. 12
/1</v>
      </c>
      <c r="AT29" s="24" t="str">
        <f t="shared" ref="AT29" si="49">IF(AT28=2,"Lu.",IF(AT28=3,"Ma.",IF(AT28=4,"Mi.",IF(AT28=5,"Ju.",IF(AT28=6,"Vi.",IF(AT28=7,"Sa.","Do."))))))&amp;" "&amp;DAY(AT27)&amp;"
/"&amp;MONTH(AT27)</f>
        <v>Vi. 13
/1</v>
      </c>
      <c r="AU29" s="24" t="str">
        <f t="shared" ref="AU29" si="50">IF(AU28=2,"Lu.",IF(AU28=3,"Ma.",IF(AU28=4,"Mi.",IF(AU28=5,"Ju.",IF(AU28=6,"Vi.",IF(AU28=7,"Sa.","Do."))))))&amp;" "&amp;DAY(AU27)&amp;"
/"&amp;MONTH(AU27)</f>
        <v>Sa. 14
/1</v>
      </c>
      <c r="AV29" s="24" t="str">
        <f t="shared" ref="AV29" si="51">IF(AV28=2,"Lu.",IF(AV28=3,"Ma.",IF(AV28=4,"Mi.",IF(AV28=5,"Ju.",IF(AV28=6,"Vi.",IF(AV28=7,"Sa.","Do."))))))&amp;" "&amp;DAY(AV27)&amp;"
/"&amp;MONTH(AV27)</f>
        <v>Do. 15
/1</v>
      </c>
      <c r="AW29" s="24" t="str">
        <f t="shared" ref="AW29" si="52">IF(AW28=2,"Lu.",IF(AW28=3,"Ma.",IF(AW28=4,"Mi.",IF(AW28=5,"Ju.",IF(AW28=6,"Vi.",IF(AW28=7,"Sa.","Do."))))))&amp;" "&amp;DAY(AW27)&amp;"
/"&amp;MONTH(AW27)</f>
        <v>Lu. 16
/1</v>
      </c>
      <c r="AX29" s="24" t="str">
        <f t="shared" ref="AX29" si="53">IF(AX28=2,"Lu.",IF(AX28=3,"Ma.",IF(AX28=4,"Mi.",IF(AX28=5,"Ju.",IF(AX28=6,"Vi.",IF(AX28=7,"Sa.","Do."))))))&amp;" "&amp;DAY(AX27)&amp;"
/"&amp;MONTH(AX27)</f>
        <v>Ma. 17
/1</v>
      </c>
      <c r="AY29" s="24" t="str">
        <f t="shared" ref="AY29" si="54">IF(AY28=2,"Lu.",IF(AY28=3,"Ma.",IF(AY28=4,"Mi.",IF(AY28=5,"Ju.",IF(AY28=6,"Vi.",IF(AY28=7,"Sa.","Do."))))))&amp;" "&amp;DAY(AY27)&amp;"
/"&amp;MONTH(AY27)</f>
        <v>Mi. 18
/1</v>
      </c>
      <c r="AZ29" s="24" t="str">
        <f t="shared" ref="AZ29" si="55">IF(AZ28=2,"Lu.",IF(AZ28=3,"Ma.",IF(AZ28=4,"Mi.",IF(AZ28=5,"Ju.",IF(AZ28=6,"Vi.",IF(AZ28=7,"Sa.","Do."))))))&amp;" "&amp;DAY(AZ27)&amp;"
/"&amp;MONTH(AZ27)</f>
        <v>Ju. 19
/1</v>
      </c>
      <c r="BA29" s="24" t="str">
        <f t="shared" ref="BA29" si="56">IF(BA28=2,"Lu.",IF(BA28=3,"Ma.",IF(BA28=4,"Mi.",IF(BA28=5,"Ju.",IF(BA28=6,"Vi.",IF(BA28=7,"Sa.","Do."))))))&amp;" "&amp;DAY(BA27)&amp;"
/"&amp;MONTH(BA27)</f>
        <v>Vi. 20
/1</v>
      </c>
      <c r="BB29" s="24" t="str">
        <f t="shared" ref="BB29" si="57">IF(BB28=2,"Lu.",IF(BB28=3,"Ma.",IF(BB28=4,"Mi.",IF(BB28=5,"Ju.",IF(BB28=6,"Vi.",IF(BB28=7,"Sa.","Do."))))))&amp;" "&amp;DAY(BB27)&amp;"
/"&amp;MONTH(BB27)</f>
        <v>Sa. 21
/1</v>
      </c>
      <c r="BC29" s="24" t="str">
        <f t="shared" ref="BC29" si="58">IF(BC28=2,"Lu.",IF(BC28=3,"Ma.",IF(BC28=4,"Mi.",IF(BC28=5,"Ju.",IF(BC28=6,"Vi.",IF(BC28=7,"Sa.","Do."))))))&amp;" "&amp;DAY(BC27)&amp;"
/"&amp;MONTH(BC27)</f>
        <v>Do. 22
/1</v>
      </c>
      <c r="BD29" s="24" t="str">
        <f t="shared" ref="BD29" si="59">IF(BD28=2,"Lu.",IF(BD28=3,"Ma.",IF(BD28=4,"Mi.",IF(BD28=5,"Ju.",IF(BD28=6,"Vi.",IF(BD28=7,"Sa.","Do."))))))&amp;" "&amp;DAY(BD27)&amp;"
/"&amp;MONTH(BD27)</f>
        <v>Lu. 23
/1</v>
      </c>
      <c r="BE29" s="24" t="str">
        <f t="shared" ref="BE29" si="60">IF(BE28=2,"Lu.",IF(BE28=3,"Ma.",IF(BE28=4,"Mi.",IF(BE28=5,"Ju.",IF(BE28=6,"Vi.",IF(BE28=7,"Sa.","Do."))))))&amp;" "&amp;DAY(BE27)&amp;"
/"&amp;MONTH(BE27)</f>
        <v>Ma. 24
/1</v>
      </c>
      <c r="BF29" s="24" t="str">
        <f t="shared" ref="BF29" si="61">IF(BF28=2,"Lu.",IF(BF28=3,"Ma.",IF(BF28=4,"Mi.",IF(BF28=5,"Ju.",IF(BF28=6,"Vi.",IF(BF28=7,"Sa.","Do."))))))&amp;" "&amp;DAY(BF27)&amp;"
/"&amp;MONTH(BF27)</f>
        <v>Mi. 25
/1</v>
      </c>
      <c r="BG29" s="24" t="str">
        <f t="shared" ref="BG29" si="62">IF(BG28=2,"Lu.",IF(BG28=3,"Ma.",IF(BG28=4,"Mi.",IF(BG28=5,"Ju.",IF(BG28=6,"Vi.",IF(BG28=7,"Sa.","Do."))))))&amp;" "&amp;DAY(BG27)&amp;"
/"&amp;MONTH(BG27)</f>
        <v>Ju. 26
/1</v>
      </c>
      <c r="BH29" s="24" t="str">
        <f t="shared" ref="BH29" si="63">IF(BH28=2,"Lu.",IF(BH28=3,"Ma.",IF(BH28=4,"Mi.",IF(BH28=5,"Ju.",IF(BH28=6,"Vi.",IF(BH28=7,"Sa.","Do."))))))&amp;" "&amp;DAY(BH27)&amp;"
/"&amp;MONTH(BH27)</f>
        <v>Vi. 27
/1</v>
      </c>
      <c r="BI29" s="24" t="str">
        <f t="shared" ref="BI29" si="64">IF(BI28=2,"Lu.",IF(BI28=3,"Ma.",IF(BI28=4,"Mi.",IF(BI28=5,"Ju.",IF(BI28=6,"Vi.",IF(BI28=7,"Sa.","Do."))))))&amp;" "&amp;DAY(BI27)&amp;"
/"&amp;MONTH(BI27)</f>
        <v>Sa. 28
/1</v>
      </c>
      <c r="BJ29" s="24" t="str">
        <f t="shared" ref="BJ29" si="65">IF(BJ28=2,"Lu.",IF(BJ28=3,"Ma.",IF(BJ28=4,"Mi.",IF(BJ28=5,"Ju.",IF(BJ28=6,"Vi.",IF(BJ28=7,"Sa.","Do."))))))&amp;" "&amp;DAY(BJ27)&amp;"
/"&amp;MONTH(BJ27)</f>
        <v>Do. 29
/1</v>
      </c>
      <c r="BK29" s="24" t="str">
        <f t="shared" ref="BK29" si="66">IF(BK28=2,"Lu.",IF(BK28=3,"Ma.",IF(BK28=4,"Mi.",IF(BK28=5,"Ju.",IF(BK28=6,"Vi.",IF(BK28=7,"Sa.","Do."))))))&amp;" "&amp;DAY(BK27)&amp;"
/"&amp;MONTH(BK27)</f>
        <v>Lu. 30
/1</v>
      </c>
      <c r="BL29" s="24" t="str">
        <f t="shared" ref="BL29" si="67">IF(BL28=2,"Lu.",IF(BL28=3,"Ma.",IF(BL28=4,"Mi.",IF(BL28=5,"Ju.",IF(BL28=6,"Vi.",IF(BL28=7,"Sa.","Do."))))))&amp;" "&amp;DAY(BL27)&amp;"
/"&amp;MONTH(BL27)</f>
        <v>Ma. 31
/1</v>
      </c>
      <c r="BM29" s="24" t="str">
        <f t="shared" ref="BM29" si="68">IF(BM28=2,"Lu.",IF(BM28=3,"Ma.",IF(BM28=4,"Mi.",IF(BM28=5,"Ju.",IF(BM28=6,"Vi.",IF(BM28=7,"Sa.","Do."))))))&amp;" "&amp;DAY(BM27)&amp;"
/"&amp;MONTH(BM27)</f>
        <v>Mi. 1
/2</v>
      </c>
      <c r="BN29" s="24" t="str">
        <f t="shared" ref="BN29" si="69">IF(BN28=2,"Lu.",IF(BN28=3,"Ma.",IF(BN28=4,"Mi.",IF(BN28=5,"Ju.",IF(BN28=6,"Vi.",IF(BN28=7,"Sa.","Do."))))))&amp;" "&amp;DAY(BN27)&amp;"
/"&amp;MONTH(BN27)</f>
        <v>Ju. 2
/2</v>
      </c>
      <c r="BO29" s="24" t="str">
        <f t="shared" ref="BO29" si="70">IF(BO28=2,"Lu.",IF(BO28=3,"Ma.",IF(BO28=4,"Mi.",IF(BO28=5,"Ju.",IF(BO28=6,"Vi.",IF(BO28=7,"Sa.","Do."))))))&amp;" "&amp;DAY(BO27)&amp;"
/"&amp;MONTH(BO27)</f>
        <v>Vi. 3
/2</v>
      </c>
      <c r="BP29" s="24" t="str">
        <f t="shared" ref="BP29" si="71">IF(BP28=2,"Lu.",IF(BP28=3,"Ma.",IF(BP28=4,"Mi.",IF(BP28=5,"Ju.",IF(BP28=6,"Vi.",IF(BP28=7,"Sa.","Do."))))))&amp;" "&amp;DAY(BP27)&amp;"
/"&amp;MONTH(BP27)</f>
        <v>Sa. 4
/2</v>
      </c>
      <c r="BQ29" s="24" t="str">
        <f t="shared" ref="BQ29" si="72">IF(BQ28=2,"Lu.",IF(BQ28=3,"Ma.",IF(BQ28=4,"Mi.",IF(BQ28=5,"Ju.",IF(BQ28=6,"Vi.",IF(BQ28=7,"Sa.","Do."))))))&amp;" "&amp;DAY(BQ27)&amp;"
/"&amp;MONTH(BQ27)</f>
        <v>Do. 5
/2</v>
      </c>
      <c r="BR29" s="24" t="str">
        <f t="shared" ref="BR29" si="73">IF(BR28=2,"Lu.",IF(BR28=3,"Ma.",IF(BR28=4,"Mi.",IF(BR28=5,"Ju.",IF(BR28=6,"Vi.",IF(BR28=7,"Sa.","Do."))))))&amp;" "&amp;DAY(BR27)&amp;"
/"&amp;MONTH(BR27)</f>
        <v>Lu. 6
/2</v>
      </c>
      <c r="BS29" s="24" t="str">
        <f t="shared" ref="BS29" si="74">IF(BS28=2,"Lu.",IF(BS28=3,"Ma.",IF(BS28=4,"Mi.",IF(BS28=5,"Ju.",IF(BS28=6,"Vi.",IF(BS28=7,"Sa.","Do."))))))&amp;" "&amp;DAY(BS27)&amp;"
/"&amp;MONTH(BS27)</f>
        <v>Ma. 7
/2</v>
      </c>
      <c r="BT29" s="24" t="str">
        <f t="shared" ref="BT29" si="75">IF(BT28=2,"Lu.",IF(BT28=3,"Ma.",IF(BT28=4,"Mi.",IF(BT28=5,"Ju.",IF(BT28=6,"Vi.",IF(BT28=7,"Sa.","Do."))))))&amp;" "&amp;DAY(BT27)&amp;"
/"&amp;MONTH(BT27)</f>
        <v>Mi. 8
/2</v>
      </c>
      <c r="BU29" s="24" t="str">
        <f t="shared" ref="BU29" si="76">IF(BU28=2,"Lu.",IF(BU28=3,"Ma.",IF(BU28=4,"Mi.",IF(BU28=5,"Ju.",IF(BU28=6,"Vi.",IF(BU28=7,"Sa.","Do."))))))&amp;" "&amp;DAY(BU27)&amp;"
/"&amp;MONTH(BU27)</f>
        <v>Ju. 9
/2</v>
      </c>
      <c r="BV29" s="24" t="str">
        <f t="shared" ref="BV29" si="77">IF(BV28=2,"Lu.",IF(BV28=3,"Ma.",IF(BV28=4,"Mi.",IF(BV28=5,"Ju.",IF(BV28=6,"Vi.",IF(BV28=7,"Sa.","Do."))))))&amp;" "&amp;DAY(BV27)&amp;"
/"&amp;MONTH(BV27)</f>
        <v>Vi. 10
/2</v>
      </c>
      <c r="BW29" s="24" t="str">
        <f t="shared" ref="BW29" si="78">IF(BW28=2,"Lu.",IF(BW28=3,"Ma.",IF(BW28=4,"Mi.",IF(BW28=5,"Ju.",IF(BW28=6,"Vi.",IF(BW28=7,"Sa.","Do."))))))&amp;" "&amp;DAY(BW27)&amp;"
/"&amp;MONTH(BW27)</f>
        <v>Sa. 11
/2</v>
      </c>
      <c r="BX29" s="24" t="str">
        <f t="shared" ref="BX29" si="79">IF(BX28=2,"Lu.",IF(BX28=3,"Ma.",IF(BX28=4,"Mi.",IF(BX28=5,"Ju.",IF(BX28=6,"Vi.",IF(BX28=7,"Sa.","Do."))))))&amp;" "&amp;DAY(BX27)&amp;"
/"&amp;MONTH(BX27)</f>
        <v>Do. 12
/2</v>
      </c>
      <c r="BY29" s="24" t="str">
        <f t="shared" ref="BY29" si="80">IF(BY28=2,"Lu.",IF(BY28=3,"Ma.",IF(BY28=4,"Mi.",IF(BY28=5,"Ju.",IF(BY28=6,"Vi.",IF(BY28=7,"Sa.","Do."))))))&amp;" "&amp;DAY(BY27)&amp;"
/"&amp;MONTH(BY27)</f>
        <v>Lu. 13
/2</v>
      </c>
      <c r="BZ29" s="24" t="str">
        <f t="shared" ref="BZ29" si="81">IF(BZ28=2,"Lu.",IF(BZ28=3,"Ma.",IF(BZ28=4,"Mi.",IF(BZ28=5,"Ju.",IF(BZ28=6,"Vi.",IF(BZ28=7,"Sa.","Do."))))))&amp;" "&amp;DAY(BZ27)&amp;"
/"&amp;MONTH(BZ27)</f>
        <v>Ma. 14
/2</v>
      </c>
      <c r="CA29" s="24" t="str">
        <f t="shared" ref="CA29" si="82">IF(CA28=2,"Lu.",IF(CA28=3,"Ma.",IF(CA28=4,"Mi.",IF(CA28=5,"Ju.",IF(CA28=6,"Vi.",IF(CA28=7,"Sa.","Do."))))))&amp;" "&amp;DAY(CA27)&amp;"
/"&amp;MONTH(CA27)</f>
        <v>Mi. 15
/2</v>
      </c>
      <c r="CB29" s="24" t="str">
        <f t="shared" ref="CB29" si="83">IF(CB28=2,"Lu.",IF(CB28=3,"Ma.",IF(CB28=4,"Mi.",IF(CB28=5,"Ju.",IF(CB28=6,"Vi.",IF(CB28=7,"Sa.","Do."))))))&amp;" "&amp;DAY(CB27)&amp;"
/"&amp;MONTH(CB27)</f>
        <v>Ju. 16
/2</v>
      </c>
      <c r="CC29" s="24" t="str">
        <f t="shared" ref="CC29" si="84">IF(CC28=2,"Lu.",IF(CC28=3,"Ma.",IF(CC28=4,"Mi.",IF(CC28=5,"Ju.",IF(CC28=6,"Vi.",IF(CC28=7,"Sa.","Do."))))))&amp;" "&amp;DAY(CC27)&amp;"
/"&amp;MONTH(CC27)</f>
        <v>Vi. 17
/2</v>
      </c>
      <c r="CD29" s="24" t="str">
        <f t="shared" ref="CD29" si="85">IF(CD28=2,"Lu.",IF(CD28=3,"Ma.",IF(CD28=4,"Mi.",IF(CD28=5,"Ju.",IF(CD28=6,"Vi.",IF(CD28=7,"Sa.","Do."))))))&amp;" "&amp;DAY(CD27)&amp;"
/"&amp;MONTH(CD27)</f>
        <v>Sa. 18
/2</v>
      </c>
      <c r="CE29" s="24" t="str">
        <f t="shared" ref="CE29" si="86">IF(CE28=2,"Lu.",IF(CE28=3,"Ma.",IF(CE28=4,"Mi.",IF(CE28=5,"Ju.",IF(CE28=6,"Vi.",IF(CE28=7,"Sa.","Do."))))))&amp;" "&amp;DAY(CE27)&amp;"
/"&amp;MONTH(CE27)</f>
        <v>Do. 19
/2</v>
      </c>
      <c r="CF29" s="24" t="str">
        <f t="shared" ref="CF29" si="87">IF(CF28=2,"Lu.",IF(CF28=3,"Ma.",IF(CF28=4,"Mi.",IF(CF28=5,"Ju.",IF(CF28=6,"Vi.",IF(CF28=7,"Sa.","Do."))))))&amp;" "&amp;DAY(CF27)&amp;"
/"&amp;MONTH(CF27)</f>
        <v>Lu. 20
/2</v>
      </c>
      <c r="CG29" s="24" t="str">
        <f t="shared" ref="CG29" si="88">IF(CG28=2,"Lu.",IF(CG28=3,"Ma.",IF(CG28=4,"Mi.",IF(CG28=5,"Ju.",IF(CG28=6,"Vi.",IF(CG28=7,"Sa.","Do."))))))&amp;" "&amp;DAY(CG27)&amp;"
/"&amp;MONTH(CG27)</f>
        <v>Ma. 21
/2</v>
      </c>
      <c r="CH29" s="24" t="str">
        <f t="shared" ref="CH29" si="89">IF(CH28=2,"Lu.",IF(CH28=3,"Ma.",IF(CH28=4,"Mi.",IF(CH28=5,"Ju.",IF(CH28=6,"Vi.",IF(CH28=7,"Sa.","Do."))))))&amp;" "&amp;DAY(CH27)&amp;"
/"&amp;MONTH(CH27)</f>
        <v>Mi. 22
/2</v>
      </c>
      <c r="CI29" s="24" t="str">
        <f t="shared" ref="CI29" si="90">IF(CI28=2,"Lu.",IF(CI28=3,"Ma.",IF(CI28=4,"Mi.",IF(CI28=5,"Ju.",IF(CI28=6,"Vi.",IF(CI28=7,"Sa.","Do."))))))&amp;" "&amp;DAY(CI27)&amp;"
/"&amp;MONTH(CI27)</f>
        <v>Ju. 23
/2</v>
      </c>
      <c r="CJ29" s="24" t="str">
        <f t="shared" ref="CJ29" si="91">IF(CJ28=2,"Lu.",IF(CJ28=3,"Ma.",IF(CJ28=4,"Mi.",IF(CJ28=5,"Ju.",IF(CJ28=6,"Vi.",IF(CJ28=7,"Sa.","Do."))))))&amp;" "&amp;DAY(CJ27)&amp;"
/"&amp;MONTH(CJ27)</f>
        <v>Vi. 24
/2</v>
      </c>
      <c r="CK29" s="24" t="str">
        <f t="shared" ref="CK29" si="92">IF(CK28=2,"Lu.",IF(CK28=3,"Ma.",IF(CK28=4,"Mi.",IF(CK28=5,"Ju.",IF(CK28=6,"Vi.",IF(CK28=7,"Sa.","Do."))))))&amp;" "&amp;DAY(CK27)&amp;"
/"&amp;MONTH(CK27)</f>
        <v>Sa. 25
/2</v>
      </c>
      <c r="CL29" s="24" t="str">
        <f t="shared" ref="CL29" si="93">IF(CL28=2,"Lu.",IF(CL28=3,"Ma.",IF(CL28=4,"Mi.",IF(CL28=5,"Ju.",IF(CL28=6,"Vi.",IF(CL28=7,"Sa.","Do."))))))&amp;" "&amp;DAY(CL27)&amp;"
/"&amp;MONTH(CL27)</f>
        <v>Do. 26
/2</v>
      </c>
      <c r="CM29" s="24" t="str">
        <f t="shared" ref="CM29" si="94">IF(CM28=2,"Lu.",IF(CM28=3,"Ma.",IF(CM28=4,"Mi.",IF(CM28=5,"Ju.",IF(CM28=6,"Vi.",IF(CM28=7,"Sa.","Do."))))))&amp;" "&amp;DAY(CM27)&amp;"
/"&amp;MONTH(CM27)</f>
        <v>Lu. 27
/2</v>
      </c>
      <c r="CN29" s="24" t="str">
        <f t="shared" ref="CN29" si="95">IF(CN28=2,"Lu.",IF(CN28=3,"Ma.",IF(CN28=4,"Mi.",IF(CN28=5,"Ju.",IF(CN28=6,"Vi.",IF(CN28=7,"Sa.","Do."))))))&amp;" "&amp;DAY(CN27)&amp;"
/"&amp;MONTH(CN27)</f>
        <v>Ma. 28
/2</v>
      </c>
      <c r="CO29" s="24" t="str">
        <f t="shared" ref="CO29" si="96">IF(CO28=2,"Lu.",IF(CO28=3,"Ma.",IF(CO28=4,"Mi.",IF(CO28=5,"Ju.",IF(CO28=6,"Vi.",IF(CO28=7,"Sa.","Do."))))))&amp;" "&amp;DAY(CO27)&amp;"
/"&amp;MONTH(CO27)</f>
        <v>Mi. 1
/3</v>
      </c>
      <c r="CP29" s="24" t="str">
        <f t="shared" ref="CP29" si="97">IF(CP28=2,"Lu.",IF(CP28=3,"Ma.",IF(CP28=4,"Mi.",IF(CP28=5,"Ju.",IF(CP28=6,"Vi.",IF(CP28=7,"Sa.","Do."))))))&amp;" "&amp;DAY(CP27)&amp;"
/"&amp;MONTH(CP27)</f>
        <v>Ju. 2
/3</v>
      </c>
      <c r="CQ29" s="24" t="str">
        <f t="shared" ref="CQ29" si="98">IF(CQ28=2,"Lu.",IF(CQ28=3,"Ma.",IF(CQ28=4,"Mi.",IF(CQ28=5,"Ju.",IF(CQ28=6,"Vi.",IF(CQ28=7,"Sa.","Do."))))))&amp;" "&amp;DAY(CQ27)&amp;"
/"&amp;MONTH(CQ27)</f>
        <v>Vi. 3
/3</v>
      </c>
      <c r="CR29" s="24" t="str">
        <f t="shared" ref="CR29" si="99">IF(CR28=2,"Lu.",IF(CR28=3,"Ma.",IF(CR28=4,"Mi.",IF(CR28=5,"Ju.",IF(CR28=6,"Vi.",IF(CR28=7,"Sa.","Do."))))))&amp;" "&amp;DAY(CR27)&amp;"
/"&amp;MONTH(CR27)</f>
        <v>Sa. 4
/3</v>
      </c>
      <c r="CS29" s="24" t="str">
        <f t="shared" ref="CS29" si="100">IF(CS28=2,"Lu.",IF(CS28=3,"Ma.",IF(CS28=4,"Mi.",IF(CS28=5,"Ju.",IF(CS28=6,"Vi.",IF(CS28=7,"Sa.","Do."))))))&amp;" "&amp;DAY(CS27)&amp;"
/"&amp;MONTH(CS27)</f>
        <v>Do. 5
/3</v>
      </c>
      <c r="CT29" s="24" t="str">
        <f t="shared" ref="CT29" si="101">IF(CT28=2,"Lu.",IF(CT28=3,"Ma.",IF(CT28=4,"Mi.",IF(CT28=5,"Ju.",IF(CT28=6,"Vi.",IF(CT28=7,"Sa.","Do."))))))&amp;" "&amp;DAY(CT27)&amp;"
/"&amp;MONTH(CT27)</f>
        <v>Lu. 6
/3</v>
      </c>
      <c r="CU29" s="24" t="str">
        <f t="shared" ref="CU29" si="102">IF(CU28=2,"Lu.",IF(CU28=3,"Ma.",IF(CU28=4,"Mi.",IF(CU28=5,"Ju.",IF(CU28=6,"Vi.",IF(CU28=7,"Sa.","Do."))))))&amp;" "&amp;DAY(CU27)&amp;"
/"&amp;MONTH(CU27)</f>
        <v>Ma. 7
/3</v>
      </c>
      <c r="CV29" s="24" t="str">
        <f t="shared" ref="CV29" si="103">IF(CV28=2,"Lu.",IF(CV28=3,"Ma.",IF(CV28=4,"Mi.",IF(CV28=5,"Ju.",IF(CV28=6,"Vi.",IF(CV28=7,"Sa.","Do."))))))&amp;" "&amp;DAY(CV27)&amp;"
/"&amp;MONTH(CV27)</f>
        <v>Mi. 8
/3</v>
      </c>
      <c r="CW29" s="24" t="str">
        <f t="shared" ref="CW29" si="104">IF(CW28=2,"Lu.",IF(CW28=3,"Ma.",IF(CW28=4,"Mi.",IF(CW28=5,"Ju.",IF(CW28=6,"Vi.",IF(CW28=7,"Sa.","Do."))))))&amp;" "&amp;DAY(CW27)&amp;"
/"&amp;MONTH(CW27)</f>
        <v>Ju. 9
/3</v>
      </c>
      <c r="CX29" s="24" t="str">
        <f t="shared" ref="CX29" si="105">IF(CX28=2,"Lu.",IF(CX28=3,"Ma.",IF(CX28=4,"Mi.",IF(CX28=5,"Ju.",IF(CX28=6,"Vi.",IF(CX28=7,"Sa.","Do."))))))&amp;" "&amp;DAY(CX27)&amp;"
/"&amp;MONTH(CX27)</f>
        <v>Vi. 10
/3</v>
      </c>
      <c r="CY29" s="24" t="str">
        <f t="shared" ref="CY29" si="106">IF(CY28=2,"Lu.",IF(CY28=3,"Ma.",IF(CY28=4,"Mi.",IF(CY28=5,"Ju.",IF(CY28=6,"Vi.",IF(CY28=7,"Sa.","Do."))))))&amp;" "&amp;DAY(CY27)&amp;"
/"&amp;MONTH(CY27)</f>
        <v>Sa. 11
/3</v>
      </c>
      <c r="CZ29" s="24" t="str">
        <f t="shared" ref="CZ29" si="107">IF(CZ28=2,"Lu.",IF(CZ28=3,"Ma.",IF(CZ28=4,"Mi.",IF(CZ28=5,"Ju.",IF(CZ28=6,"Vi.",IF(CZ28=7,"Sa.","Do."))))))&amp;" "&amp;DAY(CZ27)&amp;"
/"&amp;MONTH(CZ27)</f>
        <v>Do. 12
/3</v>
      </c>
      <c r="DA29" s="24" t="str">
        <f t="shared" ref="DA29" si="108">IF(DA28=2,"Lu.",IF(DA28=3,"Ma.",IF(DA28=4,"Mi.",IF(DA28=5,"Ju.",IF(DA28=6,"Vi.",IF(DA28=7,"Sa.","Do."))))))&amp;" "&amp;DAY(DA27)&amp;"
/"&amp;MONTH(DA27)</f>
        <v>Lu. 13
/3</v>
      </c>
      <c r="DB29" s="24" t="str">
        <f t="shared" ref="DB29" si="109">IF(DB28=2,"Lu.",IF(DB28=3,"Ma.",IF(DB28=4,"Mi.",IF(DB28=5,"Ju.",IF(DB28=6,"Vi.",IF(DB28=7,"Sa.","Do."))))))&amp;" "&amp;DAY(DB27)&amp;"
/"&amp;MONTH(DB27)</f>
        <v>Ma. 14
/3</v>
      </c>
      <c r="DC29" s="24" t="str">
        <f t="shared" ref="DC29" si="110">IF(DC28=2,"Lu.",IF(DC28=3,"Ma.",IF(DC28=4,"Mi.",IF(DC28=5,"Ju.",IF(DC28=6,"Vi.",IF(DC28=7,"Sa.","Do."))))))&amp;" "&amp;DAY(DC27)&amp;"
/"&amp;MONTH(DC27)</f>
        <v>Mi. 15
/3</v>
      </c>
      <c r="DD29" s="24" t="str">
        <f t="shared" ref="DD29" si="111">IF(DD28=2,"Lu.",IF(DD28=3,"Ma.",IF(DD28=4,"Mi.",IF(DD28=5,"Ju.",IF(DD28=6,"Vi.",IF(DD28=7,"Sa.","Do."))))))&amp;" "&amp;DAY(DD27)&amp;"
/"&amp;MONTH(DD27)</f>
        <v>Ju. 16
/3</v>
      </c>
      <c r="DE29" s="24" t="str">
        <f t="shared" ref="DE29" si="112">IF(DE28=2,"Lu.",IF(DE28=3,"Ma.",IF(DE28=4,"Mi.",IF(DE28=5,"Ju.",IF(DE28=6,"Vi.",IF(DE28=7,"Sa.","Do."))))))&amp;" "&amp;DAY(DE27)&amp;"
/"&amp;MONTH(DE27)</f>
        <v>Vi. 17
/3</v>
      </c>
      <c r="DF29" s="24" t="str">
        <f t="shared" ref="DF29" si="113">IF(DF28=2,"Lu.",IF(DF28=3,"Ma.",IF(DF28=4,"Mi.",IF(DF28=5,"Ju.",IF(DF28=6,"Vi.",IF(DF28=7,"Sa.","Do."))))))&amp;" "&amp;DAY(DF27)&amp;"
/"&amp;MONTH(DF27)</f>
        <v>Sa. 18
/3</v>
      </c>
      <c r="DG29" s="24" t="str">
        <f t="shared" ref="DG29" si="114">IF(DG28=2,"Lu.",IF(DG28=3,"Ma.",IF(DG28=4,"Mi.",IF(DG28=5,"Ju.",IF(DG28=6,"Vi.",IF(DG28=7,"Sa.","Do."))))))&amp;" "&amp;DAY(DG27)&amp;"
/"&amp;MONTH(DG27)</f>
        <v>Do. 19
/3</v>
      </c>
      <c r="DH29" s="24" t="str">
        <f t="shared" ref="DH29" si="115">IF(DH28=2,"Lu.",IF(DH28=3,"Ma.",IF(DH28=4,"Mi.",IF(DH28=5,"Ju.",IF(DH28=6,"Vi.",IF(DH28=7,"Sa.","Do."))))))&amp;" "&amp;DAY(DH27)&amp;"
/"&amp;MONTH(DH27)</f>
        <v>Lu. 20
/3</v>
      </c>
      <c r="DI29" s="24" t="str">
        <f t="shared" ref="DI29" si="116">IF(DI28=2,"Lu.",IF(DI28=3,"Ma.",IF(DI28=4,"Mi.",IF(DI28=5,"Ju.",IF(DI28=6,"Vi.",IF(DI28=7,"Sa.","Do."))))))&amp;" "&amp;DAY(DI27)&amp;"
/"&amp;MONTH(DI27)</f>
        <v>Ma. 21
/3</v>
      </c>
      <c r="DJ29" s="24" t="str">
        <f t="shared" ref="DJ29" si="117">IF(DJ28=2,"Lu.",IF(DJ28=3,"Ma.",IF(DJ28=4,"Mi.",IF(DJ28=5,"Ju.",IF(DJ28=6,"Vi.",IF(DJ28=7,"Sa.","Do."))))))&amp;" "&amp;DAY(DJ27)&amp;"
/"&amp;MONTH(DJ27)</f>
        <v>Mi. 22
/3</v>
      </c>
      <c r="DK29" s="24" t="str">
        <f t="shared" ref="DK29" si="118">IF(DK28=2,"Lu.",IF(DK28=3,"Ma.",IF(DK28=4,"Mi.",IF(DK28=5,"Ju.",IF(DK28=6,"Vi.",IF(DK28=7,"Sa.","Do."))))))&amp;" "&amp;DAY(DK27)&amp;"
/"&amp;MONTH(DK27)</f>
        <v>Ju. 23
/3</v>
      </c>
      <c r="DL29" s="24" t="str">
        <f t="shared" ref="DL29" si="119">IF(DL28=2,"Lu.",IF(DL28=3,"Ma.",IF(DL28=4,"Mi.",IF(DL28=5,"Ju.",IF(DL28=6,"Vi.",IF(DL28=7,"Sa.","Do."))))))&amp;" "&amp;DAY(DL27)&amp;"
/"&amp;MONTH(DL27)</f>
        <v>Vi. 24
/3</v>
      </c>
      <c r="DM29" s="24" t="str">
        <f t="shared" ref="DM29" si="120">IF(DM28=2,"Lu.",IF(DM28=3,"Ma.",IF(DM28=4,"Mi.",IF(DM28=5,"Ju.",IF(DM28=6,"Vi.",IF(DM28=7,"Sa.","Do."))))))&amp;" "&amp;DAY(DM27)&amp;"
/"&amp;MONTH(DM27)</f>
        <v>Sa. 25
/3</v>
      </c>
      <c r="DN29" s="24" t="str">
        <f t="shared" ref="DN29" si="121">IF(DN28=2,"Lu.",IF(DN28=3,"Ma.",IF(DN28=4,"Mi.",IF(DN28=5,"Ju.",IF(DN28=6,"Vi.",IF(DN28=7,"Sa.","Do."))))))&amp;" "&amp;DAY(DN27)&amp;"
/"&amp;MONTH(DN27)</f>
        <v>Do. 26
/3</v>
      </c>
      <c r="DO29" s="24" t="str">
        <f t="shared" ref="DO29" si="122">IF(DO28=2,"Lu.",IF(DO28=3,"Ma.",IF(DO28=4,"Mi.",IF(DO28=5,"Ju.",IF(DO28=6,"Vi.",IF(DO28=7,"Sa.","Do."))))))&amp;" "&amp;DAY(DO27)&amp;"
/"&amp;MONTH(DO27)</f>
        <v>Lu. 27
/3</v>
      </c>
      <c r="DP29" s="24" t="str">
        <f t="shared" ref="DP29" si="123">IF(DP28=2,"Lu.",IF(DP28=3,"Ma.",IF(DP28=4,"Mi.",IF(DP28=5,"Ju.",IF(DP28=6,"Vi.",IF(DP28=7,"Sa.","Do."))))))&amp;" "&amp;DAY(DP27)&amp;"
/"&amp;MONTH(DP27)</f>
        <v>Ma. 28
/3</v>
      </c>
      <c r="DQ29" s="24" t="str">
        <f t="shared" ref="DQ29" si="124">IF(DQ28=2,"Lu.",IF(DQ28=3,"Ma.",IF(DQ28=4,"Mi.",IF(DQ28=5,"Ju.",IF(DQ28=6,"Vi.",IF(DQ28=7,"Sa.","Do."))))))&amp;" "&amp;DAY(DQ27)&amp;"
/"&amp;MONTH(DQ27)</f>
        <v>Mi. 29
/3</v>
      </c>
      <c r="DR29" s="24" t="str">
        <f t="shared" ref="DR29" si="125">IF(DR28=2,"Lu.",IF(DR28=3,"Ma.",IF(DR28=4,"Mi.",IF(DR28=5,"Ju.",IF(DR28=6,"Vi.",IF(DR28=7,"Sa.","Do."))))))&amp;" "&amp;DAY(DR27)&amp;"
/"&amp;MONTH(DR27)</f>
        <v>Ju. 30
/3</v>
      </c>
      <c r="DS29" s="24" t="str">
        <f t="shared" ref="DS29" si="126">IF(DS28=2,"Lu.",IF(DS28=3,"Ma.",IF(DS28=4,"Mi.",IF(DS28=5,"Ju.",IF(DS28=6,"Vi.",IF(DS28=7,"Sa.","Do."))))))&amp;" "&amp;DAY(DS27)&amp;"
/"&amp;MONTH(DS27)</f>
        <v>Vi. 31
/3</v>
      </c>
      <c r="DT29" s="24" t="str">
        <f t="shared" ref="DT29" si="127">IF(DT28=2,"Lu.",IF(DT28=3,"Ma.",IF(DT28=4,"Mi.",IF(DT28=5,"Ju.",IF(DT28=6,"Vi.",IF(DT28=7,"Sa.","Do."))))))&amp;" "&amp;DAY(DT27)&amp;"
/"&amp;MONTH(DT27)</f>
        <v>Sa. 1
/4</v>
      </c>
      <c r="DU29" s="24" t="str">
        <f t="shared" ref="DU29" si="128">IF(DU28=2,"Lu.",IF(DU28=3,"Ma.",IF(DU28=4,"Mi.",IF(DU28=5,"Ju.",IF(DU28=6,"Vi.",IF(DU28=7,"Sa.","Do."))))))&amp;" "&amp;DAY(DU27)&amp;"
/"&amp;MONTH(DU27)</f>
        <v>Do. 2
/4</v>
      </c>
      <c r="DV29" s="24" t="str">
        <f t="shared" ref="DV29" si="129">IF(DV28=2,"Lu.",IF(DV28=3,"Ma.",IF(DV28=4,"Mi.",IF(DV28=5,"Ju.",IF(DV28=6,"Vi.",IF(DV28=7,"Sa.","Do."))))))&amp;" "&amp;DAY(DV27)&amp;"
/"&amp;MONTH(DV27)</f>
        <v>Lu. 3
/4</v>
      </c>
      <c r="DW29" s="24" t="str">
        <f t="shared" ref="DW29" si="130">IF(DW28=2,"Lu.",IF(DW28=3,"Ma.",IF(DW28=4,"Mi.",IF(DW28=5,"Ju.",IF(DW28=6,"Vi.",IF(DW28=7,"Sa.","Do."))))))&amp;" "&amp;DAY(DW27)&amp;"
/"&amp;MONTH(DW27)</f>
        <v>Ma. 4
/4</v>
      </c>
      <c r="DX29" s="24" t="str">
        <f t="shared" ref="DX29" si="131">IF(DX28=2,"Lu.",IF(DX28=3,"Ma.",IF(DX28=4,"Mi.",IF(DX28=5,"Ju.",IF(DX28=6,"Vi.",IF(DX28=7,"Sa.","Do."))))))&amp;" "&amp;DAY(DX27)&amp;"
/"&amp;MONTH(DX27)</f>
        <v>Mi. 5
/4</v>
      </c>
      <c r="DY29" s="24" t="str">
        <f t="shared" ref="DY29" si="132">IF(DY28=2,"Lu.",IF(DY28=3,"Ma.",IF(DY28=4,"Mi.",IF(DY28=5,"Ju.",IF(DY28=6,"Vi.",IF(DY28=7,"Sa.","Do."))))))&amp;" "&amp;DAY(DY27)&amp;"
/"&amp;MONTH(DY27)</f>
        <v>Ju. 6
/4</v>
      </c>
      <c r="DZ29" s="24" t="str">
        <f t="shared" ref="DZ29" si="133">IF(DZ28=2,"Lu.",IF(DZ28=3,"Ma.",IF(DZ28=4,"Mi.",IF(DZ28=5,"Ju.",IF(DZ28=6,"Vi.",IF(DZ28=7,"Sa.","Do."))))))&amp;" "&amp;DAY(DZ27)&amp;"
/"&amp;MONTH(DZ27)</f>
        <v>Vi. 7
/4</v>
      </c>
      <c r="EA29" s="24" t="str">
        <f t="shared" ref="EA29" si="134">IF(EA28=2,"Lu.",IF(EA28=3,"Ma.",IF(EA28=4,"Mi.",IF(EA28=5,"Ju.",IF(EA28=6,"Vi.",IF(EA28=7,"Sa.","Do."))))))&amp;" "&amp;DAY(EA27)&amp;"
/"&amp;MONTH(EA27)</f>
        <v>Sa. 8
/4</v>
      </c>
      <c r="EB29" s="24" t="str">
        <f t="shared" ref="EB29" si="135">IF(EB28=2,"Lu.",IF(EB28=3,"Ma.",IF(EB28=4,"Mi.",IF(EB28=5,"Ju.",IF(EB28=6,"Vi.",IF(EB28=7,"Sa.","Do."))))))&amp;" "&amp;DAY(EB27)&amp;"
/"&amp;MONTH(EB27)</f>
        <v>Do. 9
/4</v>
      </c>
      <c r="EC29" s="24" t="str">
        <f t="shared" ref="EC29" si="136">IF(EC28=2,"Lu.",IF(EC28=3,"Ma.",IF(EC28=4,"Mi.",IF(EC28=5,"Ju.",IF(EC28=6,"Vi.",IF(EC28=7,"Sa.","Do."))))))&amp;" "&amp;DAY(EC27)&amp;"
/"&amp;MONTH(EC27)</f>
        <v>Lu. 10
/4</v>
      </c>
      <c r="ED29" s="24" t="str">
        <f t="shared" ref="ED29" si="137">IF(ED28=2,"Lu.",IF(ED28=3,"Ma.",IF(ED28=4,"Mi.",IF(ED28=5,"Ju.",IF(ED28=6,"Vi.",IF(ED28=7,"Sa.","Do."))))))&amp;" "&amp;DAY(ED27)&amp;"
/"&amp;MONTH(ED27)</f>
        <v>Ma. 11
/4</v>
      </c>
      <c r="EE29" s="24" t="str">
        <f t="shared" ref="EE29" si="138">IF(EE28=2,"Lu.",IF(EE28=3,"Ma.",IF(EE28=4,"Mi.",IF(EE28=5,"Ju.",IF(EE28=6,"Vi.",IF(EE28=7,"Sa.","Do."))))))&amp;" "&amp;DAY(EE27)&amp;"
/"&amp;MONTH(EE27)</f>
        <v>Mi. 12
/4</v>
      </c>
      <c r="EF29" s="24" t="str">
        <f t="shared" ref="EF29" si="139">IF(EF28=2,"Lu.",IF(EF28=3,"Ma.",IF(EF28=4,"Mi.",IF(EF28=5,"Ju.",IF(EF28=6,"Vi.",IF(EF28=7,"Sa.","Do."))))))&amp;" "&amp;DAY(EF27)&amp;"
/"&amp;MONTH(EF27)</f>
        <v>Ju. 13
/4</v>
      </c>
      <c r="EG29" s="24" t="str">
        <f t="shared" ref="EG29" si="140">IF(EG28=2,"Lu.",IF(EG28=3,"Ma.",IF(EG28=4,"Mi.",IF(EG28=5,"Ju.",IF(EG28=6,"Vi.",IF(EG28=7,"Sa.","Do."))))))&amp;" "&amp;DAY(EG27)&amp;"
/"&amp;MONTH(EG27)</f>
        <v>Vi. 14
/4</v>
      </c>
      <c r="EH29" s="24" t="str">
        <f t="shared" ref="EH29" si="141">IF(EH28=2,"Lu.",IF(EH28=3,"Ma.",IF(EH28=4,"Mi.",IF(EH28=5,"Ju.",IF(EH28=6,"Vi.",IF(EH28=7,"Sa.","Do."))))))&amp;" "&amp;DAY(EH27)&amp;"
/"&amp;MONTH(EH27)</f>
        <v>Sa. 15
/4</v>
      </c>
      <c r="EI29" s="24" t="str">
        <f t="shared" ref="EI29" si="142">IF(EI28=2,"Lu.",IF(EI28=3,"Ma.",IF(EI28=4,"Mi.",IF(EI28=5,"Ju.",IF(EI28=6,"Vi.",IF(EI28=7,"Sa.","Do."))))))&amp;" "&amp;DAY(EI27)&amp;"
/"&amp;MONTH(EI27)</f>
        <v>Do. 16
/4</v>
      </c>
      <c r="EJ29" s="24" t="str">
        <f t="shared" ref="EJ29" si="143">IF(EJ28=2,"Lu.",IF(EJ28=3,"Ma.",IF(EJ28=4,"Mi.",IF(EJ28=5,"Ju.",IF(EJ28=6,"Vi.",IF(EJ28=7,"Sa.","Do."))))))&amp;" "&amp;DAY(EJ27)&amp;"
/"&amp;MONTH(EJ27)</f>
        <v>Lu. 17
/4</v>
      </c>
      <c r="EK29" s="24" t="str">
        <f t="shared" ref="EK29" si="144">IF(EK28=2,"Lu.",IF(EK28=3,"Ma.",IF(EK28=4,"Mi.",IF(EK28=5,"Ju.",IF(EK28=6,"Vi.",IF(EK28=7,"Sa.","Do."))))))&amp;" "&amp;DAY(EK27)&amp;"
/"&amp;MONTH(EK27)</f>
        <v>Ma. 18
/4</v>
      </c>
      <c r="EL29" s="24" t="str">
        <f t="shared" ref="EL29" si="145">IF(EL28=2,"Lu.",IF(EL28=3,"Ma.",IF(EL28=4,"Mi.",IF(EL28=5,"Ju.",IF(EL28=6,"Vi.",IF(EL28=7,"Sa.","Do."))))))&amp;" "&amp;DAY(EL27)&amp;"
/"&amp;MONTH(EL27)</f>
        <v>Mi. 19
/4</v>
      </c>
      <c r="EM29" s="24" t="str">
        <f t="shared" ref="EM29" si="146">IF(EM28=2,"Lu.",IF(EM28=3,"Ma.",IF(EM28=4,"Mi.",IF(EM28=5,"Ju.",IF(EM28=6,"Vi.",IF(EM28=7,"Sa.","Do."))))))&amp;" "&amp;DAY(EM27)&amp;"
/"&amp;MONTH(EM27)</f>
        <v>Ju. 20
/4</v>
      </c>
      <c r="EN29" s="24" t="str">
        <f t="shared" ref="EN29" si="147">IF(EN28=2,"Lu.",IF(EN28=3,"Ma.",IF(EN28=4,"Mi.",IF(EN28=5,"Ju.",IF(EN28=6,"Vi.",IF(EN28=7,"Sa.","Do."))))))&amp;" "&amp;DAY(EN27)&amp;"
/"&amp;MONTH(EN27)</f>
        <v>Vi. 21
/4</v>
      </c>
      <c r="EO29" s="24" t="str">
        <f t="shared" ref="EO29" si="148">IF(EO28=2,"Lu.",IF(EO28=3,"Ma.",IF(EO28=4,"Mi.",IF(EO28=5,"Ju.",IF(EO28=6,"Vi.",IF(EO28=7,"Sa.","Do."))))))&amp;" "&amp;DAY(EO27)&amp;"
/"&amp;MONTH(EO27)</f>
        <v>Sa. 22
/4</v>
      </c>
      <c r="EP29" s="24" t="str">
        <f t="shared" ref="EP29" si="149">IF(EP28=2,"Lu.",IF(EP28=3,"Ma.",IF(EP28=4,"Mi.",IF(EP28=5,"Ju.",IF(EP28=6,"Vi.",IF(EP28=7,"Sa.","Do."))))))&amp;" "&amp;DAY(EP27)&amp;"
/"&amp;MONTH(EP27)</f>
        <v>Do. 23
/4</v>
      </c>
      <c r="EQ29" s="24" t="str">
        <f t="shared" ref="EQ29" si="150">IF(EQ28=2,"Lu.",IF(EQ28=3,"Ma.",IF(EQ28=4,"Mi.",IF(EQ28=5,"Ju.",IF(EQ28=6,"Vi.",IF(EQ28=7,"Sa.","Do."))))))&amp;" "&amp;DAY(EQ27)&amp;"
/"&amp;MONTH(EQ27)</f>
        <v>Lu. 24
/4</v>
      </c>
      <c r="ER29" s="24" t="str">
        <f t="shared" ref="ER29" si="151">IF(ER28=2,"Lu.",IF(ER28=3,"Ma.",IF(ER28=4,"Mi.",IF(ER28=5,"Ju.",IF(ER28=6,"Vi.",IF(ER28=7,"Sa.","Do."))))))&amp;" "&amp;DAY(ER27)&amp;"
/"&amp;MONTH(ER27)</f>
        <v>Ma. 25
/4</v>
      </c>
      <c r="ES29" s="24" t="str">
        <f t="shared" ref="ES29" si="152">IF(ES28=2,"Lu.",IF(ES28=3,"Ma.",IF(ES28=4,"Mi.",IF(ES28=5,"Ju.",IF(ES28=6,"Vi.",IF(ES28=7,"Sa.","Do."))))))&amp;" "&amp;DAY(ES27)&amp;"
/"&amp;MONTH(ES27)</f>
        <v>Mi. 26
/4</v>
      </c>
      <c r="ET29" s="24" t="str">
        <f t="shared" ref="ET29" si="153">IF(ET28=2,"Lu.",IF(ET28=3,"Ma.",IF(ET28=4,"Mi.",IF(ET28=5,"Ju.",IF(ET28=6,"Vi.",IF(ET28=7,"Sa.","Do."))))))&amp;" "&amp;DAY(ET27)&amp;"
/"&amp;MONTH(ET27)</f>
        <v>Ju. 27
/4</v>
      </c>
      <c r="EU29" s="24" t="str">
        <f t="shared" ref="EU29" si="154">IF(EU28=2,"Lu.",IF(EU28=3,"Ma.",IF(EU28=4,"Mi.",IF(EU28=5,"Ju.",IF(EU28=6,"Vi.",IF(EU28=7,"Sa.","Do."))))))&amp;" "&amp;DAY(EU27)&amp;"
/"&amp;MONTH(EU27)</f>
        <v>Vi. 28
/4</v>
      </c>
      <c r="EV29" s="24" t="str">
        <f t="shared" ref="EV29" si="155">IF(EV28=2,"Lu.",IF(EV28=3,"Ma.",IF(EV28=4,"Mi.",IF(EV28=5,"Ju.",IF(EV28=6,"Vi.",IF(EV28=7,"Sa.","Do."))))))&amp;" "&amp;DAY(EV27)&amp;"
/"&amp;MONTH(EV27)</f>
        <v>Sa. 29
/4</v>
      </c>
      <c r="EW29" s="24" t="str">
        <f t="shared" ref="EW29" si="156">IF(EW28=2,"Lu.",IF(EW28=3,"Ma.",IF(EW28=4,"Mi.",IF(EW28=5,"Ju.",IF(EW28=6,"Vi.",IF(EW28=7,"Sa.","Do."))))))&amp;" "&amp;DAY(EW27)&amp;"
/"&amp;MONTH(EW27)</f>
        <v>Do. 30
/4</v>
      </c>
      <c r="EX29" s="24" t="str">
        <f t="shared" ref="EX29" si="157">IF(EX28=2,"Lu.",IF(EX28=3,"Ma.",IF(EX28=4,"Mi.",IF(EX28=5,"Ju.",IF(EX28=6,"Vi.",IF(EX28=7,"Sa.","Do."))))))&amp;" "&amp;DAY(EX27)&amp;"
/"&amp;MONTH(EX27)</f>
        <v>Lu. 1
/5</v>
      </c>
      <c r="EY29" s="24" t="str">
        <f t="shared" ref="EY29" si="158">IF(EY28=2,"Lu.",IF(EY28=3,"Ma.",IF(EY28=4,"Mi.",IF(EY28=5,"Ju.",IF(EY28=6,"Vi.",IF(EY28=7,"Sa.","Do."))))))&amp;" "&amp;DAY(EY27)&amp;"
/"&amp;MONTH(EY27)</f>
        <v>Ma. 2
/5</v>
      </c>
      <c r="EZ29" s="24" t="str">
        <f t="shared" ref="EZ29" si="159">IF(EZ28=2,"Lu.",IF(EZ28=3,"Ma.",IF(EZ28=4,"Mi.",IF(EZ28=5,"Ju.",IF(EZ28=6,"Vi.",IF(EZ28=7,"Sa.","Do."))))))&amp;" "&amp;DAY(EZ27)&amp;"
/"&amp;MONTH(EZ27)</f>
        <v>Mi. 3
/5</v>
      </c>
      <c r="FA29" s="24" t="str">
        <f t="shared" ref="FA29" si="160">IF(FA28=2,"Lu.",IF(FA28=3,"Ma.",IF(FA28=4,"Mi.",IF(FA28=5,"Ju.",IF(FA28=6,"Vi.",IF(FA28=7,"Sa.","Do."))))))&amp;" "&amp;DAY(FA27)&amp;"
/"&amp;MONTH(FA27)</f>
        <v>Ju. 4
/5</v>
      </c>
      <c r="FB29" s="24" t="str">
        <f t="shared" ref="FB29" si="161">IF(FB28=2,"Lu.",IF(FB28=3,"Ma.",IF(FB28=4,"Mi.",IF(FB28=5,"Ju.",IF(FB28=6,"Vi.",IF(FB28=7,"Sa.","Do."))))))&amp;" "&amp;DAY(FB27)&amp;"
/"&amp;MONTH(FB27)</f>
        <v>Vi. 5
/5</v>
      </c>
      <c r="FC29" s="24" t="str">
        <f t="shared" ref="FC29" si="162">IF(FC28=2,"Lu.",IF(FC28=3,"Ma.",IF(FC28=4,"Mi.",IF(FC28=5,"Ju.",IF(FC28=6,"Vi.",IF(FC28=7,"Sa.","Do."))))))&amp;" "&amp;DAY(FC27)&amp;"
/"&amp;MONTH(FC27)</f>
        <v>Sa. 6
/5</v>
      </c>
      <c r="FD29" s="24" t="str">
        <f t="shared" ref="FD29" si="163">IF(FD28=2,"Lu.",IF(FD28=3,"Ma.",IF(FD28=4,"Mi.",IF(FD28=5,"Ju.",IF(FD28=6,"Vi.",IF(FD28=7,"Sa.","Do."))))))&amp;" "&amp;DAY(FD27)&amp;"
/"&amp;MONTH(FD27)</f>
        <v>Do. 7
/5</v>
      </c>
      <c r="FE29" s="24" t="str">
        <f t="shared" ref="FE29" si="164">IF(FE28=2,"Lu.",IF(FE28=3,"Ma.",IF(FE28=4,"Mi.",IF(FE28=5,"Ju.",IF(FE28=6,"Vi.",IF(FE28=7,"Sa.","Do."))))))&amp;" "&amp;DAY(FE27)&amp;"
/"&amp;MONTH(FE27)</f>
        <v>Lu. 8
/5</v>
      </c>
      <c r="FF29" s="24" t="str">
        <f t="shared" ref="FF29" si="165">IF(FF28=2,"Lu.",IF(FF28=3,"Ma.",IF(FF28=4,"Mi.",IF(FF28=5,"Ju.",IF(FF28=6,"Vi.",IF(FF28=7,"Sa.","Do."))))))&amp;" "&amp;DAY(FF27)&amp;"
/"&amp;MONTH(FF27)</f>
        <v>Ma. 9
/5</v>
      </c>
      <c r="FG29" s="24" t="str">
        <f t="shared" ref="FG29" si="166">IF(FG28=2,"Lu.",IF(FG28=3,"Ma.",IF(FG28=4,"Mi.",IF(FG28=5,"Ju.",IF(FG28=6,"Vi.",IF(FG28=7,"Sa.","Do."))))))&amp;" "&amp;DAY(FG27)&amp;"
/"&amp;MONTH(FG27)</f>
        <v>Mi. 10
/5</v>
      </c>
      <c r="FH29" s="24" t="str">
        <f t="shared" ref="FH29" si="167">IF(FH28=2,"Lu.",IF(FH28=3,"Ma.",IF(FH28=4,"Mi.",IF(FH28=5,"Ju.",IF(FH28=6,"Vi.",IF(FH28=7,"Sa.","Do."))))))&amp;" "&amp;DAY(FH27)&amp;"
/"&amp;MONTH(FH27)</f>
        <v>Ju. 11
/5</v>
      </c>
      <c r="FI29" s="24" t="str">
        <f t="shared" ref="FI29" si="168">IF(FI28=2,"Lu.",IF(FI28=3,"Ma.",IF(FI28=4,"Mi.",IF(FI28=5,"Ju.",IF(FI28=6,"Vi.",IF(FI28=7,"Sa.","Do."))))))&amp;" "&amp;DAY(FI27)&amp;"
/"&amp;MONTH(FI27)</f>
        <v>Vi. 12
/5</v>
      </c>
      <c r="FJ29" s="24" t="str">
        <f t="shared" ref="FJ29" si="169">IF(FJ28=2,"Lu.",IF(FJ28=3,"Ma.",IF(FJ28=4,"Mi.",IF(FJ28=5,"Ju.",IF(FJ28=6,"Vi.",IF(FJ28=7,"Sa.","Do."))))))&amp;" "&amp;DAY(FJ27)&amp;"
/"&amp;MONTH(FJ27)</f>
        <v>Sa. 13
/5</v>
      </c>
      <c r="FK29" s="24" t="str">
        <f t="shared" ref="FK29" si="170">IF(FK28=2,"Lu.",IF(FK28=3,"Ma.",IF(FK28=4,"Mi.",IF(FK28=5,"Ju.",IF(FK28=6,"Vi.",IF(FK28=7,"Sa.","Do."))))))&amp;" "&amp;DAY(FK27)&amp;"
/"&amp;MONTH(FK27)</f>
        <v>Do. 14
/5</v>
      </c>
      <c r="FL29" s="24" t="str">
        <f t="shared" ref="FL29" si="171">IF(FL28=2,"Lu.",IF(FL28=3,"Ma.",IF(FL28=4,"Mi.",IF(FL28=5,"Ju.",IF(FL28=6,"Vi.",IF(FL28=7,"Sa.","Do."))))))&amp;" "&amp;DAY(FL27)&amp;"
/"&amp;MONTH(FL27)</f>
        <v>Lu. 15
/5</v>
      </c>
      <c r="FM29" s="24" t="str">
        <f t="shared" ref="FM29" si="172">IF(FM28=2,"Lu.",IF(FM28=3,"Ma.",IF(FM28=4,"Mi.",IF(FM28=5,"Ju.",IF(FM28=6,"Vi.",IF(FM28=7,"Sa.","Do."))))))&amp;" "&amp;DAY(FM27)&amp;"
/"&amp;MONTH(FM27)</f>
        <v>Ma. 16
/5</v>
      </c>
      <c r="FN29" s="24" t="str">
        <f t="shared" ref="FN29" si="173">IF(FN28=2,"Lu.",IF(FN28=3,"Ma.",IF(FN28=4,"Mi.",IF(FN28=5,"Ju.",IF(FN28=6,"Vi.",IF(FN28=7,"Sa.","Do."))))))&amp;" "&amp;DAY(FN27)&amp;"
/"&amp;MONTH(FN27)</f>
        <v>Mi. 17
/5</v>
      </c>
      <c r="FO29" s="24" t="str">
        <f t="shared" ref="FO29" si="174">IF(FO28=2,"Lu.",IF(FO28=3,"Ma.",IF(FO28=4,"Mi.",IF(FO28=5,"Ju.",IF(FO28=6,"Vi.",IF(FO28=7,"Sa.","Do."))))))&amp;" "&amp;DAY(FO27)&amp;"
/"&amp;MONTH(FO27)</f>
        <v>Ju. 18
/5</v>
      </c>
      <c r="FP29" s="24" t="str">
        <f t="shared" ref="FP29" si="175">IF(FP28=2,"Lu.",IF(FP28=3,"Ma.",IF(FP28=4,"Mi.",IF(FP28=5,"Ju.",IF(FP28=6,"Vi.",IF(FP28=7,"Sa.","Do."))))))&amp;" "&amp;DAY(FP27)&amp;"
/"&amp;MONTH(FP27)</f>
        <v>Vi. 19
/5</v>
      </c>
      <c r="FQ29" s="24" t="str">
        <f t="shared" ref="FQ29" si="176">IF(FQ28=2,"Lu.",IF(FQ28=3,"Ma.",IF(FQ28=4,"Mi.",IF(FQ28=5,"Ju.",IF(FQ28=6,"Vi.",IF(FQ28=7,"Sa.","Do."))))))&amp;" "&amp;DAY(FQ27)&amp;"
/"&amp;MONTH(FQ27)</f>
        <v>Sa. 20
/5</v>
      </c>
      <c r="FR29" s="24" t="str">
        <f t="shared" ref="FR29" si="177">IF(FR28=2,"Lu.",IF(FR28=3,"Ma.",IF(FR28=4,"Mi.",IF(FR28=5,"Ju.",IF(FR28=6,"Vi.",IF(FR28=7,"Sa.","Do."))))))&amp;" "&amp;DAY(FR27)&amp;"
/"&amp;MONTH(FR27)</f>
        <v>Do. 21
/5</v>
      </c>
      <c r="FS29" s="24" t="str">
        <f t="shared" ref="FS29" si="178">IF(FS28=2,"Lu.",IF(FS28=3,"Ma.",IF(FS28=4,"Mi.",IF(FS28=5,"Ju.",IF(FS28=6,"Vi.",IF(FS28=7,"Sa.","Do."))))))&amp;" "&amp;DAY(FS27)&amp;"
/"&amp;MONTH(FS27)</f>
        <v>Lu. 22
/5</v>
      </c>
      <c r="FT29" s="24" t="str">
        <f t="shared" ref="FT29" si="179">IF(FT28=2,"Lu.",IF(FT28=3,"Ma.",IF(FT28=4,"Mi.",IF(FT28=5,"Ju.",IF(FT28=6,"Vi.",IF(FT28=7,"Sa.","Do."))))))&amp;" "&amp;DAY(FT27)&amp;"
/"&amp;MONTH(FT27)</f>
        <v>Ma. 23
/5</v>
      </c>
      <c r="FU29" s="24" t="str">
        <f t="shared" ref="FU29" si="180">IF(FU28=2,"Lu.",IF(FU28=3,"Ma.",IF(FU28=4,"Mi.",IF(FU28=5,"Ju.",IF(FU28=6,"Vi.",IF(FU28=7,"Sa.","Do."))))))&amp;" "&amp;DAY(FU27)&amp;"
/"&amp;MONTH(FU27)</f>
        <v>Mi. 24
/5</v>
      </c>
      <c r="FV29" s="24" t="str">
        <f t="shared" ref="FV29" si="181">IF(FV28=2,"Lu.",IF(FV28=3,"Ma.",IF(FV28=4,"Mi.",IF(FV28=5,"Ju.",IF(FV28=6,"Vi.",IF(FV28=7,"Sa.","Do."))))))&amp;" "&amp;DAY(FV27)&amp;"
/"&amp;MONTH(FV27)</f>
        <v>Ju. 25
/5</v>
      </c>
      <c r="FW29" s="24" t="str">
        <f t="shared" ref="FW29" si="182">IF(FW28=2,"Lu.",IF(FW28=3,"Ma.",IF(FW28=4,"Mi.",IF(FW28=5,"Ju.",IF(FW28=6,"Vi.",IF(FW28=7,"Sa.","Do."))))))&amp;" "&amp;DAY(FW27)&amp;"
/"&amp;MONTH(FW27)</f>
        <v>Vi. 26
/5</v>
      </c>
      <c r="FX29" s="24" t="str">
        <f t="shared" ref="FX29" si="183">IF(FX28=2,"Lu.",IF(FX28=3,"Ma.",IF(FX28=4,"Mi.",IF(FX28=5,"Ju.",IF(FX28=6,"Vi.",IF(FX28=7,"Sa.","Do."))))))&amp;" "&amp;DAY(FX27)&amp;"
/"&amp;MONTH(FX27)</f>
        <v>Sa. 27
/5</v>
      </c>
      <c r="FY29" s="24" t="str">
        <f t="shared" ref="FY29" si="184">IF(FY28=2,"Lu.",IF(FY28=3,"Ma.",IF(FY28=4,"Mi.",IF(FY28=5,"Ju.",IF(FY28=6,"Vi.",IF(FY28=7,"Sa.","Do."))))))&amp;" "&amp;DAY(FY27)&amp;"
/"&amp;MONTH(FY27)</f>
        <v>Do. 28
/5</v>
      </c>
      <c r="FZ29" s="24" t="str">
        <f t="shared" ref="FZ29" si="185">IF(FZ28=2,"Lu.",IF(FZ28=3,"Ma.",IF(FZ28=4,"Mi.",IF(FZ28=5,"Ju.",IF(FZ28=6,"Vi.",IF(FZ28=7,"Sa.","Do."))))))&amp;" "&amp;DAY(FZ27)&amp;"
/"&amp;MONTH(FZ27)</f>
        <v>Lu. 29
/5</v>
      </c>
      <c r="GA29" s="24" t="str">
        <f t="shared" ref="GA29" si="186">IF(GA28=2,"Lu.",IF(GA28=3,"Ma.",IF(GA28=4,"Mi.",IF(GA28=5,"Ju.",IF(GA28=6,"Vi.",IF(GA28=7,"Sa.","Do."))))))&amp;" "&amp;DAY(GA27)&amp;"
/"&amp;MONTH(GA27)</f>
        <v>Ma. 30
/5</v>
      </c>
      <c r="GB29" s="24" t="str">
        <f t="shared" ref="GB29" si="187">IF(GB28=2,"Lu.",IF(GB28=3,"Ma.",IF(GB28=4,"Mi.",IF(GB28=5,"Ju.",IF(GB28=6,"Vi.",IF(GB28=7,"Sa.","Do."))))))&amp;" "&amp;DAY(GB27)&amp;"
/"&amp;MONTH(GB27)</f>
        <v>Mi. 31
/5</v>
      </c>
      <c r="GC29" s="24" t="str">
        <f t="shared" ref="GC29" si="188">IF(GC28=2,"Lu.",IF(GC28=3,"Ma.",IF(GC28=4,"Mi.",IF(GC28=5,"Ju.",IF(GC28=6,"Vi.",IF(GC28=7,"Sa.","Do."))))))&amp;" "&amp;DAY(GC27)&amp;"
/"&amp;MONTH(GC27)</f>
        <v>Ju. 1
/6</v>
      </c>
      <c r="GD29" s="24" t="str">
        <f t="shared" ref="GD29" si="189">IF(GD28=2,"Lu.",IF(GD28=3,"Ma.",IF(GD28=4,"Mi.",IF(GD28=5,"Ju.",IF(GD28=6,"Vi.",IF(GD28=7,"Sa.","Do."))))))&amp;" "&amp;DAY(GD27)&amp;"
/"&amp;MONTH(GD27)</f>
        <v>Vi. 2
/6</v>
      </c>
      <c r="GE29" s="24" t="str">
        <f t="shared" ref="GE29" si="190">IF(GE28=2,"Lu.",IF(GE28=3,"Ma.",IF(GE28=4,"Mi.",IF(GE28=5,"Ju.",IF(GE28=6,"Vi.",IF(GE28=7,"Sa.","Do."))))))&amp;" "&amp;DAY(GE27)&amp;"
/"&amp;MONTH(GE27)</f>
        <v>Sa. 3
/6</v>
      </c>
      <c r="GF29" s="24" t="str">
        <f t="shared" ref="GF29" si="191">IF(GF28=2,"Lu.",IF(GF28=3,"Ma.",IF(GF28=4,"Mi.",IF(GF28=5,"Ju.",IF(GF28=6,"Vi.",IF(GF28=7,"Sa.","Do."))))))&amp;" "&amp;DAY(GF27)&amp;"
/"&amp;MONTH(GF27)</f>
        <v>Do. 4
/6</v>
      </c>
      <c r="GG29" s="24" t="str">
        <f t="shared" ref="GG29" si="192">IF(GG28=2,"Lu.",IF(GG28=3,"Ma.",IF(GG28=4,"Mi.",IF(GG28=5,"Ju.",IF(GG28=6,"Vi.",IF(GG28=7,"Sa.","Do."))))))&amp;" "&amp;DAY(GG27)&amp;"
/"&amp;MONTH(GG27)</f>
        <v>Lu. 5
/6</v>
      </c>
      <c r="GH29" s="24" t="str">
        <f t="shared" ref="GH29" si="193">IF(GH28=2,"Lu.",IF(GH28=3,"Ma.",IF(GH28=4,"Mi.",IF(GH28=5,"Ju.",IF(GH28=6,"Vi.",IF(GH28=7,"Sa.","Do."))))))&amp;" "&amp;DAY(GH27)&amp;"
/"&amp;MONTH(GH27)</f>
        <v>Ma. 6
/6</v>
      </c>
      <c r="GI29" s="24" t="str">
        <f t="shared" ref="GI29" si="194">IF(GI28=2,"Lu.",IF(GI28=3,"Ma.",IF(GI28=4,"Mi.",IF(GI28=5,"Ju.",IF(GI28=6,"Vi.",IF(GI28=7,"Sa.","Do."))))))&amp;" "&amp;DAY(GI27)&amp;"
/"&amp;MONTH(GI27)</f>
        <v>Mi. 7
/6</v>
      </c>
      <c r="GJ29" s="24" t="str">
        <f t="shared" ref="GJ29" si="195">IF(GJ28=2,"Lu.",IF(GJ28=3,"Ma.",IF(GJ28=4,"Mi.",IF(GJ28=5,"Ju.",IF(GJ28=6,"Vi.",IF(GJ28=7,"Sa.","Do."))))))&amp;" "&amp;DAY(GJ27)&amp;"
/"&amp;MONTH(GJ27)</f>
        <v>Ju. 8
/6</v>
      </c>
      <c r="GK29" s="24" t="str">
        <f t="shared" ref="GK29" si="196">IF(GK28=2,"Lu.",IF(GK28=3,"Ma.",IF(GK28=4,"Mi.",IF(GK28=5,"Ju.",IF(GK28=6,"Vi.",IF(GK28=7,"Sa.","Do."))))))&amp;" "&amp;DAY(GK27)&amp;"
/"&amp;MONTH(GK27)</f>
        <v>Vi. 9
/6</v>
      </c>
      <c r="GL29" s="24" t="str">
        <f t="shared" ref="GL29" si="197">IF(GL28=2,"Lu.",IF(GL28=3,"Ma.",IF(GL28=4,"Mi.",IF(GL28=5,"Ju.",IF(GL28=6,"Vi.",IF(GL28=7,"Sa.","Do."))))))&amp;" "&amp;DAY(GL27)&amp;"
/"&amp;MONTH(GL27)</f>
        <v>Sa. 10
/6</v>
      </c>
      <c r="GM29" s="24" t="str">
        <f t="shared" ref="GM29" si="198">IF(GM28=2,"Lu.",IF(GM28=3,"Ma.",IF(GM28=4,"Mi.",IF(GM28=5,"Ju.",IF(GM28=6,"Vi.",IF(GM28=7,"Sa.","Do."))))))&amp;" "&amp;DAY(GM27)&amp;"
/"&amp;MONTH(GM27)</f>
        <v>Do. 11
/6</v>
      </c>
      <c r="GN29" s="24" t="str">
        <f t="shared" ref="GN29" si="199">IF(GN28=2,"Lu.",IF(GN28=3,"Ma.",IF(GN28=4,"Mi.",IF(GN28=5,"Ju.",IF(GN28=6,"Vi.",IF(GN28=7,"Sa.","Do."))))))&amp;" "&amp;DAY(GN27)&amp;"
/"&amp;MONTH(GN27)</f>
        <v>Lu. 12
/6</v>
      </c>
      <c r="GO29" s="24" t="str">
        <f t="shared" ref="GO29" si="200">IF(GO28=2,"Lu.",IF(GO28=3,"Ma.",IF(GO28=4,"Mi.",IF(GO28=5,"Ju.",IF(GO28=6,"Vi.",IF(GO28=7,"Sa.","Do."))))))&amp;" "&amp;DAY(GO27)&amp;"
/"&amp;MONTH(GO27)</f>
        <v>Ma. 13
/6</v>
      </c>
      <c r="GP29" s="24" t="str">
        <f t="shared" ref="GP29" si="201">IF(GP28=2,"Lu.",IF(GP28=3,"Ma.",IF(GP28=4,"Mi.",IF(GP28=5,"Ju.",IF(GP28=6,"Vi.",IF(GP28=7,"Sa.","Do."))))))&amp;" "&amp;DAY(GP27)&amp;"
/"&amp;MONTH(GP27)</f>
        <v>Mi. 14
/6</v>
      </c>
      <c r="GQ29" s="24" t="str">
        <f t="shared" ref="GQ29" si="202">IF(GQ28=2,"Lu.",IF(GQ28=3,"Ma.",IF(GQ28=4,"Mi.",IF(GQ28=5,"Ju.",IF(GQ28=6,"Vi.",IF(GQ28=7,"Sa.","Do."))))))&amp;" "&amp;DAY(GQ27)&amp;"
/"&amp;MONTH(GQ27)</f>
        <v>Ju. 15
/6</v>
      </c>
      <c r="GR29" s="24" t="str">
        <f t="shared" ref="GR29" si="203">IF(GR28=2,"Lu.",IF(GR28=3,"Ma.",IF(GR28=4,"Mi.",IF(GR28=5,"Ju.",IF(GR28=6,"Vi.",IF(GR28=7,"Sa.","Do."))))))&amp;" "&amp;DAY(GR27)&amp;"
/"&amp;MONTH(GR27)</f>
        <v>Vi. 16
/6</v>
      </c>
      <c r="GS29" s="24" t="str">
        <f t="shared" ref="GS29" si="204">IF(GS28=2,"Lu.",IF(GS28=3,"Ma.",IF(GS28=4,"Mi.",IF(GS28=5,"Ju.",IF(GS28=6,"Vi.",IF(GS28=7,"Sa.","Do."))))))&amp;" "&amp;DAY(GS27)&amp;"
/"&amp;MONTH(GS27)</f>
        <v>Sa. 17
/6</v>
      </c>
      <c r="GT29" s="24" t="str">
        <f t="shared" ref="GT29" si="205">IF(GT28=2,"Lu.",IF(GT28=3,"Ma.",IF(GT28=4,"Mi.",IF(GT28=5,"Ju.",IF(GT28=6,"Vi.",IF(GT28=7,"Sa.","Do."))))))&amp;" "&amp;DAY(GT27)&amp;"
/"&amp;MONTH(GT27)</f>
        <v>Do. 18
/6</v>
      </c>
      <c r="GU29" s="24" t="str">
        <f t="shared" ref="GU29" si="206">IF(GU28=2,"Lu.",IF(GU28=3,"Ma.",IF(GU28=4,"Mi.",IF(GU28=5,"Ju.",IF(GU28=6,"Vi.",IF(GU28=7,"Sa.","Do."))))))&amp;" "&amp;DAY(GU27)&amp;"
/"&amp;MONTH(GU27)</f>
        <v>Lu. 19
/6</v>
      </c>
      <c r="GV29" s="24" t="str">
        <f t="shared" ref="GV29" si="207">IF(GV28=2,"Lu.",IF(GV28=3,"Ma.",IF(GV28=4,"Mi.",IF(GV28=5,"Ju.",IF(GV28=6,"Vi.",IF(GV28=7,"Sa.","Do."))))))&amp;" "&amp;DAY(GV27)&amp;"
/"&amp;MONTH(GV27)</f>
        <v>Ma. 20
/6</v>
      </c>
      <c r="GW29" s="24" t="str">
        <f t="shared" ref="GW29" si="208">IF(GW28=2,"Lu.",IF(GW28=3,"Ma.",IF(GW28=4,"Mi.",IF(GW28=5,"Ju.",IF(GW28=6,"Vi.",IF(GW28=7,"Sa.","Do."))))))&amp;" "&amp;DAY(GW27)&amp;"
/"&amp;MONTH(GW27)</f>
        <v>Mi. 21
/6</v>
      </c>
      <c r="GX29" s="24" t="str">
        <f t="shared" ref="GX29" si="209">IF(GX28=2,"Lu.",IF(GX28=3,"Ma.",IF(GX28=4,"Mi.",IF(GX28=5,"Ju.",IF(GX28=6,"Vi.",IF(GX28=7,"Sa.","Do."))))))&amp;" "&amp;DAY(GX27)&amp;"
/"&amp;MONTH(GX27)</f>
        <v>Ju. 22
/6</v>
      </c>
      <c r="GY29" s="24" t="str">
        <f t="shared" ref="GY29" si="210">IF(GY28=2,"Lu.",IF(GY28=3,"Ma.",IF(GY28=4,"Mi.",IF(GY28=5,"Ju.",IF(GY28=6,"Vi.",IF(GY28=7,"Sa.","Do."))))))&amp;" "&amp;DAY(GY27)&amp;"
/"&amp;MONTH(GY27)</f>
        <v>Vi. 23
/6</v>
      </c>
      <c r="GZ29" s="24" t="str">
        <f t="shared" ref="GZ29" si="211">IF(GZ28=2,"Lu.",IF(GZ28=3,"Ma.",IF(GZ28=4,"Mi.",IF(GZ28=5,"Ju.",IF(GZ28=6,"Vi.",IF(GZ28=7,"Sa.","Do."))))))&amp;" "&amp;DAY(GZ27)&amp;"
/"&amp;MONTH(GZ27)</f>
        <v>Sa. 24
/6</v>
      </c>
      <c r="HA29" s="24" t="str">
        <f t="shared" ref="HA29" si="212">IF(HA28=2,"Lu.",IF(HA28=3,"Ma.",IF(HA28=4,"Mi.",IF(HA28=5,"Ju.",IF(HA28=6,"Vi.",IF(HA28=7,"Sa.","Do."))))))&amp;" "&amp;DAY(HA27)&amp;"
/"&amp;MONTH(HA27)</f>
        <v>Do. 25
/6</v>
      </c>
      <c r="HB29" s="24" t="str">
        <f t="shared" ref="HB29" si="213">IF(HB28=2,"Lu.",IF(HB28=3,"Ma.",IF(HB28=4,"Mi.",IF(HB28=5,"Ju.",IF(HB28=6,"Vi.",IF(HB28=7,"Sa.","Do."))))))&amp;" "&amp;DAY(HB27)&amp;"
/"&amp;MONTH(HB27)</f>
        <v>Lu. 26
/6</v>
      </c>
      <c r="HC29" s="24" t="str">
        <f t="shared" ref="HC29" si="214">IF(HC28=2,"Lu.",IF(HC28=3,"Ma.",IF(HC28=4,"Mi.",IF(HC28=5,"Ju.",IF(HC28=6,"Vi.",IF(HC28=7,"Sa.","Do."))))))&amp;" "&amp;DAY(HC27)&amp;"
/"&amp;MONTH(HC27)</f>
        <v>Ma. 27
/6</v>
      </c>
      <c r="HD29" s="24" t="str">
        <f t="shared" ref="HD29" si="215">IF(HD28=2,"Lu.",IF(HD28=3,"Ma.",IF(HD28=4,"Mi.",IF(HD28=5,"Ju.",IF(HD28=6,"Vi.",IF(HD28=7,"Sa.","Do."))))))&amp;" "&amp;DAY(HD27)&amp;"
/"&amp;MONTH(HD27)</f>
        <v>Mi. 28
/6</v>
      </c>
      <c r="HE29" s="24" t="str">
        <f t="shared" ref="HE29" si="216">IF(HE28=2,"Lu.",IF(HE28=3,"Ma.",IF(HE28=4,"Mi.",IF(HE28=5,"Ju.",IF(HE28=6,"Vi.",IF(HE28=7,"Sa.","Do."))))))&amp;" "&amp;DAY(HE27)&amp;"
/"&amp;MONTH(HE27)</f>
        <v>Ju. 29
/6</v>
      </c>
      <c r="HF29" s="24" t="str">
        <f t="shared" ref="HF29" si="217">IF(HF28=2,"Lu.",IF(HF28=3,"Ma.",IF(HF28=4,"Mi.",IF(HF28=5,"Ju.",IF(HF28=6,"Vi.",IF(HF28=7,"Sa.","Do."))))))&amp;" "&amp;DAY(HF27)&amp;"
/"&amp;MONTH(HF27)</f>
        <v>Vi. 30
/6</v>
      </c>
      <c r="HG29" s="24" t="str">
        <f t="shared" ref="HG29" si="218">IF(HG28=2,"Lu.",IF(HG28=3,"Ma.",IF(HG28=4,"Mi.",IF(HG28=5,"Ju.",IF(HG28=6,"Vi.",IF(HG28=7,"Sa.","Do."))))))&amp;" "&amp;DAY(HG27)&amp;"
/"&amp;MONTH(HG27)</f>
        <v>Sa. 1
/7</v>
      </c>
      <c r="HH29" s="24" t="str">
        <f t="shared" ref="HH29" si="219">IF(HH28=2,"Lu.",IF(HH28=3,"Ma.",IF(HH28=4,"Mi.",IF(HH28=5,"Ju.",IF(HH28=6,"Vi.",IF(HH28=7,"Sa.","Do."))))))&amp;" "&amp;DAY(HH27)&amp;"
/"&amp;MONTH(HH27)</f>
        <v>Do. 2
/7</v>
      </c>
      <c r="HI29" s="24" t="str">
        <f t="shared" ref="HI29" si="220">IF(HI28=2,"Lu.",IF(HI28=3,"Ma.",IF(HI28=4,"Mi.",IF(HI28=5,"Ju.",IF(HI28=6,"Vi.",IF(HI28=7,"Sa.","Do."))))))&amp;" "&amp;DAY(HI27)&amp;"
/"&amp;MONTH(HI27)</f>
        <v>Lu. 3
/7</v>
      </c>
      <c r="HJ29" s="24" t="str">
        <f t="shared" ref="HJ29" si="221">IF(HJ28=2,"Lu.",IF(HJ28=3,"Ma.",IF(HJ28=4,"Mi.",IF(HJ28=5,"Ju.",IF(HJ28=6,"Vi.",IF(HJ28=7,"Sa.","Do."))))))&amp;" "&amp;DAY(HJ27)&amp;"
/"&amp;MONTH(HJ27)</f>
        <v>Ma. 4
/7</v>
      </c>
      <c r="HK29" s="24" t="str">
        <f t="shared" ref="HK29" si="222">IF(HK28=2,"Lu.",IF(HK28=3,"Ma.",IF(HK28=4,"Mi.",IF(HK28=5,"Ju.",IF(HK28=6,"Vi.",IF(HK28=7,"Sa.","Do."))))))&amp;" "&amp;DAY(HK27)&amp;"
/"&amp;MONTH(HK27)</f>
        <v>Mi. 5
/7</v>
      </c>
      <c r="HL29" s="24" t="str">
        <f t="shared" ref="HL29" si="223">IF(HL28=2,"Lu.",IF(HL28=3,"Ma.",IF(HL28=4,"Mi.",IF(HL28=5,"Ju.",IF(HL28=6,"Vi.",IF(HL28=7,"Sa.","Do."))))))&amp;" "&amp;DAY(HL27)&amp;"
/"&amp;MONTH(HL27)</f>
        <v>Ju. 6
/7</v>
      </c>
      <c r="HM29" s="24" t="str">
        <f t="shared" ref="HM29" si="224">IF(HM28=2,"Lu.",IF(HM28=3,"Ma.",IF(HM28=4,"Mi.",IF(HM28=5,"Ju.",IF(HM28=6,"Vi.",IF(HM28=7,"Sa.","Do."))))))&amp;" "&amp;DAY(HM27)&amp;"
/"&amp;MONTH(HM27)</f>
        <v>Vi. 7
/7</v>
      </c>
      <c r="HN29" s="24" t="str">
        <f t="shared" ref="HN29" si="225">IF(HN28=2,"Lu.",IF(HN28=3,"Ma.",IF(HN28=4,"Mi.",IF(HN28=5,"Ju.",IF(HN28=6,"Vi.",IF(HN28=7,"Sa.","Do."))))))&amp;" "&amp;DAY(HN27)&amp;"
/"&amp;MONTH(HN27)</f>
        <v>Sa. 8
/7</v>
      </c>
      <c r="HO29" s="24" t="str">
        <f t="shared" ref="HO29" si="226">IF(HO28=2,"Lu.",IF(HO28=3,"Ma.",IF(HO28=4,"Mi.",IF(HO28=5,"Ju.",IF(HO28=6,"Vi.",IF(HO28=7,"Sa.","Do."))))))&amp;" "&amp;DAY(HO27)&amp;"
/"&amp;MONTH(HO27)</f>
        <v>Do. 9
/7</v>
      </c>
      <c r="HP29" s="24" t="str">
        <f t="shared" ref="HP29" si="227">IF(HP28=2,"Lu.",IF(HP28=3,"Ma.",IF(HP28=4,"Mi.",IF(HP28=5,"Ju.",IF(HP28=6,"Vi.",IF(HP28=7,"Sa.","Do."))))))&amp;" "&amp;DAY(HP27)&amp;"
/"&amp;MONTH(HP27)</f>
        <v>Lu. 10
/7</v>
      </c>
      <c r="HQ29" s="24" t="str">
        <f t="shared" ref="HQ29" si="228">IF(HQ28=2,"Lu.",IF(HQ28=3,"Ma.",IF(HQ28=4,"Mi.",IF(HQ28=5,"Ju.",IF(HQ28=6,"Vi.",IF(HQ28=7,"Sa.","Do."))))))&amp;" "&amp;DAY(HQ27)&amp;"
/"&amp;MONTH(HQ27)</f>
        <v>Ma. 11
/7</v>
      </c>
      <c r="HR29" s="24" t="str">
        <f t="shared" ref="HR29" si="229">IF(HR28=2,"Lu.",IF(HR28=3,"Ma.",IF(HR28=4,"Mi.",IF(HR28=5,"Ju.",IF(HR28=6,"Vi.",IF(HR28=7,"Sa.","Do."))))))&amp;" "&amp;DAY(HR27)&amp;"
/"&amp;MONTH(HR27)</f>
        <v>Mi. 12
/7</v>
      </c>
      <c r="HS29" s="24" t="str">
        <f t="shared" ref="HS29" si="230">IF(HS28=2,"Lu.",IF(HS28=3,"Ma.",IF(HS28=4,"Mi.",IF(HS28=5,"Ju.",IF(HS28=6,"Vi.",IF(HS28=7,"Sa.","Do."))))))&amp;" "&amp;DAY(HS27)&amp;"
/"&amp;MONTH(HS27)</f>
        <v>Ju. 13
/7</v>
      </c>
      <c r="HT29" s="24" t="str">
        <f t="shared" ref="HT29" si="231">IF(HT28=2,"Lu.",IF(HT28=3,"Ma.",IF(HT28=4,"Mi.",IF(HT28=5,"Ju.",IF(HT28=6,"Vi.",IF(HT28=7,"Sa.","Do."))))))&amp;" "&amp;DAY(HT27)&amp;"
/"&amp;MONTH(HT27)</f>
        <v>Vi. 14
/7</v>
      </c>
      <c r="HU29" s="24" t="str">
        <f t="shared" ref="HU29" si="232">IF(HU28=2,"Lu.",IF(HU28=3,"Ma.",IF(HU28=4,"Mi.",IF(HU28=5,"Ju.",IF(HU28=6,"Vi.",IF(HU28=7,"Sa.","Do."))))))&amp;" "&amp;DAY(HU27)&amp;"
/"&amp;MONTH(HU27)</f>
        <v>Sa. 15
/7</v>
      </c>
      <c r="HV29" s="24" t="str">
        <f t="shared" ref="HV29" si="233">IF(HV28=2,"Lu.",IF(HV28=3,"Ma.",IF(HV28=4,"Mi.",IF(HV28=5,"Ju.",IF(HV28=6,"Vi.",IF(HV28=7,"Sa.","Do."))))))&amp;" "&amp;DAY(HV27)&amp;"
/"&amp;MONTH(HV27)</f>
        <v>Do. 16
/7</v>
      </c>
      <c r="HW29" s="24" t="str">
        <f t="shared" ref="HW29" si="234">IF(HW28=2,"Lu.",IF(HW28=3,"Ma.",IF(HW28=4,"Mi.",IF(HW28=5,"Ju.",IF(HW28=6,"Vi.",IF(HW28=7,"Sa.","Do."))))))&amp;" "&amp;DAY(HW27)&amp;"
/"&amp;MONTH(HW27)</f>
        <v>Lu. 17
/7</v>
      </c>
      <c r="HX29" s="24" t="str">
        <f t="shared" ref="HX29" si="235">IF(HX28=2,"Lu.",IF(HX28=3,"Ma.",IF(HX28=4,"Mi.",IF(HX28=5,"Ju.",IF(HX28=6,"Vi.",IF(HX28=7,"Sa.","Do."))))))&amp;" "&amp;DAY(HX27)&amp;"
/"&amp;MONTH(HX27)</f>
        <v>Ma. 18
/7</v>
      </c>
      <c r="HY29" s="24" t="str">
        <f t="shared" ref="HY29" si="236">IF(HY28=2,"Lu.",IF(HY28=3,"Ma.",IF(HY28=4,"Mi.",IF(HY28=5,"Ju.",IF(HY28=6,"Vi.",IF(HY28=7,"Sa.","Do."))))))&amp;" "&amp;DAY(HY27)&amp;"
/"&amp;MONTH(HY27)</f>
        <v>Mi. 19
/7</v>
      </c>
      <c r="HZ29" s="24" t="str">
        <f t="shared" ref="HZ29" si="237">IF(HZ28=2,"Lu.",IF(HZ28=3,"Ma.",IF(HZ28=4,"Mi.",IF(HZ28=5,"Ju.",IF(HZ28=6,"Vi.",IF(HZ28=7,"Sa.","Do."))))))&amp;" "&amp;DAY(HZ27)&amp;"
/"&amp;MONTH(HZ27)</f>
        <v>Ju. 20
/7</v>
      </c>
      <c r="IA29" s="24" t="str">
        <f t="shared" ref="IA29" si="238">IF(IA28=2,"Lu.",IF(IA28=3,"Ma.",IF(IA28=4,"Mi.",IF(IA28=5,"Ju.",IF(IA28=6,"Vi.",IF(IA28=7,"Sa.","Do."))))))&amp;" "&amp;DAY(IA27)&amp;"
/"&amp;MONTH(IA27)</f>
        <v>Vi. 21
/7</v>
      </c>
      <c r="IB29" s="24" t="str">
        <f t="shared" ref="IB29" si="239">IF(IB28=2,"Lu.",IF(IB28=3,"Ma.",IF(IB28=4,"Mi.",IF(IB28=5,"Ju.",IF(IB28=6,"Vi.",IF(IB28=7,"Sa.","Do."))))))&amp;" "&amp;DAY(IB27)&amp;"
/"&amp;MONTH(IB27)</f>
        <v>Sa. 22
/7</v>
      </c>
      <c r="IC29" s="24" t="str">
        <f t="shared" ref="IC29" si="240">IF(IC28=2,"Lu.",IF(IC28=3,"Ma.",IF(IC28=4,"Mi.",IF(IC28=5,"Ju.",IF(IC28=6,"Vi.",IF(IC28=7,"Sa.","Do."))))))&amp;" "&amp;DAY(IC27)&amp;"
/"&amp;MONTH(IC27)</f>
        <v>Do. 23
/7</v>
      </c>
      <c r="ID29" s="24" t="str">
        <f t="shared" ref="ID29" si="241">IF(ID28=2,"Lu.",IF(ID28=3,"Ma.",IF(ID28=4,"Mi.",IF(ID28=5,"Ju.",IF(ID28=6,"Vi.",IF(ID28=7,"Sa.","Do."))))))&amp;" "&amp;DAY(ID27)&amp;"
/"&amp;MONTH(ID27)</f>
        <v>Lu. 24
/7</v>
      </c>
      <c r="IE29" s="24" t="str">
        <f t="shared" ref="IE29" si="242">IF(IE28=2,"Lu.",IF(IE28=3,"Ma.",IF(IE28=4,"Mi.",IF(IE28=5,"Ju.",IF(IE28=6,"Vi.",IF(IE28=7,"Sa.","Do."))))))&amp;" "&amp;DAY(IE27)&amp;"
/"&amp;MONTH(IE27)</f>
        <v>Ma. 25
/7</v>
      </c>
      <c r="IF29" s="24" t="str">
        <f t="shared" ref="IF29" si="243">IF(IF28=2,"Lu.",IF(IF28=3,"Ma.",IF(IF28=4,"Mi.",IF(IF28=5,"Ju.",IF(IF28=6,"Vi.",IF(IF28=7,"Sa.","Do."))))))&amp;" "&amp;DAY(IF27)&amp;"
/"&amp;MONTH(IF27)</f>
        <v>Mi. 26
/7</v>
      </c>
      <c r="IG29" s="24" t="str">
        <f t="shared" ref="IG29" si="244">IF(IG28=2,"Lu.",IF(IG28=3,"Ma.",IF(IG28=4,"Mi.",IF(IG28=5,"Ju.",IF(IG28=6,"Vi.",IF(IG28=7,"Sa.","Do."))))))&amp;" "&amp;DAY(IG27)&amp;"
/"&amp;MONTH(IG27)</f>
        <v>Ju. 27
/7</v>
      </c>
      <c r="IH29" s="24" t="str">
        <f t="shared" ref="IH29" si="245">IF(IH28=2,"Lu.",IF(IH28=3,"Ma.",IF(IH28=4,"Mi.",IF(IH28=5,"Ju.",IF(IH28=6,"Vi.",IF(IH28=7,"Sa.","Do."))))))&amp;" "&amp;DAY(IH27)&amp;"
/"&amp;MONTH(IH27)</f>
        <v>Vi. 28
/7</v>
      </c>
      <c r="II29" s="24" t="str">
        <f t="shared" ref="II29" si="246">IF(II28=2,"Lu.",IF(II28=3,"Ma.",IF(II28=4,"Mi.",IF(II28=5,"Ju.",IF(II28=6,"Vi.",IF(II28=7,"Sa.","Do."))))))&amp;" "&amp;DAY(II27)&amp;"
/"&amp;MONTH(II27)</f>
        <v>Sa. 29
/7</v>
      </c>
      <c r="IJ29" s="24" t="str">
        <f t="shared" ref="IJ29" si="247">IF(IJ28=2,"Lu.",IF(IJ28=3,"Ma.",IF(IJ28=4,"Mi.",IF(IJ28=5,"Ju.",IF(IJ28=6,"Vi.",IF(IJ28=7,"Sa.","Do."))))))&amp;" "&amp;DAY(IJ27)&amp;"
/"&amp;MONTH(IJ27)</f>
        <v>Do. 30
/7</v>
      </c>
      <c r="IK29" s="24" t="str">
        <f t="shared" ref="IK29" si="248">IF(IK28=2,"Lu.",IF(IK28=3,"Ma.",IF(IK28=4,"Mi.",IF(IK28=5,"Ju.",IF(IK28=6,"Vi.",IF(IK28=7,"Sa.","Do."))))))&amp;" "&amp;DAY(IK27)&amp;"
/"&amp;MONTH(IK27)</f>
        <v>Lu. 31
/7</v>
      </c>
      <c r="IL29" s="24" t="str">
        <f t="shared" ref="IL29" si="249">IF(IL28=2,"Lu.",IF(IL28=3,"Ma.",IF(IL28=4,"Mi.",IF(IL28=5,"Ju.",IF(IL28=6,"Vi.",IF(IL28=7,"Sa.","Do."))))))&amp;" "&amp;DAY(IL27)&amp;"
/"&amp;MONTH(IL27)</f>
        <v>Ma. 1
/8</v>
      </c>
      <c r="IM29" s="24" t="str">
        <f t="shared" ref="IM29" si="250">IF(IM28=2,"Lu.",IF(IM28=3,"Ma.",IF(IM28=4,"Mi.",IF(IM28=5,"Ju.",IF(IM28=6,"Vi.",IF(IM28=7,"Sa.","Do."))))))&amp;" "&amp;DAY(IM27)&amp;"
/"&amp;MONTH(IM27)</f>
        <v>Mi. 2
/8</v>
      </c>
      <c r="IN29" s="24" t="str">
        <f t="shared" ref="IN29" si="251">IF(IN28=2,"Lu.",IF(IN28=3,"Ma.",IF(IN28=4,"Mi.",IF(IN28=5,"Ju.",IF(IN28=6,"Vi.",IF(IN28=7,"Sa.","Do."))))))&amp;" "&amp;DAY(IN27)&amp;"
/"&amp;MONTH(IN27)</f>
        <v>Ju. 3
/8</v>
      </c>
      <c r="IO29" s="24" t="str">
        <f t="shared" ref="IO29" si="252">IF(IO28=2,"Lu.",IF(IO28=3,"Ma.",IF(IO28=4,"Mi.",IF(IO28=5,"Ju.",IF(IO28=6,"Vi.",IF(IO28=7,"Sa.","Do."))))))&amp;" "&amp;DAY(IO27)&amp;"
/"&amp;MONTH(IO27)</f>
        <v>Vi. 4
/8</v>
      </c>
      <c r="IP29" s="24" t="str">
        <f t="shared" ref="IP29" si="253">IF(IP28=2,"Lu.",IF(IP28=3,"Ma.",IF(IP28=4,"Mi.",IF(IP28=5,"Ju.",IF(IP28=6,"Vi.",IF(IP28=7,"Sa.","Do."))))))&amp;" "&amp;DAY(IP27)&amp;"
/"&amp;MONTH(IP27)</f>
        <v>Sa. 5
/8</v>
      </c>
      <c r="IQ29" s="24" t="str">
        <f t="shared" ref="IQ29" si="254">IF(IQ28=2,"Lu.",IF(IQ28=3,"Ma.",IF(IQ28=4,"Mi.",IF(IQ28=5,"Ju.",IF(IQ28=6,"Vi.",IF(IQ28=7,"Sa.","Do."))))))&amp;" "&amp;DAY(IQ27)&amp;"
/"&amp;MONTH(IQ27)</f>
        <v>Do. 6
/8</v>
      </c>
      <c r="IR29" s="24" t="str">
        <f t="shared" ref="IR29" si="255">IF(IR28=2,"Lu.",IF(IR28=3,"Ma.",IF(IR28=4,"Mi.",IF(IR28=5,"Ju.",IF(IR28=6,"Vi.",IF(IR28=7,"Sa.","Do."))))))&amp;" "&amp;DAY(IR27)&amp;"
/"&amp;MONTH(IR27)</f>
        <v>Lu. 7
/8</v>
      </c>
      <c r="IS29" s="24" t="str">
        <f t="shared" ref="IS29" si="256">IF(IS28=2,"Lu.",IF(IS28=3,"Ma.",IF(IS28=4,"Mi.",IF(IS28=5,"Ju.",IF(IS28=6,"Vi.",IF(IS28=7,"Sa.","Do."))))))&amp;" "&amp;DAY(IS27)&amp;"
/"&amp;MONTH(IS27)</f>
        <v>Ma. 8
/8</v>
      </c>
      <c r="IT29" s="24" t="str">
        <f t="shared" ref="IT29" si="257">IF(IT28=2,"Lu.",IF(IT28=3,"Ma.",IF(IT28=4,"Mi.",IF(IT28=5,"Ju.",IF(IT28=6,"Vi.",IF(IT28=7,"Sa.","Do."))))))&amp;" "&amp;DAY(IT27)&amp;"
/"&amp;MONTH(IT27)</f>
        <v>Mi. 9
/8</v>
      </c>
      <c r="IU29" s="24" t="str">
        <f t="shared" ref="IU29" si="258">IF(IU28=2,"Lu.",IF(IU28=3,"Ma.",IF(IU28=4,"Mi.",IF(IU28=5,"Ju.",IF(IU28=6,"Vi.",IF(IU28=7,"Sa.","Do."))))))&amp;" "&amp;DAY(IU27)&amp;"
/"&amp;MONTH(IU27)</f>
        <v>Ju. 10
/8</v>
      </c>
      <c r="IV29" s="24" t="str">
        <f t="shared" ref="IV29" si="259">IF(IV28=2,"Lu.",IF(IV28=3,"Ma.",IF(IV28=4,"Mi.",IF(IV28=5,"Ju.",IF(IV28=6,"Vi.",IF(IV28=7,"Sa.","Do."))))))&amp;" "&amp;DAY(IV27)&amp;"
/"&amp;MONTH(IV27)</f>
        <v>Vi. 11
/8</v>
      </c>
      <c r="IW29" s="24" t="str">
        <f t="shared" ref="IW29" si="260">IF(IW28=2,"Lu.",IF(IW28=3,"Ma.",IF(IW28=4,"Mi.",IF(IW28=5,"Ju.",IF(IW28=6,"Vi.",IF(IW28=7,"Sa.","Do."))))))&amp;" "&amp;DAY(IW27)&amp;"
/"&amp;MONTH(IW27)</f>
        <v>Sa. 12
/8</v>
      </c>
      <c r="IX29" s="24" t="str">
        <f t="shared" ref="IX29" si="261">IF(IX28=2,"Lu.",IF(IX28=3,"Ma.",IF(IX28=4,"Mi.",IF(IX28=5,"Ju.",IF(IX28=6,"Vi.",IF(IX28=7,"Sa.","Do."))))))&amp;" "&amp;DAY(IX27)&amp;"
/"&amp;MONTH(IX27)</f>
        <v>Do. 13
/8</v>
      </c>
      <c r="IY29" s="24" t="str">
        <f t="shared" ref="IY29" si="262">IF(IY28=2,"Lu.",IF(IY28=3,"Ma.",IF(IY28=4,"Mi.",IF(IY28=5,"Ju.",IF(IY28=6,"Vi.",IF(IY28=7,"Sa.","Do."))))))&amp;" "&amp;DAY(IY27)&amp;"
/"&amp;MONTH(IY27)</f>
        <v>Lu. 14
/8</v>
      </c>
      <c r="IZ29" s="24" t="str">
        <f t="shared" ref="IZ29" si="263">IF(IZ28=2,"Lu.",IF(IZ28=3,"Ma.",IF(IZ28=4,"Mi.",IF(IZ28=5,"Ju.",IF(IZ28=6,"Vi.",IF(IZ28=7,"Sa.","Do."))))))&amp;" "&amp;DAY(IZ27)&amp;"
/"&amp;MONTH(IZ27)</f>
        <v>Ma. 15
/8</v>
      </c>
      <c r="JA29" s="24" t="str">
        <f t="shared" ref="JA29" si="264">IF(JA28=2,"Lu.",IF(JA28=3,"Ma.",IF(JA28=4,"Mi.",IF(JA28=5,"Ju.",IF(JA28=6,"Vi.",IF(JA28=7,"Sa.","Do."))))))&amp;" "&amp;DAY(JA27)&amp;"
/"&amp;MONTH(JA27)</f>
        <v>Mi. 16
/8</v>
      </c>
      <c r="JB29" s="24" t="str">
        <f t="shared" ref="JB29" si="265">IF(JB28=2,"Lu.",IF(JB28=3,"Ma.",IF(JB28=4,"Mi.",IF(JB28=5,"Ju.",IF(JB28=6,"Vi.",IF(JB28=7,"Sa.","Do."))))))&amp;" "&amp;DAY(JB27)&amp;"
/"&amp;MONTH(JB27)</f>
        <v>Ju. 17
/8</v>
      </c>
      <c r="JC29" s="24" t="str">
        <f t="shared" ref="JC29" si="266">IF(JC28=2,"Lu.",IF(JC28=3,"Ma.",IF(JC28=4,"Mi.",IF(JC28=5,"Ju.",IF(JC28=6,"Vi.",IF(JC28=7,"Sa.","Do."))))))&amp;" "&amp;DAY(JC27)&amp;"
/"&amp;MONTH(JC27)</f>
        <v>Vi. 18
/8</v>
      </c>
      <c r="JD29" s="24" t="str">
        <f t="shared" ref="JD29" si="267">IF(JD28=2,"Lu.",IF(JD28=3,"Ma.",IF(JD28=4,"Mi.",IF(JD28=5,"Ju.",IF(JD28=6,"Vi.",IF(JD28=7,"Sa.","Do."))))))&amp;" "&amp;DAY(JD27)&amp;"
/"&amp;MONTH(JD27)</f>
        <v>Sa. 19
/8</v>
      </c>
      <c r="JE29" s="24" t="str">
        <f t="shared" ref="JE29" si="268">IF(JE28=2,"Lu.",IF(JE28=3,"Ma.",IF(JE28=4,"Mi.",IF(JE28=5,"Ju.",IF(JE28=6,"Vi.",IF(JE28=7,"Sa.","Do."))))))&amp;" "&amp;DAY(JE27)&amp;"
/"&amp;MONTH(JE27)</f>
        <v>Do. 20
/8</v>
      </c>
      <c r="JF29" s="24" t="str">
        <f t="shared" ref="JF29" si="269">IF(JF28=2,"Lu.",IF(JF28=3,"Ma.",IF(JF28=4,"Mi.",IF(JF28=5,"Ju.",IF(JF28=6,"Vi.",IF(JF28=7,"Sa.","Do."))))))&amp;" "&amp;DAY(JF27)&amp;"
/"&amp;MONTH(JF27)</f>
        <v>Lu. 21
/8</v>
      </c>
      <c r="JG29" s="24" t="str">
        <f t="shared" ref="JG29" si="270">IF(JG28=2,"Lu.",IF(JG28=3,"Ma.",IF(JG28=4,"Mi.",IF(JG28=5,"Ju.",IF(JG28=6,"Vi.",IF(JG28=7,"Sa.","Do."))))))&amp;" "&amp;DAY(JG27)&amp;"
/"&amp;MONTH(JG27)</f>
        <v>Ma. 22
/8</v>
      </c>
      <c r="JH29" s="24" t="str">
        <f t="shared" ref="JH29" si="271">IF(JH28=2,"Lu.",IF(JH28=3,"Ma.",IF(JH28=4,"Mi.",IF(JH28=5,"Ju.",IF(JH28=6,"Vi.",IF(JH28=7,"Sa.","Do."))))))&amp;" "&amp;DAY(JH27)&amp;"
/"&amp;MONTH(JH27)</f>
        <v>Mi. 23
/8</v>
      </c>
      <c r="JI29" s="24" t="str">
        <f t="shared" ref="JI29" si="272">IF(JI28=2,"Lu.",IF(JI28=3,"Ma.",IF(JI28=4,"Mi.",IF(JI28=5,"Ju.",IF(JI28=6,"Vi.",IF(JI28=7,"Sa.","Do."))))))&amp;" "&amp;DAY(JI27)&amp;"
/"&amp;MONTH(JI27)</f>
        <v>Ju. 24
/8</v>
      </c>
      <c r="JJ29" s="24" t="str">
        <f t="shared" ref="JJ29" si="273">IF(JJ28=2,"Lu.",IF(JJ28=3,"Ma.",IF(JJ28=4,"Mi.",IF(JJ28=5,"Ju.",IF(JJ28=6,"Vi.",IF(JJ28=7,"Sa.","Do."))))))&amp;" "&amp;DAY(JJ27)&amp;"
/"&amp;MONTH(JJ27)</f>
        <v>Vi. 25
/8</v>
      </c>
      <c r="JK29" s="24" t="str">
        <f t="shared" ref="JK29" si="274">IF(JK28=2,"Lu.",IF(JK28=3,"Ma.",IF(JK28=4,"Mi.",IF(JK28=5,"Ju.",IF(JK28=6,"Vi.",IF(JK28=7,"Sa.","Do."))))))&amp;" "&amp;DAY(JK27)&amp;"
/"&amp;MONTH(JK27)</f>
        <v>Sa. 26
/8</v>
      </c>
      <c r="JL29" s="24" t="str">
        <f t="shared" ref="JL29" si="275">IF(JL28=2,"Lu.",IF(JL28=3,"Ma.",IF(JL28=4,"Mi.",IF(JL28=5,"Ju.",IF(JL28=6,"Vi.",IF(JL28=7,"Sa.","Do."))))))&amp;" "&amp;DAY(JL27)&amp;"
/"&amp;MONTH(JL27)</f>
        <v>Do. 27
/8</v>
      </c>
      <c r="JM29" s="24" t="str">
        <f t="shared" ref="JM29" si="276">IF(JM28=2,"Lu.",IF(JM28=3,"Ma.",IF(JM28=4,"Mi.",IF(JM28=5,"Ju.",IF(JM28=6,"Vi.",IF(JM28=7,"Sa.","Do."))))))&amp;" "&amp;DAY(JM27)&amp;"
/"&amp;MONTH(JM27)</f>
        <v>Lu. 28
/8</v>
      </c>
      <c r="JN29" s="24" t="str">
        <f t="shared" ref="JN29" si="277">IF(JN28=2,"Lu.",IF(JN28=3,"Ma.",IF(JN28=4,"Mi.",IF(JN28=5,"Ju.",IF(JN28=6,"Vi.",IF(JN28=7,"Sa.","Do."))))))&amp;" "&amp;DAY(JN27)&amp;"
/"&amp;MONTH(JN27)</f>
        <v>Ma. 29
/8</v>
      </c>
      <c r="JO29" s="24" t="str">
        <f t="shared" ref="JO29" si="278">IF(JO28=2,"Lu.",IF(JO28=3,"Ma.",IF(JO28=4,"Mi.",IF(JO28=5,"Ju.",IF(JO28=6,"Vi.",IF(JO28=7,"Sa.","Do."))))))&amp;" "&amp;DAY(JO27)&amp;"
/"&amp;MONTH(JO27)</f>
        <v>Mi. 30
/8</v>
      </c>
      <c r="JP29" s="24" t="str">
        <f t="shared" ref="JP29" si="279">IF(JP28=2,"Lu.",IF(JP28=3,"Ma.",IF(JP28=4,"Mi.",IF(JP28=5,"Ju.",IF(JP28=6,"Vi.",IF(JP28=7,"Sa.","Do."))))))&amp;" "&amp;DAY(JP27)&amp;"
/"&amp;MONTH(JP27)</f>
        <v>Ju. 31
/8</v>
      </c>
      <c r="JQ29" s="24" t="str">
        <f t="shared" ref="JQ29" si="280">IF(JQ28=2,"Lu.",IF(JQ28=3,"Ma.",IF(JQ28=4,"Mi.",IF(JQ28=5,"Ju.",IF(JQ28=6,"Vi.",IF(JQ28=7,"Sa.","Do."))))))&amp;" "&amp;DAY(JQ27)&amp;"
/"&amp;MONTH(JQ27)</f>
        <v>Vi. 1
/9</v>
      </c>
      <c r="JR29" s="24" t="str">
        <f t="shared" ref="JR29" si="281">IF(JR28=2,"Lu.",IF(JR28=3,"Ma.",IF(JR28=4,"Mi.",IF(JR28=5,"Ju.",IF(JR28=6,"Vi.",IF(JR28=7,"Sa.","Do."))))))&amp;" "&amp;DAY(JR27)&amp;"
/"&amp;MONTH(JR27)</f>
        <v>Sa. 2
/9</v>
      </c>
      <c r="JS29" s="24" t="str">
        <f t="shared" ref="JS29" si="282">IF(JS28=2,"Lu.",IF(JS28=3,"Ma.",IF(JS28=4,"Mi.",IF(JS28=5,"Ju.",IF(JS28=6,"Vi.",IF(JS28=7,"Sa.","Do."))))))&amp;" "&amp;DAY(JS27)&amp;"
/"&amp;MONTH(JS27)</f>
        <v>Do. 3
/9</v>
      </c>
      <c r="JT29" s="24" t="str">
        <f t="shared" ref="JT29" si="283">IF(JT28=2,"Lu.",IF(JT28=3,"Ma.",IF(JT28=4,"Mi.",IF(JT28=5,"Ju.",IF(JT28=6,"Vi.",IF(JT28=7,"Sa.","Do."))))))&amp;" "&amp;DAY(JT27)&amp;"
/"&amp;MONTH(JT27)</f>
        <v>Lu. 4
/9</v>
      </c>
      <c r="JU29" s="24" t="str">
        <f t="shared" ref="JU29" si="284">IF(JU28=2,"Lu.",IF(JU28=3,"Ma.",IF(JU28=4,"Mi.",IF(JU28=5,"Ju.",IF(JU28=6,"Vi.",IF(JU28=7,"Sa.","Do."))))))&amp;" "&amp;DAY(JU27)&amp;"
/"&amp;MONTH(JU27)</f>
        <v>Ma. 5
/9</v>
      </c>
      <c r="JV29" s="24" t="str">
        <f t="shared" ref="JV29" si="285">IF(JV28=2,"Lu.",IF(JV28=3,"Ma.",IF(JV28=4,"Mi.",IF(JV28=5,"Ju.",IF(JV28=6,"Vi.",IF(JV28=7,"Sa.","Do."))))))&amp;" "&amp;DAY(JV27)&amp;"
/"&amp;MONTH(JV27)</f>
        <v>Mi. 6
/9</v>
      </c>
      <c r="JW29" s="24" t="str">
        <f t="shared" ref="JW29" si="286">IF(JW28=2,"Lu.",IF(JW28=3,"Ma.",IF(JW28=4,"Mi.",IF(JW28=5,"Ju.",IF(JW28=6,"Vi.",IF(JW28=7,"Sa.","Do."))))))&amp;" "&amp;DAY(JW27)&amp;"
/"&amp;MONTH(JW27)</f>
        <v>Ju. 7
/9</v>
      </c>
      <c r="JX29" s="24" t="str">
        <f t="shared" ref="JX29" si="287">IF(JX28=2,"Lu.",IF(JX28=3,"Ma.",IF(JX28=4,"Mi.",IF(JX28=5,"Ju.",IF(JX28=6,"Vi.",IF(JX28=7,"Sa.","Do."))))))&amp;" "&amp;DAY(JX27)&amp;"
/"&amp;MONTH(JX27)</f>
        <v>Vi. 8
/9</v>
      </c>
      <c r="JY29" s="24" t="str">
        <f t="shared" ref="JY29" si="288">IF(JY28=2,"Lu.",IF(JY28=3,"Ma.",IF(JY28=4,"Mi.",IF(JY28=5,"Ju.",IF(JY28=6,"Vi.",IF(JY28=7,"Sa.","Do."))))))&amp;" "&amp;DAY(JY27)&amp;"
/"&amp;MONTH(JY27)</f>
        <v>Sa. 9
/9</v>
      </c>
      <c r="JZ29" s="24" t="str">
        <f t="shared" ref="JZ29" si="289">IF(JZ28=2,"Lu.",IF(JZ28=3,"Ma.",IF(JZ28=4,"Mi.",IF(JZ28=5,"Ju.",IF(JZ28=6,"Vi.",IF(JZ28=7,"Sa.","Do."))))))&amp;" "&amp;DAY(JZ27)&amp;"
/"&amp;MONTH(JZ27)</f>
        <v>Do. 10
/9</v>
      </c>
      <c r="KA29" s="24" t="str">
        <f t="shared" ref="KA29" si="290">IF(KA28=2,"Lu.",IF(KA28=3,"Ma.",IF(KA28=4,"Mi.",IF(KA28=5,"Ju.",IF(KA28=6,"Vi.",IF(KA28=7,"Sa.","Do."))))))&amp;" "&amp;DAY(KA27)&amp;"
/"&amp;MONTH(KA27)</f>
        <v>Lu. 11
/9</v>
      </c>
      <c r="KB29" s="24" t="str">
        <f t="shared" ref="KB29" si="291">IF(KB28=2,"Lu.",IF(KB28=3,"Ma.",IF(KB28=4,"Mi.",IF(KB28=5,"Ju.",IF(KB28=6,"Vi.",IF(KB28=7,"Sa.","Do."))))))&amp;" "&amp;DAY(KB27)&amp;"
/"&amp;MONTH(KB27)</f>
        <v>Ma. 12
/9</v>
      </c>
      <c r="KC29" s="24" t="str">
        <f t="shared" ref="KC29" si="292">IF(KC28=2,"Lu.",IF(KC28=3,"Ma.",IF(KC28=4,"Mi.",IF(KC28=5,"Ju.",IF(KC28=6,"Vi.",IF(KC28=7,"Sa.","Do."))))))&amp;" "&amp;DAY(KC27)&amp;"
/"&amp;MONTH(KC27)</f>
        <v>Mi. 13
/9</v>
      </c>
      <c r="KD29" s="24" t="str">
        <f t="shared" ref="KD29" si="293">IF(KD28=2,"Lu.",IF(KD28=3,"Ma.",IF(KD28=4,"Mi.",IF(KD28=5,"Ju.",IF(KD28=6,"Vi.",IF(KD28=7,"Sa.","Do."))))))&amp;" "&amp;DAY(KD27)&amp;"
/"&amp;MONTH(KD27)</f>
        <v>Ju. 14
/9</v>
      </c>
      <c r="KE29" s="24" t="str">
        <f t="shared" ref="KE29" si="294">IF(KE28=2,"Lu.",IF(KE28=3,"Ma.",IF(KE28=4,"Mi.",IF(KE28=5,"Ju.",IF(KE28=6,"Vi.",IF(KE28=7,"Sa.","Do."))))))&amp;" "&amp;DAY(KE27)&amp;"
/"&amp;MONTH(KE27)</f>
        <v>Vi. 15
/9</v>
      </c>
      <c r="KF29" s="24" t="str">
        <f t="shared" ref="KF29" si="295">IF(KF28=2,"Lu.",IF(KF28=3,"Ma.",IF(KF28=4,"Mi.",IF(KF28=5,"Ju.",IF(KF28=6,"Vi.",IF(KF28=7,"Sa.","Do."))))))&amp;" "&amp;DAY(KF27)&amp;"
/"&amp;MONTH(KF27)</f>
        <v>Sa. 16
/9</v>
      </c>
      <c r="KG29" s="24" t="str">
        <f t="shared" ref="KG29" si="296">IF(KG28=2,"Lu.",IF(KG28=3,"Ma.",IF(KG28=4,"Mi.",IF(KG28=5,"Ju.",IF(KG28=6,"Vi.",IF(KG28=7,"Sa.","Do."))))))&amp;" "&amp;DAY(KG27)&amp;"
/"&amp;MONTH(KG27)</f>
        <v>Do. 17
/9</v>
      </c>
      <c r="KH29" s="24" t="str">
        <f t="shared" ref="KH29" si="297">IF(KH28=2,"Lu.",IF(KH28=3,"Ma.",IF(KH28=4,"Mi.",IF(KH28=5,"Ju.",IF(KH28=6,"Vi.",IF(KH28=7,"Sa.","Do."))))))&amp;" "&amp;DAY(KH27)&amp;"
/"&amp;MONTH(KH27)</f>
        <v>Lu. 18
/9</v>
      </c>
      <c r="KI29" s="24" t="str">
        <f t="shared" ref="KI29" si="298">IF(KI28=2,"Lu.",IF(KI28=3,"Ma.",IF(KI28=4,"Mi.",IF(KI28=5,"Ju.",IF(KI28=6,"Vi.",IF(KI28=7,"Sa.","Do."))))))&amp;" "&amp;DAY(KI27)&amp;"
/"&amp;MONTH(KI27)</f>
        <v>Ma. 19
/9</v>
      </c>
      <c r="KJ29" s="24" t="str">
        <f t="shared" ref="KJ29" si="299">IF(KJ28=2,"Lu.",IF(KJ28=3,"Ma.",IF(KJ28=4,"Mi.",IF(KJ28=5,"Ju.",IF(KJ28=6,"Vi.",IF(KJ28=7,"Sa.","Do."))))))&amp;" "&amp;DAY(KJ27)&amp;"
/"&amp;MONTH(KJ27)</f>
        <v>Mi. 20
/9</v>
      </c>
      <c r="KK29" s="24" t="str">
        <f t="shared" ref="KK29" si="300">IF(KK28=2,"Lu.",IF(KK28=3,"Ma.",IF(KK28=4,"Mi.",IF(KK28=5,"Ju.",IF(KK28=6,"Vi.",IF(KK28=7,"Sa.","Do."))))))&amp;" "&amp;DAY(KK27)&amp;"
/"&amp;MONTH(KK27)</f>
        <v>Ju. 21
/9</v>
      </c>
      <c r="KL29" s="24" t="str">
        <f t="shared" ref="KL29" si="301">IF(KL28=2,"Lu.",IF(KL28=3,"Ma.",IF(KL28=4,"Mi.",IF(KL28=5,"Ju.",IF(KL28=6,"Vi.",IF(KL28=7,"Sa.","Do."))))))&amp;" "&amp;DAY(KL27)&amp;"
/"&amp;MONTH(KL27)</f>
        <v>Vi. 22
/9</v>
      </c>
      <c r="KM29" s="24" t="str">
        <f t="shared" ref="KM29" si="302">IF(KM28=2,"Lu.",IF(KM28=3,"Ma.",IF(KM28=4,"Mi.",IF(KM28=5,"Ju.",IF(KM28=6,"Vi.",IF(KM28=7,"Sa.","Do."))))))&amp;" "&amp;DAY(KM27)&amp;"
/"&amp;MONTH(KM27)</f>
        <v>Sa. 23
/9</v>
      </c>
      <c r="KN29" s="24" t="str">
        <f t="shared" ref="KN29" si="303">IF(KN28=2,"Lu.",IF(KN28=3,"Ma.",IF(KN28=4,"Mi.",IF(KN28=5,"Ju.",IF(KN28=6,"Vi.",IF(KN28=7,"Sa.","Do."))))))&amp;" "&amp;DAY(KN27)&amp;"
/"&amp;MONTH(KN27)</f>
        <v>Do. 24
/9</v>
      </c>
      <c r="KO29" s="24" t="str">
        <f t="shared" ref="KO29" si="304">IF(KO28=2,"Lu.",IF(KO28=3,"Ma.",IF(KO28=4,"Mi.",IF(KO28=5,"Ju.",IF(KO28=6,"Vi.",IF(KO28=7,"Sa.","Do."))))))&amp;" "&amp;DAY(KO27)&amp;"
/"&amp;MONTH(KO27)</f>
        <v>Lu. 25
/9</v>
      </c>
      <c r="KP29" s="24" t="str">
        <f t="shared" ref="KP29" si="305">IF(KP28=2,"Lu.",IF(KP28=3,"Ma.",IF(KP28=4,"Mi.",IF(KP28=5,"Ju.",IF(KP28=6,"Vi.",IF(KP28=7,"Sa.","Do."))))))&amp;" "&amp;DAY(KP27)&amp;"
/"&amp;MONTH(KP27)</f>
        <v>Ma. 26
/9</v>
      </c>
      <c r="KQ29" s="24" t="str">
        <f t="shared" ref="KQ29" si="306">IF(KQ28=2,"Lu.",IF(KQ28=3,"Ma.",IF(KQ28=4,"Mi.",IF(KQ28=5,"Ju.",IF(KQ28=6,"Vi.",IF(KQ28=7,"Sa.","Do."))))))&amp;" "&amp;DAY(KQ27)&amp;"
/"&amp;MONTH(KQ27)</f>
        <v>Mi. 27
/9</v>
      </c>
      <c r="KR29" s="24" t="str">
        <f t="shared" ref="KR29" si="307">IF(KR28=2,"Lu.",IF(KR28=3,"Ma.",IF(KR28=4,"Mi.",IF(KR28=5,"Ju.",IF(KR28=6,"Vi.",IF(KR28=7,"Sa.","Do."))))))&amp;" "&amp;DAY(KR27)&amp;"
/"&amp;MONTH(KR27)</f>
        <v>Ju. 28
/9</v>
      </c>
      <c r="KS29" s="24" t="str">
        <f t="shared" ref="KS29" si="308">IF(KS28=2,"Lu.",IF(KS28=3,"Ma.",IF(KS28=4,"Mi.",IF(KS28=5,"Ju.",IF(KS28=6,"Vi.",IF(KS28=7,"Sa.","Do."))))))&amp;" "&amp;DAY(KS27)&amp;"
/"&amp;MONTH(KS27)</f>
        <v>Vi. 29
/9</v>
      </c>
      <c r="KT29" s="24" t="str">
        <f t="shared" ref="KT29" si="309">IF(KT28=2,"Lu.",IF(KT28=3,"Ma.",IF(KT28=4,"Mi.",IF(KT28=5,"Ju.",IF(KT28=6,"Vi.",IF(KT28=7,"Sa.","Do."))))))&amp;" "&amp;DAY(KT27)&amp;"
/"&amp;MONTH(KT27)</f>
        <v>Sa. 30
/9</v>
      </c>
      <c r="KU29" s="24" t="str">
        <f t="shared" ref="KU29" si="310">IF(KU28=2,"Lu.",IF(KU28=3,"Ma.",IF(KU28=4,"Mi.",IF(KU28=5,"Ju.",IF(KU28=6,"Vi.",IF(KU28=7,"Sa.","Do."))))))&amp;" "&amp;DAY(KU27)&amp;"
/"&amp;MONTH(KU27)</f>
        <v>Do. 1
/10</v>
      </c>
      <c r="KV29" s="24" t="str">
        <f t="shared" ref="KV29" si="311">IF(KV28=2,"Lu.",IF(KV28=3,"Ma.",IF(KV28=4,"Mi.",IF(KV28=5,"Ju.",IF(KV28=6,"Vi.",IF(KV28=7,"Sa.","Do."))))))&amp;" "&amp;DAY(KV27)&amp;"
/"&amp;MONTH(KV27)</f>
        <v>Lu. 2
/10</v>
      </c>
      <c r="KW29" s="24" t="str">
        <f t="shared" ref="KW29" si="312">IF(KW28=2,"Lu.",IF(KW28=3,"Ma.",IF(KW28=4,"Mi.",IF(KW28=5,"Ju.",IF(KW28=6,"Vi.",IF(KW28=7,"Sa.","Do."))))))&amp;" "&amp;DAY(KW27)&amp;"
/"&amp;MONTH(KW27)</f>
        <v>Ma. 3
/10</v>
      </c>
      <c r="KX29" s="24" t="str">
        <f t="shared" ref="KX29" si="313">IF(KX28=2,"Lu.",IF(KX28=3,"Ma.",IF(KX28=4,"Mi.",IF(KX28=5,"Ju.",IF(KX28=6,"Vi.",IF(KX28=7,"Sa.","Do."))))))&amp;" "&amp;DAY(KX27)&amp;"
/"&amp;MONTH(KX27)</f>
        <v>Mi. 4
/10</v>
      </c>
      <c r="KY29" s="24" t="str">
        <f t="shared" ref="KY29" si="314">IF(KY28=2,"Lu.",IF(KY28=3,"Ma.",IF(KY28=4,"Mi.",IF(KY28=5,"Ju.",IF(KY28=6,"Vi.",IF(KY28=7,"Sa.","Do."))))))&amp;" "&amp;DAY(KY27)&amp;"
/"&amp;MONTH(KY27)</f>
        <v>Ju. 5
/10</v>
      </c>
      <c r="KZ29" s="24" t="str">
        <f t="shared" ref="KZ29" si="315">IF(KZ28=2,"Lu.",IF(KZ28=3,"Ma.",IF(KZ28=4,"Mi.",IF(KZ28=5,"Ju.",IF(KZ28=6,"Vi.",IF(KZ28=7,"Sa.","Do."))))))&amp;" "&amp;DAY(KZ27)&amp;"
/"&amp;MONTH(KZ27)</f>
        <v>Vi. 6
/10</v>
      </c>
      <c r="LA29" s="24" t="str">
        <f t="shared" ref="LA29" si="316">IF(LA28=2,"Lu.",IF(LA28=3,"Ma.",IF(LA28=4,"Mi.",IF(LA28=5,"Ju.",IF(LA28=6,"Vi.",IF(LA28=7,"Sa.","Do."))))))&amp;" "&amp;DAY(LA27)&amp;"
/"&amp;MONTH(LA27)</f>
        <v>Sa. 7
/10</v>
      </c>
      <c r="LB29" s="24" t="str">
        <f t="shared" ref="LB29" si="317">IF(LB28=2,"Lu.",IF(LB28=3,"Ma.",IF(LB28=4,"Mi.",IF(LB28=5,"Ju.",IF(LB28=6,"Vi.",IF(LB28=7,"Sa.","Do."))))))&amp;" "&amp;DAY(LB27)&amp;"
/"&amp;MONTH(LB27)</f>
        <v>Do. 8
/10</v>
      </c>
      <c r="LC29" s="24" t="str">
        <f t="shared" ref="LC29" si="318">IF(LC28=2,"Lu.",IF(LC28=3,"Ma.",IF(LC28=4,"Mi.",IF(LC28=5,"Ju.",IF(LC28=6,"Vi.",IF(LC28=7,"Sa.","Do."))))))&amp;" "&amp;DAY(LC27)&amp;"
/"&amp;MONTH(LC27)</f>
        <v>Lu. 9
/10</v>
      </c>
      <c r="LD29" s="24" t="str">
        <f t="shared" ref="LD29" si="319">IF(LD28=2,"Lu.",IF(LD28=3,"Ma.",IF(LD28=4,"Mi.",IF(LD28=5,"Ju.",IF(LD28=6,"Vi.",IF(LD28=7,"Sa.","Do."))))))&amp;" "&amp;DAY(LD27)&amp;"
/"&amp;MONTH(LD27)</f>
        <v>Ma. 10
/10</v>
      </c>
      <c r="LE29" s="24" t="str">
        <f t="shared" ref="LE29" si="320">IF(LE28=2,"Lu.",IF(LE28=3,"Ma.",IF(LE28=4,"Mi.",IF(LE28=5,"Ju.",IF(LE28=6,"Vi.",IF(LE28=7,"Sa.","Do."))))))&amp;" "&amp;DAY(LE27)&amp;"
/"&amp;MONTH(LE27)</f>
        <v>Mi. 11
/10</v>
      </c>
      <c r="LF29" s="24" t="str">
        <f t="shared" ref="LF29" si="321">IF(LF28=2,"Lu.",IF(LF28=3,"Ma.",IF(LF28=4,"Mi.",IF(LF28=5,"Ju.",IF(LF28=6,"Vi.",IF(LF28=7,"Sa.","Do."))))))&amp;" "&amp;DAY(LF27)&amp;"
/"&amp;MONTH(LF27)</f>
        <v>Ju. 12
/10</v>
      </c>
      <c r="LG29" s="24" t="str">
        <f t="shared" ref="LG29" si="322">IF(LG28=2,"Lu.",IF(LG28=3,"Ma.",IF(LG28=4,"Mi.",IF(LG28=5,"Ju.",IF(LG28=6,"Vi.",IF(LG28=7,"Sa.","Do."))))))&amp;" "&amp;DAY(LG27)&amp;"
/"&amp;MONTH(LG27)</f>
        <v>Vi. 13
/10</v>
      </c>
      <c r="LH29" s="24" t="str">
        <f t="shared" ref="LH29" si="323">IF(LH28=2,"Lu.",IF(LH28=3,"Ma.",IF(LH28=4,"Mi.",IF(LH28=5,"Ju.",IF(LH28=6,"Vi.",IF(LH28=7,"Sa.","Do."))))))&amp;" "&amp;DAY(LH27)&amp;"
/"&amp;MONTH(LH27)</f>
        <v>Sa. 14
/10</v>
      </c>
      <c r="LI29" s="24" t="str">
        <f t="shared" ref="LI29" si="324">IF(LI28=2,"Lu.",IF(LI28=3,"Ma.",IF(LI28=4,"Mi.",IF(LI28=5,"Ju.",IF(LI28=6,"Vi.",IF(LI28=7,"Sa.","Do."))))))&amp;" "&amp;DAY(LI27)&amp;"
/"&amp;MONTH(LI27)</f>
        <v>Do. 15
/10</v>
      </c>
      <c r="LJ29" s="24" t="str">
        <f t="shared" ref="LJ29" si="325">IF(LJ28=2,"Lu.",IF(LJ28=3,"Ma.",IF(LJ28=4,"Mi.",IF(LJ28=5,"Ju.",IF(LJ28=6,"Vi.",IF(LJ28=7,"Sa.","Do."))))))&amp;" "&amp;DAY(LJ27)&amp;"
/"&amp;MONTH(LJ27)</f>
        <v>Lu. 16
/10</v>
      </c>
      <c r="LK29" s="24" t="str">
        <f t="shared" ref="LK29" si="326">IF(LK28=2,"Lu.",IF(LK28=3,"Ma.",IF(LK28=4,"Mi.",IF(LK28=5,"Ju.",IF(LK28=6,"Vi.",IF(LK28=7,"Sa.","Do."))))))&amp;" "&amp;DAY(LK27)&amp;"
/"&amp;MONTH(LK27)</f>
        <v>Ma. 17
/10</v>
      </c>
      <c r="LL29" s="24" t="str">
        <f t="shared" ref="LL29" si="327">IF(LL28=2,"Lu.",IF(LL28=3,"Ma.",IF(LL28=4,"Mi.",IF(LL28=5,"Ju.",IF(LL28=6,"Vi.",IF(LL28=7,"Sa.","Do."))))))&amp;" "&amp;DAY(LL27)&amp;"
/"&amp;MONTH(LL27)</f>
        <v>Mi. 18
/10</v>
      </c>
      <c r="LM29" s="24" t="str">
        <f t="shared" ref="LM29" si="328">IF(LM28=2,"Lu.",IF(LM28=3,"Ma.",IF(LM28=4,"Mi.",IF(LM28=5,"Ju.",IF(LM28=6,"Vi.",IF(LM28=7,"Sa.","Do."))))))&amp;" "&amp;DAY(LM27)&amp;"
/"&amp;MONTH(LM27)</f>
        <v>Ju. 19
/10</v>
      </c>
      <c r="LN29" s="24" t="str">
        <f t="shared" ref="LN29" si="329">IF(LN28=2,"Lu.",IF(LN28=3,"Ma.",IF(LN28=4,"Mi.",IF(LN28=5,"Ju.",IF(LN28=6,"Vi.",IF(LN28=7,"Sa.","Do."))))))&amp;" "&amp;DAY(LN27)&amp;"
/"&amp;MONTH(LN27)</f>
        <v>Vi. 20
/10</v>
      </c>
      <c r="LO29" s="24" t="str">
        <f t="shared" ref="LO29" si="330">IF(LO28=2,"Lu.",IF(LO28=3,"Ma.",IF(LO28=4,"Mi.",IF(LO28=5,"Ju.",IF(LO28=6,"Vi.",IF(LO28=7,"Sa.","Do."))))))&amp;" "&amp;DAY(LO27)&amp;"
/"&amp;MONTH(LO27)</f>
        <v>Sa. 21
/10</v>
      </c>
      <c r="LP29" s="24" t="str">
        <f t="shared" ref="LP29" si="331">IF(LP28=2,"Lu.",IF(LP28=3,"Ma.",IF(LP28=4,"Mi.",IF(LP28=5,"Ju.",IF(LP28=6,"Vi.",IF(LP28=7,"Sa.","Do."))))))&amp;" "&amp;DAY(LP27)&amp;"
/"&amp;MONTH(LP27)</f>
        <v>Do. 22
/10</v>
      </c>
      <c r="LQ29" s="24" t="str">
        <f t="shared" ref="LQ29" si="332">IF(LQ28=2,"Lu.",IF(LQ28=3,"Ma.",IF(LQ28=4,"Mi.",IF(LQ28=5,"Ju.",IF(LQ28=6,"Vi.",IF(LQ28=7,"Sa.","Do."))))))&amp;" "&amp;DAY(LQ27)&amp;"
/"&amp;MONTH(LQ27)</f>
        <v>Lu. 23
/10</v>
      </c>
      <c r="LR29" s="24" t="str">
        <f t="shared" ref="LR29" si="333">IF(LR28=2,"Lu.",IF(LR28=3,"Ma.",IF(LR28=4,"Mi.",IF(LR28=5,"Ju.",IF(LR28=6,"Vi.",IF(LR28=7,"Sa.","Do."))))))&amp;" "&amp;DAY(LR27)&amp;"
/"&amp;MONTH(LR27)</f>
        <v>Ma. 24
/10</v>
      </c>
      <c r="LS29" s="24" t="str">
        <f t="shared" ref="LS29" si="334">IF(LS28=2,"Lu.",IF(LS28=3,"Ma.",IF(LS28=4,"Mi.",IF(LS28=5,"Ju.",IF(LS28=6,"Vi.",IF(LS28=7,"Sa.","Do."))))))&amp;" "&amp;DAY(LS27)&amp;"
/"&amp;MONTH(LS27)</f>
        <v>Mi. 25
/10</v>
      </c>
      <c r="LT29" s="24" t="str">
        <f t="shared" ref="LT29" si="335">IF(LT28=2,"Lu.",IF(LT28=3,"Ma.",IF(LT28=4,"Mi.",IF(LT28=5,"Ju.",IF(LT28=6,"Vi.",IF(LT28=7,"Sa.","Do."))))))&amp;" "&amp;DAY(LT27)&amp;"
/"&amp;MONTH(LT27)</f>
        <v>Ju. 26
/10</v>
      </c>
      <c r="LU29" s="24" t="str">
        <f t="shared" ref="LU29" si="336">IF(LU28=2,"Lu.",IF(LU28=3,"Ma.",IF(LU28=4,"Mi.",IF(LU28=5,"Ju.",IF(LU28=6,"Vi.",IF(LU28=7,"Sa.","Do."))))))&amp;" "&amp;DAY(LU27)&amp;"
/"&amp;MONTH(LU27)</f>
        <v>Vi. 27
/10</v>
      </c>
      <c r="LV29" s="24" t="str">
        <f t="shared" ref="LV29" si="337">IF(LV28=2,"Lu.",IF(LV28=3,"Ma.",IF(LV28=4,"Mi.",IF(LV28=5,"Ju.",IF(LV28=6,"Vi.",IF(LV28=7,"Sa.","Do."))))))&amp;" "&amp;DAY(LV27)&amp;"
/"&amp;MONTH(LV27)</f>
        <v>Sa. 28
/10</v>
      </c>
      <c r="LW29" s="24" t="str">
        <f t="shared" ref="LW29" si="338">IF(LW28=2,"Lu.",IF(LW28=3,"Ma.",IF(LW28=4,"Mi.",IF(LW28=5,"Ju.",IF(LW28=6,"Vi.",IF(LW28=7,"Sa.","Do."))))))&amp;" "&amp;DAY(LW27)&amp;"
/"&amp;MONTH(LW27)</f>
        <v>Do. 29
/10</v>
      </c>
      <c r="LX29" s="24" t="str">
        <f t="shared" ref="LX29" si="339">IF(LX28=2,"Lu.",IF(LX28=3,"Ma.",IF(LX28=4,"Mi.",IF(LX28=5,"Ju.",IF(LX28=6,"Vi.",IF(LX28=7,"Sa.","Do."))))))&amp;" "&amp;DAY(LX27)&amp;"
/"&amp;MONTH(LX27)</f>
        <v>Lu. 30
/10</v>
      </c>
      <c r="LY29" s="24" t="str">
        <f t="shared" ref="LY29" si="340">IF(LY28=2,"Lu.",IF(LY28=3,"Ma.",IF(LY28=4,"Mi.",IF(LY28=5,"Ju.",IF(LY28=6,"Vi.",IF(LY28=7,"Sa.","Do."))))))&amp;" "&amp;DAY(LY27)&amp;"
/"&amp;MONTH(LY27)</f>
        <v>Ma. 31
/10</v>
      </c>
      <c r="LZ29" s="24" t="str">
        <f t="shared" ref="LZ29" si="341">IF(LZ28=2,"Lu.",IF(LZ28=3,"Ma.",IF(LZ28=4,"Mi.",IF(LZ28=5,"Ju.",IF(LZ28=6,"Vi.",IF(LZ28=7,"Sa.","Do."))))))&amp;" "&amp;DAY(LZ27)&amp;"
/"&amp;MONTH(LZ27)</f>
        <v>Mi. 1
/11</v>
      </c>
      <c r="MA29" s="24" t="str">
        <f t="shared" ref="MA29" si="342">IF(MA28=2,"Lu.",IF(MA28=3,"Ma.",IF(MA28=4,"Mi.",IF(MA28=5,"Ju.",IF(MA28=6,"Vi.",IF(MA28=7,"Sa.","Do."))))))&amp;" "&amp;DAY(MA27)&amp;"
/"&amp;MONTH(MA27)</f>
        <v>Ju. 2
/11</v>
      </c>
      <c r="MB29" s="24" t="str">
        <f t="shared" ref="MB29" si="343">IF(MB28=2,"Lu.",IF(MB28=3,"Ma.",IF(MB28=4,"Mi.",IF(MB28=5,"Ju.",IF(MB28=6,"Vi.",IF(MB28=7,"Sa.","Do."))))))&amp;" "&amp;DAY(MB27)&amp;"
/"&amp;MONTH(MB27)</f>
        <v>Vi. 3
/11</v>
      </c>
      <c r="MC29" s="24" t="str">
        <f t="shared" ref="MC29" si="344">IF(MC28=2,"Lu.",IF(MC28=3,"Ma.",IF(MC28=4,"Mi.",IF(MC28=5,"Ju.",IF(MC28=6,"Vi.",IF(MC28=7,"Sa.","Do."))))))&amp;" "&amp;DAY(MC27)&amp;"
/"&amp;MONTH(MC27)</f>
        <v>Sa. 4
/11</v>
      </c>
      <c r="MD29" s="24" t="str">
        <f t="shared" ref="MD29" si="345">IF(MD28=2,"Lu.",IF(MD28=3,"Ma.",IF(MD28=4,"Mi.",IF(MD28=5,"Ju.",IF(MD28=6,"Vi.",IF(MD28=7,"Sa.","Do."))))))&amp;" "&amp;DAY(MD27)&amp;"
/"&amp;MONTH(MD27)</f>
        <v>Do. 5
/11</v>
      </c>
      <c r="ME29" s="24" t="str">
        <f t="shared" ref="ME29" si="346">IF(ME28=2,"Lu.",IF(ME28=3,"Ma.",IF(ME28=4,"Mi.",IF(ME28=5,"Ju.",IF(ME28=6,"Vi.",IF(ME28=7,"Sa.","Do."))))))&amp;" "&amp;DAY(ME27)&amp;"
/"&amp;MONTH(ME27)</f>
        <v>Lu. 6
/11</v>
      </c>
      <c r="MF29" s="24" t="str">
        <f t="shared" ref="MF29" si="347">IF(MF28=2,"Lu.",IF(MF28=3,"Ma.",IF(MF28=4,"Mi.",IF(MF28=5,"Ju.",IF(MF28=6,"Vi.",IF(MF28=7,"Sa.","Do."))))))&amp;" "&amp;DAY(MF27)&amp;"
/"&amp;MONTH(MF27)</f>
        <v>Ma. 7
/11</v>
      </c>
      <c r="MG29" s="24" t="str">
        <f t="shared" ref="MG29" si="348">IF(MG28=2,"Lu.",IF(MG28=3,"Ma.",IF(MG28=4,"Mi.",IF(MG28=5,"Ju.",IF(MG28=6,"Vi.",IF(MG28=7,"Sa.","Do."))))))&amp;" "&amp;DAY(MG27)&amp;"
/"&amp;MONTH(MG27)</f>
        <v>Mi. 8
/11</v>
      </c>
      <c r="MH29" s="24" t="str">
        <f t="shared" ref="MH29" si="349">IF(MH28=2,"Lu.",IF(MH28=3,"Ma.",IF(MH28=4,"Mi.",IF(MH28=5,"Ju.",IF(MH28=6,"Vi.",IF(MH28=7,"Sa.","Do."))))))&amp;" "&amp;DAY(MH27)&amp;"
/"&amp;MONTH(MH27)</f>
        <v>Ju. 9
/11</v>
      </c>
      <c r="MI29" s="24" t="str">
        <f t="shared" ref="MI29" si="350">IF(MI28=2,"Lu.",IF(MI28=3,"Ma.",IF(MI28=4,"Mi.",IF(MI28=5,"Ju.",IF(MI28=6,"Vi.",IF(MI28=7,"Sa.","Do."))))))&amp;" "&amp;DAY(MI27)&amp;"
/"&amp;MONTH(MI27)</f>
        <v>Vi. 10
/11</v>
      </c>
      <c r="MJ29" s="24" t="str">
        <f t="shared" ref="MJ29" si="351">IF(MJ28=2,"Lu.",IF(MJ28=3,"Ma.",IF(MJ28=4,"Mi.",IF(MJ28=5,"Ju.",IF(MJ28=6,"Vi.",IF(MJ28=7,"Sa.","Do."))))))&amp;" "&amp;DAY(MJ27)&amp;"
/"&amp;MONTH(MJ27)</f>
        <v>Sa. 11
/11</v>
      </c>
      <c r="MK29" s="24" t="str">
        <f t="shared" ref="MK29" si="352">IF(MK28=2,"Lu.",IF(MK28=3,"Ma.",IF(MK28=4,"Mi.",IF(MK28=5,"Ju.",IF(MK28=6,"Vi.",IF(MK28=7,"Sa.","Do."))))))&amp;" "&amp;DAY(MK27)&amp;"
/"&amp;MONTH(MK27)</f>
        <v>Do. 12
/11</v>
      </c>
      <c r="ML29" s="24" t="str">
        <f t="shared" ref="ML29" si="353">IF(ML28=2,"Lu.",IF(ML28=3,"Ma.",IF(ML28=4,"Mi.",IF(ML28=5,"Ju.",IF(ML28=6,"Vi.",IF(ML28=7,"Sa.","Do."))))))&amp;" "&amp;DAY(ML27)&amp;"
/"&amp;MONTH(ML27)</f>
        <v>Lu. 13
/11</v>
      </c>
      <c r="MM29" s="24" t="str">
        <f t="shared" ref="MM29" si="354">IF(MM28=2,"Lu.",IF(MM28=3,"Ma.",IF(MM28=4,"Mi.",IF(MM28=5,"Ju.",IF(MM28=6,"Vi.",IF(MM28=7,"Sa.","Do."))))))&amp;" "&amp;DAY(MM27)&amp;"
/"&amp;MONTH(MM27)</f>
        <v>Ma. 14
/11</v>
      </c>
      <c r="MN29" s="24" t="str">
        <f t="shared" ref="MN29" si="355">IF(MN28=2,"Lu.",IF(MN28=3,"Ma.",IF(MN28=4,"Mi.",IF(MN28=5,"Ju.",IF(MN28=6,"Vi.",IF(MN28=7,"Sa.","Do."))))))&amp;" "&amp;DAY(MN27)&amp;"
/"&amp;MONTH(MN27)</f>
        <v>Mi. 15
/11</v>
      </c>
      <c r="MO29" s="24" t="str">
        <f t="shared" ref="MO29" si="356">IF(MO28=2,"Lu.",IF(MO28=3,"Ma.",IF(MO28=4,"Mi.",IF(MO28=5,"Ju.",IF(MO28=6,"Vi.",IF(MO28=7,"Sa.","Do."))))))&amp;" "&amp;DAY(MO27)&amp;"
/"&amp;MONTH(MO27)</f>
        <v>Ju. 16
/11</v>
      </c>
      <c r="MP29" s="24" t="str">
        <f t="shared" ref="MP29" si="357">IF(MP28=2,"Lu.",IF(MP28=3,"Ma.",IF(MP28=4,"Mi.",IF(MP28=5,"Ju.",IF(MP28=6,"Vi.",IF(MP28=7,"Sa.","Do."))))))&amp;" "&amp;DAY(MP27)&amp;"
/"&amp;MONTH(MP27)</f>
        <v>Vi. 17
/11</v>
      </c>
      <c r="MQ29" s="24" t="str">
        <f t="shared" ref="MQ29" si="358">IF(MQ28=2,"Lu.",IF(MQ28=3,"Ma.",IF(MQ28=4,"Mi.",IF(MQ28=5,"Ju.",IF(MQ28=6,"Vi.",IF(MQ28=7,"Sa.","Do."))))))&amp;" "&amp;DAY(MQ27)&amp;"
/"&amp;MONTH(MQ27)</f>
        <v>Sa. 18
/11</v>
      </c>
      <c r="MR29" s="24" t="str">
        <f t="shared" ref="MR29" si="359">IF(MR28=2,"Lu.",IF(MR28=3,"Ma.",IF(MR28=4,"Mi.",IF(MR28=5,"Ju.",IF(MR28=6,"Vi.",IF(MR28=7,"Sa.","Do."))))))&amp;" "&amp;DAY(MR27)&amp;"
/"&amp;MONTH(MR27)</f>
        <v>Do. 19
/11</v>
      </c>
      <c r="MS29" s="24" t="str">
        <f t="shared" ref="MS29" si="360">IF(MS28=2,"Lu.",IF(MS28=3,"Ma.",IF(MS28=4,"Mi.",IF(MS28=5,"Ju.",IF(MS28=6,"Vi.",IF(MS28=7,"Sa.","Do."))))))&amp;" "&amp;DAY(MS27)&amp;"
/"&amp;MONTH(MS27)</f>
        <v>Lu. 20
/11</v>
      </c>
      <c r="MT29" s="24" t="str">
        <f t="shared" ref="MT29" si="361">IF(MT28=2,"Lu.",IF(MT28=3,"Ma.",IF(MT28=4,"Mi.",IF(MT28=5,"Ju.",IF(MT28=6,"Vi.",IF(MT28=7,"Sa.","Do."))))))&amp;" "&amp;DAY(MT27)&amp;"
/"&amp;MONTH(MT27)</f>
        <v>Ma. 21
/11</v>
      </c>
      <c r="MU29" s="24" t="str">
        <f t="shared" ref="MU29" si="362">IF(MU28=2,"Lu.",IF(MU28=3,"Ma.",IF(MU28=4,"Mi.",IF(MU28=5,"Ju.",IF(MU28=6,"Vi.",IF(MU28=7,"Sa.","Do."))))))&amp;" "&amp;DAY(MU27)&amp;"
/"&amp;MONTH(MU27)</f>
        <v>Mi. 22
/11</v>
      </c>
      <c r="MV29" s="24" t="str">
        <f t="shared" ref="MV29" si="363">IF(MV28=2,"Lu.",IF(MV28=3,"Ma.",IF(MV28=4,"Mi.",IF(MV28=5,"Ju.",IF(MV28=6,"Vi.",IF(MV28=7,"Sa.","Do."))))))&amp;" "&amp;DAY(MV27)&amp;"
/"&amp;MONTH(MV27)</f>
        <v>Ju. 23
/11</v>
      </c>
      <c r="MW29" s="24" t="str">
        <f t="shared" ref="MW29" si="364">IF(MW28=2,"Lu.",IF(MW28=3,"Ma.",IF(MW28=4,"Mi.",IF(MW28=5,"Ju.",IF(MW28=6,"Vi.",IF(MW28=7,"Sa.","Do."))))))&amp;" "&amp;DAY(MW27)&amp;"
/"&amp;MONTH(MW27)</f>
        <v>Vi. 24
/11</v>
      </c>
      <c r="MX29" s="24" t="str">
        <f t="shared" ref="MX29" si="365">IF(MX28=2,"Lu.",IF(MX28=3,"Ma.",IF(MX28=4,"Mi.",IF(MX28=5,"Ju.",IF(MX28=6,"Vi.",IF(MX28=7,"Sa.","Do."))))))&amp;" "&amp;DAY(MX27)&amp;"
/"&amp;MONTH(MX27)</f>
        <v>Sa. 25
/11</v>
      </c>
      <c r="MY29" s="24" t="str">
        <f t="shared" ref="MY29" si="366">IF(MY28=2,"Lu.",IF(MY28=3,"Ma.",IF(MY28=4,"Mi.",IF(MY28=5,"Ju.",IF(MY28=6,"Vi.",IF(MY28=7,"Sa.","Do."))))))&amp;" "&amp;DAY(MY27)&amp;"
/"&amp;MONTH(MY27)</f>
        <v>Do. 26
/11</v>
      </c>
      <c r="MZ29" s="24" t="str">
        <f t="shared" ref="MZ29" si="367">IF(MZ28=2,"Lu.",IF(MZ28=3,"Ma.",IF(MZ28=4,"Mi.",IF(MZ28=5,"Ju.",IF(MZ28=6,"Vi.",IF(MZ28=7,"Sa.","Do."))))))&amp;" "&amp;DAY(MZ27)&amp;"
/"&amp;MONTH(MZ27)</f>
        <v>Lu. 27
/11</v>
      </c>
      <c r="NA29" s="24" t="str">
        <f t="shared" ref="NA29" si="368">IF(NA28=2,"Lu.",IF(NA28=3,"Ma.",IF(NA28=4,"Mi.",IF(NA28=5,"Ju.",IF(NA28=6,"Vi.",IF(NA28=7,"Sa.","Do."))))))&amp;" "&amp;DAY(NA27)&amp;"
/"&amp;MONTH(NA27)</f>
        <v>Ma. 28
/11</v>
      </c>
      <c r="NB29" s="24" t="str">
        <f t="shared" ref="NB29" si="369">IF(NB28=2,"Lu.",IF(NB28=3,"Ma.",IF(NB28=4,"Mi.",IF(NB28=5,"Ju.",IF(NB28=6,"Vi.",IF(NB28=7,"Sa.","Do."))))))&amp;" "&amp;DAY(NB27)&amp;"
/"&amp;MONTH(NB27)</f>
        <v>Mi. 29
/11</v>
      </c>
      <c r="NC29" s="24" t="str">
        <f t="shared" ref="NC29" si="370">IF(NC28=2,"Lu.",IF(NC28=3,"Ma.",IF(NC28=4,"Mi.",IF(NC28=5,"Ju.",IF(NC28=6,"Vi.",IF(NC28=7,"Sa.","Do."))))))&amp;" "&amp;DAY(NC27)&amp;"
/"&amp;MONTH(NC27)</f>
        <v>Ju. 30
/11</v>
      </c>
      <c r="ND29" s="24" t="str">
        <f t="shared" ref="ND29" si="371">IF(ND28=2,"Lu.",IF(ND28=3,"Ma.",IF(ND28=4,"Mi.",IF(ND28=5,"Ju.",IF(ND28=6,"Vi.",IF(ND28=7,"Sa.","Do."))))))&amp;" "&amp;DAY(ND27)&amp;"
/"&amp;MONTH(ND27)</f>
        <v>Vi. 1
/12</v>
      </c>
      <c r="NE29" s="24" t="str">
        <f t="shared" ref="NE29" si="372">IF(NE28=2,"Lu.",IF(NE28=3,"Ma.",IF(NE28=4,"Mi.",IF(NE28=5,"Ju.",IF(NE28=6,"Vi.",IF(NE28=7,"Sa.","Do."))))))&amp;" "&amp;DAY(NE27)&amp;"
/"&amp;MONTH(NE27)</f>
        <v>Sa. 2
/12</v>
      </c>
      <c r="NF29" s="24" t="str">
        <f t="shared" ref="NF29" si="373">IF(NF28=2,"Lu.",IF(NF28=3,"Ma.",IF(NF28=4,"Mi.",IF(NF28=5,"Ju.",IF(NF28=6,"Vi.",IF(NF28=7,"Sa.","Do."))))))&amp;" "&amp;DAY(NF27)&amp;"
/"&amp;MONTH(NF27)</f>
        <v>Do. 3
/12</v>
      </c>
      <c r="NG29" s="24" t="str">
        <f t="shared" ref="NG29" si="374">IF(NG28=2,"Lu.",IF(NG28=3,"Ma.",IF(NG28=4,"Mi.",IF(NG28=5,"Ju.",IF(NG28=6,"Vi.",IF(NG28=7,"Sa.","Do."))))))&amp;" "&amp;DAY(NG27)&amp;"
/"&amp;MONTH(NG27)</f>
        <v>Lu. 4
/12</v>
      </c>
      <c r="NH29" s="24" t="str">
        <f t="shared" ref="NH29" si="375">IF(NH28=2,"Lu.",IF(NH28=3,"Ma.",IF(NH28=4,"Mi.",IF(NH28=5,"Ju.",IF(NH28=6,"Vi.",IF(NH28=7,"Sa.","Do."))))))&amp;" "&amp;DAY(NH27)&amp;"
/"&amp;MONTH(NH27)</f>
        <v>Ma. 5
/12</v>
      </c>
      <c r="NI29" s="24" t="str">
        <f t="shared" ref="NI29" si="376">IF(NI28=2,"Lu.",IF(NI28=3,"Ma.",IF(NI28=4,"Mi.",IF(NI28=5,"Ju.",IF(NI28=6,"Vi.",IF(NI28=7,"Sa.","Do."))))))&amp;" "&amp;DAY(NI27)&amp;"
/"&amp;MONTH(NI27)</f>
        <v>Mi. 6
/12</v>
      </c>
      <c r="NJ29" s="24" t="str">
        <f t="shared" ref="NJ29" si="377">IF(NJ28=2,"Lu.",IF(NJ28=3,"Ma.",IF(NJ28=4,"Mi.",IF(NJ28=5,"Ju.",IF(NJ28=6,"Vi.",IF(NJ28=7,"Sa.","Do."))))))&amp;" "&amp;DAY(NJ27)&amp;"
/"&amp;MONTH(NJ27)</f>
        <v>Ju. 7
/12</v>
      </c>
      <c r="NK29" s="24" t="str">
        <f t="shared" ref="NK29" si="378">IF(NK28=2,"Lu.",IF(NK28=3,"Ma.",IF(NK28=4,"Mi.",IF(NK28=5,"Ju.",IF(NK28=6,"Vi.",IF(NK28=7,"Sa.","Do."))))))&amp;" "&amp;DAY(NK27)&amp;"
/"&amp;MONTH(NK27)</f>
        <v>Vi. 8
/12</v>
      </c>
      <c r="NL29" s="24" t="str">
        <f t="shared" ref="NL29" si="379">IF(NL28=2,"Lu.",IF(NL28=3,"Ma.",IF(NL28=4,"Mi.",IF(NL28=5,"Ju.",IF(NL28=6,"Vi.",IF(NL28=7,"Sa.","Do."))))))&amp;" "&amp;DAY(NL27)&amp;"
/"&amp;MONTH(NL27)</f>
        <v>Sa. 9
/12</v>
      </c>
      <c r="NM29" s="24" t="str">
        <f t="shared" ref="NM29" si="380">IF(NM28=2,"Lu.",IF(NM28=3,"Ma.",IF(NM28=4,"Mi.",IF(NM28=5,"Ju.",IF(NM28=6,"Vi.",IF(NM28=7,"Sa.","Do."))))))&amp;" "&amp;DAY(NM27)&amp;"
/"&amp;MONTH(NM27)</f>
        <v>Do. 10
/12</v>
      </c>
      <c r="NN29" s="24" t="str">
        <f t="shared" ref="NN29" si="381">IF(NN28=2,"Lu.",IF(NN28=3,"Ma.",IF(NN28=4,"Mi.",IF(NN28=5,"Ju.",IF(NN28=6,"Vi.",IF(NN28=7,"Sa.","Do."))))))&amp;" "&amp;DAY(NN27)&amp;"
/"&amp;MONTH(NN27)</f>
        <v>Lu. 11
/12</v>
      </c>
      <c r="NO29" s="24" t="str">
        <f t="shared" ref="NO29" si="382">IF(NO28=2,"Lu.",IF(NO28=3,"Ma.",IF(NO28=4,"Mi.",IF(NO28=5,"Ju.",IF(NO28=6,"Vi.",IF(NO28=7,"Sa.","Do."))))))&amp;" "&amp;DAY(NO27)&amp;"
/"&amp;MONTH(NO27)</f>
        <v>Ma. 12
/12</v>
      </c>
      <c r="NP29" s="24" t="str">
        <f t="shared" ref="NP29" si="383">IF(NP28=2,"Lu.",IF(NP28=3,"Ma.",IF(NP28=4,"Mi.",IF(NP28=5,"Ju.",IF(NP28=6,"Vi.",IF(NP28=7,"Sa.","Do."))))))&amp;" "&amp;DAY(NP27)&amp;"
/"&amp;MONTH(NP27)</f>
        <v>Mi. 13
/12</v>
      </c>
      <c r="NQ29" s="24" t="str">
        <f t="shared" ref="NQ29" si="384">IF(NQ28=2,"Lu.",IF(NQ28=3,"Ma.",IF(NQ28=4,"Mi.",IF(NQ28=5,"Ju.",IF(NQ28=6,"Vi.",IF(NQ28=7,"Sa.","Do."))))))&amp;" "&amp;DAY(NQ27)&amp;"
/"&amp;MONTH(NQ27)</f>
        <v>Ju. 14
/12</v>
      </c>
      <c r="NR29" s="24" t="str">
        <f t="shared" ref="NR29" si="385">IF(NR28=2,"Lu.",IF(NR28=3,"Ma.",IF(NR28=4,"Mi.",IF(NR28=5,"Ju.",IF(NR28=6,"Vi.",IF(NR28=7,"Sa.","Do."))))))&amp;" "&amp;DAY(NR27)&amp;"
/"&amp;MONTH(NR27)</f>
        <v>Vi. 15
/12</v>
      </c>
      <c r="NS29" s="24" t="str">
        <f t="shared" ref="NS29" si="386">IF(NS28=2,"Lu.",IF(NS28=3,"Ma.",IF(NS28=4,"Mi.",IF(NS28=5,"Ju.",IF(NS28=6,"Vi.",IF(NS28=7,"Sa.","Do."))))))&amp;" "&amp;DAY(NS27)&amp;"
/"&amp;MONTH(NS27)</f>
        <v>Sa. 16
/12</v>
      </c>
      <c r="NT29" s="24" t="str">
        <f t="shared" ref="NT29" si="387">IF(NT28=2,"Lu.",IF(NT28=3,"Ma.",IF(NT28=4,"Mi.",IF(NT28=5,"Ju.",IF(NT28=6,"Vi.",IF(NT28=7,"Sa.","Do."))))))&amp;" "&amp;DAY(NT27)&amp;"
/"&amp;MONTH(NT27)</f>
        <v>Do. 17
/12</v>
      </c>
      <c r="NU29" s="24" t="str">
        <f t="shared" ref="NU29" si="388">IF(NU28=2,"Lu.",IF(NU28=3,"Ma.",IF(NU28=4,"Mi.",IF(NU28=5,"Ju.",IF(NU28=6,"Vi.",IF(NU28=7,"Sa.","Do."))))))&amp;" "&amp;DAY(NU27)&amp;"
/"&amp;MONTH(NU27)</f>
        <v>Lu. 18
/12</v>
      </c>
      <c r="NV29" s="24" t="str">
        <f t="shared" ref="NV29" si="389">IF(NV28=2,"Lu.",IF(NV28=3,"Ma.",IF(NV28=4,"Mi.",IF(NV28=5,"Ju.",IF(NV28=6,"Vi.",IF(NV28=7,"Sa.","Do."))))))&amp;" "&amp;DAY(NV27)&amp;"
/"&amp;MONTH(NV27)</f>
        <v>Ma. 19
/12</v>
      </c>
      <c r="NW29" s="24" t="str">
        <f t="shared" ref="NW29" si="390">IF(NW28=2,"Lu.",IF(NW28=3,"Ma.",IF(NW28=4,"Mi.",IF(NW28=5,"Ju.",IF(NW28=6,"Vi.",IF(NW28=7,"Sa.","Do."))))))&amp;" "&amp;DAY(NW27)&amp;"
/"&amp;MONTH(NW27)</f>
        <v>Mi. 20
/12</v>
      </c>
      <c r="NX29" s="24" t="str">
        <f t="shared" ref="NX29" si="391">IF(NX28=2,"Lu.",IF(NX28=3,"Ma.",IF(NX28=4,"Mi.",IF(NX28=5,"Ju.",IF(NX28=6,"Vi.",IF(NX28=7,"Sa.","Do."))))))&amp;" "&amp;DAY(NX27)&amp;"
/"&amp;MONTH(NX27)</f>
        <v>Ju. 21
/12</v>
      </c>
      <c r="NY29" s="24" t="str">
        <f t="shared" ref="NY29" si="392">IF(NY28=2,"Lu.",IF(NY28=3,"Ma.",IF(NY28=4,"Mi.",IF(NY28=5,"Ju.",IF(NY28=6,"Vi.",IF(NY28=7,"Sa.","Do."))))))&amp;" "&amp;DAY(NY27)&amp;"
/"&amp;MONTH(NY27)</f>
        <v>Vi. 22
/12</v>
      </c>
      <c r="NZ29" s="24" t="str">
        <f t="shared" ref="NZ29" si="393">IF(NZ28=2,"Lu.",IF(NZ28=3,"Ma.",IF(NZ28=4,"Mi.",IF(NZ28=5,"Ju.",IF(NZ28=6,"Vi.",IF(NZ28=7,"Sa.","Do."))))))&amp;" "&amp;DAY(NZ27)&amp;"
/"&amp;MONTH(NZ27)</f>
        <v>Sa. 23
/12</v>
      </c>
      <c r="OA29" s="24" t="str">
        <f t="shared" ref="OA29" si="394">IF(OA28=2,"Lu.",IF(OA28=3,"Ma.",IF(OA28=4,"Mi.",IF(OA28=5,"Ju.",IF(OA28=6,"Vi.",IF(OA28=7,"Sa.","Do."))))))&amp;" "&amp;DAY(OA27)&amp;"
/"&amp;MONTH(OA27)</f>
        <v>Do. 24
/12</v>
      </c>
      <c r="OB29" s="24" t="str">
        <f t="shared" ref="OB29" si="395">IF(OB28=2,"Lu.",IF(OB28=3,"Ma.",IF(OB28=4,"Mi.",IF(OB28=5,"Ju.",IF(OB28=6,"Vi.",IF(OB28=7,"Sa.","Do."))))))&amp;" "&amp;DAY(OB27)&amp;"
/"&amp;MONTH(OB27)</f>
        <v>Lu. 25
/12</v>
      </c>
      <c r="OC29" s="24" t="str">
        <f t="shared" ref="OC29" si="396">IF(OC28=2,"Lu.",IF(OC28=3,"Ma.",IF(OC28=4,"Mi.",IF(OC28=5,"Ju.",IF(OC28=6,"Vi.",IF(OC28=7,"Sa.","Do."))))))&amp;" "&amp;DAY(OC27)&amp;"
/"&amp;MONTH(OC27)</f>
        <v>Ma. 26
/12</v>
      </c>
      <c r="OD29" s="24" t="str">
        <f t="shared" ref="OD29" si="397">IF(OD28=2,"Lu.",IF(OD28=3,"Ma.",IF(OD28=4,"Mi.",IF(OD28=5,"Ju.",IF(OD28=6,"Vi.",IF(OD28=7,"Sa.","Do."))))))&amp;" "&amp;DAY(OD27)&amp;"
/"&amp;MONTH(OD27)</f>
        <v>Mi. 27
/12</v>
      </c>
      <c r="OE29" s="24" t="str">
        <f t="shared" ref="OE29" si="398">IF(OE28=2,"Lu.",IF(OE28=3,"Ma.",IF(OE28=4,"Mi.",IF(OE28=5,"Ju.",IF(OE28=6,"Vi.",IF(OE28=7,"Sa.","Do."))))))&amp;" "&amp;DAY(OE27)&amp;"
/"&amp;MONTH(OE27)</f>
        <v>Ju. 28
/12</v>
      </c>
      <c r="OF29" s="24" t="str">
        <f t="shared" ref="OF29" si="399">IF(OF28=2,"Lu.",IF(OF28=3,"Ma.",IF(OF28=4,"Mi.",IF(OF28=5,"Ju.",IF(OF28=6,"Vi.",IF(OF28=7,"Sa.","Do."))))))&amp;" "&amp;DAY(OF27)&amp;"
/"&amp;MONTH(OF27)</f>
        <v>Vi. 29
/12</v>
      </c>
      <c r="OG29" s="24" t="str">
        <f t="shared" ref="OG29" si="400">IF(OG28=2,"Lu.",IF(OG28=3,"Ma.",IF(OG28=4,"Mi.",IF(OG28=5,"Ju.",IF(OG28=6,"Vi.",IF(OG28=7,"Sa.","Do."))))))&amp;" "&amp;DAY(OG27)&amp;"
/"&amp;MONTH(OG27)</f>
        <v>Sa. 30
/12</v>
      </c>
      <c r="OH29" s="24" t="str">
        <f t="shared" ref="OH29" si="401">IF(OH28=2,"Lu.",IF(OH28=3,"Ma.",IF(OH28=4,"Mi.",IF(OH28=5,"Ju.",IF(OH28=6,"Vi.",IF(OH28=7,"Sa.","Do."))))))&amp;" "&amp;DAY(OH27)&amp;"
/"&amp;MONTH(OH27)</f>
        <v>Do. 31
/12</v>
      </c>
      <c r="OI29" s="24" t="str">
        <f t="shared" ref="OI29" si="402">IF(OI28=2,"Lu.",IF(OI28=3,"Ma.",IF(OI28=4,"Mi.",IF(OI28=5,"Ju.",IF(OI28=6,"Vi.",IF(OI28=7,"Sa.","Do."))))))&amp;" "&amp;DAY(OI27)&amp;"
/"&amp;MONTH(OI27)</f>
        <v>Lu. 1
/1</v>
      </c>
      <c r="OJ29" s="24" t="str">
        <f t="shared" ref="OJ29" si="403">IF(OJ28=2,"Lu.",IF(OJ28=3,"Ma.",IF(OJ28=4,"Mi.",IF(OJ28=5,"Ju.",IF(OJ28=6,"Vi.",IF(OJ28=7,"Sa.","Do."))))))&amp;" "&amp;DAY(OJ27)&amp;"
/"&amp;MONTH(OJ27)</f>
        <v>Ma. 2
/1</v>
      </c>
      <c r="OK29" s="24" t="str">
        <f t="shared" ref="OK29" si="404">IF(OK28=2,"Lu.",IF(OK28=3,"Ma.",IF(OK28=4,"Mi.",IF(OK28=5,"Ju.",IF(OK28=6,"Vi.",IF(OK28=7,"Sa.","Do."))))))&amp;" "&amp;DAY(OK27)&amp;"
/"&amp;MONTH(OK27)</f>
        <v>Mi. 3
/1</v>
      </c>
      <c r="OL29" s="24" t="str">
        <f t="shared" ref="OL29" si="405">IF(OL28=2,"Lu.",IF(OL28=3,"Ma.",IF(OL28=4,"Mi.",IF(OL28=5,"Ju.",IF(OL28=6,"Vi.",IF(OL28=7,"Sa.","Do."))))))&amp;" "&amp;DAY(OL27)&amp;"
/"&amp;MONTH(OL27)</f>
        <v>Ju. 4
/1</v>
      </c>
      <c r="OM29" s="24" t="str">
        <f t="shared" ref="OM29" si="406">IF(OM28=2,"Lu.",IF(OM28=3,"Ma.",IF(OM28=4,"Mi.",IF(OM28=5,"Ju.",IF(OM28=6,"Vi.",IF(OM28=7,"Sa.","Do."))))))&amp;" "&amp;DAY(OM27)&amp;"
/"&amp;MONTH(OM27)</f>
        <v>Vi. 5
/1</v>
      </c>
      <c r="ON29" s="24" t="str">
        <f t="shared" ref="ON29" si="407">IF(ON28=2,"Lu.",IF(ON28=3,"Ma.",IF(ON28=4,"Mi.",IF(ON28=5,"Ju.",IF(ON28=6,"Vi.",IF(ON28=7,"Sa.","Do."))))))&amp;" "&amp;DAY(ON27)&amp;"
/"&amp;MONTH(ON27)</f>
        <v>Sa. 6
/1</v>
      </c>
      <c r="OO29" s="24" t="str">
        <f t="shared" ref="OO29" si="408">IF(OO28=2,"Lu.",IF(OO28=3,"Ma.",IF(OO28=4,"Mi.",IF(OO28=5,"Ju.",IF(OO28=6,"Vi.",IF(OO28=7,"Sa.","Do."))))))&amp;" "&amp;DAY(OO27)&amp;"
/"&amp;MONTH(OO27)</f>
        <v>Do. 7
/1</v>
      </c>
      <c r="OP29" s="24" t="str">
        <f t="shared" ref="OP29" si="409">IF(OP28=2,"Lu.",IF(OP28=3,"Ma.",IF(OP28=4,"Mi.",IF(OP28=5,"Ju.",IF(OP28=6,"Vi.",IF(OP28=7,"Sa.","Do."))))))&amp;" "&amp;DAY(OP27)&amp;"
/"&amp;MONTH(OP27)</f>
        <v>Lu. 8
/1</v>
      </c>
      <c r="OQ29" s="24" t="str">
        <f t="shared" ref="OQ29" si="410">IF(OQ28=2,"Lu.",IF(OQ28=3,"Ma.",IF(OQ28=4,"Mi.",IF(OQ28=5,"Ju.",IF(OQ28=6,"Vi.",IF(OQ28=7,"Sa.","Do."))))))&amp;" "&amp;DAY(OQ27)&amp;"
/"&amp;MONTH(OQ27)</f>
        <v>Ma. 9
/1</v>
      </c>
      <c r="OR29" s="24" t="str">
        <f t="shared" ref="OR29" si="411">IF(OR28=2,"Lu.",IF(OR28=3,"Ma.",IF(OR28=4,"Mi.",IF(OR28=5,"Ju.",IF(OR28=6,"Vi.",IF(OR28=7,"Sa.","Do."))))))&amp;" "&amp;DAY(OR27)&amp;"
/"&amp;MONTH(OR27)</f>
        <v>Mi. 10
/1</v>
      </c>
      <c r="OS29" s="24" t="str">
        <f t="shared" ref="OS29" si="412">IF(OS28=2,"Lu.",IF(OS28=3,"Ma.",IF(OS28=4,"Mi.",IF(OS28=5,"Ju.",IF(OS28=6,"Vi.",IF(OS28=7,"Sa.","Do."))))))&amp;" "&amp;DAY(OS27)&amp;"
/"&amp;MONTH(OS27)</f>
        <v>Ju. 11
/1</v>
      </c>
      <c r="OT29" s="24" t="str">
        <f t="shared" ref="OT29" si="413">IF(OT28=2,"Lu.",IF(OT28=3,"Ma.",IF(OT28=4,"Mi.",IF(OT28=5,"Ju.",IF(OT28=6,"Vi.",IF(OT28=7,"Sa.","Do."))))))&amp;" "&amp;DAY(OT27)&amp;"
/"&amp;MONTH(OT27)</f>
        <v>Vi. 12
/1</v>
      </c>
      <c r="OU29" s="24" t="str">
        <f t="shared" ref="OU29" si="414">IF(OU28=2,"Lu.",IF(OU28=3,"Ma.",IF(OU28=4,"Mi.",IF(OU28=5,"Ju.",IF(OU28=6,"Vi.",IF(OU28=7,"Sa.","Do."))))))&amp;" "&amp;DAY(OU27)&amp;"
/"&amp;MONTH(OU27)</f>
        <v>Sa. 13
/1</v>
      </c>
      <c r="OV29" s="24" t="str">
        <f t="shared" ref="OV29" si="415">IF(OV28=2,"Lu.",IF(OV28=3,"Ma.",IF(OV28=4,"Mi.",IF(OV28=5,"Ju.",IF(OV28=6,"Vi.",IF(OV28=7,"Sa.","Do."))))))&amp;" "&amp;DAY(OV27)&amp;"
/"&amp;MONTH(OV27)</f>
        <v>Do. 14
/1</v>
      </c>
      <c r="OW29" s="24" t="str">
        <f t="shared" ref="OW29" si="416">IF(OW28=2,"Lu.",IF(OW28=3,"Ma.",IF(OW28=4,"Mi.",IF(OW28=5,"Ju.",IF(OW28=6,"Vi.",IF(OW28=7,"Sa.","Do."))))))&amp;" "&amp;DAY(OW27)&amp;"
/"&amp;MONTH(OW27)</f>
        <v>Lu. 15
/1</v>
      </c>
      <c r="OX29" s="24" t="str">
        <f t="shared" ref="OX29" si="417">IF(OX28=2,"Lu.",IF(OX28=3,"Ma.",IF(OX28=4,"Mi.",IF(OX28=5,"Ju.",IF(OX28=6,"Vi.",IF(OX28=7,"Sa.","Do."))))))&amp;" "&amp;DAY(OX27)&amp;"
/"&amp;MONTH(OX27)</f>
        <v>Ma. 16
/1</v>
      </c>
      <c r="OY29" s="24" t="str">
        <f t="shared" ref="OY29" si="418">IF(OY28=2,"Lu.",IF(OY28=3,"Ma.",IF(OY28=4,"Mi.",IF(OY28=5,"Ju.",IF(OY28=6,"Vi.",IF(OY28=7,"Sa.","Do."))))))&amp;" "&amp;DAY(OY27)&amp;"
/"&amp;MONTH(OY27)</f>
        <v>Mi. 17
/1</v>
      </c>
      <c r="OZ29" s="24" t="str">
        <f t="shared" ref="OZ29" si="419">IF(OZ28=2,"Lu.",IF(OZ28=3,"Ma.",IF(OZ28=4,"Mi.",IF(OZ28=5,"Ju.",IF(OZ28=6,"Vi.",IF(OZ28=7,"Sa.","Do."))))))&amp;" "&amp;DAY(OZ27)&amp;"
/"&amp;MONTH(OZ27)</f>
        <v>Ju. 18
/1</v>
      </c>
      <c r="PA29" s="24" t="str">
        <f t="shared" ref="PA29" si="420">IF(PA28=2,"Lu.",IF(PA28=3,"Ma.",IF(PA28=4,"Mi.",IF(PA28=5,"Ju.",IF(PA28=6,"Vi.",IF(PA28=7,"Sa.","Do."))))))&amp;" "&amp;DAY(PA27)&amp;"
/"&amp;MONTH(PA27)</f>
        <v>Vi. 19
/1</v>
      </c>
      <c r="PB29" s="24" t="str">
        <f t="shared" ref="PB29" si="421">IF(PB28=2,"Lu.",IF(PB28=3,"Ma.",IF(PB28=4,"Mi.",IF(PB28=5,"Ju.",IF(PB28=6,"Vi.",IF(PB28=7,"Sa.","Do."))))))&amp;" "&amp;DAY(PB27)&amp;"
/"&amp;MONTH(PB27)</f>
        <v>Sa. 20
/1</v>
      </c>
      <c r="PC29" s="24" t="str">
        <f t="shared" ref="PC29" si="422">IF(PC28=2,"Lu.",IF(PC28=3,"Ma.",IF(PC28=4,"Mi.",IF(PC28=5,"Ju.",IF(PC28=6,"Vi.",IF(PC28=7,"Sa.","Do."))))))&amp;" "&amp;DAY(PC27)&amp;"
/"&amp;MONTH(PC27)</f>
        <v>Do. 21
/1</v>
      </c>
      <c r="PD29" s="24" t="str">
        <f t="shared" ref="PD29" si="423">IF(PD28=2,"Lu.",IF(PD28=3,"Ma.",IF(PD28=4,"Mi.",IF(PD28=5,"Ju.",IF(PD28=6,"Vi.",IF(PD28=7,"Sa.","Do."))))))&amp;" "&amp;DAY(PD27)&amp;"
/"&amp;MONTH(PD27)</f>
        <v>Lu. 22
/1</v>
      </c>
      <c r="PE29" s="24" t="str">
        <f t="shared" ref="PE29" si="424">IF(PE28=2,"Lu.",IF(PE28=3,"Ma.",IF(PE28=4,"Mi.",IF(PE28=5,"Ju.",IF(PE28=6,"Vi.",IF(PE28=7,"Sa.","Do."))))))&amp;" "&amp;DAY(PE27)&amp;"
/"&amp;MONTH(PE27)</f>
        <v>Ma. 23
/1</v>
      </c>
      <c r="PF29" s="24" t="str">
        <f t="shared" ref="PF29" si="425">IF(PF28=2,"Lu.",IF(PF28=3,"Ma.",IF(PF28=4,"Mi.",IF(PF28=5,"Ju.",IF(PF28=6,"Vi.",IF(PF28=7,"Sa.","Do."))))))&amp;" "&amp;DAY(PF27)&amp;"
/"&amp;MONTH(PF27)</f>
        <v>Mi. 24
/1</v>
      </c>
      <c r="PG29" s="24" t="str">
        <f t="shared" ref="PG29" si="426">IF(PG28=2,"Lu.",IF(PG28=3,"Ma.",IF(PG28=4,"Mi.",IF(PG28=5,"Ju.",IF(PG28=6,"Vi.",IF(PG28=7,"Sa.","Do."))))))&amp;" "&amp;DAY(PG27)&amp;"
/"&amp;MONTH(PG27)</f>
        <v>Ju. 25
/1</v>
      </c>
      <c r="PH29" s="24" t="str">
        <f t="shared" ref="PH29" si="427">IF(PH28=2,"Lu.",IF(PH28=3,"Ma.",IF(PH28=4,"Mi.",IF(PH28=5,"Ju.",IF(PH28=6,"Vi.",IF(PH28=7,"Sa.","Do."))))))&amp;" "&amp;DAY(PH27)&amp;"
/"&amp;MONTH(PH27)</f>
        <v>Vi. 26
/1</v>
      </c>
      <c r="PI29" s="24" t="str">
        <f t="shared" ref="PI29" si="428">IF(PI28=2,"Lu.",IF(PI28=3,"Ma.",IF(PI28=4,"Mi.",IF(PI28=5,"Ju.",IF(PI28=6,"Vi.",IF(PI28=7,"Sa.","Do."))))))&amp;" "&amp;DAY(PI27)&amp;"
/"&amp;MONTH(PI27)</f>
        <v>Sa. 27
/1</v>
      </c>
      <c r="PJ29" s="24" t="str">
        <f t="shared" ref="PJ29" si="429">IF(PJ28=2,"Lu.",IF(PJ28=3,"Ma.",IF(PJ28=4,"Mi.",IF(PJ28=5,"Ju.",IF(PJ28=6,"Vi.",IF(PJ28=7,"Sa.","Do."))))))&amp;" "&amp;DAY(PJ27)&amp;"
/"&amp;MONTH(PJ27)</f>
        <v>Do. 28
/1</v>
      </c>
      <c r="PK29" s="24" t="str">
        <f t="shared" ref="PK29" si="430">IF(PK28=2,"Lu.",IF(PK28=3,"Ma.",IF(PK28=4,"Mi.",IF(PK28=5,"Ju.",IF(PK28=6,"Vi.",IF(PK28=7,"Sa.","Do."))))))&amp;" "&amp;DAY(PK27)&amp;"
/"&amp;MONTH(PK27)</f>
        <v>Lu. 29
/1</v>
      </c>
      <c r="PL29" s="24" t="str">
        <f t="shared" ref="PL29" si="431">IF(PL28=2,"Lu.",IF(PL28=3,"Ma.",IF(PL28=4,"Mi.",IF(PL28=5,"Ju.",IF(PL28=6,"Vi.",IF(PL28=7,"Sa.","Do."))))))&amp;" "&amp;DAY(PL27)&amp;"
/"&amp;MONTH(PL27)</f>
        <v>Ma. 30
/1</v>
      </c>
      <c r="PM29" s="24" t="str">
        <f t="shared" ref="PM29" si="432">IF(PM28=2,"Lu.",IF(PM28=3,"Ma.",IF(PM28=4,"Mi.",IF(PM28=5,"Ju.",IF(PM28=6,"Vi.",IF(PM28=7,"Sa.","Do."))))))&amp;" "&amp;DAY(PM27)&amp;"
/"&amp;MONTH(PM27)</f>
        <v>Mi. 31
/1</v>
      </c>
      <c r="PN29" s="24" t="str">
        <f t="shared" ref="PN29" si="433">IF(PN28=2,"Lu.",IF(PN28=3,"Ma.",IF(PN28=4,"Mi.",IF(PN28=5,"Ju.",IF(PN28=6,"Vi.",IF(PN28=7,"Sa.","Do."))))))&amp;" "&amp;DAY(PN27)&amp;"
/"&amp;MONTH(PN27)</f>
        <v>Ju. 1
/2</v>
      </c>
      <c r="PO29" s="29" t="s">
        <v>137</v>
      </c>
      <c r="PP29" s="29" t="s">
        <v>108</v>
      </c>
      <c r="PQ29" s="29" t="s">
        <v>109</v>
      </c>
      <c r="PR29" s="29" t="s">
        <v>110</v>
      </c>
      <c r="PS29" s="29" t="s">
        <v>129</v>
      </c>
      <c r="PT29" s="29" t="s">
        <v>112</v>
      </c>
      <c r="PU29" s="29" t="s">
        <v>126</v>
      </c>
      <c r="PV29" s="29" t="s">
        <v>122</v>
      </c>
      <c r="PW29" s="29" t="s">
        <v>116</v>
      </c>
      <c r="PX29" s="29" t="s">
        <v>117</v>
      </c>
      <c r="PY29" s="29" t="s">
        <v>118</v>
      </c>
      <c r="PZ29" s="29" t="s">
        <v>119</v>
      </c>
      <c r="QA29" s="29" t="s">
        <v>120</v>
      </c>
      <c r="QB29" s="29" t="s">
        <v>121</v>
      </c>
      <c r="QC29" s="29" t="s">
        <v>115</v>
      </c>
      <c r="QD29" s="29" t="s">
        <v>123</v>
      </c>
      <c r="QE29" s="29" t="s">
        <v>138</v>
      </c>
      <c r="QF29" s="29" t="s">
        <v>124</v>
      </c>
      <c r="QG29" s="29" t="s">
        <v>125</v>
      </c>
      <c r="QH29" s="29" t="s">
        <v>114</v>
      </c>
      <c r="QL29" s="324"/>
      <c r="QM29" s="149"/>
      <c r="QN29" s="149"/>
      <c r="QO29" s="324"/>
      <c r="QP29" s="149"/>
      <c r="QQ29" s="351"/>
      <c r="QR29" s="352"/>
      <c r="QS29" s="149"/>
      <c r="QT29" s="149"/>
      <c r="QU29" s="149"/>
      <c r="QV29" s="324"/>
      <c r="QW29" s="149"/>
      <c r="QX29" s="351"/>
      <c r="QY29" s="352"/>
      <c r="QZ29" s="149"/>
      <c r="RA29" s="324"/>
      <c r="RB29" s="149"/>
      <c r="RC29" s="149"/>
      <c r="RD29" s="149"/>
      <c r="RE29" s="324"/>
      <c r="RG29" s="324"/>
    </row>
    <row r="30" spans="1:475" s="25" customFormat="1" ht="60" customHeight="1" thickBot="1" x14ac:dyDescent="0.3">
      <c r="A30" s="199" t="s">
        <v>103</v>
      </c>
      <c r="B30" s="200" t="s">
        <v>0</v>
      </c>
      <c r="C30" s="201" t="s">
        <v>530</v>
      </c>
      <c r="D30" s="201" t="s">
        <v>531</v>
      </c>
      <c r="E30" s="201" t="s">
        <v>532</v>
      </c>
      <c r="F30" s="201" t="s">
        <v>533</v>
      </c>
      <c r="G30" s="201" t="s">
        <v>534</v>
      </c>
      <c r="H30" s="201" t="s">
        <v>535</v>
      </c>
      <c r="I30" s="201" t="s">
        <v>536</v>
      </c>
      <c r="J30" s="201" t="s">
        <v>537</v>
      </c>
      <c r="K30" s="201" t="s">
        <v>538</v>
      </c>
      <c r="L30" s="201" t="s">
        <v>539</v>
      </c>
      <c r="M30" s="201" t="s">
        <v>540</v>
      </c>
      <c r="N30" s="201" t="s">
        <v>541</v>
      </c>
      <c r="O30" s="201" t="s">
        <v>542</v>
      </c>
      <c r="P30" s="201" t="s">
        <v>543</v>
      </c>
      <c r="Q30" s="201" t="s">
        <v>544</v>
      </c>
      <c r="R30" s="201" t="s">
        <v>545</v>
      </c>
      <c r="S30" s="201" t="s">
        <v>546</v>
      </c>
      <c r="T30" s="201" t="s">
        <v>547</v>
      </c>
      <c r="U30" s="201" t="s">
        <v>548</v>
      </c>
      <c r="V30" s="201" t="s">
        <v>549</v>
      </c>
      <c r="W30" s="201" t="s">
        <v>550</v>
      </c>
      <c r="X30" s="201" t="s">
        <v>551</v>
      </c>
      <c r="Y30" s="201" t="s">
        <v>552</v>
      </c>
      <c r="Z30" s="201" t="s">
        <v>553</v>
      </c>
      <c r="AA30" s="201" t="s">
        <v>554</v>
      </c>
      <c r="AB30" s="201" t="s">
        <v>555</v>
      </c>
      <c r="AC30" s="201" t="s">
        <v>556</v>
      </c>
      <c r="AD30" s="201" t="s">
        <v>557</v>
      </c>
      <c r="AE30" s="201" t="s">
        <v>558</v>
      </c>
      <c r="AF30" s="201" t="s">
        <v>559</v>
      </c>
      <c r="AG30" s="201" t="s">
        <v>560</v>
      </c>
      <c r="AH30" s="201" t="s">
        <v>561</v>
      </c>
      <c r="AI30" s="201" t="s">
        <v>562</v>
      </c>
      <c r="AJ30" s="201" t="s">
        <v>563</v>
      </c>
      <c r="AK30" s="201" t="s">
        <v>564</v>
      </c>
      <c r="AL30" s="201" t="s">
        <v>565</v>
      </c>
      <c r="AM30" s="201" t="s">
        <v>566</v>
      </c>
      <c r="AN30" s="201" t="s">
        <v>567</v>
      </c>
      <c r="AO30" s="201" t="s">
        <v>568</v>
      </c>
      <c r="AP30" s="201" t="s">
        <v>569</v>
      </c>
      <c r="AQ30" s="201" t="s">
        <v>570</v>
      </c>
      <c r="AR30" s="201" t="s">
        <v>571</v>
      </c>
      <c r="AS30" s="201" t="s">
        <v>572</v>
      </c>
      <c r="AT30" s="201" t="s">
        <v>573</v>
      </c>
      <c r="AU30" s="201" t="s">
        <v>574</v>
      </c>
      <c r="AV30" s="201" t="s">
        <v>575</v>
      </c>
      <c r="AW30" s="201" t="s">
        <v>576</v>
      </c>
      <c r="AX30" s="201" t="s">
        <v>577</v>
      </c>
      <c r="AY30" s="201" t="s">
        <v>578</v>
      </c>
      <c r="AZ30" s="201" t="s">
        <v>579</v>
      </c>
      <c r="BA30" s="201" t="s">
        <v>580</v>
      </c>
      <c r="BB30" s="201" t="s">
        <v>581</v>
      </c>
      <c r="BC30" s="201" t="s">
        <v>582</v>
      </c>
      <c r="BD30" s="201" t="s">
        <v>583</v>
      </c>
      <c r="BE30" s="201" t="s">
        <v>584</v>
      </c>
      <c r="BF30" s="201" t="s">
        <v>585</v>
      </c>
      <c r="BG30" s="201" t="s">
        <v>586</v>
      </c>
      <c r="BH30" s="201" t="s">
        <v>587</v>
      </c>
      <c r="BI30" s="201" t="s">
        <v>588</v>
      </c>
      <c r="BJ30" s="201" t="s">
        <v>589</v>
      </c>
      <c r="BK30" s="201" t="s">
        <v>590</v>
      </c>
      <c r="BL30" s="201" t="s">
        <v>591</v>
      </c>
      <c r="BM30" s="201" t="s">
        <v>592</v>
      </c>
      <c r="BN30" s="201" t="s">
        <v>593</v>
      </c>
      <c r="BO30" s="201" t="s">
        <v>594</v>
      </c>
      <c r="BP30" s="201" t="s">
        <v>595</v>
      </c>
      <c r="BQ30" s="201" t="s">
        <v>596</v>
      </c>
      <c r="BR30" s="201" t="s">
        <v>597</v>
      </c>
      <c r="BS30" s="201" t="s">
        <v>598</v>
      </c>
      <c r="BT30" s="201" t="s">
        <v>599</v>
      </c>
      <c r="BU30" s="201" t="s">
        <v>600</v>
      </c>
      <c r="BV30" s="201" t="s">
        <v>601</v>
      </c>
      <c r="BW30" s="201" t="s">
        <v>602</v>
      </c>
      <c r="BX30" s="201" t="s">
        <v>603</v>
      </c>
      <c r="BY30" s="201" t="s">
        <v>604</v>
      </c>
      <c r="BZ30" s="201" t="s">
        <v>605</v>
      </c>
      <c r="CA30" s="201" t="s">
        <v>606</v>
      </c>
      <c r="CB30" s="201" t="s">
        <v>607</v>
      </c>
      <c r="CC30" s="201" t="s">
        <v>608</v>
      </c>
      <c r="CD30" s="201" t="s">
        <v>609</v>
      </c>
      <c r="CE30" s="201" t="s">
        <v>610</v>
      </c>
      <c r="CF30" s="201" t="s">
        <v>611</v>
      </c>
      <c r="CG30" s="201" t="s">
        <v>612</v>
      </c>
      <c r="CH30" s="201" t="s">
        <v>613</v>
      </c>
      <c r="CI30" s="201" t="s">
        <v>614</v>
      </c>
      <c r="CJ30" s="201" t="s">
        <v>615</v>
      </c>
      <c r="CK30" s="201" t="s">
        <v>616</v>
      </c>
      <c r="CL30" s="201" t="s">
        <v>617</v>
      </c>
      <c r="CM30" s="201" t="s">
        <v>618</v>
      </c>
      <c r="CN30" s="201" t="s">
        <v>619</v>
      </c>
      <c r="CO30" s="201" t="s">
        <v>620</v>
      </c>
      <c r="CP30" s="201" t="s">
        <v>621</v>
      </c>
      <c r="CQ30" s="201" t="s">
        <v>622</v>
      </c>
      <c r="CR30" s="201" t="s">
        <v>623</v>
      </c>
      <c r="CS30" s="201" t="s">
        <v>624</v>
      </c>
      <c r="CT30" s="201" t="s">
        <v>625</v>
      </c>
      <c r="CU30" s="201" t="s">
        <v>626</v>
      </c>
      <c r="CV30" s="201" t="s">
        <v>627</v>
      </c>
      <c r="CW30" s="201" t="s">
        <v>628</v>
      </c>
      <c r="CX30" s="201" t="s">
        <v>629</v>
      </c>
      <c r="CY30" s="201" t="s">
        <v>630</v>
      </c>
      <c r="CZ30" s="201" t="s">
        <v>631</v>
      </c>
      <c r="DA30" s="201" t="s">
        <v>632</v>
      </c>
      <c r="DB30" s="201" t="s">
        <v>633</v>
      </c>
      <c r="DC30" s="201" t="s">
        <v>634</v>
      </c>
      <c r="DD30" s="201" t="s">
        <v>635</v>
      </c>
      <c r="DE30" s="201" t="s">
        <v>636</v>
      </c>
      <c r="DF30" s="201" t="s">
        <v>637</v>
      </c>
      <c r="DG30" s="201" t="s">
        <v>638</v>
      </c>
      <c r="DH30" s="201" t="s">
        <v>639</v>
      </c>
      <c r="DI30" s="201" t="s">
        <v>640</v>
      </c>
      <c r="DJ30" s="201" t="s">
        <v>641</v>
      </c>
      <c r="DK30" s="201" t="s">
        <v>642</v>
      </c>
      <c r="DL30" s="201" t="s">
        <v>643</v>
      </c>
      <c r="DM30" s="201" t="s">
        <v>644</v>
      </c>
      <c r="DN30" s="201" t="s">
        <v>645</v>
      </c>
      <c r="DO30" s="201" t="s">
        <v>646</v>
      </c>
      <c r="DP30" s="201" t="s">
        <v>647</v>
      </c>
      <c r="DQ30" s="201" t="s">
        <v>648</v>
      </c>
      <c r="DR30" s="201" t="s">
        <v>649</v>
      </c>
      <c r="DS30" s="201" t="s">
        <v>650</v>
      </c>
      <c r="DT30" s="201" t="s">
        <v>651</v>
      </c>
      <c r="DU30" s="201" t="s">
        <v>652</v>
      </c>
      <c r="DV30" s="201" t="s">
        <v>653</v>
      </c>
      <c r="DW30" s="201" t="s">
        <v>654</v>
      </c>
      <c r="DX30" s="201" t="s">
        <v>655</v>
      </c>
      <c r="DY30" s="201" t="s">
        <v>656</v>
      </c>
      <c r="DZ30" s="201" t="s">
        <v>657</v>
      </c>
      <c r="EA30" s="201" t="s">
        <v>658</v>
      </c>
      <c r="EB30" s="201" t="s">
        <v>659</v>
      </c>
      <c r="EC30" s="201" t="s">
        <v>660</v>
      </c>
      <c r="ED30" s="201" t="s">
        <v>661</v>
      </c>
      <c r="EE30" s="201" t="s">
        <v>662</v>
      </c>
      <c r="EF30" s="201" t="s">
        <v>663</v>
      </c>
      <c r="EG30" s="201" t="s">
        <v>664</v>
      </c>
      <c r="EH30" s="201" t="s">
        <v>665</v>
      </c>
      <c r="EI30" s="201" t="s">
        <v>666</v>
      </c>
      <c r="EJ30" s="201" t="s">
        <v>667</v>
      </c>
      <c r="EK30" s="201" t="s">
        <v>668</v>
      </c>
      <c r="EL30" s="201" t="s">
        <v>669</v>
      </c>
      <c r="EM30" s="201" t="s">
        <v>670</v>
      </c>
      <c r="EN30" s="201" t="s">
        <v>671</v>
      </c>
      <c r="EO30" s="201" t="s">
        <v>672</v>
      </c>
      <c r="EP30" s="201" t="s">
        <v>673</v>
      </c>
      <c r="EQ30" s="201" t="s">
        <v>674</v>
      </c>
      <c r="ER30" s="201" t="s">
        <v>675</v>
      </c>
      <c r="ES30" s="201" t="s">
        <v>676</v>
      </c>
      <c r="ET30" s="201" t="s">
        <v>677</v>
      </c>
      <c r="EU30" s="201" t="s">
        <v>678</v>
      </c>
      <c r="EV30" s="201" t="s">
        <v>679</v>
      </c>
      <c r="EW30" s="201" t="s">
        <v>680</v>
      </c>
      <c r="EX30" s="201" t="s">
        <v>681</v>
      </c>
      <c r="EY30" s="201" t="s">
        <v>682</v>
      </c>
      <c r="EZ30" s="201" t="s">
        <v>683</v>
      </c>
      <c r="FA30" s="201" t="s">
        <v>684</v>
      </c>
      <c r="FB30" s="201" t="s">
        <v>685</v>
      </c>
      <c r="FC30" s="201" t="s">
        <v>686</v>
      </c>
      <c r="FD30" s="201" t="s">
        <v>687</v>
      </c>
      <c r="FE30" s="201" t="s">
        <v>688</v>
      </c>
      <c r="FF30" s="201" t="s">
        <v>689</v>
      </c>
      <c r="FG30" s="201" t="s">
        <v>690</v>
      </c>
      <c r="FH30" s="201" t="s">
        <v>691</v>
      </c>
      <c r="FI30" s="201" t="s">
        <v>692</v>
      </c>
      <c r="FJ30" s="201" t="s">
        <v>693</v>
      </c>
      <c r="FK30" s="201" t="s">
        <v>694</v>
      </c>
      <c r="FL30" s="201" t="s">
        <v>695</v>
      </c>
      <c r="FM30" s="201" t="s">
        <v>696</v>
      </c>
      <c r="FN30" s="201" t="s">
        <v>697</v>
      </c>
      <c r="FO30" s="201" t="s">
        <v>698</v>
      </c>
      <c r="FP30" s="201" t="s">
        <v>699</v>
      </c>
      <c r="FQ30" s="201" t="s">
        <v>700</v>
      </c>
      <c r="FR30" s="201" t="s">
        <v>701</v>
      </c>
      <c r="FS30" s="201" t="s">
        <v>702</v>
      </c>
      <c r="FT30" s="201" t="s">
        <v>703</v>
      </c>
      <c r="FU30" s="201" t="s">
        <v>704</v>
      </c>
      <c r="FV30" s="201" t="s">
        <v>705</v>
      </c>
      <c r="FW30" s="201" t="s">
        <v>706</v>
      </c>
      <c r="FX30" s="201" t="s">
        <v>707</v>
      </c>
      <c r="FY30" s="201" t="s">
        <v>708</v>
      </c>
      <c r="FZ30" s="201" t="s">
        <v>709</v>
      </c>
      <c r="GA30" s="201" t="s">
        <v>710</v>
      </c>
      <c r="GB30" s="201" t="s">
        <v>711</v>
      </c>
      <c r="GC30" s="201" t="s">
        <v>712</v>
      </c>
      <c r="GD30" s="201" t="s">
        <v>713</v>
      </c>
      <c r="GE30" s="201" t="s">
        <v>714</v>
      </c>
      <c r="GF30" s="201" t="s">
        <v>715</v>
      </c>
      <c r="GG30" s="201" t="s">
        <v>716</v>
      </c>
      <c r="GH30" s="201" t="s">
        <v>717</v>
      </c>
      <c r="GI30" s="201" t="s">
        <v>718</v>
      </c>
      <c r="GJ30" s="201" t="s">
        <v>719</v>
      </c>
      <c r="GK30" s="201" t="s">
        <v>720</v>
      </c>
      <c r="GL30" s="201" t="s">
        <v>721</v>
      </c>
      <c r="GM30" s="201" t="s">
        <v>722</v>
      </c>
      <c r="GN30" s="201" t="s">
        <v>723</v>
      </c>
      <c r="GO30" s="201" t="s">
        <v>724</v>
      </c>
      <c r="GP30" s="201" t="s">
        <v>725</v>
      </c>
      <c r="GQ30" s="201" t="s">
        <v>726</v>
      </c>
      <c r="GR30" s="201" t="s">
        <v>727</v>
      </c>
      <c r="GS30" s="201" t="s">
        <v>728</v>
      </c>
      <c r="GT30" s="201" t="s">
        <v>729</v>
      </c>
      <c r="GU30" s="201" t="s">
        <v>730</v>
      </c>
      <c r="GV30" s="201" t="s">
        <v>731</v>
      </c>
      <c r="GW30" s="201" t="s">
        <v>732</v>
      </c>
      <c r="GX30" s="201" t="s">
        <v>733</v>
      </c>
      <c r="GY30" s="201" t="s">
        <v>734</v>
      </c>
      <c r="GZ30" s="201" t="s">
        <v>735</v>
      </c>
      <c r="HA30" s="201" t="s">
        <v>736</v>
      </c>
      <c r="HB30" s="201" t="s">
        <v>737</v>
      </c>
      <c r="HC30" s="201" t="s">
        <v>738</v>
      </c>
      <c r="HD30" s="201" t="s">
        <v>739</v>
      </c>
      <c r="HE30" s="201" t="s">
        <v>740</v>
      </c>
      <c r="HF30" s="201" t="s">
        <v>741</v>
      </c>
      <c r="HG30" s="201" t="s">
        <v>742</v>
      </c>
      <c r="HH30" s="201" t="s">
        <v>743</v>
      </c>
      <c r="HI30" s="201" t="s">
        <v>744</v>
      </c>
      <c r="HJ30" s="201" t="s">
        <v>745</v>
      </c>
      <c r="HK30" s="201" t="s">
        <v>746</v>
      </c>
      <c r="HL30" s="201" t="s">
        <v>747</v>
      </c>
      <c r="HM30" s="201" t="s">
        <v>748</v>
      </c>
      <c r="HN30" s="201" t="s">
        <v>749</v>
      </c>
      <c r="HO30" s="201" t="s">
        <v>750</v>
      </c>
      <c r="HP30" s="201" t="s">
        <v>751</v>
      </c>
      <c r="HQ30" s="201" t="s">
        <v>752</v>
      </c>
      <c r="HR30" s="201" t="s">
        <v>753</v>
      </c>
      <c r="HS30" s="201" t="s">
        <v>754</v>
      </c>
      <c r="HT30" s="201" t="s">
        <v>755</v>
      </c>
      <c r="HU30" s="201" t="s">
        <v>756</v>
      </c>
      <c r="HV30" s="201" t="s">
        <v>757</v>
      </c>
      <c r="HW30" s="201" t="s">
        <v>758</v>
      </c>
      <c r="HX30" s="201" t="s">
        <v>759</v>
      </c>
      <c r="HY30" s="201" t="s">
        <v>760</v>
      </c>
      <c r="HZ30" s="201" t="s">
        <v>761</v>
      </c>
      <c r="IA30" s="201" t="s">
        <v>762</v>
      </c>
      <c r="IB30" s="201" t="s">
        <v>763</v>
      </c>
      <c r="IC30" s="201" t="s">
        <v>764</v>
      </c>
      <c r="ID30" s="201" t="s">
        <v>765</v>
      </c>
      <c r="IE30" s="201" t="s">
        <v>766</v>
      </c>
      <c r="IF30" s="201" t="s">
        <v>767</v>
      </c>
      <c r="IG30" s="201" t="s">
        <v>768</v>
      </c>
      <c r="IH30" s="201" t="s">
        <v>769</v>
      </c>
      <c r="II30" s="201" t="s">
        <v>770</v>
      </c>
      <c r="IJ30" s="201" t="s">
        <v>771</v>
      </c>
      <c r="IK30" s="201" t="s">
        <v>772</v>
      </c>
      <c r="IL30" s="201" t="s">
        <v>773</v>
      </c>
      <c r="IM30" s="201" t="s">
        <v>774</v>
      </c>
      <c r="IN30" s="201" t="s">
        <v>775</v>
      </c>
      <c r="IO30" s="201" t="s">
        <v>776</v>
      </c>
      <c r="IP30" s="201" t="s">
        <v>777</v>
      </c>
      <c r="IQ30" s="201" t="s">
        <v>778</v>
      </c>
      <c r="IR30" s="201" t="s">
        <v>779</v>
      </c>
      <c r="IS30" s="201" t="s">
        <v>780</v>
      </c>
      <c r="IT30" s="201" t="s">
        <v>781</v>
      </c>
      <c r="IU30" s="201" t="s">
        <v>782</v>
      </c>
      <c r="IV30" s="201" t="s">
        <v>783</v>
      </c>
      <c r="IW30" s="201" t="s">
        <v>784</v>
      </c>
      <c r="IX30" s="201" t="s">
        <v>785</v>
      </c>
      <c r="IY30" s="201" t="s">
        <v>786</v>
      </c>
      <c r="IZ30" s="201" t="s">
        <v>787</v>
      </c>
      <c r="JA30" s="201" t="s">
        <v>788</v>
      </c>
      <c r="JB30" s="201" t="s">
        <v>789</v>
      </c>
      <c r="JC30" s="201" t="s">
        <v>790</v>
      </c>
      <c r="JD30" s="201" t="s">
        <v>791</v>
      </c>
      <c r="JE30" s="201" t="s">
        <v>792</v>
      </c>
      <c r="JF30" s="201" t="s">
        <v>793</v>
      </c>
      <c r="JG30" s="201" t="s">
        <v>794</v>
      </c>
      <c r="JH30" s="201" t="s">
        <v>795</v>
      </c>
      <c r="JI30" s="201" t="s">
        <v>796</v>
      </c>
      <c r="JJ30" s="201" t="s">
        <v>797</v>
      </c>
      <c r="JK30" s="201" t="s">
        <v>798</v>
      </c>
      <c r="JL30" s="201" t="s">
        <v>799</v>
      </c>
      <c r="JM30" s="201" t="s">
        <v>800</v>
      </c>
      <c r="JN30" s="201" t="s">
        <v>801</v>
      </c>
      <c r="JO30" s="201" t="s">
        <v>802</v>
      </c>
      <c r="JP30" s="201" t="s">
        <v>803</v>
      </c>
      <c r="JQ30" s="201" t="s">
        <v>804</v>
      </c>
      <c r="JR30" s="201" t="s">
        <v>805</v>
      </c>
      <c r="JS30" s="201" t="s">
        <v>806</v>
      </c>
      <c r="JT30" s="201" t="s">
        <v>807</v>
      </c>
      <c r="JU30" s="201" t="s">
        <v>808</v>
      </c>
      <c r="JV30" s="201" t="s">
        <v>809</v>
      </c>
      <c r="JW30" s="201" t="s">
        <v>810</v>
      </c>
      <c r="JX30" s="201" t="s">
        <v>811</v>
      </c>
      <c r="JY30" s="201" t="s">
        <v>812</v>
      </c>
      <c r="JZ30" s="201" t="s">
        <v>813</v>
      </c>
      <c r="KA30" s="201" t="s">
        <v>814</v>
      </c>
      <c r="KB30" s="201" t="s">
        <v>815</v>
      </c>
      <c r="KC30" s="201" t="s">
        <v>816</v>
      </c>
      <c r="KD30" s="201" t="s">
        <v>817</v>
      </c>
      <c r="KE30" s="201" t="s">
        <v>818</v>
      </c>
      <c r="KF30" s="201" t="s">
        <v>819</v>
      </c>
      <c r="KG30" s="201" t="s">
        <v>820</v>
      </c>
      <c r="KH30" s="201" t="s">
        <v>821</v>
      </c>
      <c r="KI30" s="201" t="s">
        <v>822</v>
      </c>
      <c r="KJ30" s="201" t="s">
        <v>823</v>
      </c>
      <c r="KK30" s="201" t="s">
        <v>824</v>
      </c>
      <c r="KL30" s="201" t="s">
        <v>825</v>
      </c>
      <c r="KM30" s="201" t="s">
        <v>826</v>
      </c>
      <c r="KN30" s="201" t="s">
        <v>827</v>
      </c>
      <c r="KO30" s="201" t="s">
        <v>828</v>
      </c>
      <c r="KP30" s="201" t="s">
        <v>829</v>
      </c>
      <c r="KQ30" s="201" t="s">
        <v>830</v>
      </c>
      <c r="KR30" s="201" t="s">
        <v>831</v>
      </c>
      <c r="KS30" s="201" t="s">
        <v>832</v>
      </c>
      <c r="KT30" s="201" t="s">
        <v>833</v>
      </c>
      <c r="KU30" s="201" t="s">
        <v>834</v>
      </c>
      <c r="KV30" s="201" t="s">
        <v>835</v>
      </c>
      <c r="KW30" s="201" t="s">
        <v>836</v>
      </c>
      <c r="KX30" s="201" t="s">
        <v>837</v>
      </c>
      <c r="KY30" s="201" t="s">
        <v>838</v>
      </c>
      <c r="KZ30" s="201" t="s">
        <v>839</v>
      </c>
      <c r="LA30" s="201" t="s">
        <v>840</v>
      </c>
      <c r="LB30" s="201" t="s">
        <v>841</v>
      </c>
      <c r="LC30" s="201" t="s">
        <v>842</v>
      </c>
      <c r="LD30" s="201" t="s">
        <v>843</v>
      </c>
      <c r="LE30" s="201" t="s">
        <v>844</v>
      </c>
      <c r="LF30" s="201" t="s">
        <v>845</v>
      </c>
      <c r="LG30" s="201" t="s">
        <v>846</v>
      </c>
      <c r="LH30" s="201" t="s">
        <v>847</v>
      </c>
      <c r="LI30" s="201" t="s">
        <v>848</v>
      </c>
      <c r="LJ30" s="201" t="s">
        <v>849</v>
      </c>
      <c r="LK30" s="201" t="s">
        <v>850</v>
      </c>
      <c r="LL30" s="201" t="s">
        <v>851</v>
      </c>
      <c r="LM30" s="201" t="s">
        <v>852</v>
      </c>
      <c r="LN30" s="201" t="s">
        <v>853</v>
      </c>
      <c r="LO30" s="201" t="s">
        <v>854</v>
      </c>
      <c r="LP30" s="201" t="s">
        <v>855</v>
      </c>
      <c r="LQ30" s="201" t="s">
        <v>856</v>
      </c>
      <c r="LR30" s="201" t="s">
        <v>857</v>
      </c>
      <c r="LS30" s="201" t="s">
        <v>858</v>
      </c>
      <c r="LT30" s="201" t="s">
        <v>859</v>
      </c>
      <c r="LU30" s="201" t="s">
        <v>860</v>
      </c>
      <c r="LV30" s="201" t="s">
        <v>861</v>
      </c>
      <c r="LW30" s="201" t="s">
        <v>862</v>
      </c>
      <c r="LX30" s="201" t="s">
        <v>863</v>
      </c>
      <c r="LY30" s="201" t="s">
        <v>864</v>
      </c>
      <c r="LZ30" s="201" t="s">
        <v>865</v>
      </c>
      <c r="MA30" s="201" t="s">
        <v>866</v>
      </c>
      <c r="MB30" s="201" t="s">
        <v>867</v>
      </c>
      <c r="MC30" s="201" t="s">
        <v>868</v>
      </c>
      <c r="MD30" s="201" t="s">
        <v>869</v>
      </c>
      <c r="ME30" s="201" t="s">
        <v>870</v>
      </c>
      <c r="MF30" s="201" t="s">
        <v>871</v>
      </c>
      <c r="MG30" s="201" t="s">
        <v>872</v>
      </c>
      <c r="MH30" s="201" t="s">
        <v>873</v>
      </c>
      <c r="MI30" s="201" t="s">
        <v>874</v>
      </c>
      <c r="MJ30" s="201" t="s">
        <v>875</v>
      </c>
      <c r="MK30" s="201" t="s">
        <v>876</v>
      </c>
      <c r="ML30" s="201" t="s">
        <v>877</v>
      </c>
      <c r="MM30" s="201" t="s">
        <v>878</v>
      </c>
      <c r="MN30" s="201" t="s">
        <v>879</v>
      </c>
      <c r="MO30" s="201" t="s">
        <v>880</v>
      </c>
      <c r="MP30" s="201" t="s">
        <v>881</v>
      </c>
      <c r="MQ30" s="201" t="s">
        <v>882</v>
      </c>
      <c r="MR30" s="201" t="s">
        <v>883</v>
      </c>
      <c r="MS30" s="201" t="s">
        <v>884</v>
      </c>
      <c r="MT30" s="201" t="s">
        <v>885</v>
      </c>
      <c r="MU30" s="201" t="s">
        <v>886</v>
      </c>
      <c r="MV30" s="201" t="s">
        <v>887</v>
      </c>
      <c r="MW30" s="201" t="s">
        <v>888</v>
      </c>
      <c r="MX30" s="201" t="s">
        <v>889</v>
      </c>
      <c r="MY30" s="201" t="s">
        <v>890</v>
      </c>
      <c r="MZ30" s="201" t="s">
        <v>891</v>
      </c>
      <c r="NA30" s="201" t="s">
        <v>892</v>
      </c>
      <c r="NB30" s="201" t="s">
        <v>893</v>
      </c>
      <c r="NC30" s="201" t="s">
        <v>894</v>
      </c>
      <c r="ND30" s="201" t="s">
        <v>462</v>
      </c>
      <c r="NE30" s="201" t="s">
        <v>463</v>
      </c>
      <c r="NF30" s="201" t="s">
        <v>464</v>
      </c>
      <c r="NG30" s="201" t="s">
        <v>465</v>
      </c>
      <c r="NH30" s="201" t="s">
        <v>466</v>
      </c>
      <c r="NI30" s="201" t="s">
        <v>467</v>
      </c>
      <c r="NJ30" s="201" t="s">
        <v>468</v>
      </c>
      <c r="NK30" s="201" t="s">
        <v>469</v>
      </c>
      <c r="NL30" s="201" t="s">
        <v>470</v>
      </c>
      <c r="NM30" s="201" t="s">
        <v>471</v>
      </c>
      <c r="NN30" s="201" t="s">
        <v>472</v>
      </c>
      <c r="NO30" s="201" t="s">
        <v>473</v>
      </c>
      <c r="NP30" s="201" t="s">
        <v>474</v>
      </c>
      <c r="NQ30" s="201" t="s">
        <v>475</v>
      </c>
      <c r="NR30" s="201" t="s">
        <v>476</v>
      </c>
      <c r="NS30" s="201" t="s">
        <v>477</v>
      </c>
      <c r="NT30" s="201" t="s">
        <v>478</v>
      </c>
      <c r="NU30" s="201" t="s">
        <v>479</v>
      </c>
      <c r="NV30" s="201" t="s">
        <v>480</v>
      </c>
      <c r="NW30" s="201" t="s">
        <v>481</v>
      </c>
      <c r="NX30" s="201" t="s">
        <v>482</v>
      </c>
      <c r="NY30" s="201" t="s">
        <v>483</v>
      </c>
      <c r="NZ30" s="201" t="s">
        <v>484</v>
      </c>
      <c r="OA30" s="201" t="s">
        <v>485</v>
      </c>
      <c r="OB30" s="201" t="s">
        <v>486</v>
      </c>
      <c r="OC30" s="201" t="s">
        <v>487</v>
      </c>
      <c r="OD30" s="201" t="s">
        <v>488</v>
      </c>
      <c r="OE30" s="201" t="s">
        <v>489</v>
      </c>
      <c r="OF30" s="201" t="s">
        <v>490</v>
      </c>
      <c r="OG30" s="201" t="s">
        <v>491</v>
      </c>
      <c r="OH30" s="201" t="s">
        <v>492</v>
      </c>
      <c r="OI30" s="303" t="s">
        <v>493</v>
      </c>
      <c r="OJ30" s="303" t="s">
        <v>494</v>
      </c>
      <c r="OK30" s="303" t="s">
        <v>495</v>
      </c>
      <c r="OL30" s="303" t="s">
        <v>496</v>
      </c>
      <c r="OM30" s="303" t="s">
        <v>497</v>
      </c>
      <c r="ON30" s="303" t="s">
        <v>498</v>
      </c>
      <c r="OO30" s="303" t="s">
        <v>499</v>
      </c>
      <c r="OP30" s="303" t="s">
        <v>500</v>
      </c>
      <c r="OQ30" s="303" t="s">
        <v>501</v>
      </c>
      <c r="OR30" s="303" t="s">
        <v>502</v>
      </c>
      <c r="OS30" s="303" t="s">
        <v>503</v>
      </c>
      <c r="OT30" s="303" t="s">
        <v>504</v>
      </c>
      <c r="OU30" s="303" t="s">
        <v>505</v>
      </c>
      <c r="OV30" s="303" t="s">
        <v>506</v>
      </c>
      <c r="OW30" s="303" t="s">
        <v>507</v>
      </c>
      <c r="OX30" s="303" t="s">
        <v>508</v>
      </c>
      <c r="OY30" s="303" t="s">
        <v>509</v>
      </c>
      <c r="OZ30" s="303" t="s">
        <v>510</v>
      </c>
      <c r="PA30" s="303" t="s">
        <v>511</v>
      </c>
      <c r="PB30" s="303" t="s">
        <v>512</v>
      </c>
      <c r="PC30" s="303" t="s">
        <v>513</v>
      </c>
      <c r="PD30" s="303" t="s">
        <v>514</v>
      </c>
      <c r="PE30" s="303" t="s">
        <v>515</v>
      </c>
      <c r="PF30" s="303" t="s">
        <v>516</v>
      </c>
      <c r="PG30" s="303" t="s">
        <v>517</v>
      </c>
      <c r="PH30" s="303" t="s">
        <v>518</v>
      </c>
      <c r="PI30" s="303" t="s">
        <v>519</v>
      </c>
      <c r="PJ30" s="303" t="s">
        <v>520</v>
      </c>
      <c r="PK30" s="303" t="s">
        <v>521</v>
      </c>
      <c r="PL30" s="303" t="s">
        <v>522</v>
      </c>
      <c r="PM30" s="303" t="s">
        <v>523</v>
      </c>
      <c r="PN30" s="304" t="s">
        <v>524</v>
      </c>
      <c r="PO30" s="57" t="s">
        <v>139</v>
      </c>
      <c r="PP30" s="58" t="s">
        <v>127</v>
      </c>
      <c r="PQ30" s="59" t="s">
        <v>141</v>
      </c>
      <c r="PR30" s="60" t="s">
        <v>128</v>
      </c>
      <c r="PS30" s="61" t="s">
        <v>142</v>
      </c>
      <c r="PT30" s="62" t="s">
        <v>111</v>
      </c>
      <c r="PU30" s="63" t="s">
        <v>135</v>
      </c>
      <c r="PV30" s="64" t="s">
        <v>132</v>
      </c>
      <c r="PW30" s="33" t="s">
        <v>130</v>
      </c>
      <c r="PX30" s="34" t="s">
        <v>140</v>
      </c>
      <c r="PY30" s="65" t="s">
        <v>327</v>
      </c>
      <c r="PZ30" s="66" t="s">
        <v>136</v>
      </c>
      <c r="QA30" s="67" t="s">
        <v>235</v>
      </c>
      <c r="QB30" s="68" t="s">
        <v>459</v>
      </c>
      <c r="QC30" s="35" t="s">
        <v>131</v>
      </c>
      <c r="QD30" s="69" t="s">
        <v>133</v>
      </c>
      <c r="QE30" s="70" t="s">
        <v>215</v>
      </c>
      <c r="QF30" s="71" t="s">
        <v>895</v>
      </c>
      <c r="QG30" s="72" t="s">
        <v>134</v>
      </c>
      <c r="QH30" s="73" t="s">
        <v>113</v>
      </c>
      <c r="QI30" s="202" t="s">
        <v>230</v>
      </c>
      <c r="QJ30" s="202" t="s">
        <v>231</v>
      </c>
      <c r="QK30" s="202" t="s">
        <v>526</v>
      </c>
      <c r="QL30" s="325" t="s">
        <v>456</v>
      </c>
      <c r="QM30" s="326" t="s">
        <v>438</v>
      </c>
      <c r="QN30" s="327" t="s">
        <v>439</v>
      </c>
      <c r="QO30" s="328" t="s">
        <v>440</v>
      </c>
      <c r="QP30" s="329" t="s">
        <v>441</v>
      </c>
      <c r="QQ30" s="330" t="s">
        <v>442</v>
      </c>
      <c r="QR30" s="331" t="s">
        <v>443</v>
      </c>
      <c r="QS30" s="332" t="s">
        <v>444</v>
      </c>
      <c r="QT30" s="333" t="s">
        <v>445</v>
      </c>
      <c r="QU30" s="334" t="s">
        <v>446</v>
      </c>
      <c r="QV30" s="335" t="s">
        <v>447</v>
      </c>
      <c r="QW30" s="336" t="s">
        <v>448</v>
      </c>
      <c r="QX30" s="337" t="s">
        <v>449</v>
      </c>
      <c r="QY30" s="338" t="s">
        <v>460</v>
      </c>
      <c r="QZ30" s="339" t="s">
        <v>450</v>
      </c>
      <c r="RA30" s="340" t="s">
        <v>451</v>
      </c>
      <c r="RB30" s="341" t="s">
        <v>452</v>
      </c>
      <c r="RC30" s="342" t="s">
        <v>897</v>
      </c>
      <c r="RD30" s="343" t="s">
        <v>453</v>
      </c>
      <c r="RE30" s="344" t="s">
        <v>454</v>
      </c>
      <c r="RF30" s="345" t="s">
        <v>455</v>
      </c>
      <c r="RG30" s="346" t="s">
        <v>527</v>
      </c>
    </row>
    <row r="31" spans="1:475" x14ac:dyDescent="0.25">
      <c r="A31" s="93">
        <v>1</v>
      </c>
      <c r="B31" s="30" t="str" cm="1">
        <f t="array" ref="B31">VLOOKUP(TabAsistencias[[#This Row],[ID]],TabEmpleados[],COLUMN(TabEmpleados[Nombre]),FALSE)</f>
        <v>RUIZ OLMEDO ALEJANDRO AMADO</v>
      </c>
      <c r="C31" s="36" t="s">
        <v>139</v>
      </c>
      <c r="D31" s="36" t="s">
        <v>139</v>
      </c>
      <c r="E31" s="36" t="s">
        <v>139</v>
      </c>
      <c r="F31" s="36" t="s">
        <v>139</v>
      </c>
      <c r="G31" s="36" t="s">
        <v>139</v>
      </c>
      <c r="H31" s="36" t="s">
        <v>139</v>
      </c>
      <c r="I31" s="36" t="s">
        <v>139</v>
      </c>
      <c r="J31" s="36" t="s">
        <v>139</v>
      </c>
      <c r="K31" s="36" t="s">
        <v>139</v>
      </c>
      <c r="L31" s="36" t="s">
        <v>139</v>
      </c>
      <c r="M31" s="36" t="s">
        <v>139</v>
      </c>
      <c r="N31" s="36" t="s">
        <v>139</v>
      </c>
      <c r="O31" s="36" t="s">
        <v>139</v>
      </c>
      <c r="P31" s="36" t="s">
        <v>139</v>
      </c>
      <c r="Q31" s="36" t="s">
        <v>139</v>
      </c>
      <c r="R31" s="36" t="s">
        <v>139</v>
      </c>
      <c r="S31" s="36" t="s">
        <v>139</v>
      </c>
      <c r="T31" s="36" t="s">
        <v>139</v>
      </c>
      <c r="U31" s="36" t="s">
        <v>139</v>
      </c>
      <c r="V31" s="36" t="s">
        <v>139</v>
      </c>
      <c r="W31" s="36" t="s">
        <v>139</v>
      </c>
      <c r="X31" s="36" t="s">
        <v>139</v>
      </c>
      <c r="Y31" s="36" t="s">
        <v>139</v>
      </c>
      <c r="Z31" s="36" t="s">
        <v>139</v>
      </c>
      <c r="AA31" s="36" t="s">
        <v>139</v>
      </c>
      <c r="AB31" s="36" t="s">
        <v>139</v>
      </c>
      <c r="AC31" s="36" t="s">
        <v>139</v>
      </c>
      <c r="AD31" s="36" t="s">
        <v>139</v>
      </c>
      <c r="AE31" s="36" t="s">
        <v>139</v>
      </c>
      <c r="AF31" s="36" t="s">
        <v>139</v>
      </c>
      <c r="AG31" s="36" t="s">
        <v>139</v>
      </c>
      <c r="AH31" s="36" t="s">
        <v>139</v>
      </c>
      <c r="AI31" s="36" t="s">
        <v>139</v>
      </c>
      <c r="AJ31" s="36" t="s">
        <v>139</v>
      </c>
      <c r="AK31" s="36" t="s">
        <v>139</v>
      </c>
      <c r="AL31" s="36" t="s">
        <v>139</v>
      </c>
      <c r="AM31" s="36" t="s">
        <v>139</v>
      </c>
      <c r="AN31" s="36" t="s">
        <v>139</v>
      </c>
      <c r="AO31" s="36" t="s">
        <v>139</v>
      </c>
      <c r="AP31" s="36" t="s">
        <v>139</v>
      </c>
      <c r="AQ31" s="36" t="s">
        <v>139</v>
      </c>
      <c r="AR31" s="36" t="s">
        <v>139</v>
      </c>
      <c r="AS31" s="36" t="s">
        <v>139</v>
      </c>
      <c r="AT31" s="36" t="s">
        <v>139</v>
      </c>
      <c r="AU31" s="36" t="s">
        <v>139</v>
      </c>
      <c r="AV31" s="36" t="s">
        <v>139</v>
      </c>
      <c r="AW31" s="36" t="s">
        <v>139</v>
      </c>
      <c r="AX31" s="36" t="s">
        <v>139</v>
      </c>
      <c r="AY31" s="36" t="s">
        <v>139</v>
      </c>
      <c r="AZ31" s="36" t="s">
        <v>139</v>
      </c>
      <c r="BA31" s="36" t="s">
        <v>139</v>
      </c>
      <c r="BB31" s="36" t="s">
        <v>139</v>
      </c>
      <c r="BC31" s="36" t="s">
        <v>139</v>
      </c>
      <c r="BD31" s="36" t="s">
        <v>139</v>
      </c>
      <c r="BE31" s="36" t="s">
        <v>139</v>
      </c>
      <c r="BF31" s="36" t="s">
        <v>139</v>
      </c>
      <c r="BG31" s="36" t="s">
        <v>139</v>
      </c>
      <c r="BH31" s="36" t="s">
        <v>139</v>
      </c>
      <c r="BI31" s="36" t="s">
        <v>139</v>
      </c>
      <c r="BJ31" s="36" t="s">
        <v>139</v>
      </c>
      <c r="BK31" s="36" t="s">
        <v>139</v>
      </c>
      <c r="BL31" s="36" t="s">
        <v>139</v>
      </c>
      <c r="BM31" s="36" t="s">
        <v>139</v>
      </c>
      <c r="BN31" s="36" t="s">
        <v>139</v>
      </c>
      <c r="BO31" s="36" t="s">
        <v>139</v>
      </c>
      <c r="BP31" s="36" t="s">
        <v>139</v>
      </c>
      <c r="BQ31" s="36" t="s">
        <v>139</v>
      </c>
      <c r="BR31" s="36" t="s">
        <v>139</v>
      </c>
      <c r="BS31" s="36" t="s">
        <v>139</v>
      </c>
      <c r="BT31" s="36" t="s">
        <v>139</v>
      </c>
      <c r="BU31" s="36" t="s">
        <v>139</v>
      </c>
      <c r="BV31" s="36" t="s">
        <v>139</v>
      </c>
      <c r="BW31" s="36" t="s">
        <v>139</v>
      </c>
      <c r="BX31" s="36" t="s">
        <v>139</v>
      </c>
      <c r="BY31" s="36" t="s">
        <v>139</v>
      </c>
      <c r="BZ31" s="36" t="s">
        <v>139</v>
      </c>
      <c r="CA31" s="36" t="s">
        <v>139</v>
      </c>
      <c r="CB31" s="36" t="s">
        <v>139</v>
      </c>
      <c r="CC31" s="36" t="s">
        <v>139</v>
      </c>
      <c r="CD31" s="36" t="s">
        <v>139</v>
      </c>
      <c r="CE31" s="36" t="s">
        <v>139</v>
      </c>
      <c r="CF31" s="36" t="s">
        <v>139</v>
      </c>
      <c r="CG31" s="36" t="s">
        <v>139</v>
      </c>
      <c r="CH31" s="36" t="s">
        <v>139</v>
      </c>
      <c r="CI31" s="36" t="s">
        <v>139</v>
      </c>
      <c r="CJ31" s="36" t="s">
        <v>139</v>
      </c>
      <c r="CK31" s="36" t="s">
        <v>139</v>
      </c>
      <c r="CL31" s="36" t="s">
        <v>139</v>
      </c>
      <c r="CM31" s="36" t="s">
        <v>139</v>
      </c>
      <c r="CN31" s="36" t="s">
        <v>139</v>
      </c>
      <c r="CO31" s="36" t="s">
        <v>139</v>
      </c>
      <c r="CP31" s="36" t="s">
        <v>139</v>
      </c>
      <c r="CQ31" s="36" t="s">
        <v>139</v>
      </c>
      <c r="CR31" s="36" t="s">
        <v>139</v>
      </c>
      <c r="CS31" s="36" t="s">
        <v>139</v>
      </c>
      <c r="CT31" s="36" t="s">
        <v>139</v>
      </c>
      <c r="CU31" s="36" t="s">
        <v>139</v>
      </c>
      <c r="CV31" s="36" t="s">
        <v>139</v>
      </c>
      <c r="CW31" s="36" t="s">
        <v>139</v>
      </c>
      <c r="CX31" s="36" t="s">
        <v>139</v>
      </c>
      <c r="CY31" s="36" t="s">
        <v>139</v>
      </c>
      <c r="CZ31" s="36" t="s">
        <v>139</v>
      </c>
      <c r="DA31" s="36" t="s">
        <v>139</v>
      </c>
      <c r="DB31" s="36" t="s">
        <v>139</v>
      </c>
      <c r="DC31" s="36" t="s">
        <v>139</v>
      </c>
      <c r="DD31" s="36" t="s">
        <v>139</v>
      </c>
      <c r="DE31" s="36" t="s">
        <v>139</v>
      </c>
      <c r="DF31" s="36" t="s">
        <v>139</v>
      </c>
      <c r="DG31" s="36" t="s">
        <v>139</v>
      </c>
      <c r="DH31" s="36" t="s">
        <v>139</v>
      </c>
      <c r="DI31" s="36" t="s">
        <v>139</v>
      </c>
      <c r="DJ31" s="36" t="s">
        <v>139</v>
      </c>
      <c r="DK31" s="36" t="s">
        <v>139</v>
      </c>
      <c r="DL31" s="36" t="s">
        <v>139</v>
      </c>
      <c r="DM31" s="36" t="s">
        <v>139</v>
      </c>
      <c r="DN31" s="36" t="s">
        <v>139</v>
      </c>
      <c r="DO31" s="36" t="s">
        <v>139</v>
      </c>
      <c r="DP31" s="36" t="s">
        <v>139</v>
      </c>
      <c r="DQ31" s="36" t="s">
        <v>139</v>
      </c>
      <c r="DR31" s="36" t="s">
        <v>139</v>
      </c>
      <c r="DS31" s="36" t="s">
        <v>139</v>
      </c>
      <c r="DT31" s="36" t="s">
        <v>139</v>
      </c>
      <c r="DU31" s="36" t="s">
        <v>139</v>
      </c>
      <c r="DV31" s="36" t="s">
        <v>139</v>
      </c>
      <c r="DW31" s="36" t="s">
        <v>139</v>
      </c>
      <c r="DX31" s="36" t="s">
        <v>139</v>
      </c>
      <c r="DY31" s="36" t="s">
        <v>139</v>
      </c>
      <c r="DZ31" s="36" t="s">
        <v>139</v>
      </c>
      <c r="EA31" s="36" t="s">
        <v>139</v>
      </c>
      <c r="EB31" s="36" t="s">
        <v>139</v>
      </c>
      <c r="EC31" s="36" t="s">
        <v>139</v>
      </c>
      <c r="ED31" s="36" t="s">
        <v>139</v>
      </c>
      <c r="EE31" s="36" t="s">
        <v>139</v>
      </c>
      <c r="EF31" s="36" t="s">
        <v>139</v>
      </c>
      <c r="EG31" s="36" t="s">
        <v>139</v>
      </c>
      <c r="EH31" s="36" t="s">
        <v>139</v>
      </c>
      <c r="EI31" s="36" t="s">
        <v>139</v>
      </c>
      <c r="EJ31" s="36" t="s">
        <v>139</v>
      </c>
      <c r="EK31" s="36" t="s">
        <v>139</v>
      </c>
      <c r="EL31" s="36" t="s">
        <v>139</v>
      </c>
      <c r="EM31" s="36" t="s">
        <v>139</v>
      </c>
      <c r="EN31" s="36" t="s">
        <v>139</v>
      </c>
      <c r="EO31" s="36" t="s">
        <v>139</v>
      </c>
      <c r="EP31" s="36" t="s">
        <v>139</v>
      </c>
      <c r="EQ31" s="36" t="s">
        <v>139</v>
      </c>
      <c r="ER31" s="36" t="s">
        <v>139</v>
      </c>
      <c r="ES31" s="36" t="s">
        <v>139</v>
      </c>
      <c r="ET31" s="36" t="s">
        <v>139</v>
      </c>
      <c r="EU31" s="36" t="s">
        <v>139</v>
      </c>
      <c r="EV31" s="36" t="s">
        <v>139</v>
      </c>
      <c r="EW31" s="36" t="s">
        <v>139</v>
      </c>
      <c r="EX31" s="36" t="s">
        <v>139</v>
      </c>
      <c r="EY31" s="36" t="s">
        <v>139</v>
      </c>
      <c r="EZ31" s="36" t="s">
        <v>139</v>
      </c>
      <c r="FA31" s="36" t="s">
        <v>139</v>
      </c>
      <c r="FB31" s="36" t="s">
        <v>139</v>
      </c>
      <c r="FC31" s="36" t="s">
        <v>139</v>
      </c>
      <c r="FD31" s="36" t="s">
        <v>139</v>
      </c>
      <c r="FE31" s="36" t="s">
        <v>139</v>
      </c>
      <c r="FF31" s="36" t="s">
        <v>139</v>
      </c>
      <c r="FG31" s="36" t="s">
        <v>139</v>
      </c>
      <c r="FH31" s="36" t="s">
        <v>139</v>
      </c>
      <c r="FI31" s="36" t="s">
        <v>139</v>
      </c>
      <c r="FJ31" s="36" t="s">
        <v>139</v>
      </c>
      <c r="FK31" s="36" t="s">
        <v>139</v>
      </c>
      <c r="FL31" s="36" t="s">
        <v>139</v>
      </c>
      <c r="FM31" s="36" t="s">
        <v>139</v>
      </c>
      <c r="FN31" s="36" t="s">
        <v>139</v>
      </c>
      <c r="FO31" s="36" t="s">
        <v>139</v>
      </c>
      <c r="FP31" s="36" t="s">
        <v>139</v>
      </c>
      <c r="FQ31" s="36" t="s">
        <v>139</v>
      </c>
      <c r="FR31" s="36" t="s">
        <v>139</v>
      </c>
      <c r="FS31" s="36" t="s">
        <v>139</v>
      </c>
      <c r="FT31" s="36" t="s">
        <v>139</v>
      </c>
      <c r="FU31" s="36" t="s">
        <v>139</v>
      </c>
      <c r="FV31" s="36" t="s">
        <v>139</v>
      </c>
      <c r="FW31" s="36" t="s">
        <v>139</v>
      </c>
      <c r="FX31" s="36" t="s">
        <v>139</v>
      </c>
      <c r="FY31" s="36" t="s">
        <v>139</v>
      </c>
      <c r="FZ31" s="36" t="s">
        <v>139</v>
      </c>
      <c r="GA31" s="36" t="s">
        <v>139</v>
      </c>
      <c r="GB31" s="36" t="s">
        <v>139</v>
      </c>
      <c r="GC31" s="36" t="s">
        <v>139</v>
      </c>
      <c r="GD31" s="36" t="s">
        <v>139</v>
      </c>
      <c r="GE31" s="36" t="s">
        <v>139</v>
      </c>
      <c r="GF31" s="36" t="s">
        <v>139</v>
      </c>
      <c r="GG31" s="36" t="s">
        <v>139</v>
      </c>
      <c r="GH31" s="36" t="s">
        <v>139</v>
      </c>
      <c r="GI31" s="36" t="s">
        <v>139</v>
      </c>
      <c r="GJ31" s="36" t="s">
        <v>139</v>
      </c>
      <c r="GK31" s="36" t="s">
        <v>139</v>
      </c>
      <c r="GL31" s="36" t="s">
        <v>139</v>
      </c>
      <c r="GM31" s="36" t="s">
        <v>139</v>
      </c>
      <c r="GN31" s="36" t="s">
        <v>139</v>
      </c>
      <c r="GO31" s="36" t="s">
        <v>139</v>
      </c>
      <c r="GP31" s="36" t="s">
        <v>139</v>
      </c>
      <c r="GQ31" s="36" t="s">
        <v>139</v>
      </c>
      <c r="GR31" s="36" t="s">
        <v>139</v>
      </c>
      <c r="GS31" s="36" t="s">
        <v>139</v>
      </c>
      <c r="GT31" s="36" t="s">
        <v>139</v>
      </c>
      <c r="GU31" s="36" t="s">
        <v>139</v>
      </c>
      <c r="GV31" s="36" t="s">
        <v>139</v>
      </c>
      <c r="GW31" s="36" t="s">
        <v>139</v>
      </c>
      <c r="GX31" s="36" t="s">
        <v>139</v>
      </c>
      <c r="GY31" s="36" t="s">
        <v>139</v>
      </c>
      <c r="GZ31" s="36" t="s">
        <v>139</v>
      </c>
      <c r="HA31" s="36" t="s">
        <v>139</v>
      </c>
      <c r="HB31" s="36" t="s">
        <v>139</v>
      </c>
      <c r="HC31" s="36" t="s">
        <v>139</v>
      </c>
      <c r="HD31" s="36" t="s">
        <v>139</v>
      </c>
      <c r="HE31" s="36" t="s">
        <v>139</v>
      </c>
      <c r="HF31" s="36" t="s">
        <v>139</v>
      </c>
      <c r="HG31" s="36" t="s">
        <v>139</v>
      </c>
      <c r="HH31" s="36" t="s">
        <v>139</v>
      </c>
      <c r="HI31" s="36" t="s">
        <v>139</v>
      </c>
      <c r="HJ31" s="36" t="s">
        <v>139</v>
      </c>
      <c r="HK31" s="36" t="s">
        <v>139</v>
      </c>
      <c r="HL31" s="36" t="s">
        <v>139</v>
      </c>
      <c r="HM31" s="36" t="s">
        <v>139</v>
      </c>
      <c r="HN31" s="36" t="s">
        <v>139</v>
      </c>
      <c r="HO31" s="36" t="s">
        <v>139</v>
      </c>
      <c r="HP31" s="36" t="s">
        <v>139</v>
      </c>
      <c r="HQ31" s="36" t="s">
        <v>139</v>
      </c>
      <c r="HR31" s="36" t="s">
        <v>139</v>
      </c>
      <c r="HS31" s="36" t="s">
        <v>139</v>
      </c>
      <c r="HT31" s="36" t="s">
        <v>139</v>
      </c>
      <c r="HU31" s="36" t="s">
        <v>139</v>
      </c>
      <c r="HV31" s="36" t="s">
        <v>139</v>
      </c>
      <c r="HW31" s="36" t="s">
        <v>139</v>
      </c>
      <c r="HX31" s="36" t="s">
        <v>139</v>
      </c>
      <c r="HY31" s="36" t="s">
        <v>139</v>
      </c>
      <c r="HZ31" s="36" t="s">
        <v>139</v>
      </c>
      <c r="IA31" s="36" t="s">
        <v>139</v>
      </c>
      <c r="IB31" s="36" t="s">
        <v>139</v>
      </c>
      <c r="IC31" s="36" t="s">
        <v>139</v>
      </c>
      <c r="ID31" s="36" t="s">
        <v>139</v>
      </c>
      <c r="IE31" s="36" t="s">
        <v>139</v>
      </c>
      <c r="IF31" s="36" t="s">
        <v>139</v>
      </c>
      <c r="IG31" s="36" t="s">
        <v>139</v>
      </c>
      <c r="IH31" s="36" t="s">
        <v>139</v>
      </c>
      <c r="II31" s="36" t="s">
        <v>139</v>
      </c>
      <c r="IJ31" s="36" t="s">
        <v>139</v>
      </c>
      <c r="IK31" s="36" t="s">
        <v>139</v>
      </c>
      <c r="IL31" s="36" t="s">
        <v>139</v>
      </c>
      <c r="IM31" s="36" t="s">
        <v>139</v>
      </c>
      <c r="IN31" s="36" t="s">
        <v>139</v>
      </c>
      <c r="IO31" s="36" t="s">
        <v>139</v>
      </c>
      <c r="IP31" s="36" t="s">
        <v>139</v>
      </c>
      <c r="IQ31" s="36" t="s">
        <v>139</v>
      </c>
      <c r="IR31" s="36" t="s">
        <v>139</v>
      </c>
      <c r="IS31" s="36" t="s">
        <v>139</v>
      </c>
      <c r="IT31" s="36" t="s">
        <v>139</v>
      </c>
      <c r="IU31" s="36" t="s">
        <v>139</v>
      </c>
      <c r="IV31" s="36" t="s">
        <v>139</v>
      </c>
      <c r="IW31" s="36" t="s">
        <v>139</v>
      </c>
      <c r="IX31" s="36" t="s">
        <v>139</v>
      </c>
      <c r="IY31" s="36" t="s">
        <v>139</v>
      </c>
      <c r="IZ31" s="36" t="s">
        <v>139</v>
      </c>
      <c r="JA31" s="36" t="s">
        <v>139</v>
      </c>
      <c r="JB31" s="36" t="s">
        <v>139</v>
      </c>
      <c r="JC31" s="36" t="s">
        <v>139</v>
      </c>
      <c r="JD31" s="36" t="s">
        <v>139</v>
      </c>
      <c r="JE31" s="36" t="s">
        <v>139</v>
      </c>
      <c r="JF31" s="36" t="s">
        <v>139</v>
      </c>
      <c r="JG31" s="36" t="s">
        <v>139</v>
      </c>
      <c r="JH31" s="36" t="s">
        <v>139</v>
      </c>
      <c r="JI31" s="36" t="s">
        <v>139</v>
      </c>
      <c r="JJ31" s="36" t="s">
        <v>139</v>
      </c>
      <c r="JK31" s="36" t="s">
        <v>139</v>
      </c>
      <c r="JL31" s="36" t="s">
        <v>139</v>
      </c>
      <c r="JM31" s="36" t="s">
        <v>139</v>
      </c>
      <c r="JN31" s="36" t="s">
        <v>139</v>
      </c>
      <c r="JO31" s="36" t="s">
        <v>139</v>
      </c>
      <c r="JP31" s="36" t="s">
        <v>139</v>
      </c>
      <c r="JQ31" s="36" t="s">
        <v>139</v>
      </c>
      <c r="JR31" s="36" t="s">
        <v>139</v>
      </c>
      <c r="JS31" s="36" t="s">
        <v>139</v>
      </c>
      <c r="JT31" s="36" t="s">
        <v>139</v>
      </c>
      <c r="JU31" s="36" t="s">
        <v>139</v>
      </c>
      <c r="JV31" s="36" t="s">
        <v>139</v>
      </c>
      <c r="JW31" s="36" t="s">
        <v>139</v>
      </c>
      <c r="JX31" s="36" t="s">
        <v>139</v>
      </c>
      <c r="JY31" s="36" t="s">
        <v>139</v>
      </c>
      <c r="JZ31" s="36" t="s">
        <v>139</v>
      </c>
      <c r="KA31" s="36" t="s">
        <v>139</v>
      </c>
      <c r="KB31" s="36" t="s">
        <v>139</v>
      </c>
      <c r="KC31" s="36" t="s">
        <v>139</v>
      </c>
      <c r="KD31" s="36" t="s">
        <v>139</v>
      </c>
      <c r="KE31" s="36" t="s">
        <v>139</v>
      </c>
      <c r="KF31" s="36" t="s">
        <v>139</v>
      </c>
      <c r="KG31" s="36" t="s">
        <v>139</v>
      </c>
      <c r="KH31" s="36" t="s">
        <v>139</v>
      </c>
      <c r="KI31" s="36" t="s">
        <v>139</v>
      </c>
      <c r="KJ31" s="36" t="s">
        <v>139</v>
      </c>
      <c r="KK31" s="36" t="s">
        <v>139</v>
      </c>
      <c r="KL31" s="36" t="s">
        <v>139</v>
      </c>
      <c r="KM31" s="36" t="s">
        <v>139</v>
      </c>
      <c r="KN31" s="36" t="s">
        <v>139</v>
      </c>
      <c r="KO31" s="36" t="s">
        <v>139</v>
      </c>
      <c r="KP31" s="36" t="s">
        <v>139</v>
      </c>
      <c r="KQ31" s="36" t="s">
        <v>139</v>
      </c>
      <c r="KR31" s="36" t="s">
        <v>139</v>
      </c>
      <c r="KS31" s="36" t="s">
        <v>139</v>
      </c>
      <c r="KT31" s="36" t="s">
        <v>139</v>
      </c>
      <c r="KU31" s="36" t="s">
        <v>139</v>
      </c>
      <c r="KV31" s="36" t="s">
        <v>139</v>
      </c>
      <c r="KW31" s="36" t="s">
        <v>139</v>
      </c>
      <c r="KX31" s="36" t="s">
        <v>139</v>
      </c>
      <c r="KY31" s="36" t="s">
        <v>139</v>
      </c>
      <c r="KZ31" s="36" t="s">
        <v>139</v>
      </c>
      <c r="LA31" s="36" t="s">
        <v>139</v>
      </c>
      <c r="LB31" s="36" t="s">
        <v>139</v>
      </c>
      <c r="LC31" s="36" t="s">
        <v>139</v>
      </c>
      <c r="LD31" s="36" t="s">
        <v>139</v>
      </c>
      <c r="LE31" s="36" t="s">
        <v>139</v>
      </c>
      <c r="LF31" s="36" t="s">
        <v>139</v>
      </c>
      <c r="LG31" s="36" t="s">
        <v>139</v>
      </c>
      <c r="LH31" s="36" t="s">
        <v>139</v>
      </c>
      <c r="LI31" s="36" t="s">
        <v>139</v>
      </c>
      <c r="LJ31" s="36" t="s">
        <v>139</v>
      </c>
      <c r="LK31" s="36" t="s">
        <v>139</v>
      </c>
      <c r="LL31" s="36" t="s">
        <v>139</v>
      </c>
      <c r="LM31" s="36" t="s">
        <v>139</v>
      </c>
      <c r="LN31" s="36" t="s">
        <v>139</v>
      </c>
      <c r="LO31" s="36" t="s">
        <v>139</v>
      </c>
      <c r="LP31" s="36" t="s">
        <v>139</v>
      </c>
      <c r="LQ31" s="36" t="s">
        <v>139</v>
      </c>
      <c r="LR31" s="36" t="s">
        <v>139</v>
      </c>
      <c r="LS31" s="36" t="s">
        <v>139</v>
      </c>
      <c r="LT31" s="36" t="s">
        <v>139</v>
      </c>
      <c r="LU31" s="36" t="s">
        <v>139</v>
      </c>
      <c r="LV31" s="36" t="s">
        <v>139</v>
      </c>
      <c r="LW31" s="36" t="s">
        <v>139</v>
      </c>
      <c r="LX31" s="36" t="s">
        <v>139</v>
      </c>
      <c r="LY31" s="36" t="s">
        <v>139</v>
      </c>
      <c r="LZ31" s="36" t="s">
        <v>139</v>
      </c>
      <c r="MA31" s="36" t="s">
        <v>139</v>
      </c>
      <c r="MB31" s="36" t="s">
        <v>139</v>
      </c>
      <c r="MC31" s="36" t="s">
        <v>139</v>
      </c>
      <c r="MD31" s="36" t="s">
        <v>139</v>
      </c>
      <c r="ME31" s="36" t="s">
        <v>139</v>
      </c>
      <c r="MF31" s="36" t="s">
        <v>139</v>
      </c>
      <c r="MG31" s="36" t="s">
        <v>139</v>
      </c>
      <c r="MH31" s="36" t="s">
        <v>139</v>
      </c>
      <c r="MI31" s="36" t="s">
        <v>139</v>
      </c>
      <c r="MJ31" s="36" t="s">
        <v>139</v>
      </c>
      <c r="MK31" s="36" t="s">
        <v>139</v>
      </c>
      <c r="ML31" s="36" t="s">
        <v>139</v>
      </c>
      <c r="MM31" s="36" t="s">
        <v>139</v>
      </c>
      <c r="MN31" s="36" t="s">
        <v>139</v>
      </c>
      <c r="MO31" s="36" t="s">
        <v>139</v>
      </c>
      <c r="MP31" s="36" t="s">
        <v>139</v>
      </c>
      <c r="MQ31" s="36" t="s">
        <v>139</v>
      </c>
      <c r="MR31" s="36" t="s">
        <v>139</v>
      </c>
      <c r="MS31" s="36" t="s">
        <v>139</v>
      </c>
      <c r="MT31" s="36" t="s">
        <v>139</v>
      </c>
      <c r="MU31" s="36" t="s">
        <v>139</v>
      </c>
      <c r="MV31" s="36" t="s">
        <v>139</v>
      </c>
      <c r="MW31" s="36" t="s">
        <v>139</v>
      </c>
      <c r="MX31" s="36" t="s">
        <v>139</v>
      </c>
      <c r="MY31" s="36" t="s">
        <v>139</v>
      </c>
      <c r="MZ31" s="36" t="s">
        <v>139</v>
      </c>
      <c r="NA31" s="36" t="s">
        <v>139</v>
      </c>
      <c r="NB31" s="36" t="s">
        <v>139</v>
      </c>
      <c r="NC31" s="36" t="s">
        <v>139</v>
      </c>
      <c r="ND31" s="36" t="s">
        <v>139</v>
      </c>
      <c r="NE31" s="36" t="s">
        <v>139</v>
      </c>
      <c r="NF31" s="36" t="s">
        <v>139</v>
      </c>
      <c r="NG31" s="36" t="s">
        <v>139</v>
      </c>
      <c r="NH31" s="36" t="s">
        <v>139</v>
      </c>
      <c r="NI31" s="36" t="s">
        <v>139</v>
      </c>
      <c r="NJ31" s="36" t="s">
        <v>139</v>
      </c>
      <c r="NK31" s="36" t="s">
        <v>139</v>
      </c>
      <c r="NL31" s="36" t="s">
        <v>139</v>
      </c>
      <c r="NM31" s="36" t="s">
        <v>139</v>
      </c>
      <c r="NN31" s="36" t="s">
        <v>139</v>
      </c>
      <c r="NO31" s="36" t="s">
        <v>139</v>
      </c>
      <c r="NP31" s="36" t="s">
        <v>139</v>
      </c>
      <c r="NQ31" s="36" t="s">
        <v>139</v>
      </c>
      <c r="NR31" s="36" t="s">
        <v>139</v>
      </c>
      <c r="NS31" s="36" t="s">
        <v>139</v>
      </c>
      <c r="NT31" s="36" t="s">
        <v>139</v>
      </c>
      <c r="NU31" s="36" t="s">
        <v>139</v>
      </c>
      <c r="NV31" s="36" t="s">
        <v>139</v>
      </c>
      <c r="NW31" s="36" t="s">
        <v>139</v>
      </c>
      <c r="NX31" s="36" t="s">
        <v>139</v>
      </c>
      <c r="NY31" s="36" t="s">
        <v>139</v>
      </c>
      <c r="NZ31" s="36" t="s">
        <v>139</v>
      </c>
      <c r="OA31" s="36" t="s">
        <v>139</v>
      </c>
      <c r="OB31" s="36" t="s">
        <v>139</v>
      </c>
      <c r="OC31" s="36" t="s">
        <v>139</v>
      </c>
      <c r="OD31" s="36" t="s">
        <v>139</v>
      </c>
      <c r="OE31" s="36" t="s">
        <v>139</v>
      </c>
      <c r="OF31" s="36" t="s">
        <v>139</v>
      </c>
      <c r="OG31" s="36" t="s">
        <v>139</v>
      </c>
      <c r="OH31" s="36" t="s">
        <v>139</v>
      </c>
      <c r="OI31" s="36" t="s">
        <v>139</v>
      </c>
      <c r="OJ31" s="36" t="s">
        <v>139</v>
      </c>
      <c r="OK31" s="36" t="s">
        <v>139</v>
      </c>
      <c r="OL31" s="36" t="s">
        <v>139</v>
      </c>
      <c r="OM31" s="36" t="s">
        <v>139</v>
      </c>
      <c r="ON31" s="36" t="s">
        <v>139</v>
      </c>
      <c r="OO31" s="36" t="s">
        <v>139</v>
      </c>
      <c r="OP31" s="36" t="s">
        <v>139</v>
      </c>
      <c r="OQ31" s="36" t="s">
        <v>139</v>
      </c>
      <c r="OR31" s="36" t="s">
        <v>139</v>
      </c>
      <c r="OS31" s="36" t="s">
        <v>139</v>
      </c>
      <c r="OT31" s="36" t="s">
        <v>139</v>
      </c>
      <c r="OU31" s="36" t="s">
        <v>139</v>
      </c>
      <c r="OV31" s="36" t="s">
        <v>139</v>
      </c>
      <c r="OW31" s="36" t="s">
        <v>139</v>
      </c>
      <c r="OX31" s="36" t="s">
        <v>139</v>
      </c>
      <c r="OY31" s="36" t="s">
        <v>139</v>
      </c>
      <c r="OZ31" s="36" t="s">
        <v>139</v>
      </c>
      <c r="PA31" s="36" t="s">
        <v>139</v>
      </c>
      <c r="PB31" s="36" t="s">
        <v>139</v>
      </c>
      <c r="PC31" s="36" t="s">
        <v>139</v>
      </c>
      <c r="PD31" s="36" t="s">
        <v>139</v>
      </c>
      <c r="PE31" s="36" t="s">
        <v>139</v>
      </c>
      <c r="PF31" s="36" t="s">
        <v>139</v>
      </c>
      <c r="PG31" s="36" t="s">
        <v>139</v>
      </c>
      <c r="PH31" s="36" t="s">
        <v>139</v>
      </c>
      <c r="PI31" s="36" t="s">
        <v>139</v>
      </c>
      <c r="PJ31" s="36" t="s">
        <v>139</v>
      </c>
      <c r="PK31" s="36" t="s">
        <v>139</v>
      </c>
      <c r="PL31" s="36" t="s">
        <v>139</v>
      </c>
      <c r="PM31" s="36" t="s">
        <v>139</v>
      </c>
      <c r="PN31" s="36" t="s">
        <v>139</v>
      </c>
      <c r="PO31" s="74">
        <f>COUNTIFS($C$27:$PN$27,("&lt;"&amp;$B$3),$C$27:$PN$27,("&gt;="&amp;$B$2),$C31:$PN31,TabAsistencias[[#Headers],[1]])</f>
        <v>30</v>
      </c>
      <c r="PP31" s="74">
        <f>COUNTIFS($C$27:$PN$27,("&lt;"&amp;$B$3),$C$27:$PN$27,("&gt;="&amp;$B$2),$C31:$PN31,TabAsistencias[[#Headers],[E]])</f>
        <v>0</v>
      </c>
      <c r="PQ31" s="74">
        <f>COUNTIFS($C$27:$PN$27,("&lt;"&amp;$B$3),$C$27:$PN$27,("&gt;="&amp;$B$2),$C31:$PN31,TabAsistencias[[#Headers],[DE]])</f>
        <v>0</v>
      </c>
      <c r="PR31" s="74">
        <f>COUNTIFS($C$27:$PN$27,("&lt;"&amp;$B$3),$C$27:$PN$27,("&gt;="&amp;$B$2),$C31:$PN31,TabAsistencias[[#Headers],[V]])</f>
        <v>0</v>
      </c>
      <c r="PS31" s="74">
        <f>COUNTIFS($C$27:$PN$27,("&lt;"&amp;$B$3),$C$27:$PN$27,("&gt;="&amp;$B$2),$C31:$PN31,TabAsistencias[[#Headers],[DO]])</f>
        <v>0</v>
      </c>
      <c r="PT31" s="74">
        <f>COUNTIFS($C$27:$PN$27,("&lt;"&amp;$B$3),$C$27:$PN$27,("&gt;="&amp;$B$2),$C31:$PN31,TabAsistencias[[#Headers],[P]])</f>
        <v>0</v>
      </c>
      <c r="PU31" s="74">
        <f>COUNTIFS($C$27:$PN$27,("&lt;"&amp;$B$3),$C$27:$PN$27,("&gt;="&amp;$B$2),$C31:$PN31,TabAsistencias[[#Headers],[F]])</f>
        <v>0</v>
      </c>
      <c r="PV31" s="74">
        <f>COUNTIFS($C$27:$PN$27,("&lt;"&amp;$B$3),$C$27:$PN$27,("&gt;="&amp;$B$2),$C31:$PN31,TabAsistencias[[#Headers],[R]])</f>
        <v>0</v>
      </c>
      <c r="PW31" s="74">
        <f>COUNTIFS($C$27:$PN$27,("&lt;"&amp;$B$3),$C$27:$PN$27,("&gt;="&amp;$B$2),$C31:$PN31,TabAsistencias[[#Headers],[PP]])</f>
        <v>0</v>
      </c>
      <c r="PX31" s="74">
        <f>COUNTIFS($C$27:$PN$27,("&lt;"&amp;$B$3),$C$27:$PN$27,("&gt;="&amp;$B$2),$C31:$PN31,TabAsistencias[[#Headers],[0]])</f>
        <v>0</v>
      </c>
      <c r="PY31" s="74">
        <f>COUNTIFS($C$27:$PN$27,("&lt;"&amp;$B$3),$C$27:$PN$27,("&gt;="&amp;$B$2),$C31:$PN31,TabAsistencias[[#Headers],[IG]])</f>
        <v>0</v>
      </c>
      <c r="PZ31" s="74">
        <f>COUNTIFS($C$27:$PN$27,("&lt;"&amp;$B$3),$C$27:$PN$27,("&gt;="&amp;$B$2),$C31:$PN31,TabAsistencias[[#Headers],[NA]])</f>
        <v>0</v>
      </c>
      <c r="QA31" s="74">
        <f>COUNTIFS($C$27:$PN$27,("&lt;"&amp;$B$3),$C$27:$PN$27,("&gt;="&amp;$B$2),$C31:$PN31,TabAsistencias[[#Headers],[DF]])</f>
        <v>0</v>
      </c>
      <c r="QB31" s="74">
        <f>COUNTIFS($C$27:$PN$27,("&lt;"&amp;$B$3),$C$27:$PN$27,("&gt;="&amp;$B$2),$C31:$PN31,TabAsistencias[[#Headers],[3]])</f>
        <v>0</v>
      </c>
      <c r="QC31" s="74">
        <f>COUNTIFS($C$27:$PN$27,("&lt;"&amp;$B$3),$C$27:$PN$27,("&gt;="&amp;$B$2),$C31:$PN31,TabAsistencias[[#Headers],[CP]])</f>
        <v>0</v>
      </c>
      <c r="QD31" s="74">
        <f>COUNTIFS($C$27:$PN$27,("&lt;"&amp;$B$3),$C$27:$PN$27,("&gt;="&amp;$B$2),$C31:$PN31,TabAsistencias[[#Headers],[I]])</f>
        <v>0</v>
      </c>
      <c r="QE31" s="74">
        <f>COUNTIFS($C$27:$PN$27,("&lt;"&amp;$B$3),$C$27:$PN$27,("&gt;="&amp;$B$2),$C31:$PN31,TabAsistencias[[#Headers],[T/2]])</f>
        <v>0</v>
      </c>
      <c r="QF31" s="74">
        <f>COUNTIFS($C$27:$PN$27,("&lt;"&amp;$B$3),$C$27:$PN$27,("&gt;="&amp;$B$2),$C31:$PN31,TabAsistencias[[#Headers],[ME]])</f>
        <v>0</v>
      </c>
      <c r="QG31" s="74">
        <f>COUNTIFS($C$27:$PN$27,("&lt;"&amp;$B$3),$C$27:$PN$27,("&gt;="&amp;$B$2),$C31:$PN31,TabAsistencias[[#Headers],[DP]])</f>
        <v>0</v>
      </c>
      <c r="QH31" s="74">
        <f>COUNTIFS($C$27:$PN$27,("&lt;"&amp;$B$3),$C$27:$PN$27,("&gt;="&amp;$B$2),$C31:$PN31,TabAsistencias[[#Headers],[B]])</f>
        <v>0</v>
      </c>
      <c r="QI31" s="74">
        <f>(TabAsistencias[[#This Row],[1]]*'Tablas de informacion'!$C$124)+(TabAsistencias[[#This Row],[E]]*'Tablas de informacion'!$C$125)+(TabAsistencias[[#This Row],[DE]]*'Tablas de informacion'!C$126)+(TabAsistencias[[#This Row],[V]]*'Tablas de informacion'!C$127)+(TabAsistencias[[#This Row],[DO]]*'Tablas de informacion'!C$128)+(TabAsistencias[[#This Row],[P]]*'Tablas de informacion'!C$129)+(TabAsistencias[[#This Row],[F]]*'Tablas de informacion'!C$130)+(TabAsistencias[[#This Row],[R]]*'Tablas de informacion'!C$131)+(TabAsistencias[[#This Row],[PP]]*'Tablas de informacion'!C$132)+(TabAsistencias[[#This Row],[0]]*'Tablas de informacion'!C$133)+(TabAsistencias[[#This Row],[IG]]*'Tablas de informacion'!C$134)+(TabAsistencias[[#This Row],[NA]]*'Tablas de informacion'!C$135)+(TabAsistencias[[#This Row],[DF]]*'Tablas de informacion'!C$136)+(TabAsistencias[[#This Row],[3]]*'Tablas de informacion'!C$137)+(TabAsistencias[[#This Row],[CP]]*'Tablas de informacion'!C$138)+(TabAsistencias[[#This Row],[I]]*'Tablas de informacion'!C$139)+(TabAsistencias[[#This Row],[T/2]]*'Tablas de informacion'!C$140)+(TabAsistencias[[#This Row],[ME]]*'Tablas de informacion'!C$141)+(TabAsistencias[[#This Row],[DP]]*'Tablas de informacion'!C$142)+(TabAsistencias[[#This Row],[B]]*'Tablas de informacion'!C$143)-INT(TabAsistencias[[#This Row],[R]]/3)</f>
        <v>30</v>
      </c>
      <c r="QJ31" s="74">
        <f>COUNTIFS($C$27:$PN$27,("&lt;"&amp;$B$3),$C$27:$PN$27,("&gt;="&amp;$B$2),$C$28:$PN$28,1,$C31:$PN31,TabAsistencias[[#Headers],[1]])+
COUNTIFS($C$27:$PN$27,("&lt;"&amp;$B$3),$C$27:$PN$27,("&gt;="&amp;$B$2),$C$28:$PN$28,1,$C31:$PN31,TabAsistencias[[#Headers],[DO]])+
COUNTIFS($C$27:$PN$27,("&lt;"&amp;$B$3),$C$27:$PN$27,("&gt;="&amp;$B$2),$C$28:$PN$28,1,$C31:$PN31,TabAsistencias[[#Headers],[R]])+
COUNTIFS($C$27:$PN$27,("&lt;"&amp;$B$3),$C$27:$PN$27,("&gt;="&amp;$B$2),$C$28:$PN$28,1,$C31:$PN31,TabAsistencias[[#Headers],[NA]])+
COUNTIFS($C$27:$PN$27,("&lt;"&amp;$B$3),$C$27:$PN$27,("&gt;="&amp;$B$2),$C$28:$PN$28,1,$C31:$PN31,TabAsistencias[[#Headers],[DF]])+
COUNTIFS($C$27:$PN$27,("&lt;"&amp;$B$3),$C$27:$PN$27,("&gt;="&amp;$B$2),$C$28:$PN$28,1,$C31:$PN31,TabAsistencias[[#Headers],[3]])+
COUNTIFS($C$27:$PN$27,("&lt;"&amp;$B$3),$C$27:$PN$27,("&gt;="&amp;$B$2),$C$28:$PN$28,1,$C31:$PN31,TabAsistencias[[#Headers],[CP]])+
COUNTIFS($C$27:$PN$27,("&lt;"&amp;$B$3),$C$27:$PN$27,("&gt;="&amp;$B$2),$C$28:$PN$28,1,$C31:$PN31,TabAsistencias[[#Headers],[T/2]])</f>
        <v>4</v>
      </c>
      <c r="QK31" s="315" cm="1">
        <f t="array" ref="QK31">IFERROR(VLOOKUP(
DATEDIF((VLOOKUP(TabAsistencias[[#This Row],[ID]],TabEmpleados[],COLUMN(TabEmpleados[Fecha de ingreso]),FALSE)),Asistencias!$B$3,"Y"),
TabFactorIntegracion[],COLUMN(TabFactorIntegracion[Días vacacionales
establecidos por ley]),FALSE),0)
-
COUNTIF($AH31:$PN31,TabAsistencias[[#Headers],[V]])</f>
        <v>12</v>
      </c>
      <c r="QL31" s="316">
        <f>SUM(TabAsistencias[[#This Row],[''1]],TabAsistencias[[#This Row],[''DE]],TabAsistencias[[#This Row],[''DO]],TabAsistencias[[#This Row],[''R]],TabAsistencias[[#This Row],[''NA]],TabAsistencias[[#This Row],[''DF]],TabAsistencias[[#This Row],[''3]],TabAsistencias[[#This Row],[''CP]],TabAsistencias[[#This Row],[''T/2]],TabAsistencias[[#This Row],[''DP]])</f>
        <v>73</v>
      </c>
      <c r="QM31" s="317">
        <f>COUNTIFS($C$27:$PN$27,("&lt;"&amp;$B$5),$C$27:$PN$27,("&gt;="&amp;$B$4),$C31:$PN31,TabAsistencias[[#Headers],[1]])</f>
        <v>73</v>
      </c>
      <c r="QN31" s="317">
        <f>COUNTIFS($C$27:$PN$27,("&lt;"&amp;$B$5),$C$27:$PN$27,("&gt;="&amp;$B$4),$C31:$PN31,TabAsistencias[[#Headers],[DE]])</f>
        <v>0</v>
      </c>
      <c r="QO31" s="317">
        <f>COUNTIFS($C$27:$PN$27,("&lt;"&amp;$B$5),$C$27:$PN$27,("&gt;="&amp;$B$4),$C31:$PN31,TabAsistencias[[#Headers],[V]])</f>
        <v>0</v>
      </c>
      <c r="QP31" s="317">
        <f>COUNTIFS($C$27:$PN$27,("&lt;"&amp;$B$5),$C$27:$PN$27,("&gt;="&amp;$B$4),$C31:$PN31,TabAsistencias[[#Headers],[DO]])</f>
        <v>0</v>
      </c>
      <c r="QQ31" s="317">
        <f>COUNTIFS($C$27:$PN$27,("&lt;"&amp;$B$5),$C$27:$PN$27,("&gt;="&amp;$B$4),$C31:$PN31,TabAsistencias[[#Headers],[P]])</f>
        <v>0</v>
      </c>
      <c r="QR31" s="317">
        <f>COUNTIFS($C$27:$PN$27,("&lt;"&amp;$B$5),$C$27:$PN$27,("&gt;="&amp;$B$4),$C31:$PN31,TabAsistencias[[#Headers],[F]])</f>
        <v>0</v>
      </c>
      <c r="QS31" s="317">
        <f>COUNTIFS($C$27:$PN$27,("&lt;"&amp;$B$5),$C$27:$PN$27,("&gt;="&amp;$B$4),$C31:$PN31,TabAsistencias[[#Headers],[R]])</f>
        <v>0</v>
      </c>
      <c r="QT31" s="317">
        <f>COUNTIFS($C$27:$PN$27,("&lt;"&amp;$B$5),$C$27:$PN$27,("&gt;="&amp;$B$4),$C31:$PN31,TabAsistencias[[#Headers],[PP]])</f>
        <v>0</v>
      </c>
      <c r="QU31" s="317">
        <f>COUNTIFS($C$27:$PN$27,("&lt;"&amp;$B$5),$C$27:$PN$27,("&gt;="&amp;$B$4),$C31:$PN31,TabAsistencias[[#Headers],[0]])</f>
        <v>0</v>
      </c>
      <c r="QV31" s="317">
        <f>COUNTIFS($C$27:$PN$27,("&lt;"&amp;$B$5),$C$27:$PN$27,("&gt;="&amp;$B$4),$C31:$PN31,TabAsistencias[[#Headers],[IG]])</f>
        <v>0</v>
      </c>
      <c r="QW31" s="317">
        <f>COUNTIFS($C$27:$PN$27,("&lt;"&amp;$B$5),$C$27:$PN$27,("&gt;="&amp;$B$4),$C31:$PN31,TabAsistencias[[#Headers],[NA]])</f>
        <v>0</v>
      </c>
      <c r="QX31" s="317">
        <f>COUNTIFS($C$27:$PN$27,("&lt;"&amp;$B$5),$C$27:$PN$27,("&gt;="&amp;$B$4),$C31:$PN31,TabAsistencias[[#Headers],[DF]])</f>
        <v>0</v>
      </c>
      <c r="QY31" s="317">
        <f>COUNTIFS($C$27:$PN$27,("&lt;"&amp;$B$5),$C$27:$PN$27,("&gt;="&amp;$B$4),$C31:$PN31,TabAsistencias[[#Headers],[3]])</f>
        <v>0</v>
      </c>
      <c r="QZ31" s="317">
        <f>COUNTIFS($C$27:$PN$27,("&lt;"&amp;$B$5),$C$27:$PN$27,("&gt;="&amp;$B$4),$C31:$PN31,TabAsistencias[[#Headers],[CP]])</f>
        <v>0</v>
      </c>
      <c r="RA31" s="317">
        <f>COUNTIFS($C$27:$PN$27,("&lt;"&amp;$B$5),$C$27:$PN$27,("&gt;="&amp;$B$4),$C31:$PN31,TabAsistencias[[#Headers],[I]])</f>
        <v>0</v>
      </c>
      <c r="RB31" s="317">
        <f>COUNTIFS($C$27:$PN$27,("&lt;"&amp;$B$5),$C$27:$PN$27,("&gt;="&amp;$B$4),$C31:$PN31,TabAsistencias[[#Headers],[T/2]])</f>
        <v>0</v>
      </c>
      <c r="RC31" s="317">
        <f>COUNTIFS($C$27:$PN$27,("&lt;"&amp;$B$5),$C$27:$PN$27,("&gt;="&amp;$B$4),$C31:$PN31,TabAsistencias[[#Headers],[ME]])</f>
        <v>0</v>
      </c>
      <c r="RD31" s="317">
        <f>COUNTIFS($C$27:$PN$27,("&lt;"&amp;$B$5),$C$27:$PN$27,("&gt;="&amp;$B$4),$C31:$PN31,TabAsistencias[[#Headers],[DP]])</f>
        <v>0</v>
      </c>
      <c r="RE31" s="317">
        <f>COUNTIFS($C$27:$PN$27,("&lt;"&amp;$B$5),$C$27:$PN$27,("&gt;="&amp;$B$4),$C31:$PN31,TabAsistencias[[#Headers],[B]])</f>
        <v>0</v>
      </c>
      <c r="RF31" s="317">
        <f>COUNTIFS($C$27:$PN$27,("&lt;"&amp;$B$5),$C$27:$PN$27,("&gt;="&amp;$B$4),$C$28:$PN$28,1,$C31:$PN31,TabAsistencias[[#Headers],[1]])+
COUNTIFS($C$27:$PN$27,("&lt;"&amp;$B$5),$C$27:$PN$27,("&gt;="&amp;$B$4),$C$28:$PN$28,1,$C31:$PN31,TabAsistencias[[#Headers],[DO]])+
COUNTIFS($C$27:$PN$27,("&lt;"&amp;$B$5),$C$27:$PN$27,("&gt;="&amp;$B$4),$C$28:$PN$28,1,$C31:$PN31,TabAsistencias[[#Headers],[R]])+
COUNTIFS($C$27:$PN$27,("&lt;"&amp;$B$5),$C$27:$PN$27,("&gt;="&amp;$B$4),$C$28:$PN$28,1,$C31:$PN31,TabAsistencias[[#Headers],[NA]])+
COUNTIFS($C$27:$PN$27,("&lt;"&amp;$B$5),$C$27:$PN$27,("&gt;="&amp;$B$4),$C$28:$PN$28,1,$C31:$PN31,TabAsistencias[[#Headers],[DF]])+
COUNTIFS($C$27:$PN$27,("&lt;"&amp;$B$5),$C$27:$PN$27,("&gt;="&amp;$B$4),$C$28:$PN$28,1,$C31:$PN31,TabAsistencias[[#Headers],[3]])+
COUNTIFS($C$27:$PN$27,("&lt;"&amp;$B$5),$C$27:$PN$27,("&gt;="&amp;$B$4),$C$28:$PN$28,1,$C31:$PN31,TabAsistencias[[#Headers],[CP]])+
COUNTIFS($C$27:$PN$27,("&lt;"&amp;$B$5),$C$27:$PN$27,("&gt;="&amp;$B$4),$C$28:$PN$28,1,$C31:$PN31,TabAsistencias[[#Headers],[T/2]])</f>
        <v>11</v>
      </c>
      <c r="RG31" s="318" cm="1">
        <f t="array" ref="RG31">IFERROR(VLOOKUP(
DATEDIF((VLOOKUP(TabAsistencias[[#This Row],[ID]],TabEmpleados[],COLUMN(TabEmpleados[Fecha de alta NSS]),FALSE)),Asistencias!$B$3,"Y"),
TabFactorIntegracion[],COLUMN(TabFactorIntegracion[Días vacacionales
establecidos por ley]),FALSE),0)
-
COUNTIF($AH31:$PN31,TabAsistencias[[#Headers],[V]])</f>
        <v>12</v>
      </c>
    </row>
    <row r="32" spans="1:475" x14ac:dyDescent="0.25">
      <c r="A32" s="92">
        <f>A31+1</f>
        <v>2</v>
      </c>
      <c r="B32" s="30" t="str" cm="1">
        <f t="array" ref="B32">VLOOKUP(TabAsistencias[[#This Row],[ID]],TabEmpleados[],COLUMN(TabEmpleados[Nombre]),FALSE)</f>
        <v>RUIZ OLMEDO MARCO ANTONIO</v>
      </c>
      <c r="C32" s="36" t="s">
        <v>139</v>
      </c>
      <c r="D32" s="36" t="s">
        <v>139</v>
      </c>
      <c r="E32" s="36" t="s">
        <v>139</v>
      </c>
      <c r="F32" s="36" t="s">
        <v>139</v>
      </c>
      <c r="G32" s="36" t="s">
        <v>139</v>
      </c>
      <c r="H32" s="36" t="s">
        <v>139</v>
      </c>
      <c r="I32" s="36" t="s">
        <v>139</v>
      </c>
      <c r="J32" s="36" t="s">
        <v>139</v>
      </c>
      <c r="K32" s="36" t="s">
        <v>139</v>
      </c>
      <c r="L32" s="36" t="s">
        <v>139</v>
      </c>
      <c r="M32" s="36" t="s">
        <v>139</v>
      </c>
      <c r="N32" s="36" t="s">
        <v>139</v>
      </c>
      <c r="O32" s="36" t="s">
        <v>139</v>
      </c>
      <c r="P32" s="36" t="s">
        <v>139</v>
      </c>
      <c r="Q32" s="36" t="s">
        <v>139</v>
      </c>
      <c r="R32" s="36" t="s">
        <v>139</v>
      </c>
      <c r="S32" s="36" t="s">
        <v>139</v>
      </c>
      <c r="T32" s="36" t="s">
        <v>139</v>
      </c>
      <c r="U32" s="36" t="s">
        <v>139</v>
      </c>
      <c r="V32" s="36" t="s">
        <v>139</v>
      </c>
      <c r="W32" s="36" t="s">
        <v>139</v>
      </c>
      <c r="X32" s="36" t="s">
        <v>139</v>
      </c>
      <c r="Y32" s="36" t="s">
        <v>139</v>
      </c>
      <c r="Z32" s="36" t="s">
        <v>139</v>
      </c>
      <c r="AA32" s="36" t="s">
        <v>139</v>
      </c>
      <c r="AB32" s="36" t="s">
        <v>139</v>
      </c>
      <c r="AC32" s="36" t="s">
        <v>139</v>
      </c>
      <c r="AD32" s="36" t="s">
        <v>139</v>
      </c>
      <c r="AE32" s="36" t="s">
        <v>139</v>
      </c>
      <c r="AF32" s="36" t="s">
        <v>139</v>
      </c>
      <c r="AG32" s="36" t="s">
        <v>139</v>
      </c>
      <c r="AH32" s="36" t="s">
        <v>132</v>
      </c>
      <c r="AI32" s="36" t="s">
        <v>139</v>
      </c>
      <c r="AJ32" s="36" t="s">
        <v>139</v>
      </c>
      <c r="AK32" s="36" t="s">
        <v>139</v>
      </c>
      <c r="AL32" s="36" t="s">
        <v>139</v>
      </c>
      <c r="AM32" s="36" t="s">
        <v>139</v>
      </c>
      <c r="AN32" s="36" t="s">
        <v>139</v>
      </c>
      <c r="AO32" s="36" t="s">
        <v>139</v>
      </c>
      <c r="AP32" s="36" t="s">
        <v>139</v>
      </c>
      <c r="AQ32" s="36" t="s">
        <v>139</v>
      </c>
      <c r="AR32" s="36" t="s">
        <v>139</v>
      </c>
      <c r="AS32" s="36" t="s">
        <v>139</v>
      </c>
      <c r="AT32" s="36" t="s">
        <v>139</v>
      </c>
      <c r="AU32" s="36" t="s">
        <v>139</v>
      </c>
      <c r="AV32" s="36" t="s">
        <v>139</v>
      </c>
      <c r="AW32" s="36" t="s">
        <v>139</v>
      </c>
      <c r="AX32" s="36" t="s">
        <v>139</v>
      </c>
      <c r="AY32" s="36" t="s">
        <v>139</v>
      </c>
      <c r="AZ32" s="36" t="s">
        <v>139</v>
      </c>
      <c r="BA32" s="36" t="s">
        <v>139</v>
      </c>
      <c r="BB32" s="36" t="s">
        <v>139</v>
      </c>
      <c r="BC32" s="36" t="s">
        <v>139</v>
      </c>
      <c r="BD32" s="36" t="s">
        <v>139</v>
      </c>
      <c r="BE32" s="36" t="s">
        <v>139</v>
      </c>
      <c r="BF32" s="36" t="s">
        <v>139</v>
      </c>
      <c r="BG32" s="36" t="s">
        <v>139</v>
      </c>
      <c r="BH32" s="36" t="s">
        <v>139</v>
      </c>
      <c r="BI32" s="36" t="s">
        <v>139</v>
      </c>
      <c r="BJ32" s="36" t="s">
        <v>139</v>
      </c>
      <c r="BK32" s="36" t="s">
        <v>139</v>
      </c>
      <c r="BL32" s="36" t="s">
        <v>139</v>
      </c>
      <c r="BM32" s="36" t="s">
        <v>139</v>
      </c>
      <c r="BN32" s="36" t="s">
        <v>139</v>
      </c>
      <c r="BO32" s="36" t="s">
        <v>139</v>
      </c>
      <c r="BP32" s="36" t="s">
        <v>139</v>
      </c>
      <c r="BQ32" s="36" t="s">
        <v>139</v>
      </c>
      <c r="BR32" s="36" t="s">
        <v>139</v>
      </c>
      <c r="BS32" s="36" t="s">
        <v>139</v>
      </c>
      <c r="BT32" s="36" t="s">
        <v>139</v>
      </c>
      <c r="BU32" s="36" t="s">
        <v>139</v>
      </c>
      <c r="BV32" s="36" t="s">
        <v>139</v>
      </c>
      <c r="BW32" s="36" t="s">
        <v>139</v>
      </c>
      <c r="BX32" s="36" t="s">
        <v>139</v>
      </c>
      <c r="BY32" s="36" t="s">
        <v>139</v>
      </c>
      <c r="BZ32" s="36" t="s">
        <v>139</v>
      </c>
      <c r="CA32" s="36" t="s">
        <v>139</v>
      </c>
      <c r="CB32" s="36" t="s">
        <v>139</v>
      </c>
      <c r="CC32" s="36" t="s">
        <v>139</v>
      </c>
      <c r="CD32" s="36" t="s">
        <v>139</v>
      </c>
      <c r="CE32" s="36" t="s">
        <v>139</v>
      </c>
      <c r="CF32" s="36" t="s">
        <v>139</v>
      </c>
      <c r="CG32" s="36" t="s">
        <v>139</v>
      </c>
      <c r="CH32" s="36" t="s">
        <v>139</v>
      </c>
      <c r="CI32" s="36" t="s">
        <v>139</v>
      </c>
      <c r="CJ32" s="36" t="s">
        <v>139</v>
      </c>
      <c r="CK32" s="36" t="s">
        <v>139</v>
      </c>
      <c r="CL32" s="36" t="s">
        <v>139</v>
      </c>
      <c r="CM32" s="36" t="s">
        <v>139</v>
      </c>
      <c r="CN32" s="36" t="s">
        <v>139</v>
      </c>
      <c r="CO32" s="36" t="s">
        <v>139</v>
      </c>
      <c r="CP32" s="36" t="s">
        <v>139</v>
      </c>
      <c r="CQ32" s="36" t="s">
        <v>139</v>
      </c>
      <c r="CR32" s="36" t="s">
        <v>139</v>
      </c>
      <c r="CS32" s="36" t="s">
        <v>139</v>
      </c>
      <c r="CT32" s="36" t="s">
        <v>139</v>
      </c>
      <c r="CU32" s="36" t="s">
        <v>139</v>
      </c>
      <c r="CV32" s="36" t="s">
        <v>139</v>
      </c>
      <c r="CW32" s="36" t="s">
        <v>139</v>
      </c>
      <c r="CX32" s="36" t="s">
        <v>139</v>
      </c>
      <c r="CY32" s="36" t="s">
        <v>139</v>
      </c>
      <c r="CZ32" s="36" t="s">
        <v>139</v>
      </c>
      <c r="DA32" s="36" t="s">
        <v>139</v>
      </c>
      <c r="DB32" s="36" t="s">
        <v>139</v>
      </c>
      <c r="DC32" s="36" t="s">
        <v>139</v>
      </c>
      <c r="DD32" s="36" t="s">
        <v>139</v>
      </c>
      <c r="DE32" s="36" t="s">
        <v>139</v>
      </c>
      <c r="DF32" s="36" t="s">
        <v>139</v>
      </c>
      <c r="DG32" s="36" t="s">
        <v>139</v>
      </c>
      <c r="DH32" s="36" t="s">
        <v>139</v>
      </c>
      <c r="DI32" s="36" t="s">
        <v>139</v>
      </c>
      <c r="DJ32" s="36" t="s">
        <v>139</v>
      </c>
      <c r="DK32" s="36" t="s">
        <v>139</v>
      </c>
      <c r="DL32" s="36" t="s">
        <v>139</v>
      </c>
      <c r="DM32" s="36" t="s">
        <v>139</v>
      </c>
      <c r="DN32" s="36" t="s">
        <v>139</v>
      </c>
      <c r="DO32" s="36" t="s">
        <v>139</v>
      </c>
      <c r="DP32" s="36" t="s">
        <v>139</v>
      </c>
      <c r="DQ32" s="36" t="s">
        <v>139</v>
      </c>
      <c r="DR32" s="36" t="s">
        <v>139</v>
      </c>
      <c r="DS32" s="36" t="s">
        <v>139</v>
      </c>
      <c r="DT32" s="36" t="s">
        <v>139</v>
      </c>
      <c r="DU32" s="36" t="s">
        <v>139</v>
      </c>
      <c r="DV32" s="36" t="s">
        <v>139</v>
      </c>
      <c r="DW32" s="36" t="s">
        <v>139</v>
      </c>
      <c r="DX32" s="36" t="s">
        <v>139</v>
      </c>
      <c r="DY32" s="36" t="s">
        <v>139</v>
      </c>
      <c r="DZ32" s="36" t="s">
        <v>139</v>
      </c>
      <c r="EA32" s="36" t="s">
        <v>139</v>
      </c>
      <c r="EB32" s="36" t="s">
        <v>139</v>
      </c>
      <c r="EC32" s="36" t="s">
        <v>139</v>
      </c>
      <c r="ED32" s="36" t="s">
        <v>139</v>
      </c>
      <c r="EE32" s="36" t="s">
        <v>139</v>
      </c>
      <c r="EF32" s="36" t="s">
        <v>139</v>
      </c>
      <c r="EG32" s="36" t="s">
        <v>139</v>
      </c>
      <c r="EH32" s="36" t="s">
        <v>139</v>
      </c>
      <c r="EI32" s="36" t="s">
        <v>139</v>
      </c>
      <c r="EJ32" s="36" t="s">
        <v>139</v>
      </c>
      <c r="EK32" s="36" t="s">
        <v>139</v>
      </c>
      <c r="EL32" s="36" t="s">
        <v>139</v>
      </c>
      <c r="EM32" s="36" t="s">
        <v>139</v>
      </c>
      <c r="EN32" s="36" t="s">
        <v>139</v>
      </c>
      <c r="EO32" s="36" t="s">
        <v>139</v>
      </c>
      <c r="EP32" s="36" t="s">
        <v>139</v>
      </c>
      <c r="EQ32" s="36" t="s">
        <v>139</v>
      </c>
      <c r="ER32" s="36" t="s">
        <v>139</v>
      </c>
      <c r="ES32" s="36" t="s">
        <v>139</v>
      </c>
      <c r="ET32" s="36" t="s">
        <v>139</v>
      </c>
      <c r="EU32" s="36" t="s">
        <v>139</v>
      </c>
      <c r="EV32" s="36" t="s">
        <v>139</v>
      </c>
      <c r="EW32" s="36" t="s">
        <v>139</v>
      </c>
      <c r="EX32" s="36" t="s">
        <v>139</v>
      </c>
      <c r="EY32" s="36" t="s">
        <v>139</v>
      </c>
      <c r="EZ32" s="36" t="s">
        <v>139</v>
      </c>
      <c r="FA32" s="36" t="s">
        <v>139</v>
      </c>
      <c r="FB32" s="36" t="s">
        <v>139</v>
      </c>
      <c r="FC32" s="36" t="s">
        <v>139</v>
      </c>
      <c r="FD32" s="36" t="s">
        <v>139</v>
      </c>
      <c r="FE32" s="36" t="s">
        <v>139</v>
      </c>
      <c r="FF32" s="36" t="s">
        <v>139</v>
      </c>
      <c r="FG32" s="36" t="s">
        <v>139</v>
      </c>
      <c r="FH32" s="36" t="s">
        <v>139</v>
      </c>
      <c r="FI32" s="36" t="s">
        <v>139</v>
      </c>
      <c r="FJ32" s="36" t="s">
        <v>139</v>
      </c>
      <c r="FK32" s="36" t="s">
        <v>139</v>
      </c>
      <c r="FL32" s="36" t="s">
        <v>139</v>
      </c>
      <c r="FM32" s="36" t="s">
        <v>139</v>
      </c>
      <c r="FN32" s="36" t="s">
        <v>139</v>
      </c>
      <c r="FO32" s="36" t="s">
        <v>139</v>
      </c>
      <c r="FP32" s="36" t="s">
        <v>139</v>
      </c>
      <c r="FQ32" s="36" t="s">
        <v>139</v>
      </c>
      <c r="FR32" s="36" t="s">
        <v>139</v>
      </c>
      <c r="FS32" s="36" t="s">
        <v>139</v>
      </c>
      <c r="FT32" s="36" t="s">
        <v>139</v>
      </c>
      <c r="FU32" s="36" t="s">
        <v>139</v>
      </c>
      <c r="FV32" s="36" t="s">
        <v>139</v>
      </c>
      <c r="FW32" s="36" t="s">
        <v>139</v>
      </c>
      <c r="FX32" s="36" t="s">
        <v>139</v>
      </c>
      <c r="FY32" s="36" t="s">
        <v>139</v>
      </c>
      <c r="FZ32" s="36" t="s">
        <v>139</v>
      </c>
      <c r="GA32" s="36" t="s">
        <v>139</v>
      </c>
      <c r="GB32" s="36" t="s">
        <v>139</v>
      </c>
      <c r="GC32" s="36" t="s">
        <v>139</v>
      </c>
      <c r="GD32" s="36" t="s">
        <v>139</v>
      </c>
      <c r="GE32" s="36" t="s">
        <v>139</v>
      </c>
      <c r="GF32" s="36" t="s">
        <v>139</v>
      </c>
      <c r="GG32" s="36" t="s">
        <v>139</v>
      </c>
      <c r="GH32" s="36" t="s">
        <v>139</v>
      </c>
      <c r="GI32" s="36" t="s">
        <v>139</v>
      </c>
      <c r="GJ32" s="36" t="s">
        <v>139</v>
      </c>
      <c r="GK32" s="36" t="s">
        <v>139</v>
      </c>
      <c r="GL32" s="36" t="s">
        <v>139</v>
      </c>
      <c r="GM32" s="36" t="s">
        <v>139</v>
      </c>
      <c r="GN32" s="36" t="s">
        <v>139</v>
      </c>
      <c r="GO32" s="36" t="s">
        <v>139</v>
      </c>
      <c r="GP32" s="36" t="s">
        <v>139</v>
      </c>
      <c r="GQ32" s="36" t="s">
        <v>139</v>
      </c>
      <c r="GR32" s="36" t="s">
        <v>139</v>
      </c>
      <c r="GS32" s="36" t="s">
        <v>139</v>
      </c>
      <c r="GT32" s="36" t="s">
        <v>139</v>
      </c>
      <c r="GU32" s="36" t="s">
        <v>139</v>
      </c>
      <c r="GV32" s="36" t="s">
        <v>139</v>
      </c>
      <c r="GW32" s="36" t="s">
        <v>139</v>
      </c>
      <c r="GX32" s="36" t="s">
        <v>139</v>
      </c>
      <c r="GY32" s="36" t="s">
        <v>139</v>
      </c>
      <c r="GZ32" s="36" t="s">
        <v>139</v>
      </c>
      <c r="HA32" s="36" t="s">
        <v>139</v>
      </c>
      <c r="HB32" s="36" t="s">
        <v>139</v>
      </c>
      <c r="HC32" s="36" t="s">
        <v>139</v>
      </c>
      <c r="HD32" s="36" t="s">
        <v>139</v>
      </c>
      <c r="HE32" s="36" t="s">
        <v>139</v>
      </c>
      <c r="HF32" s="36" t="s">
        <v>139</v>
      </c>
      <c r="HG32" s="36" t="s">
        <v>139</v>
      </c>
      <c r="HH32" s="36" t="s">
        <v>139</v>
      </c>
      <c r="HI32" s="36" t="s">
        <v>139</v>
      </c>
      <c r="HJ32" s="36" t="s">
        <v>139</v>
      </c>
      <c r="HK32" s="36" t="s">
        <v>139</v>
      </c>
      <c r="HL32" s="36" t="s">
        <v>139</v>
      </c>
      <c r="HM32" s="36" t="s">
        <v>139</v>
      </c>
      <c r="HN32" s="36" t="s">
        <v>139</v>
      </c>
      <c r="HO32" s="36" t="s">
        <v>139</v>
      </c>
      <c r="HP32" s="36" t="s">
        <v>139</v>
      </c>
      <c r="HQ32" s="36" t="s">
        <v>139</v>
      </c>
      <c r="HR32" s="36" t="s">
        <v>139</v>
      </c>
      <c r="HS32" s="36" t="s">
        <v>139</v>
      </c>
      <c r="HT32" s="36" t="s">
        <v>139</v>
      </c>
      <c r="HU32" s="36" t="s">
        <v>139</v>
      </c>
      <c r="HV32" s="36" t="s">
        <v>139</v>
      </c>
      <c r="HW32" s="36" t="s">
        <v>139</v>
      </c>
      <c r="HX32" s="36" t="s">
        <v>139</v>
      </c>
      <c r="HY32" s="36" t="s">
        <v>139</v>
      </c>
      <c r="HZ32" s="36" t="s">
        <v>139</v>
      </c>
      <c r="IA32" s="36" t="s">
        <v>139</v>
      </c>
      <c r="IB32" s="36" t="s">
        <v>139</v>
      </c>
      <c r="IC32" s="36" t="s">
        <v>139</v>
      </c>
      <c r="ID32" s="36" t="s">
        <v>139</v>
      </c>
      <c r="IE32" s="36" t="s">
        <v>139</v>
      </c>
      <c r="IF32" s="36" t="s">
        <v>139</v>
      </c>
      <c r="IG32" s="36" t="s">
        <v>139</v>
      </c>
      <c r="IH32" s="36" t="s">
        <v>139</v>
      </c>
      <c r="II32" s="36" t="s">
        <v>139</v>
      </c>
      <c r="IJ32" s="36" t="s">
        <v>139</v>
      </c>
      <c r="IK32" s="36" t="s">
        <v>139</v>
      </c>
      <c r="IL32" s="36" t="s">
        <v>139</v>
      </c>
      <c r="IM32" s="36" t="s">
        <v>139</v>
      </c>
      <c r="IN32" s="36" t="s">
        <v>139</v>
      </c>
      <c r="IO32" s="36" t="s">
        <v>139</v>
      </c>
      <c r="IP32" s="36" t="s">
        <v>139</v>
      </c>
      <c r="IQ32" s="36" t="s">
        <v>139</v>
      </c>
      <c r="IR32" s="36" t="s">
        <v>139</v>
      </c>
      <c r="IS32" s="36" t="s">
        <v>139</v>
      </c>
      <c r="IT32" s="36" t="s">
        <v>139</v>
      </c>
      <c r="IU32" s="36" t="s">
        <v>139</v>
      </c>
      <c r="IV32" s="36" t="s">
        <v>139</v>
      </c>
      <c r="IW32" s="36" t="s">
        <v>139</v>
      </c>
      <c r="IX32" s="36" t="s">
        <v>139</v>
      </c>
      <c r="IY32" s="36" t="s">
        <v>139</v>
      </c>
      <c r="IZ32" s="36" t="s">
        <v>139</v>
      </c>
      <c r="JA32" s="36" t="s">
        <v>139</v>
      </c>
      <c r="JB32" s="36" t="s">
        <v>139</v>
      </c>
      <c r="JC32" s="36" t="s">
        <v>139</v>
      </c>
      <c r="JD32" s="36" t="s">
        <v>139</v>
      </c>
      <c r="JE32" s="36" t="s">
        <v>139</v>
      </c>
      <c r="JF32" s="36" t="s">
        <v>139</v>
      </c>
      <c r="JG32" s="36" t="s">
        <v>139</v>
      </c>
      <c r="JH32" s="36" t="s">
        <v>139</v>
      </c>
      <c r="JI32" s="36" t="s">
        <v>139</v>
      </c>
      <c r="JJ32" s="36" t="s">
        <v>139</v>
      </c>
      <c r="JK32" s="36" t="s">
        <v>139</v>
      </c>
      <c r="JL32" s="36" t="s">
        <v>139</v>
      </c>
      <c r="JM32" s="36" t="s">
        <v>139</v>
      </c>
      <c r="JN32" s="36" t="s">
        <v>139</v>
      </c>
      <c r="JO32" s="36" t="s">
        <v>139</v>
      </c>
      <c r="JP32" s="36" t="s">
        <v>139</v>
      </c>
      <c r="JQ32" s="36" t="s">
        <v>139</v>
      </c>
      <c r="JR32" s="36" t="s">
        <v>139</v>
      </c>
      <c r="JS32" s="36" t="s">
        <v>139</v>
      </c>
      <c r="JT32" s="36" t="s">
        <v>139</v>
      </c>
      <c r="JU32" s="36" t="s">
        <v>139</v>
      </c>
      <c r="JV32" s="36" t="s">
        <v>139</v>
      </c>
      <c r="JW32" s="36" t="s">
        <v>139</v>
      </c>
      <c r="JX32" s="36" t="s">
        <v>139</v>
      </c>
      <c r="JY32" s="36" t="s">
        <v>139</v>
      </c>
      <c r="JZ32" s="36" t="s">
        <v>139</v>
      </c>
      <c r="KA32" s="36" t="s">
        <v>139</v>
      </c>
      <c r="KB32" s="36" t="s">
        <v>139</v>
      </c>
      <c r="KC32" s="36" t="s">
        <v>139</v>
      </c>
      <c r="KD32" s="36" t="s">
        <v>139</v>
      </c>
      <c r="KE32" s="36" t="s">
        <v>139</v>
      </c>
      <c r="KF32" s="36" t="s">
        <v>139</v>
      </c>
      <c r="KG32" s="36" t="s">
        <v>139</v>
      </c>
      <c r="KH32" s="36" t="s">
        <v>139</v>
      </c>
      <c r="KI32" s="36" t="s">
        <v>139</v>
      </c>
      <c r="KJ32" s="36" t="s">
        <v>139</v>
      </c>
      <c r="KK32" s="36" t="s">
        <v>139</v>
      </c>
      <c r="KL32" s="36" t="s">
        <v>139</v>
      </c>
      <c r="KM32" s="36" t="s">
        <v>139</v>
      </c>
      <c r="KN32" s="36" t="s">
        <v>139</v>
      </c>
      <c r="KO32" s="36" t="s">
        <v>139</v>
      </c>
      <c r="KP32" s="36" t="s">
        <v>139</v>
      </c>
      <c r="KQ32" s="36" t="s">
        <v>139</v>
      </c>
      <c r="KR32" s="36" t="s">
        <v>139</v>
      </c>
      <c r="KS32" s="36" t="s">
        <v>139</v>
      </c>
      <c r="KT32" s="36" t="s">
        <v>139</v>
      </c>
      <c r="KU32" s="36" t="s">
        <v>139</v>
      </c>
      <c r="KV32" s="36" t="s">
        <v>139</v>
      </c>
      <c r="KW32" s="36" t="s">
        <v>139</v>
      </c>
      <c r="KX32" s="36" t="s">
        <v>139</v>
      </c>
      <c r="KY32" s="36" t="s">
        <v>139</v>
      </c>
      <c r="KZ32" s="36" t="s">
        <v>139</v>
      </c>
      <c r="LA32" s="36" t="s">
        <v>139</v>
      </c>
      <c r="LB32" s="36" t="s">
        <v>139</v>
      </c>
      <c r="LC32" s="36" t="s">
        <v>139</v>
      </c>
      <c r="LD32" s="36" t="s">
        <v>139</v>
      </c>
      <c r="LE32" s="36" t="s">
        <v>139</v>
      </c>
      <c r="LF32" s="36" t="s">
        <v>139</v>
      </c>
      <c r="LG32" s="36" t="s">
        <v>139</v>
      </c>
      <c r="LH32" s="36" t="s">
        <v>139</v>
      </c>
      <c r="LI32" s="36" t="s">
        <v>139</v>
      </c>
      <c r="LJ32" s="36" t="s">
        <v>139</v>
      </c>
      <c r="LK32" s="36" t="s">
        <v>139</v>
      </c>
      <c r="LL32" s="36" t="s">
        <v>139</v>
      </c>
      <c r="LM32" s="36" t="s">
        <v>139</v>
      </c>
      <c r="LN32" s="36" t="s">
        <v>139</v>
      </c>
      <c r="LO32" s="36" t="s">
        <v>139</v>
      </c>
      <c r="LP32" s="36" t="s">
        <v>139</v>
      </c>
      <c r="LQ32" s="36" t="s">
        <v>139</v>
      </c>
      <c r="LR32" s="36" t="s">
        <v>139</v>
      </c>
      <c r="LS32" s="36" t="s">
        <v>139</v>
      </c>
      <c r="LT32" s="36" t="s">
        <v>139</v>
      </c>
      <c r="LU32" s="36" t="s">
        <v>139</v>
      </c>
      <c r="LV32" s="36" t="s">
        <v>139</v>
      </c>
      <c r="LW32" s="36" t="s">
        <v>139</v>
      </c>
      <c r="LX32" s="36" t="s">
        <v>139</v>
      </c>
      <c r="LY32" s="36" t="s">
        <v>139</v>
      </c>
      <c r="LZ32" s="36" t="s">
        <v>139</v>
      </c>
      <c r="MA32" s="36" t="s">
        <v>139</v>
      </c>
      <c r="MB32" s="36" t="s">
        <v>139</v>
      </c>
      <c r="MC32" s="36" t="s">
        <v>139</v>
      </c>
      <c r="MD32" s="36" t="s">
        <v>139</v>
      </c>
      <c r="ME32" s="36" t="s">
        <v>139</v>
      </c>
      <c r="MF32" s="36" t="s">
        <v>139</v>
      </c>
      <c r="MG32" s="36" t="s">
        <v>139</v>
      </c>
      <c r="MH32" s="36" t="s">
        <v>139</v>
      </c>
      <c r="MI32" s="36" t="s">
        <v>139</v>
      </c>
      <c r="MJ32" s="36" t="s">
        <v>139</v>
      </c>
      <c r="MK32" s="36" t="s">
        <v>139</v>
      </c>
      <c r="ML32" s="36" t="s">
        <v>139</v>
      </c>
      <c r="MM32" s="36" t="s">
        <v>139</v>
      </c>
      <c r="MN32" s="36" t="s">
        <v>139</v>
      </c>
      <c r="MO32" s="36" t="s">
        <v>139</v>
      </c>
      <c r="MP32" s="36" t="s">
        <v>139</v>
      </c>
      <c r="MQ32" s="36" t="s">
        <v>139</v>
      </c>
      <c r="MR32" s="36" t="s">
        <v>139</v>
      </c>
      <c r="MS32" s="36" t="s">
        <v>139</v>
      </c>
      <c r="MT32" s="36" t="s">
        <v>139</v>
      </c>
      <c r="MU32" s="36" t="s">
        <v>139</v>
      </c>
      <c r="MV32" s="36" t="s">
        <v>139</v>
      </c>
      <c r="MW32" s="36" t="s">
        <v>139</v>
      </c>
      <c r="MX32" s="36" t="s">
        <v>139</v>
      </c>
      <c r="MY32" s="36" t="s">
        <v>139</v>
      </c>
      <c r="MZ32" s="36" t="s">
        <v>139</v>
      </c>
      <c r="NA32" s="36" t="s">
        <v>139</v>
      </c>
      <c r="NB32" s="36" t="s">
        <v>139</v>
      </c>
      <c r="NC32" s="36" t="s">
        <v>139</v>
      </c>
      <c r="ND32" s="36" t="s">
        <v>139</v>
      </c>
      <c r="NE32" s="36" t="s">
        <v>139</v>
      </c>
      <c r="NF32" s="36" t="s">
        <v>139</v>
      </c>
      <c r="NG32" s="36" t="s">
        <v>139</v>
      </c>
      <c r="NH32" s="36" t="s">
        <v>139</v>
      </c>
      <c r="NI32" s="36" t="s">
        <v>139</v>
      </c>
      <c r="NJ32" s="36" t="s">
        <v>139</v>
      </c>
      <c r="NK32" s="36" t="s">
        <v>139</v>
      </c>
      <c r="NL32" s="36" t="s">
        <v>139</v>
      </c>
      <c r="NM32" s="36" t="s">
        <v>139</v>
      </c>
      <c r="NN32" s="36" t="s">
        <v>139</v>
      </c>
      <c r="NO32" s="36" t="s">
        <v>139</v>
      </c>
      <c r="NP32" s="36" t="s">
        <v>139</v>
      </c>
      <c r="NQ32" s="36" t="s">
        <v>139</v>
      </c>
      <c r="NR32" s="36" t="s">
        <v>139</v>
      </c>
      <c r="NS32" s="36" t="s">
        <v>139</v>
      </c>
      <c r="NT32" s="36" t="s">
        <v>139</v>
      </c>
      <c r="NU32" s="36" t="s">
        <v>139</v>
      </c>
      <c r="NV32" s="36" t="s">
        <v>139</v>
      </c>
      <c r="NW32" s="36" t="s">
        <v>139</v>
      </c>
      <c r="NX32" s="36" t="s">
        <v>139</v>
      </c>
      <c r="NY32" s="36" t="s">
        <v>139</v>
      </c>
      <c r="NZ32" s="36" t="s">
        <v>139</v>
      </c>
      <c r="OA32" s="36" t="s">
        <v>139</v>
      </c>
      <c r="OB32" s="36" t="s">
        <v>139</v>
      </c>
      <c r="OC32" s="36" t="s">
        <v>139</v>
      </c>
      <c r="OD32" s="36" t="s">
        <v>139</v>
      </c>
      <c r="OE32" s="36" t="s">
        <v>139</v>
      </c>
      <c r="OF32" s="36" t="s">
        <v>139</v>
      </c>
      <c r="OG32" s="36" t="s">
        <v>139</v>
      </c>
      <c r="OH32" s="36" t="s">
        <v>139</v>
      </c>
      <c r="OI32" s="36" t="s">
        <v>139</v>
      </c>
      <c r="OJ32" s="36" t="s">
        <v>139</v>
      </c>
      <c r="OK32" s="36" t="s">
        <v>139</v>
      </c>
      <c r="OL32" s="36" t="s">
        <v>139</v>
      </c>
      <c r="OM32" s="36" t="s">
        <v>139</v>
      </c>
      <c r="ON32" s="36" t="s">
        <v>139</v>
      </c>
      <c r="OO32" s="36" t="s">
        <v>139</v>
      </c>
      <c r="OP32" s="36" t="s">
        <v>139</v>
      </c>
      <c r="OQ32" s="36" t="s">
        <v>139</v>
      </c>
      <c r="OR32" s="36" t="s">
        <v>139</v>
      </c>
      <c r="OS32" s="36" t="s">
        <v>139</v>
      </c>
      <c r="OT32" s="36" t="s">
        <v>139</v>
      </c>
      <c r="OU32" s="36" t="s">
        <v>139</v>
      </c>
      <c r="OV32" s="36" t="s">
        <v>139</v>
      </c>
      <c r="OW32" s="36" t="s">
        <v>139</v>
      </c>
      <c r="OX32" s="36" t="s">
        <v>139</v>
      </c>
      <c r="OY32" s="36" t="s">
        <v>139</v>
      </c>
      <c r="OZ32" s="36" t="s">
        <v>139</v>
      </c>
      <c r="PA32" s="36" t="s">
        <v>139</v>
      </c>
      <c r="PB32" s="36" t="s">
        <v>139</v>
      </c>
      <c r="PC32" s="36" t="s">
        <v>139</v>
      </c>
      <c r="PD32" s="36" t="s">
        <v>139</v>
      </c>
      <c r="PE32" s="36" t="s">
        <v>139</v>
      </c>
      <c r="PF32" s="36" t="s">
        <v>139</v>
      </c>
      <c r="PG32" s="36" t="s">
        <v>139</v>
      </c>
      <c r="PH32" s="36" t="s">
        <v>139</v>
      </c>
      <c r="PI32" s="36" t="s">
        <v>139</v>
      </c>
      <c r="PJ32" s="36" t="s">
        <v>139</v>
      </c>
      <c r="PK32" s="36" t="s">
        <v>139</v>
      </c>
      <c r="PL32" s="36" t="s">
        <v>139</v>
      </c>
      <c r="PM32" s="36" t="s">
        <v>139</v>
      </c>
      <c r="PN32" s="36" t="s">
        <v>139</v>
      </c>
      <c r="PO32" s="74">
        <f>COUNTIFS($C$27:$PN$27,("&lt;"&amp;$B$3),$C$27:$PN$27,("&gt;="&amp;$B$2),$C32:$PN32,TabAsistencias[[#Headers],[1]])</f>
        <v>30</v>
      </c>
      <c r="PP32" s="74">
        <f>COUNTIFS($C$27:$PN$27,("&lt;"&amp;$B$3),$C$27:$PN$27,("&gt;="&amp;$B$2),$C32:$PN32,TabAsistencias[[#Headers],[E]])</f>
        <v>0</v>
      </c>
      <c r="PQ32" s="74">
        <f>COUNTIFS($C$27:$PN$27,("&lt;"&amp;$B$3),$C$27:$PN$27,("&gt;="&amp;$B$2),$C32:$PN32,TabAsistencias[[#Headers],[DE]])</f>
        <v>0</v>
      </c>
      <c r="PR32" s="74">
        <f>COUNTIFS($C$27:$PN$27,("&lt;"&amp;$B$3),$C$27:$PN$27,("&gt;="&amp;$B$2),$C32:$PN32,TabAsistencias[[#Headers],[V]])</f>
        <v>0</v>
      </c>
      <c r="PS32" s="74">
        <f>COUNTIFS($C$27:$PN$27,("&lt;"&amp;$B$3),$C$27:$PN$27,("&gt;="&amp;$B$2),$C32:$PN32,TabAsistencias[[#Headers],[DO]])</f>
        <v>0</v>
      </c>
      <c r="PT32" s="74">
        <f>COUNTIFS($C$27:$PN$27,("&lt;"&amp;$B$3),$C$27:$PN$27,("&gt;="&amp;$B$2),$C32:$PN32,TabAsistencias[[#Headers],[P]])</f>
        <v>0</v>
      </c>
      <c r="PU32" s="74">
        <f>COUNTIFS($C$27:$PN$27,("&lt;"&amp;$B$3),$C$27:$PN$27,("&gt;="&amp;$B$2),$C32:$PN32,TabAsistencias[[#Headers],[F]])</f>
        <v>0</v>
      </c>
      <c r="PV32" s="74">
        <f>COUNTIFS($C$27:$PN$27,("&lt;"&amp;$B$3),$C$27:$PN$27,("&gt;="&amp;$B$2),$C32:$PN32,TabAsistencias[[#Headers],[R]])</f>
        <v>0</v>
      </c>
      <c r="PW32" s="74">
        <f>COUNTIFS($C$27:$PN$27,("&lt;"&amp;$B$3),$C$27:$PN$27,("&gt;="&amp;$B$2),$C32:$PN32,TabAsistencias[[#Headers],[PP]])</f>
        <v>0</v>
      </c>
      <c r="PX32" s="74">
        <f>COUNTIFS($C$27:$PN$27,("&lt;"&amp;$B$3),$C$27:$PN$27,("&gt;="&amp;$B$2),$C32:$PN32,TabAsistencias[[#Headers],[0]])</f>
        <v>0</v>
      </c>
      <c r="PY32" s="74">
        <f>COUNTIFS($C$27:$PN$27,("&lt;"&amp;$B$3),$C$27:$PN$27,("&gt;="&amp;$B$2),$C32:$PN32,TabAsistencias[[#Headers],[IG]])</f>
        <v>0</v>
      </c>
      <c r="PZ32" s="74">
        <f>COUNTIFS($C$27:$PN$27,("&lt;"&amp;$B$3),$C$27:$PN$27,("&gt;="&amp;$B$2),$C32:$PN32,TabAsistencias[[#Headers],[NA]])</f>
        <v>0</v>
      </c>
      <c r="QA32" s="74">
        <f>COUNTIFS($C$27:$PN$27,("&lt;"&amp;$B$3),$C$27:$PN$27,("&gt;="&amp;$B$2),$C32:$PN32,TabAsistencias[[#Headers],[DF]])</f>
        <v>0</v>
      </c>
      <c r="QB32" s="74">
        <f>COUNTIFS($C$27:$PN$27,("&lt;"&amp;$B$3),$C$27:$PN$27,("&gt;="&amp;$B$2),$C32:$PN32,TabAsistencias[[#Headers],[3]])</f>
        <v>0</v>
      </c>
      <c r="QC32" s="74">
        <f>COUNTIFS($C$27:$PN$27,("&lt;"&amp;$B$3),$C$27:$PN$27,("&gt;="&amp;$B$2),$C32:$PN32,TabAsistencias[[#Headers],[CP]])</f>
        <v>0</v>
      </c>
      <c r="QD32" s="74">
        <f>COUNTIFS($C$27:$PN$27,("&lt;"&amp;$B$3),$C$27:$PN$27,("&gt;="&amp;$B$2),$C32:$PN32,TabAsistencias[[#Headers],[I]])</f>
        <v>0</v>
      </c>
      <c r="QE32" s="74">
        <f>COUNTIFS($C$27:$PN$27,("&lt;"&amp;$B$3),$C$27:$PN$27,("&gt;="&amp;$B$2),$C32:$PN32,TabAsistencias[[#Headers],[T/2]])</f>
        <v>0</v>
      </c>
      <c r="QF32" s="74">
        <f>COUNTIFS($C$27:$PN$27,("&lt;"&amp;$B$3),$C$27:$PN$27,("&gt;="&amp;$B$2),$C32:$PN32,TabAsistencias[[#Headers],[ME]])</f>
        <v>0</v>
      </c>
      <c r="QG32" s="74">
        <f>COUNTIFS($C$27:$PN$27,("&lt;"&amp;$B$3),$C$27:$PN$27,("&gt;="&amp;$B$2),$C32:$PN32,TabAsistencias[[#Headers],[DP]])</f>
        <v>0</v>
      </c>
      <c r="QH32" s="74">
        <f>COUNTIFS($C$27:$PN$27,("&lt;"&amp;$B$3),$C$27:$PN$27,("&gt;="&amp;$B$2),$C32:$PN32,TabAsistencias[[#Headers],[B]])</f>
        <v>0</v>
      </c>
      <c r="QI32" s="74">
        <f>(TabAsistencias[[#This Row],[1]]*'Tablas de informacion'!$C$124)+(TabAsistencias[[#This Row],[E]]*'Tablas de informacion'!$C$125)+(TabAsistencias[[#This Row],[DE]]*'Tablas de informacion'!C$126)+(TabAsistencias[[#This Row],[V]]*'Tablas de informacion'!C$127)+(TabAsistencias[[#This Row],[DO]]*'Tablas de informacion'!C$128)+(TabAsistencias[[#This Row],[P]]*'Tablas de informacion'!C$129)+(TabAsistencias[[#This Row],[F]]*'Tablas de informacion'!C$130)+(TabAsistencias[[#This Row],[R]]*'Tablas de informacion'!C$131)+(TabAsistencias[[#This Row],[PP]]*'Tablas de informacion'!C$132)+(TabAsistencias[[#This Row],[0]]*'Tablas de informacion'!C$133)+(TabAsistencias[[#This Row],[IG]]*'Tablas de informacion'!C$134)+(TabAsistencias[[#This Row],[NA]]*'Tablas de informacion'!C$135)+(TabAsistencias[[#This Row],[DF]]*'Tablas de informacion'!C$136)+(TabAsistencias[[#This Row],[3]]*'Tablas de informacion'!C$137)+(TabAsistencias[[#This Row],[CP]]*'Tablas de informacion'!C$138)+(TabAsistencias[[#This Row],[I]]*'Tablas de informacion'!C$139)+(TabAsistencias[[#This Row],[T/2]]*'Tablas de informacion'!C$140)+(TabAsistencias[[#This Row],[ME]]*'Tablas de informacion'!C$141)+(TabAsistencias[[#This Row],[DP]]*'Tablas de informacion'!C$142)+(TabAsistencias[[#This Row],[B]]*'Tablas de informacion'!C$143)-INT(TabAsistencias[[#This Row],[R]]/3)</f>
        <v>30</v>
      </c>
      <c r="QJ32" s="74">
        <f>COUNTIFS($C$27:$PN$27,("&lt;"&amp;$B$3),$C$27:$PN$27,("&gt;="&amp;$B$2),$C$28:$PN$28,1,$C32:$PN32,TabAsistencias[[#Headers],[1]])+
COUNTIFS($C$27:$PN$27,("&lt;"&amp;$B$3),$C$27:$PN$27,("&gt;="&amp;$B$2),$C$28:$PN$28,1,$C32:$PN32,TabAsistencias[[#Headers],[DO]])+
COUNTIFS($C$27:$PN$27,("&lt;"&amp;$B$3),$C$27:$PN$27,("&gt;="&amp;$B$2),$C$28:$PN$28,1,$C32:$PN32,TabAsistencias[[#Headers],[R]])+
COUNTIFS($C$27:$PN$27,("&lt;"&amp;$B$3),$C$27:$PN$27,("&gt;="&amp;$B$2),$C$28:$PN$28,1,$C32:$PN32,TabAsistencias[[#Headers],[NA]])+
COUNTIFS($C$27:$PN$27,("&lt;"&amp;$B$3),$C$27:$PN$27,("&gt;="&amp;$B$2),$C$28:$PN$28,1,$C32:$PN32,TabAsistencias[[#Headers],[DF]])+
COUNTIFS($C$27:$PN$27,("&lt;"&amp;$B$3),$C$27:$PN$27,("&gt;="&amp;$B$2),$C$28:$PN$28,1,$C32:$PN32,TabAsistencias[[#Headers],[3]])+
COUNTIFS($C$27:$PN$27,("&lt;"&amp;$B$3),$C$27:$PN$27,("&gt;="&amp;$B$2),$C$28:$PN$28,1,$C32:$PN32,TabAsistencias[[#Headers],[CP]])+
COUNTIFS($C$27:$PN$27,("&lt;"&amp;$B$3),$C$27:$PN$27,("&gt;="&amp;$B$2),$C$28:$PN$28,1,$C32:$PN32,TabAsistencias[[#Headers],[T/2]])</f>
        <v>4</v>
      </c>
      <c r="QK32" s="315" cm="1">
        <f t="array" ref="QK32">IFERROR(VLOOKUP(
DATEDIF((VLOOKUP(TabAsistencias[[#This Row],[ID]],TabEmpleados[],COLUMN(TabEmpleados[Fecha de ingreso]),FALSE)),Asistencias!$B$3,"Y"),
TabFactorIntegracion[],COLUMN(TabFactorIntegracion[Días vacacionales
establecidos por ley]),FALSE),0)
-
COUNTIF($AH32:$PN32,TabAsistencias[[#Headers],[V]])</f>
        <v>20</v>
      </c>
      <c r="QL32" s="319">
        <f>SUM(TabAsistencias[[#This Row],[''1]],TabAsistencias[[#This Row],[''DE]],TabAsistencias[[#This Row],[''DO]],TabAsistencias[[#This Row],[''R]],TabAsistencias[[#This Row],[''NA]],TabAsistencias[[#This Row],[''DF]],TabAsistencias[[#This Row],[''3]],TabAsistencias[[#This Row],[''CP]],TabAsistencias[[#This Row],[''T/2]],TabAsistencias[[#This Row],[''DP]])</f>
        <v>73</v>
      </c>
      <c r="QM32" s="314">
        <f>COUNTIFS($C$27:$PN$27,("&lt;"&amp;$B$5),$C$27:$PN$27,("&gt;="&amp;$B$4),$C32:$PN32,TabAsistencias[[#Headers],[1]])</f>
        <v>72</v>
      </c>
      <c r="QN32" s="314">
        <f>COUNTIFS($C$27:$PN$27,("&lt;"&amp;$B$5),$C$27:$PN$27,("&gt;="&amp;$B$4),$C32:$PN32,TabAsistencias[[#Headers],[DE]])</f>
        <v>0</v>
      </c>
      <c r="QO32" s="314">
        <f>COUNTIFS($C$27:$PN$27,("&lt;"&amp;$B$5),$C$27:$PN$27,("&gt;="&amp;$B$4),$C32:$PN32,TabAsistencias[[#Headers],[V]])</f>
        <v>0</v>
      </c>
      <c r="QP32" s="314">
        <f>COUNTIFS($C$27:$PN$27,("&lt;"&amp;$B$5),$C$27:$PN$27,("&gt;="&amp;$B$4),$C32:$PN32,TabAsistencias[[#Headers],[DO]])</f>
        <v>0</v>
      </c>
      <c r="QQ32" s="314">
        <f>COUNTIFS($C$27:$PN$27,("&lt;"&amp;$B$5),$C$27:$PN$27,("&gt;="&amp;$B$4),$C32:$PN32,TabAsistencias[[#Headers],[P]])</f>
        <v>0</v>
      </c>
      <c r="QR32" s="314">
        <f>COUNTIFS($C$27:$PN$27,("&lt;"&amp;$B$5),$C$27:$PN$27,("&gt;="&amp;$B$4),$C32:$PN32,TabAsistencias[[#Headers],[F]])</f>
        <v>0</v>
      </c>
      <c r="QS32" s="314">
        <f>COUNTIFS($C$27:$PN$27,("&lt;"&amp;$B$5),$C$27:$PN$27,("&gt;="&amp;$B$4),$C32:$PN32,TabAsistencias[[#Headers],[R]])</f>
        <v>1</v>
      </c>
      <c r="QT32" s="314">
        <f>COUNTIFS($C$27:$PN$27,("&lt;"&amp;$B$5),$C$27:$PN$27,("&gt;="&amp;$B$4),$C32:$PN32,TabAsistencias[[#Headers],[PP]])</f>
        <v>0</v>
      </c>
      <c r="QU32" s="314">
        <f>COUNTIFS($C$27:$PN$27,("&lt;"&amp;$B$5),$C$27:$PN$27,("&gt;="&amp;$B$4),$C32:$PN32,TabAsistencias[[#Headers],[0]])</f>
        <v>0</v>
      </c>
      <c r="QV32" s="314">
        <f>COUNTIFS($C$27:$PN$27,("&lt;"&amp;$B$5),$C$27:$PN$27,("&gt;="&amp;$B$4),$C32:$PN32,TabAsistencias[[#Headers],[IG]])</f>
        <v>0</v>
      </c>
      <c r="QW32" s="314">
        <f>COUNTIFS($C$27:$PN$27,("&lt;"&amp;$B$5),$C$27:$PN$27,("&gt;="&amp;$B$4),$C32:$PN32,TabAsistencias[[#Headers],[NA]])</f>
        <v>0</v>
      </c>
      <c r="QX32" s="314">
        <f>COUNTIFS($C$27:$PN$27,("&lt;"&amp;$B$5),$C$27:$PN$27,("&gt;="&amp;$B$4),$C32:$PN32,TabAsistencias[[#Headers],[DF]])</f>
        <v>0</v>
      </c>
      <c r="QY32" s="314">
        <f>COUNTIFS($C$27:$PN$27,("&lt;"&amp;$B$5),$C$27:$PN$27,("&gt;="&amp;$B$4),$C32:$PN32,TabAsistencias[[#Headers],[3]])</f>
        <v>0</v>
      </c>
      <c r="QZ32" s="314">
        <f>COUNTIFS($C$27:$PN$27,("&lt;"&amp;$B$5),$C$27:$PN$27,("&gt;="&amp;$B$4),$C32:$PN32,TabAsistencias[[#Headers],[CP]])</f>
        <v>0</v>
      </c>
      <c r="RA32" s="314">
        <f>COUNTIFS($C$27:$PN$27,("&lt;"&amp;$B$5),$C$27:$PN$27,("&gt;="&amp;$B$4),$C32:$PN32,TabAsistencias[[#Headers],[I]])</f>
        <v>0</v>
      </c>
      <c r="RB32" s="314">
        <f>COUNTIFS($C$27:$PN$27,("&lt;"&amp;$B$5),$C$27:$PN$27,("&gt;="&amp;$B$4),$C32:$PN32,TabAsistencias[[#Headers],[T/2]])</f>
        <v>0</v>
      </c>
      <c r="RC32" s="314">
        <f>COUNTIFS($C$27:$PN$27,("&lt;"&amp;$B$5),$C$27:$PN$27,("&gt;="&amp;$B$4),$C32:$PN32,TabAsistencias[[#Headers],[ME]])</f>
        <v>0</v>
      </c>
      <c r="RD32" s="314">
        <f>COUNTIFS($C$27:$PN$27,("&lt;"&amp;$B$5),$C$27:$PN$27,("&gt;="&amp;$B$4),$C32:$PN32,TabAsistencias[[#Headers],[DP]])</f>
        <v>0</v>
      </c>
      <c r="RE32" s="314">
        <f>COUNTIFS($C$27:$PN$27,("&lt;"&amp;$B$5),$C$27:$PN$27,("&gt;="&amp;$B$4),$C32:$PN32,TabAsistencias[[#Headers],[B]])</f>
        <v>0</v>
      </c>
      <c r="RF32" s="314">
        <f>COUNTIFS($C$27:$PN$27,("&lt;"&amp;$B$5),$C$27:$PN$27,("&gt;="&amp;$B$4),$C$28:$PN$28,1,$C32:$PN32,TabAsistencias[[#Headers],[1]])+
COUNTIFS($C$27:$PN$27,("&lt;"&amp;$B$5),$C$27:$PN$27,("&gt;="&amp;$B$4),$C$28:$PN$28,1,$C32:$PN32,TabAsistencias[[#Headers],[DO]])+
COUNTIFS($C$27:$PN$27,("&lt;"&amp;$B$5),$C$27:$PN$27,("&gt;="&amp;$B$4),$C$28:$PN$28,1,$C32:$PN32,TabAsistencias[[#Headers],[R]])+
COUNTIFS($C$27:$PN$27,("&lt;"&amp;$B$5),$C$27:$PN$27,("&gt;="&amp;$B$4),$C$28:$PN$28,1,$C32:$PN32,TabAsistencias[[#Headers],[NA]])+
COUNTIFS($C$27:$PN$27,("&lt;"&amp;$B$5),$C$27:$PN$27,("&gt;="&amp;$B$4),$C$28:$PN$28,1,$C32:$PN32,TabAsistencias[[#Headers],[DF]])+
COUNTIFS($C$27:$PN$27,("&lt;"&amp;$B$5),$C$27:$PN$27,("&gt;="&amp;$B$4),$C$28:$PN$28,1,$C32:$PN32,TabAsistencias[[#Headers],[3]])+
COUNTIFS($C$27:$PN$27,("&lt;"&amp;$B$5),$C$27:$PN$27,("&gt;="&amp;$B$4),$C$28:$PN$28,1,$C32:$PN32,TabAsistencias[[#Headers],[CP]])+
COUNTIFS($C$27:$PN$27,("&lt;"&amp;$B$5),$C$27:$PN$27,("&gt;="&amp;$B$4),$C$28:$PN$28,1,$C32:$PN32,TabAsistencias[[#Headers],[T/2]])</f>
        <v>11</v>
      </c>
      <c r="RG32" s="320" cm="1">
        <f t="array" ref="RG32">IFERROR(VLOOKUP(
DATEDIF((VLOOKUP(TabAsistencias[[#This Row],[ID]],TabEmpleados[],COLUMN(TabEmpleados[Fecha de alta NSS]),FALSE)),Asistencias!$B$3,"Y"),
TabFactorIntegracion[],COLUMN(TabFactorIntegracion[Días vacacionales
establecidos por ley]),FALSE),0)
-
COUNTIF($AH32:$PN32,TabAsistencias[[#Headers],[V]])</f>
        <v>20</v>
      </c>
    </row>
    <row r="33" spans="1:475" x14ac:dyDescent="0.25">
      <c r="A33" s="92">
        <f t="shared" ref="A33:A96" si="434">A32+1</f>
        <v>3</v>
      </c>
      <c r="B33" s="30" t="str" cm="1">
        <f t="array" ref="B33">VLOOKUP(TabAsistencias[[#This Row],[ID]],TabEmpleados[],COLUMN(TabEmpleados[Nombre]),FALSE)</f>
        <v xml:space="preserve">GALAN SANCHEZ BRENDA LETICIA </v>
      </c>
      <c r="C33" s="36" t="s">
        <v>139</v>
      </c>
      <c r="D33" s="36" t="s">
        <v>139</v>
      </c>
      <c r="E33" s="36" t="s">
        <v>139</v>
      </c>
      <c r="F33" s="36" t="s">
        <v>139</v>
      </c>
      <c r="G33" s="36" t="s">
        <v>139</v>
      </c>
      <c r="H33" s="36" t="s">
        <v>139</v>
      </c>
      <c r="I33" s="36" t="s">
        <v>139</v>
      </c>
      <c r="J33" s="36" t="s">
        <v>139</v>
      </c>
      <c r="K33" s="36" t="s">
        <v>139</v>
      </c>
      <c r="L33" s="36" t="s">
        <v>139</v>
      </c>
      <c r="M33" s="36" t="s">
        <v>139</v>
      </c>
      <c r="N33" s="36" t="s">
        <v>139</v>
      </c>
      <c r="O33" s="36" t="s">
        <v>139</v>
      </c>
      <c r="P33" s="36" t="s">
        <v>139</v>
      </c>
      <c r="Q33" s="36" t="s">
        <v>139</v>
      </c>
      <c r="R33" s="36" t="s">
        <v>139</v>
      </c>
      <c r="S33" s="36" t="s">
        <v>139</v>
      </c>
      <c r="T33" s="36" t="s">
        <v>139</v>
      </c>
      <c r="U33" s="36" t="s">
        <v>139</v>
      </c>
      <c r="V33" s="36" t="s">
        <v>139</v>
      </c>
      <c r="W33" s="36" t="s">
        <v>139</v>
      </c>
      <c r="X33" s="36" t="s">
        <v>139</v>
      </c>
      <c r="Y33" s="36" t="s">
        <v>139</v>
      </c>
      <c r="Z33" s="36" t="s">
        <v>139</v>
      </c>
      <c r="AA33" s="36" t="s">
        <v>139</v>
      </c>
      <c r="AB33" s="36" t="s">
        <v>139</v>
      </c>
      <c r="AC33" s="36" t="s">
        <v>139</v>
      </c>
      <c r="AD33" s="36" t="s">
        <v>139</v>
      </c>
      <c r="AE33" s="36" t="s">
        <v>139</v>
      </c>
      <c r="AF33" s="36" t="s">
        <v>139</v>
      </c>
      <c r="AG33" s="36" t="s">
        <v>139</v>
      </c>
      <c r="AH33" s="36" t="s">
        <v>142</v>
      </c>
      <c r="AI33" s="36" t="s">
        <v>139</v>
      </c>
      <c r="AJ33" s="36" t="s">
        <v>139</v>
      </c>
      <c r="AK33" s="36" t="s">
        <v>139</v>
      </c>
      <c r="AL33" s="36" t="s">
        <v>139</v>
      </c>
      <c r="AM33" s="36" t="s">
        <v>139</v>
      </c>
      <c r="AN33" s="36" t="s">
        <v>139</v>
      </c>
      <c r="AO33" s="36" t="s">
        <v>139</v>
      </c>
      <c r="AP33" s="36" t="s">
        <v>139</v>
      </c>
      <c r="AQ33" s="36" t="s">
        <v>139</v>
      </c>
      <c r="AR33" s="36" t="s">
        <v>139</v>
      </c>
      <c r="AS33" s="36" t="s">
        <v>139</v>
      </c>
      <c r="AT33" s="36" t="s">
        <v>139</v>
      </c>
      <c r="AU33" s="36" t="s">
        <v>139</v>
      </c>
      <c r="AV33" s="36" t="s">
        <v>139</v>
      </c>
      <c r="AW33" s="36" t="s">
        <v>139</v>
      </c>
      <c r="AX33" s="36" t="s">
        <v>139</v>
      </c>
      <c r="AY33" s="36" t="s">
        <v>139</v>
      </c>
      <c r="AZ33" s="36" t="s">
        <v>139</v>
      </c>
      <c r="BA33" s="36" t="s">
        <v>139</v>
      </c>
      <c r="BB33" s="36" t="s">
        <v>139</v>
      </c>
      <c r="BC33" s="36" t="s">
        <v>139</v>
      </c>
      <c r="BD33" s="36" t="s">
        <v>139</v>
      </c>
      <c r="BE33" s="36" t="s">
        <v>139</v>
      </c>
      <c r="BF33" s="36" t="s">
        <v>139</v>
      </c>
      <c r="BG33" s="36" t="s">
        <v>139</v>
      </c>
      <c r="BH33" s="36" t="s">
        <v>139</v>
      </c>
      <c r="BI33" s="36" t="s">
        <v>139</v>
      </c>
      <c r="BJ33" s="36" t="s">
        <v>139</v>
      </c>
      <c r="BK33" s="36" t="s">
        <v>139</v>
      </c>
      <c r="BL33" s="36" t="s">
        <v>139</v>
      </c>
      <c r="BM33" s="36" t="s">
        <v>139</v>
      </c>
      <c r="BN33" s="36" t="s">
        <v>139</v>
      </c>
      <c r="BO33" s="36" t="s">
        <v>139</v>
      </c>
      <c r="BP33" s="36" t="s">
        <v>139</v>
      </c>
      <c r="BQ33" s="36" t="s">
        <v>139</v>
      </c>
      <c r="BR33" s="36" t="s">
        <v>139</v>
      </c>
      <c r="BS33" s="36" t="s">
        <v>139</v>
      </c>
      <c r="BT33" s="36" t="s">
        <v>139</v>
      </c>
      <c r="BU33" s="36" t="s">
        <v>139</v>
      </c>
      <c r="BV33" s="36" t="s">
        <v>139</v>
      </c>
      <c r="BW33" s="36" t="s">
        <v>139</v>
      </c>
      <c r="BX33" s="36" t="s">
        <v>139</v>
      </c>
      <c r="BY33" s="36" t="s">
        <v>139</v>
      </c>
      <c r="BZ33" s="36" t="s">
        <v>139</v>
      </c>
      <c r="CA33" s="36" t="s">
        <v>139</v>
      </c>
      <c r="CB33" s="36" t="s">
        <v>139</v>
      </c>
      <c r="CC33" s="36" t="s">
        <v>139</v>
      </c>
      <c r="CD33" s="36" t="s">
        <v>139</v>
      </c>
      <c r="CE33" s="36" t="s">
        <v>139</v>
      </c>
      <c r="CF33" s="36" t="s">
        <v>139</v>
      </c>
      <c r="CG33" s="36" t="s">
        <v>139</v>
      </c>
      <c r="CH33" s="36" t="s">
        <v>139</v>
      </c>
      <c r="CI33" s="36" t="s">
        <v>139</v>
      </c>
      <c r="CJ33" s="36" t="s">
        <v>139</v>
      </c>
      <c r="CK33" s="36" t="s">
        <v>139</v>
      </c>
      <c r="CL33" s="36" t="s">
        <v>139</v>
      </c>
      <c r="CM33" s="36" t="s">
        <v>139</v>
      </c>
      <c r="CN33" s="36" t="s">
        <v>139</v>
      </c>
      <c r="CO33" s="36" t="s">
        <v>139</v>
      </c>
      <c r="CP33" s="36" t="s">
        <v>139</v>
      </c>
      <c r="CQ33" s="36" t="s">
        <v>139</v>
      </c>
      <c r="CR33" s="36" t="s">
        <v>139</v>
      </c>
      <c r="CS33" s="36" t="s">
        <v>139</v>
      </c>
      <c r="CT33" s="36" t="s">
        <v>139</v>
      </c>
      <c r="CU33" s="36" t="s">
        <v>139</v>
      </c>
      <c r="CV33" s="36" t="s">
        <v>139</v>
      </c>
      <c r="CW33" s="36" t="s">
        <v>139</v>
      </c>
      <c r="CX33" s="36" t="s">
        <v>139</v>
      </c>
      <c r="CY33" s="36" t="s">
        <v>139</v>
      </c>
      <c r="CZ33" s="36" t="s">
        <v>139</v>
      </c>
      <c r="DA33" s="36" t="s">
        <v>139</v>
      </c>
      <c r="DB33" s="36" t="s">
        <v>139</v>
      </c>
      <c r="DC33" s="36" t="s">
        <v>139</v>
      </c>
      <c r="DD33" s="36" t="s">
        <v>139</v>
      </c>
      <c r="DE33" s="36" t="s">
        <v>139</v>
      </c>
      <c r="DF33" s="36" t="s">
        <v>139</v>
      </c>
      <c r="DG33" s="36" t="s">
        <v>139</v>
      </c>
      <c r="DH33" s="36" t="s">
        <v>139</v>
      </c>
      <c r="DI33" s="36" t="s">
        <v>139</v>
      </c>
      <c r="DJ33" s="36" t="s">
        <v>139</v>
      </c>
      <c r="DK33" s="36" t="s">
        <v>139</v>
      </c>
      <c r="DL33" s="36" t="s">
        <v>139</v>
      </c>
      <c r="DM33" s="36" t="s">
        <v>139</v>
      </c>
      <c r="DN33" s="36" t="s">
        <v>139</v>
      </c>
      <c r="DO33" s="36" t="s">
        <v>139</v>
      </c>
      <c r="DP33" s="36" t="s">
        <v>139</v>
      </c>
      <c r="DQ33" s="36" t="s">
        <v>139</v>
      </c>
      <c r="DR33" s="36" t="s">
        <v>139</v>
      </c>
      <c r="DS33" s="36" t="s">
        <v>139</v>
      </c>
      <c r="DT33" s="36" t="s">
        <v>139</v>
      </c>
      <c r="DU33" s="36" t="s">
        <v>139</v>
      </c>
      <c r="DV33" s="36" t="s">
        <v>139</v>
      </c>
      <c r="DW33" s="36" t="s">
        <v>139</v>
      </c>
      <c r="DX33" s="36" t="s">
        <v>139</v>
      </c>
      <c r="DY33" s="36" t="s">
        <v>139</v>
      </c>
      <c r="DZ33" s="36" t="s">
        <v>139</v>
      </c>
      <c r="EA33" s="36" t="s">
        <v>139</v>
      </c>
      <c r="EB33" s="36" t="s">
        <v>139</v>
      </c>
      <c r="EC33" s="36" t="s">
        <v>139</v>
      </c>
      <c r="ED33" s="36" t="s">
        <v>139</v>
      </c>
      <c r="EE33" s="36" t="s">
        <v>139</v>
      </c>
      <c r="EF33" s="36" t="s">
        <v>139</v>
      </c>
      <c r="EG33" s="36" t="s">
        <v>139</v>
      </c>
      <c r="EH33" s="36" t="s">
        <v>139</v>
      </c>
      <c r="EI33" s="36" t="s">
        <v>139</v>
      </c>
      <c r="EJ33" s="36" t="s">
        <v>139</v>
      </c>
      <c r="EK33" s="36" t="s">
        <v>139</v>
      </c>
      <c r="EL33" s="36" t="s">
        <v>139</v>
      </c>
      <c r="EM33" s="36" t="s">
        <v>139</v>
      </c>
      <c r="EN33" s="36" t="s">
        <v>139</v>
      </c>
      <c r="EO33" s="36" t="s">
        <v>139</v>
      </c>
      <c r="EP33" s="36" t="s">
        <v>139</v>
      </c>
      <c r="EQ33" s="36" t="s">
        <v>139</v>
      </c>
      <c r="ER33" s="36" t="s">
        <v>139</v>
      </c>
      <c r="ES33" s="36" t="s">
        <v>139</v>
      </c>
      <c r="ET33" s="36" t="s">
        <v>139</v>
      </c>
      <c r="EU33" s="36" t="s">
        <v>139</v>
      </c>
      <c r="EV33" s="36" t="s">
        <v>139</v>
      </c>
      <c r="EW33" s="36" t="s">
        <v>139</v>
      </c>
      <c r="EX33" s="36" t="s">
        <v>139</v>
      </c>
      <c r="EY33" s="36" t="s">
        <v>139</v>
      </c>
      <c r="EZ33" s="36" t="s">
        <v>139</v>
      </c>
      <c r="FA33" s="36" t="s">
        <v>139</v>
      </c>
      <c r="FB33" s="36" t="s">
        <v>139</v>
      </c>
      <c r="FC33" s="36" t="s">
        <v>139</v>
      </c>
      <c r="FD33" s="36" t="s">
        <v>139</v>
      </c>
      <c r="FE33" s="36" t="s">
        <v>139</v>
      </c>
      <c r="FF33" s="36" t="s">
        <v>139</v>
      </c>
      <c r="FG33" s="36" t="s">
        <v>139</v>
      </c>
      <c r="FH33" s="36" t="s">
        <v>139</v>
      </c>
      <c r="FI33" s="36" t="s">
        <v>139</v>
      </c>
      <c r="FJ33" s="36" t="s">
        <v>139</v>
      </c>
      <c r="FK33" s="36" t="s">
        <v>139</v>
      </c>
      <c r="FL33" s="36" t="s">
        <v>139</v>
      </c>
      <c r="FM33" s="36" t="s">
        <v>139</v>
      </c>
      <c r="FN33" s="36" t="s">
        <v>139</v>
      </c>
      <c r="FO33" s="36" t="s">
        <v>139</v>
      </c>
      <c r="FP33" s="36" t="s">
        <v>139</v>
      </c>
      <c r="FQ33" s="36" t="s">
        <v>139</v>
      </c>
      <c r="FR33" s="36" t="s">
        <v>139</v>
      </c>
      <c r="FS33" s="36" t="s">
        <v>139</v>
      </c>
      <c r="FT33" s="36" t="s">
        <v>139</v>
      </c>
      <c r="FU33" s="36" t="s">
        <v>139</v>
      </c>
      <c r="FV33" s="36" t="s">
        <v>139</v>
      </c>
      <c r="FW33" s="36" t="s">
        <v>139</v>
      </c>
      <c r="FX33" s="36" t="s">
        <v>139</v>
      </c>
      <c r="FY33" s="36" t="s">
        <v>139</v>
      </c>
      <c r="FZ33" s="36" t="s">
        <v>139</v>
      </c>
      <c r="GA33" s="36" t="s">
        <v>139</v>
      </c>
      <c r="GB33" s="36" t="s">
        <v>139</v>
      </c>
      <c r="GC33" s="36" t="s">
        <v>139</v>
      </c>
      <c r="GD33" s="36" t="s">
        <v>139</v>
      </c>
      <c r="GE33" s="36" t="s">
        <v>139</v>
      </c>
      <c r="GF33" s="36" t="s">
        <v>139</v>
      </c>
      <c r="GG33" s="36" t="s">
        <v>139</v>
      </c>
      <c r="GH33" s="36" t="s">
        <v>139</v>
      </c>
      <c r="GI33" s="36" t="s">
        <v>139</v>
      </c>
      <c r="GJ33" s="36" t="s">
        <v>139</v>
      </c>
      <c r="GK33" s="36" t="s">
        <v>139</v>
      </c>
      <c r="GL33" s="36" t="s">
        <v>139</v>
      </c>
      <c r="GM33" s="36" t="s">
        <v>139</v>
      </c>
      <c r="GN33" s="36" t="s">
        <v>139</v>
      </c>
      <c r="GO33" s="36" t="s">
        <v>139</v>
      </c>
      <c r="GP33" s="36" t="s">
        <v>139</v>
      </c>
      <c r="GQ33" s="36" t="s">
        <v>139</v>
      </c>
      <c r="GR33" s="36" t="s">
        <v>139</v>
      </c>
      <c r="GS33" s="36" t="s">
        <v>139</v>
      </c>
      <c r="GT33" s="36" t="s">
        <v>139</v>
      </c>
      <c r="GU33" s="36" t="s">
        <v>139</v>
      </c>
      <c r="GV33" s="36" t="s">
        <v>139</v>
      </c>
      <c r="GW33" s="36" t="s">
        <v>139</v>
      </c>
      <c r="GX33" s="36" t="s">
        <v>139</v>
      </c>
      <c r="GY33" s="36" t="s">
        <v>139</v>
      </c>
      <c r="GZ33" s="36" t="s">
        <v>139</v>
      </c>
      <c r="HA33" s="36" t="s">
        <v>139</v>
      </c>
      <c r="HB33" s="36" t="s">
        <v>139</v>
      </c>
      <c r="HC33" s="36" t="s">
        <v>139</v>
      </c>
      <c r="HD33" s="36" t="s">
        <v>139</v>
      </c>
      <c r="HE33" s="36" t="s">
        <v>139</v>
      </c>
      <c r="HF33" s="36" t="s">
        <v>139</v>
      </c>
      <c r="HG33" s="36" t="s">
        <v>139</v>
      </c>
      <c r="HH33" s="36" t="s">
        <v>139</v>
      </c>
      <c r="HI33" s="36" t="s">
        <v>139</v>
      </c>
      <c r="HJ33" s="36" t="s">
        <v>139</v>
      </c>
      <c r="HK33" s="36" t="s">
        <v>139</v>
      </c>
      <c r="HL33" s="36" t="s">
        <v>139</v>
      </c>
      <c r="HM33" s="36" t="s">
        <v>139</v>
      </c>
      <c r="HN33" s="36" t="s">
        <v>139</v>
      </c>
      <c r="HO33" s="36" t="s">
        <v>139</v>
      </c>
      <c r="HP33" s="36" t="s">
        <v>139</v>
      </c>
      <c r="HQ33" s="36" t="s">
        <v>139</v>
      </c>
      <c r="HR33" s="36" t="s">
        <v>139</v>
      </c>
      <c r="HS33" s="36" t="s">
        <v>139</v>
      </c>
      <c r="HT33" s="36" t="s">
        <v>139</v>
      </c>
      <c r="HU33" s="36" t="s">
        <v>139</v>
      </c>
      <c r="HV33" s="36" t="s">
        <v>139</v>
      </c>
      <c r="HW33" s="36" t="s">
        <v>139</v>
      </c>
      <c r="HX33" s="36" t="s">
        <v>139</v>
      </c>
      <c r="HY33" s="36" t="s">
        <v>139</v>
      </c>
      <c r="HZ33" s="36" t="s">
        <v>139</v>
      </c>
      <c r="IA33" s="36" t="s">
        <v>139</v>
      </c>
      <c r="IB33" s="36" t="s">
        <v>139</v>
      </c>
      <c r="IC33" s="36" t="s">
        <v>139</v>
      </c>
      <c r="ID33" s="36" t="s">
        <v>139</v>
      </c>
      <c r="IE33" s="36" t="s">
        <v>139</v>
      </c>
      <c r="IF33" s="36" t="s">
        <v>139</v>
      </c>
      <c r="IG33" s="36" t="s">
        <v>139</v>
      </c>
      <c r="IH33" s="36" t="s">
        <v>139</v>
      </c>
      <c r="II33" s="36" t="s">
        <v>139</v>
      </c>
      <c r="IJ33" s="36" t="s">
        <v>139</v>
      </c>
      <c r="IK33" s="36" t="s">
        <v>139</v>
      </c>
      <c r="IL33" s="36" t="s">
        <v>139</v>
      </c>
      <c r="IM33" s="36" t="s">
        <v>139</v>
      </c>
      <c r="IN33" s="36" t="s">
        <v>139</v>
      </c>
      <c r="IO33" s="36" t="s">
        <v>139</v>
      </c>
      <c r="IP33" s="36" t="s">
        <v>139</v>
      </c>
      <c r="IQ33" s="36" t="s">
        <v>139</v>
      </c>
      <c r="IR33" s="36" t="s">
        <v>139</v>
      </c>
      <c r="IS33" s="36" t="s">
        <v>139</v>
      </c>
      <c r="IT33" s="36" t="s">
        <v>139</v>
      </c>
      <c r="IU33" s="36" t="s">
        <v>139</v>
      </c>
      <c r="IV33" s="36" t="s">
        <v>139</v>
      </c>
      <c r="IW33" s="36" t="s">
        <v>139</v>
      </c>
      <c r="IX33" s="36" t="s">
        <v>139</v>
      </c>
      <c r="IY33" s="36" t="s">
        <v>139</v>
      </c>
      <c r="IZ33" s="36" t="s">
        <v>139</v>
      </c>
      <c r="JA33" s="36" t="s">
        <v>139</v>
      </c>
      <c r="JB33" s="36" t="s">
        <v>139</v>
      </c>
      <c r="JC33" s="36" t="s">
        <v>139</v>
      </c>
      <c r="JD33" s="36" t="s">
        <v>139</v>
      </c>
      <c r="JE33" s="36" t="s">
        <v>139</v>
      </c>
      <c r="JF33" s="36" t="s">
        <v>139</v>
      </c>
      <c r="JG33" s="36" t="s">
        <v>139</v>
      </c>
      <c r="JH33" s="36" t="s">
        <v>139</v>
      </c>
      <c r="JI33" s="36" t="s">
        <v>139</v>
      </c>
      <c r="JJ33" s="36" t="s">
        <v>139</v>
      </c>
      <c r="JK33" s="36" t="s">
        <v>139</v>
      </c>
      <c r="JL33" s="36" t="s">
        <v>139</v>
      </c>
      <c r="JM33" s="36" t="s">
        <v>139</v>
      </c>
      <c r="JN33" s="36" t="s">
        <v>139</v>
      </c>
      <c r="JO33" s="36" t="s">
        <v>139</v>
      </c>
      <c r="JP33" s="36" t="s">
        <v>139</v>
      </c>
      <c r="JQ33" s="36" t="s">
        <v>139</v>
      </c>
      <c r="JR33" s="36" t="s">
        <v>139</v>
      </c>
      <c r="JS33" s="36" t="s">
        <v>139</v>
      </c>
      <c r="JT33" s="36" t="s">
        <v>139</v>
      </c>
      <c r="JU33" s="36" t="s">
        <v>139</v>
      </c>
      <c r="JV33" s="36" t="s">
        <v>139</v>
      </c>
      <c r="JW33" s="36" t="s">
        <v>139</v>
      </c>
      <c r="JX33" s="36" t="s">
        <v>139</v>
      </c>
      <c r="JY33" s="36" t="s">
        <v>139</v>
      </c>
      <c r="JZ33" s="36" t="s">
        <v>139</v>
      </c>
      <c r="KA33" s="36" t="s">
        <v>139</v>
      </c>
      <c r="KB33" s="36" t="s">
        <v>139</v>
      </c>
      <c r="KC33" s="36" t="s">
        <v>139</v>
      </c>
      <c r="KD33" s="36" t="s">
        <v>139</v>
      </c>
      <c r="KE33" s="36" t="s">
        <v>139</v>
      </c>
      <c r="KF33" s="36" t="s">
        <v>139</v>
      </c>
      <c r="KG33" s="36" t="s">
        <v>139</v>
      </c>
      <c r="KH33" s="36" t="s">
        <v>139</v>
      </c>
      <c r="KI33" s="36" t="s">
        <v>139</v>
      </c>
      <c r="KJ33" s="36" t="s">
        <v>139</v>
      </c>
      <c r="KK33" s="36" t="s">
        <v>139</v>
      </c>
      <c r="KL33" s="36" t="s">
        <v>139</v>
      </c>
      <c r="KM33" s="36" t="s">
        <v>139</v>
      </c>
      <c r="KN33" s="36" t="s">
        <v>139</v>
      </c>
      <c r="KO33" s="36" t="s">
        <v>139</v>
      </c>
      <c r="KP33" s="36" t="s">
        <v>139</v>
      </c>
      <c r="KQ33" s="36" t="s">
        <v>139</v>
      </c>
      <c r="KR33" s="36" t="s">
        <v>139</v>
      </c>
      <c r="KS33" s="36" t="s">
        <v>139</v>
      </c>
      <c r="KT33" s="36" t="s">
        <v>139</v>
      </c>
      <c r="KU33" s="36" t="s">
        <v>139</v>
      </c>
      <c r="KV33" s="36" t="s">
        <v>139</v>
      </c>
      <c r="KW33" s="36" t="s">
        <v>139</v>
      </c>
      <c r="KX33" s="36" t="s">
        <v>139</v>
      </c>
      <c r="KY33" s="36" t="s">
        <v>139</v>
      </c>
      <c r="KZ33" s="36" t="s">
        <v>139</v>
      </c>
      <c r="LA33" s="36" t="s">
        <v>139</v>
      </c>
      <c r="LB33" s="36" t="s">
        <v>139</v>
      </c>
      <c r="LC33" s="36" t="s">
        <v>139</v>
      </c>
      <c r="LD33" s="36" t="s">
        <v>139</v>
      </c>
      <c r="LE33" s="36" t="s">
        <v>139</v>
      </c>
      <c r="LF33" s="36" t="s">
        <v>139</v>
      </c>
      <c r="LG33" s="36" t="s">
        <v>139</v>
      </c>
      <c r="LH33" s="36" t="s">
        <v>139</v>
      </c>
      <c r="LI33" s="36" t="s">
        <v>139</v>
      </c>
      <c r="LJ33" s="36" t="s">
        <v>139</v>
      </c>
      <c r="LK33" s="36" t="s">
        <v>139</v>
      </c>
      <c r="LL33" s="36" t="s">
        <v>139</v>
      </c>
      <c r="LM33" s="36" t="s">
        <v>139</v>
      </c>
      <c r="LN33" s="36" t="s">
        <v>139</v>
      </c>
      <c r="LO33" s="36" t="s">
        <v>139</v>
      </c>
      <c r="LP33" s="36" t="s">
        <v>139</v>
      </c>
      <c r="LQ33" s="36" t="s">
        <v>139</v>
      </c>
      <c r="LR33" s="36" t="s">
        <v>139</v>
      </c>
      <c r="LS33" s="36" t="s">
        <v>139</v>
      </c>
      <c r="LT33" s="36" t="s">
        <v>139</v>
      </c>
      <c r="LU33" s="36" t="s">
        <v>139</v>
      </c>
      <c r="LV33" s="36" t="s">
        <v>139</v>
      </c>
      <c r="LW33" s="36" t="s">
        <v>139</v>
      </c>
      <c r="LX33" s="36" t="s">
        <v>139</v>
      </c>
      <c r="LY33" s="36" t="s">
        <v>139</v>
      </c>
      <c r="LZ33" s="36" t="s">
        <v>139</v>
      </c>
      <c r="MA33" s="36" t="s">
        <v>139</v>
      </c>
      <c r="MB33" s="36" t="s">
        <v>139</v>
      </c>
      <c r="MC33" s="36" t="s">
        <v>139</v>
      </c>
      <c r="MD33" s="36" t="s">
        <v>139</v>
      </c>
      <c r="ME33" s="36" t="s">
        <v>139</v>
      </c>
      <c r="MF33" s="36" t="s">
        <v>139</v>
      </c>
      <c r="MG33" s="36" t="s">
        <v>139</v>
      </c>
      <c r="MH33" s="36" t="s">
        <v>139</v>
      </c>
      <c r="MI33" s="36" t="s">
        <v>139</v>
      </c>
      <c r="MJ33" s="36" t="s">
        <v>139</v>
      </c>
      <c r="MK33" s="36" t="s">
        <v>139</v>
      </c>
      <c r="ML33" s="36" t="s">
        <v>139</v>
      </c>
      <c r="MM33" s="36" t="s">
        <v>139</v>
      </c>
      <c r="MN33" s="36" t="s">
        <v>139</v>
      </c>
      <c r="MO33" s="36" t="s">
        <v>139</v>
      </c>
      <c r="MP33" s="36" t="s">
        <v>139</v>
      </c>
      <c r="MQ33" s="36" t="s">
        <v>139</v>
      </c>
      <c r="MR33" s="36" t="s">
        <v>139</v>
      </c>
      <c r="MS33" s="36" t="s">
        <v>139</v>
      </c>
      <c r="MT33" s="36" t="s">
        <v>139</v>
      </c>
      <c r="MU33" s="36" t="s">
        <v>139</v>
      </c>
      <c r="MV33" s="36" t="s">
        <v>139</v>
      </c>
      <c r="MW33" s="36" t="s">
        <v>139</v>
      </c>
      <c r="MX33" s="36" t="s">
        <v>139</v>
      </c>
      <c r="MY33" s="36" t="s">
        <v>139</v>
      </c>
      <c r="MZ33" s="36" t="s">
        <v>139</v>
      </c>
      <c r="NA33" s="36" t="s">
        <v>139</v>
      </c>
      <c r="NB33" s="36" t="s">
        <v>139</v>
      </c>
      <c r="NC33" s="36" t="s">
        <v>139</v>
      </c>
      <c r="ND33" s="36" t="s">
        <v>139</v>
      </c>
      <c r="NE33" s="36" t="s">
        <v>139</v>
      </c>
      <c r="NF33" s="36" t="s">
        <v>139</v>
      </c>
      <c r="NG33" s="36" t="s">
        <v>139</v>
      </c>
      <c r="NH33" s="36" t="s">
        <v>139</v>
      </c>
      <c r="NI33" s="36" t="s">
        <v>139</v>
      </c>
      <c r="NJ33" s="36" t="s">
        <v>139</v>
      </c>
      <c r="NK33" s="36" t="s">
        <v>139</v>
      </c>
      <c r="NL33" s="36" t="s">
        <v>139</v>
      </c>
      <c r="NM33" s="36" t="s">
        <v>139</v>
      </c>
      <c r="NN33" s="36" t="s">
        <v>139</v>
      </c>
      <c r="NO33" s="36" t="s">
        <v>139</v>
      </c>
      <c r="NP33" s="36" t="s">
        <v>139</v>
      </c>
      <c r="NQ33" s="36" t="s">
        <v>139</v>
      </c>
      <c r="NR33" s="36" t="s">
        <v>139</v>
      </c>
      <c r="NS33" s="36" t="s">
        <v>139</v>
      </c>
      <c r="NT33" s="36" t="s">
        <v>139</v>
      </c>
      <c r="NU33" s="36" t="s">
        <v>139</v>
      </c>
      <c r="NV33" s="36" t="s">
        <v>139</v>
      </c>
      <c r="NW33" s="36" t="s">
        <v>139</v>
      </c>
      <c r="NX33" s="36" t="s">
        <v>139</v>
      </c>
      <c r="NY33" s="36" t="s">
        <v>139</v>
      </c>
      <c r="NZ33" s="36" t="s">
        <v>139</v>
      </c>
      <c r="OA33" s="36" t="s">
        <v>139</v>
      </c>
      <c r="OB33" s="36" t="s">
        <v>139</v>
      </c>
      <c r="OC33" s="36" t="s">
        <v>139</v>
      </c>
      <c r="OD33" s="36" t="s">
        <v>139</v>
      </c>
      <c r="OE33" s="36" t="s">
        <v>139</v>
      </c>
      <c r="OF33" s="36" t="s">
        <v>139</v>
      </c>
      <c r="OG33" s="36" t="s">
        <v>139</v>
      </c>
      <c r="OH33" s="36" t="s">
        <v>139</v>
      </c>
      <c r="OI33" s="36" t="s">
        <v>139</v>
      </c>
      <c r="OJ33" s="36" t="s">
        <v>139</v>
      </c>
      <c r="OK33" s="36" t="s">
        <v>139</v>
      </c>
      <c r="OL33" s="36" t="s">
        <v>139</v>
      </c>
      <c r="OM33" s="36" t="s">
        <v>139</v>
      </c>
      <c r="ON33" s="36" t="s">
        <v>139</v>
      </c>
      <c r="OO33" s="36" t="s">
        <v>139</v>
      </c>
      <c r="OP33" s="36" t="s">
        <v>139</v>
      </c>
      <c r="OQ33" s="36" t="s">
        <v>139</v>
      </c>
      <c r="OR33" s="36" t="s">
        <v>139</v>
      </c>
      <c r="OS33" s="36" t="s">
        <v>139</v>
      </c>
      <c r="OT33" s="36" t="s">
        <v>139</v>
      </c>
      <c r="OU33" s="36" t="s">
        <v>139</v>
      </c>
      <c r="OV33" s="36" t="s">
        <v>139</v>
      </c>
      <c r="OW33" s="36" t="s">
        <v>139</v>
      </c>
      <c r="OX33" s="36" t="s">
        <v>139</v>
      </c>
      <c r="OY33" s="36" t="s">
        <v>139</v>
      </c>
      <c r="OZ33" s="36" t="s">
        <v>139</v>
      </c>
      <c r="PA33" s="36" t="s">
        <v>139</v>
      </c>
      <c r="PB33" s="36" t="s">
        <v>139</v>
      </c>
      <c r="PC33" s="36" t="s">
        <v>139</v>
      </c>
      <c r="PD33" s="36" t="s">
        <v>139</v>
      </c>
      <c r="PE33" s="36" t="s">
        <v>139</v>
      </c>
      <c r="PF33" s="36" t="s">
        <v>139</v>
      </c>
      <c r="PG33" s="36" t="s">
        <v>139</v>
      </c>
      <c r="PH33" s="36" t="s">
        <v>139</v>
      </c>
      <c r="PI33" s="36" t="s">
        <v>139</v>
      </c>
      <c r="PJ33" s="36" t="s">
        <v>139</v>
      </c>
      <c r="PK33" s="36" t="s">
        <v>139</v>
      </c>
      <c r="PL33" s="36" t="s">
        <v>139</v>
      </c>
      <c r="PM33" s="36" t="s">
        <v>139</v>
      </c>
      <c r="PN33" s="36" t="s">
        <v>139</v>
      </c>
      <c r="PO33" s="74">
        <f>COUNTIFS($C$27:$PN$27,("&lt;"&amp;$B$3),$C$27:$PN$27,("&gt;="&amp;$B$2),$C33:$PN33,TabAsistencias[[#Headers],[1]])</f>
        <v>30</v>
      </c>
      <c r="PP33" s="74">
        <f>COUNTIFS($C$27:$PN$27,("&lt;"&amp;$B$3),$C$27:$PN$27,("&gt;="&amp;$B$2),$C33:$PN33,TabAsistencias[[#Headers],[E]])</f>
        <v>0</v>
      </c>
      <c r="PQ33" s="74">
        <f>COUNTIFS($C$27:$PN$27,("&lt;"&amp;$B$3),$C$27:$PN$27,("&gt;="&amp;$B$2),$C33:$PN33,TabAsistencias[[#Headers],[DE]])</f>
        <v>0</v>
      </c>
      <c r="PR33" s="74">
        <f>COUNTIFS($C$27:$PN$27,("&lt;"&amp;$B$3),$C$27:$PN$27,("&gt;="&amp;$B$2),$C33:$PN33,TabAsistencias[[#Headers],[V]])</f>
        <v>0</v>
      </c>
      <c r="PS33" s="74">
        <f>COUNTIFS($C$27:$PN$27,("&lt;"&amp;$B$3),$C$27:$PN$27,("&gt;="&amp;$B$2),$C33:$PN33,TabAsistencias[[#Headers],[DO]])</f>
        <v>0</v>
      </c>
      <c r="PT33" s="74">
        <f>COUNTIFS($C$27:$PN$27,("&lt;"&amp;$B$3),$C$27:$PN$27,("&gt;="&amp;$B$2),$C33:$PN33,TabAsistencias[[#Headers],[P]])</f>
        <v>0</v>
      </c>
      <c r="PU33" s="74">
        <f>COUNTIFS($C$27:$PN$27,("&lt;"&amp;$B$3),$C$27:$PN$27,("&gt;="&amp;$B$2),$C33:$PN33,TabAsistencias[[#Headers],[F]])</f>
        <v>0</v>
      </c>
      <c r="PV33" s="74">
        <f>COUNTIFS($C$27:$PN$27,("&lt;"&amp;$B$3),$C$27:$PN$27,("&gt;="&amp;$B$2),$C33:$PN33,TabAsistencias[[#Headers],[R]])</f>
        <v>0</v>
      </c>
      <c r="PW33" s="74">
        <f>COUNTIFS($C$27:$PN$27,("&lt;"&amp;$B$3),$C$27:$PN$27,("&gt;="&amp;$B$2),$C33:$PN33,TabAsistencias[[#Headers],[PP]])</f>
        <v>0</v>
      </c>
      <c r="PX33" s="74">
        <f>COUNTIFS($C$27:$PN$27,("&lt;"&amp;$B$3),$C$27:$PN$27,("&gt;="&amp;$B$2),$C33:$PN33,TabAsistencias[[#Headers],[0]])</f>
        <v>0</v>
      </c>
      <c r="PY33" s="74">
        <f>COUNTIFS($C$27:$PN$27,("&lt;"&amp;$B$3),$C$27:$PN$27,("&gt;="&amp;$B$2),$C33:$PN33,TabAsistencias[[#Headers],[IG]])</f>
        <v>0</v>
      </c>
      <c r="PZ33" s="74">
        <f>COUNTIFS($C$27:$PN$27,("&lt;"&amp;$B$3),$C$27:$PN$27,("&gt;="&amp;$B$2),$C33:$PN33,TabAsistencias[[#Headers],[NA]])</f>
        <v>0</v>
      </c>
      <c r="QA33" s="74">
        <f>COUNTIFS($C$27:$PN$27,("&lt;"&amp;$B$3),$C$27:$PN$27,("&gt;="&amp;$B$2),$C33:$PN33,TabAsistencias[[#Headers],[DF]])</f>
        <v>0</v>
      </c>
      <c r="QB33" s="74">
        <f>COUNTIFS($C$27:$PN$27,("&lt;"&amp;$B$3),$C$27:$PN$27,("&gt;="&amp;$B$2),$C33:$PN33,TabAsistencias[[#Headers],[3]])</f>
        <v>0</v>
      </c>
      <c r="QC33" s="74">
        <f>COUNTIFS($C$27:$PN$27,("&lt;"&amp;$B$3),$C$27:$PN$27,("&gt;="&amp;$B$2),$C33:$PN33,TabAsistencias[[#Headers],[CP]])</f>
        <v>0</v>
      </c>
      <c r="QD33" s="74">
        <f>COUNTIFS($C$27:$PN$27,("&lt;"&amp;$B$3),$C$27:$PN$27,("&gt;="&amp;$B$2),$C33:$PN33,TabAsistencias[[#Headers],[I]])</f>
        <v>0</v>
      </c>
      <c r="QE33" s="74">
        <f>COUNTIFS($C$27:$PN$27,("&lt;"&amp;$B$3),$C$27:$PN$27,("&gt;="&amp;$B$2),$C33:$PN33,TabAsistencias[[#Headers],[T/2]])</f>
        <v>0</v>
      </c>
      <c r="QF33" s="74">
        <f>COUNTIFS($C$27:$PN$27,("&lt;"&amp;$B$3),$C$27:$PN$27,("&gt;="&amp;$B$2),$C33:$PN33,TabAsistencias[[#Headers],[ME]])</f>
        <v>0</v>
      </c>
      <c r="QG33" s="74">
        <f>COUNTIFS($C$27:$PN$27,("&lt;"&amp;$B$3),$C$27:$PN$27,("&gt;="&amp;$B$2),$C33:$PN33,TabAsistencias[[#Headers],[DP]])</f>
        <v>0</v>
      </c>
      <c r="QH33" s="74">
        <f>COUNTIFS($C$27:$PN$27,("&lt;"&amp;$B$3),$C$27:$PN$27,("&gt;="&amp;$B$2),$C33:$PN33,TabAsistencias[[#Headers],[B]])</f>
        <v>0</v>
      </c>
      <c r="QI33" s="74">
        <f>(TabAsistencias[[#This Row],[1]]*'Tablas de informacion'!$C$124)+(TabAsistencias[[#This Row],[E]]*'Tablas de informacion'!$C$125)+(TabAsistencias[[#This Row],[DE]]*'Tablas de informacion'!C$126)+(TabAsistencias[[#This Row],[V]]*'Tablas de informacion'!C$127)+(TabAsistencias[[#This Row],[DO]]*'Tablas de informacion'!C$128)+(TabAsistencias[[#This Row],[P]]*'Tablas de informacion'!C$129)+(TabAsistencias[[#This Row],[F]]*'Tablas de informacion'!C$130)+(TabAsistencias[[#This Row],[R]]*'Tablas de informacion'!C$131)+(TabAsistencias[[#This Row],[PP]]*'Tablas de informacion'!C$132)+(TabAsistencias[[#This Row],[0]]*'Tablas de informacion'!C$133)+(TabAsistencias[[#This Row],[IG]]*'Tablas de informacion'!C$134)+(TabAsistencias[[#This Row],[NA]]*'Tablas de informacion'!C$135)+(TabAsistencias[[#This Row],[DF]]*'Tablas de informacion'!C$136)+(TabAsistencias[[#This Row],[3]]*'Tablas de informacion'!C$137)+(TabAsistencias[[#This Row],[CP]]*'Tablas de informacion'!C$138)+(TabAsistencias[[#This Row],[I]]*'Tablas de informacion'!C$139)+(TabAsistencias[[#This Row],[T/2]]*'Tablas de informacion'!C$140)+(TabAsistencias[[#This Row],[ME]]*'Tablas de informacion'!C$141)+(TabAsistencias[[#This Row],[DP]]*'Tablas de informacion'!C$142)+(TabAsistencias[[#This Row],[B]]*'Tablas de informacion'!C$143)-INT(TabAsistencias[[#This Row],[R]]/3)</f>
        <v>30</v>
      </c>
      <c r="QJ33" s="74">
        <f>COUNTIFS($C$27:$PN$27,("&lt;"&amp;$B$3),$C$27:$PN$27,("&gt;="&amp;$B$2),$C$28:$PN$28,1,$C33:$PN33,TabAsistencias[[#Headers],[1]])+
COUNTIFS($C$27:$PN$27,("&lt;"&amp;$B$3),$C$27:$PN$27,("&gt;="&amp;$B$2),$C$28:$PN$28,1,$C33:$PN33,TabAsistencias[[#Headers],[DO]])+
COUNTIFS($C$27:$PN$27,("&lt;"&amp;$B$3),$C$27:$PN$27,("&gt;="&amp;$B$2),$C$28:$PN$28,1,$C33:$PN33,TabAsistencias[[#Headers],[R]])+
COUNTIFS($C$27:$PN$27,("&lt;"&amp;$B$3),$C$27:$PN$27,("&gt;="&amp;$B$2),$C$28:$PN$28,1,$C33:$PN33,TabAsistencias[[#Headers],[NA]])+
COUNTIFS($C$27:$PN$27,("&lt;"&amp;$B$3),$C$27:$PN$27,("&gt;="&amp;$B$2),$C$28:$PN$28,1,$C33:$PN33,TabAsistencias[[#Headers],[DF]])+
COUNTIFS($C$27:$PN$27,("&lt;"&amp;$B$3),$C$27:$PN$27,("&gt;="&amp;$B$2),$C$28:$PN$28,1,$C33:$PN33,TabAsistencias[[#Headers],[3]])+
COUNTIFS($C$27:$PN$27,("&lt;"&amp;$B$3),$C$27:$PN$27,("&gt;="&amp;$B$2),$C$28:$PN$28,1,$C33:$PN33,TabAsistencias[[#Headers],[CP]])+
COUNTIFS($C$27:$PN$27,("&lt;"&amp;$B$3),$C$27:$PN$27,("&gt;="&amp;$B$2),$C$28:$PN$28,1,$C33:$PN33,TabAsistencias[[#Headers],[T/2]])</f>
        <v>4</v>
      </c>
      <c r="QK33" s="315" cm="1">
        <f t="array" ref="QK33">IFERROR(VLOOKUP(
DATEDIF((VLOOKUP(TabAsistencias[[#This Row],[ID]],TabEmpleados[],COLUMN(TabEmpleados[Fecha de ingreso]),FALSE)),Asistencias!$B$3,"Y"),
TabFactorIntegracion[],COLUMN(TabFactorIntegracion[Días vacacionales
establecidos por ley]),FALSE),0)
-
COUNTIF($AH33:$PN33,TabAsistencias[[#Headers],[V]])</f>
        <v>14</v>
      </c>
      <c r="QL33" s="319">
        <f>SUM(TabAsistencias[[#This Row],[''1]],TabAsistencias[[#This Row],[''DE]],TabAsistencias[[#This Row],[''DO]],TabAsistencias[[#This Row],[''R]],TabAsistencias[[#This Row],[''NA]],TabAsistencias[[#This Row],[''DF]],TabAsistencias[[#This Row],[''3]],TabAsistencias[[#This Row],[''CP]],TabAsistencias[[#This Row],[''T/2]],TabAsistencias[[#This Row],[''DP]])</f>
        <v>73</v>
      </c>
      <c r="QM33" s="314">
        <f>COUNTIFS($C$27:$PN$27,("&lt;"&amp;$B$5),$C$27:$PN$27,("&gt;="&amp;$B$4),$C33:$PN33,TabAsistencias[[#Headers],[1]])</f>
        <v>72</v>
      </c>
      <c r="QN33" s="314">
        <f>COUNTIFS($C$27:$PN$27,("&lt;"&amp;$B$5),$C$27:$PN$27,("&gt;="&amp;$B$4),$C33:$PN33,TabAsistencias[[#Headers],[DE]])</f>
        <v>0</v>
      </c>
      <c r="QO33" s="314">
        <f>COUNTIFS($C$27:$PN$27,("&lt;"&amp;$B$5),$C$27:$PN$27,("&gt;="&amp;$B$4),$C33:$PN33,TabAsistencias[[#Headers],[V]])</f>
        <v>0</v>
      </c>
      <c r="QP33" s="314">
        <f>COUNTIFS($C$27:$PN$27,("&lt;"&amp;$B$5),$C$27:$PN$27,("&gt;="&amp;$B$4),$C33:$PN33,TabAsistencias[[#Headers],[DO]])</f>
        <v>1</v>
      </c>
      <c r="QQ33" s="314">
        <f>COUNTIFS($C$27:$PN$27,("&lt;"&amp;$B$5),$C$27:$PN$27,("&gt;="&amp;$B$4),$C33:$PN33,TabAsistencias[[#Headers],[P]])</f>
        <v>0</v>
      </c>
      <c r="QR33" s="314">
        <f>COUNTIFS($C$27:$PN$27,("&lt;"&amp;$B$5),$C$27:$PN$27,("&gt;="&amp;$B$4),$C33:$PN33,TabAsistencias[[#Headers],[F]])</f>
        <v>0</v>
      </c>
      <c r="QS33" s="314">
        <f>COUNTIFS($C$27:$PN$27,("&lt;"&amp;$B$5),$C$27:$PN$27,("&gt;="&amp;$B$4),$C33:$PN33,TabAsistencias[[#Headers],[R]])</f>
        <v>0</v>
      </c>
      <c r="QT33" s="314">
        <f>COUNTIFS($C$27:$PN$27,("&lt;"&amp;$B$5),$C$27:$PN$27,("&gt;="&amp;$B$4),$C33:$PN33,TabAsistencias[[#Headers],[PP]])</f>
        <v>0</v>
      </c>
      <c r="QU33" s="314">
        <f>COUNTIFS($C$27:$PN$27,("&lt;"&amp;$B$5),$C$27:$PN$27,("&gt;="&amp;$B$4),$C33:$PN33,TabAsistencias[[#Headers],[0]])</f>
        <v>0</v>
      </c>
      <c r="QV33" s="314">
        <f>COUNTIFS($C$27:$PN$27,("&lt;"&amp;$B$5),$C$27:$PN$27,("&gt;="&amp;$B$4),$C33:$PN33,TabAsistencias[[#Headers],[IG]])</f>
        <v>0</v>
      </c>
      <c r="QW33" s="314">
        <f>COUNTIFS($C$27:$PN$27,("&lt;"&amp;$B$5),$C$27:$PN$27,("&gt;="&amp;$B$4),$C33:$PN33,TabAsistencias[[#Headers],[NA]])</f>
        <v>0</v>
      </c>
      <c r="QX33" s="314">
        <f>COUNTIFS($C$27:$PN$27,("&lt;"&amp;$B$5),$C$27:$PN$27,("&gt;="&amp;$B$4),$C33:$PN33,TabAsistencias[[#Headers],[DF]])</f>
        <v>0</v>
      </c>
      <c r="QY33" s="314">
        <f>COUNTIFS($C$27:$PN$27,("&lt;"&amp;$B$5),$C$27:$PN$27,("&gt;="&amp;$B$4),$C33:$PN33,TabAsistencias[[#Headers],[3]])</f>
        <v>0</v>
      </c>
      <c r="QZ33" s="314">
        <f>COUNTIFS($C$27:$PN$27,("&lt;"&amp;$B$5),$C$27:$PN$27,("&gt;="&amp;$B$4),$C33:$PN33,TabAsistencias[[#Headers],[CP]])</f>
        <v>0</v>
      </c>
      <c r="RA33" s="314">
        <f>COUNTIFS($C$27:$PN$27,("&lt;"&amp;$B$5),$C$27:$PN$27,("&gt;="&amp;$B$4),$C33:$PN33,TabAsistencias[[#Headers],[I]])</f>
        <v>0</v>
      </c>
      <c r="RB33" s="314">
        <f>COUNTIFS($C$27:$PN$27,("&lt;"&amp;$B$5),$C$27:$PN$27,("&gt;="&amp;$B$4),$C33:$PN33,TabAsistencias[[#Headers],[T/2]])</f>
        <v>0</v>
      </c>
      <c r="RC33" s="314">
        <f>COUNTIFS($C$27:$PN$27,("&lt;"&amp;$B$5),$C$27:$PN$27,("&gt;="&amp;$B$4),$C33:$PN33,TabAsistencias[[#Headers],[ME]])</f>
        <v>0</v>
      </c>
      <c r="RD33" s="314">
        <f>COUNTIFS($C$27:$PN$27,("&lt;"&amp;$B$5),$C$27:$PN$27,("&gt;="&amp;$B$4),$C33:$PN33,TabAsistencias[[#Headers],[DP]])</f>
        <v>0</v>
      </c>
      <c r="RE33" s="314">
        <f>COUNTIFS($C$27:$PN$27,("&lt;"&amp;$B$5),$C$27:$PN$27,("&gt;="&amp;$B$4),$C33:$PN33,TabAsistencias[[#Headers],[B]])</f>
        <v>0</v>
      </c>
      <c r="RF33" s="314">
        <f>COUNTIFS($C$27:$PN$27,("&lt;"&amp;$B$5),$C$27:$PN$27,("&gt;="&amp;$B$4),$C$28:$PN$28,1,$C33:$PN33,TabAsistencias[[#Headers],[1]])+
COUNTIFS($C$27:$PN$27,("&lt;"&amp;$B$5),$C$27:$PN$27,("&gt;="&amp;$B$4),$C$28:$PN$28,1,$C33:$PN33,TabAsistencias[[#Headers],[DO]])+
COUNTIFS($C$27:$PN$27,("&lt;"&amp;$B$5),$C$27:$PN$27,("&gt;="&amp;$B$4),$C$28:$PN$28,1,$C33:$PN33,TabAsistencias[[#Headers],[R]])+
COUNTIFS($C$27:$PN$27,("&lt;"&amp;$B$5),$C$27:$PN$27,("&gt;="&amp;$B$4),$C$28:$PN$28,1,$C33:$PN33,TabAsistencias[[#Headers],[NA]])+
COUNTIFS($C$27:$PN$27,("&lt;"&amp;$B$5),$C$27:$PN$27,("&gt;="&amp;$B$4),$C$28:$PN$28,1,$C33:$PN33,TabAsistencias[[#Headers],[DF]])+
COUNTIFS($C$27:$PN$27,("&lt;"&amp;$B$5),$C$27:$PN$27,("&gt;="&amp;$B$4),$C$28:$PN$28,1,$C33:$PN33,TabAsistencias[[#Headers],[3]])+
COUNTIFS($C$27:$PN$27,("&lt;"&amp;$B$5),$C$27:$PN$27,("&gt;="&amp;$B$4),$C$28:$PN$28,1,$C33:$PN33,TabAsistencias[[#Headers],[CP]])+
COUNTIFS($C$27:$PN$27,("&lt;"&amp;$B$5),$C$27:$PN$27,("&gt;="&amp;$B$4),$C$28:$PN$28,1,$C33:$PN33,TabAsistencias[[#Headers],[T/2]])</f>
        <v>11</v>
      </c>
      <c r="RG33" s="320" cm="1">
        <f t="array" ref="RG33">IFERROR(VLOOKUP(
DATEDIF((VLOOKUP(TabAsistencias[[#This Row],[ID]],TabEmpleados[],COLUMN(TabEmpleados[Fecha de alta NSS]),FALSE)),Asistencias!$B$3,"Y"),
TabFactorIntegracion[],COLUMN(TabFactorIntegracion[Días vacacionales
establecidos por ley]),FALSE),0)
-
COUNTIF($AH33:$PN33,TabAsistencias[[#Headers],[V]])</f>
        <v>14</v>
      </c>
    </row>
    <row r="34" spans="1:475" x14ac:dyDescent="0.25">
      <c r="A34" s="92">
        <f t="shared" si="434"/>
        <v>4</v>
      </c>
      <c r="B34" s="30" t="str" cm="1">
        <f t="array" ref="B34">VLOOKUP(TabAsistencias[[#This Row],[ID]],TabEmpleados[],COLUMN(TabEmpleados[Nombre]),FALSE)</f>
        <v>HERNANDEZ MORALES CITLALI ITZEL</v>
      </c>
      <c r="C34" s="36" t="s">
        <v>139</v>
      </c>
      <c r="D34" s="36" t="s">
        <v>139</v>
      </c>
      <c r="E34" s="36" t="s">
        <v>139</v>
      </c>
      <c r="F34" s="36" t="s">
        <v>139</v>
      </c>
      <c r="G34" s="36" t="s">
        <v>139</v>
      </c>
      <c r="H34" s="36" t="s">
        <v>139</v>
      </c>
      <c r="I34" s="36" t="s">
        <v>139</v>
      </c>
      <c r="J34" s="36" t="s">
        <v>139</v>
      </c>
      <c r="K34" s="36" t="s">
        <v>139</v>
      </c>
      <c r="L34" s="36" t="s">
        <v>139</v>
      </c>
      <c r="M34" s="36" t="s">
        <v>139</v>
      </c>
      <c r="N34" s="36" t="s">
        <v>139</v>
      </c>
      <c r="O34" s="36" t="s">
        <v>139</v>
      </c>
      <c r="P34" s="36" t="s">
        <v>139</v>
      </c>
      <c r="Q34" s="36" t="s">
        <v>139</v>
      </c>
      <c r="R34" s="36" t="s">
        <v>139</v>
      </c>
      <c r="S34" s="36" t="s">
        <v>139</v>
      </c>
      <c r="T34" s="36" t="s">
        <v>139</v>
      </c>
      <c r="U34" s="36" t="s">
        <v>139</v>
      </c>
      <c r="V34" s="36" t="s">
        <v>139</v>
      </c>
      <c r="W34" s="36" t="s">
        <v>139</v>
      </c>
      <c r="X34" s="36" t="s">
        <v>139</v>
      </c>
      <c r="Y34" s="36" t="s">
        <v>139</v>
      </c>
      <c r="Z34" s="36" t="s">
        <v>139</v>
      </c>
      <c r="AA34" s="36" t="s">
        <v>139</v>
      </c>
      <c r="AB34" s="36" t="s">
        <v>139</v>
      </c>
      <c r="AC34" s="36" t="s">
        <v>139</v>
      </c>
      <c r="AD34" s="36" t="s">
        <v>139</v>
      </c>
      <c r="AE34" s="36" t="s">
        <v>139</v>
      </c>
      <c r="AF34" s="36" t="s">
        <v>139</v>
      </c>
      <c r="AG34" s="36" t="s">
        <v>139</v>
      </c>
      <c r="AH34" s="36" t="s">
        <v>113</v>
      </c>
      <c r="AI34" s="36" t="s">
        <v>139</v>
      </c>
      <c r="AJ34" s="36" t="s">
        <v>139</v>
      </c>
      <c r="AK34" s="36" t="s">
        <v>139</v>
      </c>
      <c r="AL34" s="36" t="s">
        <v>139</v>
      </c>
      <c r="AM34" s="36" t="s">
        <v>139</v>
      </c>
      <c r="AN34" s="36" t="s">
        <v>139</v>
      </c>
      <c r="AO34" s="36" t="s">
        <v>139</v>
      </c>
      <c r="AP34" s="36" t="s">
        <v>139</v>
      </c>
      <c r="AQ34" s="36" t="s">
        <v>139</v>
      </c>
      <c r="AR34" s="36" t="s">
        <v>139</v>
      </c>
      <c r="AS34" s="36" t="s">
        <v>139</v>
      </c>
      <c r="AT34" s="36" t="s">
        <v>139</v>
      </c>
      <c r="AU34" s="36" t="s">
        <v>139</v>
      </c>
      <c r="AV34" s="36" t="s">
        <v>139</v>
      </c>
      <c r="AW34" s="36" t="s">
        <v>139</v>
      </c>
      <c r="AX34" s="36" t="s">
        <v>139</v>
      </c>
      <c r="AY34" s="36" t="s">
        <v>139</v>
      </c>
      <c r="AZ34" s="36" t="s">
        <v>139</v>
      </c>
      <c r="BA34" s="36" t="s">
        <v>139</v>
      </c>
      <c r="BB34" s="36" t="s">
        <v>139</v>
      </c>
      <c r="BC34" s="36" t="s">
        <v>139</v>
      </c>
      <c r="BD34" s="36" t="s">
        <v>139</v>
      </c>
      <c r="BE34" s="36" t="s">
        <v>139</v>
      </c>
      <c r="BF34" s="36" t="s">
        <v>139</v>
      </c>
      <c r="BG34" s="36" t="s">
        <v>139</v>
      </c>
      <c r="BH34" s="36" t="s">
        <v>139</v>
      </c>
      <c r="BI34" s="36" t="s">
        <v>139</v>
      </c>
      <c r="BJ34" s="36" t="s">
        <v>139</v>
      </c>
      <c r="BK34" s="36" t="s">
        <v>139</v>
      </c>
      <c r="BL34" s="36" t="s">
        <v>139</v>
      </c>
      <c r="BM34" s="36" t="s">
        <v>139</v>
      </c>
      <c r="BN34" s="36" t="s">
        <v>139</v>
      </c>
      <c r="BO34" s="36" t="s">
        <v>139</v>
      </c>
      <c r="BP34" s="36" t="s">
        <v>139</v>
      </c>
      <c r="BQ34" s="36" t="s">
        <v>139</v>
      </c>
      <c r="BR34" s="36" t="s">
        <v>139</v>
      </c>
      <c r="BS34" s="36" t="s">
        <v>139</v>
      </c>
      <c r="BT34" s="36" t="s">
        <v>139</v>
      </c>
      <c r="BU34" s="36" t="s">
        <v>139</v>
      </c>
      <c r="BV34" s="36" t="s">
        <v>139</v>
      </c>
      <c r="BW34" s="36" t="s">
        <v>139</v>
      </c>
      <c r="BX34" s="36" t="s">
        <v>139</v>
      </c>
      <c r="BY34" s="36" t="s">
        <v>139</v>
      </c>
      <c r="BZ34" s="36" t="s">
        <v>139</v>
      </c>
      <c r="CA34" s="36" t="s">
        <v>139</v>
      </c>
      <c r="CB34" s="36" t="s">
        <v>139</v>
      </c>
      <c r="CC34" s="36" t="s">
        <v>139</v>
      </c>
      <c r="CD34" s="36" t="s">
        <v>139</v>
      </c>
      <c r="CE34" s="36" t="s">
        <v>139</v>
      </c>
      <c r="CF34" s="36" t="s">
        <v>139</v>
      </c>
      <c r="CG34" s="36" t="s">
        <v>139</v>
      </c>
      <c r="CH34" s="36" t="s">
        <v>139</v>
      </c>
      <c r="CI34" s="36" t="s">
        <v>139</v>
      </c>
      <c r="CJ34" s="36" t="s">
        <v>139</v>
      </c>
      <c r="CK34" s="36" t="s">
        <v>139</v>
      </c>
      <c r="CL34" s="36" t="s">
        <v>139</v>
      </c>
      <c r="CM34" s="36" t="s">
        <v>139</v>
      </c>
      <c r="CN34" s="36" t="s">
        <v>139</v>
      </c>
      <c r="CO34" s="36" t="s">
        <v>139</v>
      </c>
      <c r="CP34" s="36" t="s">
        <v>139</v>
      </c>
      <c r="CQ34" s="36" t="s">
        <v>139</v>
      </c>
      <c r="CR34" s="36" t="s">
        <v>139</v>
      </c>
      <c r="CS34" s="36" t="s">
        <v>139</v>
      </c>
      <c r="CT34" s="36" t="s">
        <v>139</v>
      </c>
      <c r="CU34" s="36" t="s">
        <v>139</v>
      </c>
      <c r="CV34" s="36" t="s">
        <v>139</v>
      </c>
      <c r="CW34" s="36" t="s">
        <v>139</v>
      </c>
      <c r="CX34" s="36" t="s">
        <v>139</v>
      </c>
      <c r="CY34" s="36" t="s">
        <v>139</v>
      </c>
      <c r="CZ34" s="36" t="s">
        <v>139</v>
      </c>
      <c r="DA34" s="36" t="s">
        <v>139</v>
      </c>
      <c r="DB34" s="36" t="s">
        <v>139</v>
      </c>
      <c r="DC34" s="36" t="s">
        <v>139</v>
      </c>
      <c r="DD34" s="36" t="s">
        <v>139</v>
      </c>
      <c r="DE34" s="36" t="s">
        <v>139</v>
      </c>
      <c r="DF34" s="36" t="s">
        <v>139</v>
      </c>
      <c r="DG34" s="36" t="s">
        <v>139</v>
      </c>
      <c r="DH34" s="36" t="s">
        <v>139</v>
      </c>
      <c r="DI34" s="36" t="s">
        <v>139</v>
      </c>
      <c r="DJ34" s="36" t="s">
        <v>139</v>
      </c>
      <c r="DK34" s="36" t="s">
        <v>139</v>
      </c>
      <c r="DL34" s="36" t="s">
        <v>139</v>
      </c>
      <c r="DM34" s="36" t="s">
        <v>139</v>
      </c>
      <c r="DN34" s="36" t="s">
        <v>139</v>
      </c>
      <c r="DO34" s="36" t="s">
        <v>139</v>
      </c>
      <c r="DP34" s="36" t="s">
        <v>139</v>
      </c>
      <c r="DQ34" s="36" t="s">
        <v>139</v>
      </c>
      <c r="DR34" s="36" t="s">
        <v>139</v>
      </c>
      <c r="DS34" s="36" t="s">
        <v>139</v>
      </c>
      <c r="DT34" s="36" t="s">
        <v>139</v>
      </c>
      <c r="DU34" s="36" t="s">
        <v>139</v>
      </c>
      <c r="DV34" s="36" t="s">
        <v>139</v>
      </c>
      <c r="DW34" s="36" t="s">
        <v>139</v>
      </c>
      <c r="DX34" s="36" t="s">
        <v>139</v>
      </c>
      <c r="DY34" s="36" t="s">
        <v>139</v>
      </c>
      <c r="DZ34" s="36" t="s">
        <v>139</v>
      </c>
      <c r="EA34" s="36" t="s">
        <v>139</v>
      </c>
      <c r="EB34" s="36" t="s">
        <v>139</v>
      </c>
      <c r="EC34" s="36" t="s">
        <v>139</v>
      </c>
      <c r="ED34" s="36" t="s">
        <v>139</v>
      </c>
      <c r="EE34" s="36" t="s">
        <v>139</v>
      </c>
      <c r="EF34" s="36" t="s">
        <v>139</v>
      </c>
      <c r="EG34" s="36" t="s">
        <v>139</v>
      </c>
      <c r="EH34" s="36" t="s">
        <v>139</v>
      </c>
      <c r="EI34" s="36" t="s">
        <v>139</v>
      </c>
      <c r="EJ34" s="36" t="s">
        <v>139</v>
      </c>
      <c r="EK34" s="36" t="s">
        <v>139</v>
      </c>
      <c r="EL34" s="36" t="s">
        <v>139</v>
      </c>
      <c r="EM34" s="36" t="s">
        <v>139</v>
      </c>
      <c r="EN34" s="36" t="s">
        <v>139</v>
      </c>
      <c r="EO34" s="36" t="s">
        <v>139</v>
      </c>
      <c r="EP34" s="36" t="s">
        <v>139</v>
      </c>
      <c r="EQ34" s="36" t="s">
        <v>139</v>
      </c>
      <c r="ER34" s="36" t="s">
        <v>139</v>
      </c>
      <c r="ES34" s="36" t="s">
        <v>139</v>
      </c>
      <c r="ET34" s="36" t="s">
        <v>139</v>
      </c>
      <c r="EU34" s="36" t="s">
        <v>139</v>
      </c>
      <c r="EV34" s="36" t="s">
        <v>139</v>
      </c>
      <c r="EW34" s="36" t="s">
        <v>139</v>
      </c>
      <c r="EX34" s="36" t="s">
        <v>139</v>
      </c>
      <c r="EY34" s="36" t="s">
        <v>139</v>
      </c>
      <c r="EZ34" s="36" t="s">
        <v>139</v>
      </c>
      <c r="FA34" s="36" t="s">
        <v>139</v>
      </c>
      <c r="FB34" s="36" t="s">
        <v>139</v>
      </c>
      <c r="FC34" s="36" t="s">
        <v>139</v>
      </c>
      <c r="FD34" s="36" t="s">
        <v>139</v>
      </c>
      <c r="FE34" s="36" t="s">
        <v>139</v>
      </c>
      <c r="FF34" s="36" t="s">
        <v>139</v>
      </c>
      <c r="FG34" s="36" t="s">
        <v>139</v>
      </c>
      <c r="FH34" s="36" t="s">
        <v>139</v>
      </c>
      <c r="FI34" s="36" t="s">
        <v>139</v>
      </c>
      <c r="FJ34" s="36" t="s">
        <v>139</v>
      </c>
      <c r="FK34" s="36" t="s">
        <v>139</v>
      </c>
      <c r="FL34" s="36" t="s">
        <v>139</v>
      </c>
      <c r="FM34" s="36" t="s">
        <v>139</v>
      </c>
      <c r="FN34" s="36" t="s">
        <v>139</v>
      </c>
      <c r="FO34" s="36" t="s">
        <v>139</v>
      </c>
      <c r="FP34" s="36" t="s">
        <v>139</v>
      </c>
      <c r="FQ34" s="36" t="s">
        <v>139</v>
      </c>
      <c r="FR34" s="36" t="s">
        <v>139</v>
      </c>
      <c r="FS34" s="36" t="s">
        <v>139</v>
      </c>
      <c r="FT34" s="36" t="s">
        <v>139</v>
      </c>
      <c r="FU34" s="36" t="s">
        <v>139</v>
      </c>
      <c r="FV34" s="36" t="s">
        <v>139</v>
      </c>
      <c r="FW34" s="36" t="s">
        <v>139</v>
      </c>
      <c r="FX34" s="36" t="s">
        <v>139</v>
      </c>
      <c r="FY34" s="36" t="s">
        <v>139</v>
      </c>
      <c r="FZ34" s="36" t="s">
        <v>139</v>
      </c>
      <c r="GA34" s="36" t="s">
        <v>139</v>
      </c>
      <c r="GB34" s="36" t="s">
        <v>139</v>
      </c>
      <c r="GC34" s="36" t="s">
        <v>139</v>
      </c>
      <c r="GD34" s="36" t="s">
        <v>139</v>
      </c>
      <c r="GE34" s="36" t="s">
        <v>139</v>
      </c>
      <c r="GF34" s="36" t="s">
        <v>139</v>
      </c>
      <c r="GG34" s="36" t="s">
        <v>139</v>
      </c>
      <c r="GH34" s="36" t="s">
        <v>139</v>
      </c>
      <c r="GI34" s="36" t="s">
        <v>139</v>
      </c>
      <c r="GJ34" s="36" t="s">
        <v>139</v>
      </c>
      <c r="GK34" s="36" t="s">
        <v>139</v>
      </c>
      <c r="GL34" s="36" t="s">
        <v>139</v>
      </c>
      <c r="GM34" s="36" t="s">
        <v>139</v>
      </c>
      <c r="GN34" s="36" t="s">
        <v>139</v>
      </c>
      <c r="GO34" s="36" t="s">
        <v>139</v>
      </c>
      <c r="GP34" s="36" t="s">
        <v>139</v>
      </c>
      <c r="GQ34" s="36" t="s">
        <v>139</v>
      </c>
      <c r="GR34" s="36" t="s">
        <v>139</v>
      </c>
      <c r="GS34" s="36" t="s">
        <v>139</v>
      </c>
      <c r="GT34" s="36" t="s">
        <v>139</v>
      </c>
      <c r="GU34" s="36" t="s">
        <v>139</v>
      </c>
      <c r="GV34" s="36" t="s">
        <v>139</v>
      </c>
      <c r="GW34" s="36" t="s">
        <v>139</v>
      </c>
      <c r="GX34" s="36" t="s">
        <v>139</v>
      </c>
      <c r="GY34" s="36" t="s">
        <v>139</v>
      </c>
      <c r="GZ34" s="36" t="s">
        <v>139</v>
      </c>
      <c r="HA34" s="36" t="s">
        <v>139</v>
      </c>
      <c r="HB34" s="36" t="s">
        <v>139</v>
      </c>
      <c r="HC34" s="36" t="s">
        <v>139</v>
      </c>
      <c r="HD34" s="36" t="s">
        <v>139</v>
      </c>
      <c r="HE34" s="36" t="s">
        <v>139</v>
      </c>
      <c r="HF34" s="36" t="s">
        <v>139</v>
      </c>
      <c r="HG34" s="36" t="s">
        <v>139</v>
      </c>
      <c r="HH34" s="36" t="s">
        <v>139</v>
      </c>
      <c r="HI34" s="36" t="s">
        <v>139</v>
      </c>
      <c r="HJ34" s="36" t="s">
        <v>139</v>
      </c>
      <c r="HK34" s="36" t="s">
        <v>139</v>
      </c>
      <c r="HL34" s="36" t="s">
        <v>139</v>
      </c>
      <c r="HM34" s="36" t="s">
        <v>139</v>
      </c>
      <c r="HN34" s="36" t="s">
        <v>139</v>
      </c>
      <c r="HO34" s="36" t="s">
        <v>139</v>
      </c>
      <c r="HP34" s="36" t="s">
        <v>139</v>
      </c>
      <c r="HQ34" s="36" t="s">
        <v>139</v>
      </c>
      <c r="HR34" s="36" t="s">
        <v>139</v>
      </c>
      <c r="HS34" s="36" t="s">
        <v>139</v>
      </c>
      <c r="HT34" s="36" t="s">
        <v>139</v>
      </c>
      <c r="HU34" s="36" t="s">
        <v>139</v>
      </c>
      <c r="HV34" s="36" t="s">
        <v>139</v>
      </c>
      <c r="HW34" s="36" t="s">
        <v>139</v>
      </c>
      <c r="HX34" s="36" t="s">
        <v>139</v>
      </c>
      <c r="HY34" s="36" t="s">
        <v>139</v>
      </c>
      <c r="HZ34" s="36" t="s">
        <v>139</v>
      </c>
      <c r="IA34" s="36" t="s">
        <v>139</v>
      </c>
      <c r="IB34" s="36" t="s">
        <v>139</v>
      </c>
      <c r="IC34" s="36" t="s">
        <v>139</v>
      </c>
      <c r="ID34" s="36" t="s">
        <v>139</v>
      </c>
      <c r="IE34" s="36" t="s">
        <v>139</v>
      </c>
      <c r="IF34" s="36" t="s">
        <v>139</v>
      </c>
      <c r="IG34" s="36" t="s">
        <v>139</v>
      </c>
      <c r="IH34" s="36" t="s">
        <v>139</v>
      </c>
      <c r="II34" s="36" t="s">
        <v>139</v>
      </c>
      <c r="IJ34" s="36" t="s">
        <v>139</v>
      </c>
      <c r="IK34" s="36" t="s">
        <v>139</v>
      </c>
      <c r="IL34" s="36" t="s">
        <v>139</v>
      </c>
      <c r="IM34" s="36" t="s">
        <v>139</v>
      </c>
      <c r="IN34" s="36" t="s">
        <v>139</v>
      </c>
      <c r="IO34" s="36" t="s">
        <v>139</v>
      </c>
      <c r="IP34" s="36" t="s">
        <v>139</v>
      </c>
      <c r="IQ34" s="36" t="s">
        <v>139</v>
      </c>
      <c r="IR34" s="36" t="s">
        <v>139</v>
      </c>
      <c r="IS34" s="36" t="s">
        <v>139</v>
      </c>
      <c r="IT34" s="36" t="s">
        <v>139</v>
      </c>
      <c r="IU34" s="36" t="s">
        <v>139</v>
      </c>
      <c r="IV34" s="36" t="s">
        <v>139</v>
      </c>
      <c r="IW34" s="36" t="s">
        <v>139</v>
      </c>
      <c r="IX34" s="36" t="s">
        <v>139</v>
      </c>
      <c r="IY34" s="36" t="s">
        <v>139</v>
      </c>
      <c r="IZ34" s="36" t="s">
        <v>139</v>
      </c>
      <c r="JA34" s="36" t="s">
        <v>139</v>
      </c>
      <c r="JB34" s="36" t="s">
        <v>139</v>
      </c>
      <c r="JC34" s="36" t="s">
        <v>139</v>
      </c>
      <c r="JD34" s="36" t="s">
        <v>139</v>
      </c>
      <c r="JE34" s="36" t="s">
        <v>139</v>
      </c>
      <c r="JF34" s="36" t="s">
        <v>139</v>
      </c>
      <c r="JG34" s="36" t="s">
        <v>139</v>
      </c>
      <c r="JH34" s="36" t="s">
        <v>139</v>
      </c>
      <c r="JI34" s="36" t="s">
        <v>139</v>
      </c>
      <c r="JJ34" s="36" t="s">
        <v>139</v>
      </c>
      <c r="JK34" s="36" t="s">
        <v>139</v>
      </c>
      <c r="JL34" s="36" t="s">
        <v>139</v>
      </c>
      <c r="JM34" s="36" t="s">
        <v>139</v>
      </c>
      <c r="JN34" s="36" t="s">
        <v>139</v>
      </c>
      <c r="JO34" s="36" t="s">
        <v>139</v>
      </c>
      <c r="JP34" s="36" t="s">
        <v>139</v>
      </c>
      <c r="JQ34" s="36" t="s">
        <v>139</v>
      </c>
      <c r="JR34" s="36" t="s">
        <v>139</v>
      </c>
      <c r="JS34" s="36" t="s">
        <v>139</v>
      </c>
      <c r="JT34" s="36" t="s">
        <v>139</v>
      </c>
      <c r="JU34" s="36" t="s">
        <v>139</v>
      </c>
      <c r="JV34" s="36" t="s">
        <v>139</v>
      </c>
      <c r="JW34" s="36" t="s">
        <v>139</v>
      </c>
      <c r="JX34" s="36" t="s">
        <v>139</v>
      </c>
      <c r="JY34" s="36" t="s">
        <v>139</v>
      </c>
      <c r="JZ34" s="36" t="s">
        <v>139</v>
      </c>
      <c r="KA34" s="36" t="s">
        <v>139</v>
      </c>
      <c r="KB34" s="36" t="s">
        <v>139</v>
      </c>
      <c r="KC34" s="36" t="s">
        <v>139</v>
      </c>
      <c r="KD34" s="36" t="s">
        <v>139</v>
      </c>
      <c r="KE34" s="36" t="s">
        <v>139</v>
      </c>
      <c r="KF34" s="36" t="s">
        <v>139</v>
      </c>
      <c r="KG34" s="36" t="s">
        <v>139</v>
      </c>
      <c r="KH34" s="36" t="s">
        <v>139</v>
      </c>
      <c r="KI34" s="36" t="s">
        <v>139</v>
      </c>
      <c r="KJ34" s="36" t="s">
        <v>139</v>
      </c>
      <c r="KK34" s="36" t="s">
        <v>139</v>
      </c>
      <c r="KL34" s="36" t="s">
        <v>139</v>
      </c>
      <c r="KM34" s="36" t="s">
        <v>139</v>
      </c>
      <c r="KN34" s="36" t="s">
        <v>139</v>
      </c>
      <c r="KO34" s="36" t="s">
        <v>139</v>
      </c>
      <c r="KP34" s="36" t="s">
        <v>139</v>
      </c>
      <c r="KQ34" s="36" t="s">
        <v>139</v>
      </c>
      <c r="KR34" s="36" t="s">
        <v>139</v>
      </c>
      <c r="KS34" s="36" t="s">
        <v>139</v>
      </c>
      <c r="KT34" s="36" t="s">
        <v>139</v>
      </c>
      <c r="KU34" s="36" t="s">
        <v>139</v>
      </c>
      <c r="KV34" s="36" t="s">
        <v>139</v>
      </c>
      <c r="KW34" s="36" t="s">
        <v>139</v>
      </c>
      <c r="KX34" s="36" t="s">
        <v>139</v>
      </c>
      <c r="KY34" s="36" t="s">
        <v>139</v>
      </c>
      <c r="KZ34" s="36" t="s">
        <v>139</v>
      </c>
      <c r="LA34" s="36" t="s">
        <v>139</v>
      </c>
      <c r="LB34" s="36" t="s">
        <v>139</v>
      </c>
      <c r="LC34" s="36" t="s">
        <v>139</v>
      </c>
      <c r="LD34" s="36" t="s">
        <v>139</v>
      </c>
      <c r="LE34" s="36" t="s">
        <v>139</v>
      </c>
      <c r="LF34" s="36" t="s">
        <v>139</v>
      </c>
      <c r="LG34" s="36" t="s">
        <v>139</v>
      </c>
      <c r="LH34" s="36" t="s">
        <v>139</v>
      </c>
      <c r="LI34" s="36" t="s">
        <v>139</v>
      </c>
      <c r="LJ34" s="36" t="s">
        <v>139</v>
      </c>
      <c r="LK34" s="36" t="s">
        <v>139</v>
      </c>
      <c r="LL34" s="36" t="s">
        <v>139</v>
      </c>
      <c r="LM34" s="36" t="s">
        <v>139</v>
      </c>
      <c r="LN34" s="36" t="s">
        <v>139</v>
      </c>
      <c r="LO34" s="36" t="s">
        <v>139</v>
      </c>
      <c r="LP34" s="36" t="s">
        <v>139</v>
      </c>
      <c r="LQ34" s="36" t="s">
        <v>139</v>
      </c>
      <c r="LR34" s="36" t="s">
        <v>139</v>
      </c>
      <c r="LS34" s="36" t="s">
        <v>139</v>
      </c>
      <c r="LT34" s="36" t="s">
        <v>139</v>
      </c>
      <c r="LU34" s="36" t="s">
        <v>139</v>
      </c>
      <c r="LV34" s="36" t="s">
        <v>139</v>
      </c>
      <c r="LW34" s="36" t="s">
        <v>139</v>
      </c>
      <c r="LX34" s="36" t="s">
        <v>139</v>
      </c>
      <c r="LY34" s="36" t="s">
        <v>139</v>
      </c>
      <c r="LZ34" s="36" t="s">
        <v>139</v>
      </c>
      <c r="MA34" s="36" t="s">
        <v>139</v>
      </c>
      <c r="MB34" s="36" t="s">
        <v>139</v>
      </c>
      <c r="MC34" s="36" t="s">
        <v>139</v>
      </c>
      <c r="MD34" s="36" t="s">
        <v>139</v>
      </c>
      <c r="ME34" s="36" t="s">
        <v>139</v>
      </c>
      <c r="MF34" s="36" t="s">
        <v>139</v>
      </c>
      <c r="MG34" s="36" t="s">
        <v>139</v>
      </c>
      <c r="MH34" s="36" t="s">
        <v>139</v>
      </c>
      <c r="MI34" s="36" t="s">
        <v>139</v>
      </c>
      <c r="MJ34" s="36" t="s">
        <v>139</v>
      </c>
      <c r="MK34" s="36" t="s">
        <v>139</v>
      </c>
      <c r="ML34" s="36" t="s">
        <v>139</v>
      </c>
      <c r="MM34" s="36" t="s">
        <v>139</v>
      </c>
      <c r="MN34" s="36" t="s">
        <v>139</v>
      </c>
      <c r="MO34" s="36" t="s">
        <v>139</v>
      </c>
      <c r="MP34" s="36" t="s">
        <v>139</v>
      </c>
      <c r="MQ34" s="36" t="s">
        <v>139</v>
      </c>
      <c r="MR34" s="36" t="s">
        <v>139</v>
      </c>
      <c r="MS34" s="36" t="s">
        <v>139</v>
      </c>
      <c r="MT34" s="36" t="s">
        <v>139</v>
      </c>
      <c r="MU34" s="36" t="s">
        <v>139</v>
      </c>
      <c r="MV34" s="36" t="s">
        <v>139</v>
      </c>
      <c r="MW34" s="36" t="s">
        <v>139</v>
      </c>
      <c r="MX34" s="36" t="s">
        <v>139</v>
      </c>
      <c r="MY34" s="36" t="s">
        <v>139</v>
      </c>
      <c r="MZ34" s="36" t="s">
        <v>139</v>
      </c>
      <c r="NA34" s="36" t="s">
        <v>139</v>
      </c>
      <c r="NB34" s="36" t="s">
        <v>139</v>
      </c>
      <c r="NC34" s="36" t="s">
        <v>139</v>
      </c>
      <c r="ND34" s="36" t="s">
        <v>139</v>
      </c>
      <c r="NE34" s="36" t="s">
        <v>139</v>
      </c>
      <c r="NF34" s="36" t="s">
        <v>139</v>
      </c>
      <c r="NG34" s="36" t="s">
        <v>139</v>
      </c>
      <c r="NH34" s="36" t="s">
        <v>139</v>
      </c>
      <c r="NI34" s="36" t="s">
        <v>139</v>
      </c>
      <c r="NJ34" s="36" t="s">
        <v>139</v>
      </c>
      <c r="NK34" s="36" t="s">
        <v>139</v>
      </c>
      <c r="NL34" s="36" t="s">
        <v>139</v>
      </c>
      <c r="NM34" s="36" t="s">
        <v>139</v>
      </c>
      <c r="NN34" s="36" t="s">
        <v>139</v>
      </c>
      <c r="NO34" s="36" t="s">
        <v>139</v>
      </c>
      <c r="NP34" s="36" t="s">
        <v>139</v>
      </c>
      <c r="NQ34" s="36" t="s">
        <v>139</v>
      </c>
      <c r="NR34" s="36" t="s">
        <v>139</v>
      </c>
      <c r="NS34" s="36" t="s">
        <v>139</v>
      </c>
      <c r="NT34" s="36" t="s">
        <v>139</v>
      </c>
      <c r="NU34" s="36" t="s">
        <v>139</v>
      </c>
      <c r="NV34" s="36" t="s">
        <v>139</v>
      </c>
      <c r="NW34" s="36" t="s">
        <v>139</v>
      </c>
      <c r="NX34" s="36" t="s">
        <v>139</v>
      </c>
      <c r="NY34" s="36" t="s">
        <v>139</v>
      </c>
      <c r="NZ34" s="36" t="s">
        <v>139</v>
      </c>
      <c r="OA34" s="36" t="s">
        <v>139</v>
      </c>
      <c r="OB34" s="36" t="s">
        <v>139</v>
      </c>
      <c r="OC34" s="36" t="s">
        <v>139</v>
      </c>
      <c r="OD34" s="36" t="s">
        <v>139</v>
      </c>
      <c r="OE34" s="36" t="s">
        <v>139</v>
      </c>
      <c r="OF34" s="36" t="s">
        <v>139</v>
      </c>
      <c r="OG34" s="36" t="s">
        <v>139</v>
      </c>
      <c r="OH34" s="36" t="s">
        <v>139</v>
      </c>
      <c r="OI34" s="36" t="s">
        <v>139</v>
      </c>
      <c r="OJ34" s="36" t="s">
        <v>139</v>
      </c>
      <c r="OK34" s="36" t="s">
        <v>139</v>
      </c>
      <c r="OL34" s="36" t="s">
        <v>139</v>
      </c>
      <c r="OM34" s="36" t="s">
        <v>139</v>
      </c>
      <c r="ON34" s="36" t="s">
        <v>139</v>
      </c>
      <c r="OO34" s="36" t="s">
        <v>139</v>
      </c>
      <c r="OP34" s="36" t="s">
        <v>139</v>
      </c>
      <c r="OQ34" s="36" t="s">
        <v>139</v>
      </c>
      <c r="OR34" s="36" t="s">
        <v>139</v>
      </c>
      <c r="OS34" s="36" t="s">
        <v>139</v>
      </c>
      <c r="OT34" s="36" t="s">
        <v>139</v>
      </c>
      <c r="OU34" s="36" t="s">
        <v>139</v>
      </c>
      <c r="OV34" s="36" t="s">
        <v>139</v>
      </c>
      <c r="OW34" s="36" t="s">
        <v>139</v>
      </c>
      <c r="OX34" s="36" t="s">
        <v>139</v>
      </c>
      <c r="OY34" s="36" t="s">
        <v>139</v>
      </c>
      <c r="OZ34" s="36" t="s">
        <v>139</v>
      </c>
      <c r="PA34" s="36" t="s">
        <v>139</v>
      </c>
      <c r="PB34" s="36" t="s">
        <v>139</v>
      </c>
      <c r="PC34" s="36" t="s">
        <v>139</v>
      </c>
      <c r="PD34" s="36" t="s">
        <v>139</v>
      </c>
      <c r="PE34" s="36" t="s">
        <v>139</v>
      </c>
      <c r="PF34" s="36" t="s">
        <v>139</v>
      </c>
      <c r="PG34" s="36" t="s">
        <v>139</v>
      </c>
      <c r="PH34" s="36" t="s">
        <v>139</v>
      </c>
      <c r="PI34" s="36" t="s">
        <v>139</v>
      </c>
      <c r="PJ34" s="36" t="s">
        <v>139</v>
      </c>
      <c r="PK34" s="36" t="s">
        <v>139</v>
      </c>
      <c r="PL34" s="36" t="s">
        <v>139</v>
      </c>
      <c r="PM34" s="36" t="s">
        <v>139</v>
      </c>
      <c r="PN34" s="36" t="s">
        <v>139</v>
      </c>
      <c r="PO34" s="74">
        <f>COUNTIFS($C$27:$PN$27,("&lt;"&amp;$B$3),$C$27:$PN$27,("&gt;="&amp;$B$2),$C34:$PN34,TabAsistencias[[#Headers],[1]])</f>
        <v>30</v>
      </c>
      <c r="PP34" s="74">
        <f>COUNTIFS($C$27:$PN$27,("&lt;"&amp;$B$3),$C$27:$PN$27,("&gt;="&amp;$B$2),$C34:$PN34,TabAsistencias[[#Headers],[E]])</f>
        <v>0</v>
      </c>
      <c r="PQ34" s="74">
        <f>COUNTIFS($C$27:$PN$27,("&lt;"&amp;$B$3),$C$27:$PN$27,("&gt;="&amp;$B$2),$C34:$PN34,TabAsistencias[[#Headers],[DE]])</f>
        <v>0</v>
      </c>
      <c r="PR34" s="74">
        <f>COUNTIFS($C$27:$PN$27,("&lt;"&amp;$B$3),$C$27:$PN$27,("&gt;="&amp;$B$2),$C34:$PN34,TabAsistencias[[#Headers],[V]])</f>
        <v>0</v>
      </c>
      <c r="PS34" s="74">
        <f>COUNTIFS($C$27:$PN$27,("&lt;"&amp;$B$3),$C$27:$PN$27,("&gt;="&amp;$B$2),$C34:$PN34,TabAsistencias[[#Headers],[DO]])</f>
        <v>0</v>
      </c>
      <c r="PT34" s="74">
        <f>COUNTIFS($C$27:$PN$27,("&lt;"&amp;$B$3),$C$27:$PN$27,("&gt;="&amp;$B$2),$C34:$PN34,TabAsistencias[[#Headers],[P]])</f>
        <v>0</v>
      </c>
      <c r="PU34" s="74">
        <f>COUNTIFS($C$27:$PN$27,("&lt;"&amp;$B$3),$C$27:$PN$27,("&gt;="&amp;$B$2),$C34:$PN34,TabAsistencias[[#Headers],[F]])</f>
        <v>0</v>
      </c>
      <c r="PV34" s="74">
        <f>COUNTIFS($C$27:$PN$27,("&lt;"&amp;$B$3),$C$27:$PN$27,("&gt;="&amp;$B$2),$C34:$PN34,TabAsistencias[[#Headers],[R]])</f>
        <v>0</v>
      </c>
      <c r="PW34" s="74">
        <f>COUNTIFS($C$27:$PN$27,("&lt;"&amp;$B$3),$C$27:$PN$27,("&gt;="&amp;$B$2),$C34:$PN34,TabAsistencias[[#Headers],[PP]])</f>
        <v>0</v>
      </c>
      <c r="PX34" s="74">
        <f>COUNTIFS($C$27:$PN$27,("&lt;"&amp;$B$3),$C$27:$PN$27,("&gt;="&amp;$B$2),$C34:$PN34,TabAsistencias[[#Headers],[0]])</f>
        <v>0</v>
      </c>
      <c r="PY34" s="74">
        <f>COUNTIFS($C$27:$PN$27,("&lt;"&amp;$B$3),$C$27:$PN$27,("&gt;="&amp;$B$2),$C34:$PN34,TabAsistencias[[#Headers],[IG]])</f>
        <v>0</v>
      </c>
      <c r="PZ34" s="74">
        <f>COUNTIFS($C$27:$PN$27,("&lt;"&amp;$B$3),$C$27:$PN$27,("&gt;="&amp;$B$2),$C34:$PN34,TabAsistencias[[#Headers],[NA]])</f>
        <v>0</v>
      </c>
      <c r="QA34" s="74">
        <f>COUNTIFS($C$27:$PN$27,("&lt;"&amp;$B$3),$C$27:$PN$27,("&gt;="&amp;$B$2),$C34:$PN34,TabAsistencias[[#Headers],[DF]])</f>
        <v>0</v>
      </c>
      <c r="QB34" s="74">
        <f>COUNTIFS($C$27:$PN$27,("&lt;"&amp;$B$3),$C$27:$PN$27,("&gt;="&amp;$B$2),$C34:$PN34,TabAsistencias[[#Headers],[3]])</f>
        <v>0</v>
      </c>
      <c r="QC34" s="74">
        <f>COUNTIFS($C$27:$PN$27,("&lt;"&amp;$B$3),$C$27:$PN$27,("&gt;="&amp;$B$2),$C34:$PN34,TabAsistencias[[#Headers],[CP]])</f>
        <v>0</v>
      </c>
      <c r="QD34" s="74">
        <f>COUNTIFS($C$27:$PN$27,("&lt;"&amp;$B$3),$C$27:$PN$27,("&gt;="&amp;$B$2),$C34:$PN34,TabAsistencias[[#Headers],[I]])</f>
        <v>0</v>
      </c>
      <c r="QE34" s="74">
        <f>COUNTIFS($C$27:$PN$27,("&lt;"&amp;$B$3),$C$27:$PN$27,("&gt;="&amp;$B$2),$C34:$PN34,TabAsistencias[[#Headers],[T/2]])</f>
        <v>0</v>
      </c>
      <c r="QF34" s="74">
        <f>COUNTIFS($C$27:$PN$27,("&lt;"&amp;$B$3),$C$27:$PN$27,("&gt;="&amp;$B$2),$C34:$PN34,TabAsistencias[[#Headers],[ME]])</f>
        <v>0</v>
      </c>
      <c r="QG34" s="74">
        <f>COUNTIFS($C$27:$PN$27,("&lt;"&amp;$B$3),$C$27:$PN$27,("&gt;="&amp;$B$2),$C34:$PN34,TabAsistencias[[#Headers],[DP]])</f>
        <v>0</v>
      </c>
      <c r="QH34" s="74">
        <f>COUNTIFS($C$27:$PN$27,("&lt;"&amp;$B$3),$C$27:$PN$27,("&gt;="&amp;$B$2),$C34:$PN34,TabAsistencias[[#Headers],[B]])</f>
        <v>0</v>
      </c>
      <c r="QI34" s="74">
        <f>(TabAsistencias[[#This Row],[1]]*'Tablas de informacion'!$C$124)+(TabAsistencias[[#This Row],[E]]*'Tablas de informacion'!$C$125)+(TabAsistencias[[#This Row],[DE]]*'Tablas de informacion'!C$126)+(TabAsistencias[[#This Row],[V]]*'Tablas de informacion'!C$127)+(TabAsistencias[[#This Row],[DO]]*'Tablas de informacion'!C$128)+(TabAsistencias[[#This Row],[P]]*'Tablas de informacion'!C$129)+(TabAsistencias[[#This Row],[F]]*'Tablas de informacion'!C$130)+(TabAsistencias[[#This Row],[R]]*'Tablas de informacion'!C$131)+(TabAsistencias[[#This Row],[PP]]*'Tablas de informacion'!C$132)+(TabAsistencias[[#This Row],[0]]*'Tablas de informacion'!C$133)+(TabAsistencias[[#This Row],[IG]]*'Tablas de informacion'!C$134)+(TabAsistencias[[#This Row],[NA]]*'Tablas de informacion'!C$135)+(TabAsistencias[[#This Row],[DF]]*'Tablas de informacion'!C$136)+(TabAsistencias[[#This Row],[3]]*'Tablas de informacion'!C$137)+(TabAsistencias[[#This Row],[CP]]*'Tablas de informacion'!C$138)+(TabAsistencias[[#This Row],[I]]*'Tablas de informacion'!C$139)+(TabAsistencias[[#This Row],[T/2]]*'Tablas de informacion'!C$140)+(TabAsistencias[[#This Row],[ME]]*'Tablas de informacion'!C$141)+(TabAsistencias[[#This Row],[DP]]*'Tablas de informacion'!C$142)+(TabAsistencias[[#This Row],[B]]*'Tablas de informacion'!C$143)-INT(TabAsistencias[[#This Row],[R]]/3)</f>
        <v>30</v>
      </c>
      <c r="QJ34" s="74">
        <f>COUNTIFS($C$27:$PN$27,("&lt;"&amp;$B$3),$C$27:$PN$27,("&gt;="&amp;$B$2),$C$28:$PN$28,1,$C34:$PN34,TabAsistencias[[#Headers],[1]])+
COUNTIFS($C$27:$PN$27,("&lt;"&amp;$B$3),$C$27:$PN$27,("&gt;="&amp;$B$2),$C$28:$PN$28,1,$C34:$PN34,TabAsistencias[[#Headers],[DO]])+
COUNTIFS($C$27:$PN$27,("&lt;"&amp;$B$3),$C$27:$PN$27,("&gt;="&amp;$B$2),$C$28:$PN$28,1,$C34:$PN34,TabAsistencias[[#Headers],[R]])+
COUNTIFS($C$27:$PN$27,("&lt;"&amp;$B$3),$C$27:$PN$27,("&gt;="&amp;$B$2),$C$28:$PN$28,1,$C34:$PN34,TabAsistencias[[#Headers],[NA]])+
COUNTIFS($C$27:$PN$27,("&lt;"&amp;$B$3),$C$27:$PN$27,("&gt;="&amp;$B$2),$C$28:$PN$28,1,$C34:$PN34,TabAsistencias[[#Headers],[DF]])+
COUNTIFS($C$27:$PN$27,("&lt;"&amp;$B$3),$C$27:$PN$27,("&gt;="&amp;$B$2),$C$28:$PN$28,1,$C34:$PN34,TabAsistencias[[#Headers],[3]])+
COUNTIFS($C$27:$PN$27,("&lt;"&amp;$B$3),$C$27:$PN$27,("&gt;="&amp;$B$2),$C$28:$PN$28,1,$C34:$PN34,TabAsistencias[[#Headers],[CP]])+
COUNTIFS($C$27:$PN$27,("&lt;"&amp;$B$3),$C$27:$PN$27,("&gt;="&amp;$B$2),$C$28:$PN$28,1,$C34:$PN34,TabAsistencias[[#Headers],[T/2]])</f>
        <v>4</v>
      </c>
      <c r="QK34" s="315" cm="1">
        <f t="array" ref="QK34">IFERROR(VLOOKUP(
DATEDIF((VLOOKUP(TabAsistencias[[#This Row],[ID]],TabEmpleados[],COLUMN(TabEmpleados[Fecha de ingreso]),FALSE)),Asistencias!$B$3,"Y"),
TabFactorIntegracion[],COLUMN(TabFactorIntegracion[Días vacacionales
establecidos por ley]),FALSE),0)
-
COUNTIF($AH34:$PN34,TabAsistencias[[#Headers],[V]])</f>
        <v>0</v>
      </c>
      <c r="QL34" s="319">
        <f>SUM(TabAsistencias[[#This Row],[''1]],TabAsistencias[[#This Row],[''DE]],TabAsistencias[[#This Row],[''DO]],TabAsistencias[[#This Row],[''R]],TabAsistencias[[#This Row],[''NA]],TabAsistencias[[#This Row],[''DF]],TabAsistencias[[#This Row],[''3]],TabAsistencias[[#This Row],[''CP]],TabAsistencias[[#This Row],[''T/2]],TabAsistencias[[#This Row],[''DP]])</f>
        <v>72</v>
      </c>
      <c r="QM34" s="314">
        <f>COUNTIFS($C$27:$PN$27,("&lt;"&amp;$B$5),$C$27:$PN$27,("&gt;="&amp;$B$4),$C34:$PN34,TabAsistencias[[#Headers],[1]])</f>
        <v>72</v>
      </c>
      <c r="QN34" s="314">
        <f>COUNTIFS($C$27:$PN$27,("&lt;"&amp;$B$5),$C$27:$PN$27,("&gt;="&amp;$B$4),$C34:$PN34,TabAsistencias[[#Headers],[DE]])</f>
        <v>0</v>
      </c>
      <c r="QO34" s="314">
        <f>COUNTIFS($C$27:$PN$27,("&lt;"&amp;$B$5),$C$27:$PN$27,("&gt;="&amp;$B$4),$C34:$PN34,TabAsistencias[[#Headers],[V]])</f>
        <v>0</v>
      </c>
      <c r="QP34" s="314">
        <f>COUNTIFS($C$27:$PN$27,("&lt;"&amp;$B$5),$C$27:$PN$27,("&gt;="&amp;$B$4),$C34:$PN34,TabAsistencias[[#Headers],[DO]])</f>
        <v>0</v>
      </c>
      <c r="QQ34" s="314">
        <f>COUNTIFS($C$27:$PN$27,("&lt;"&amp;$B$5),$C$27:$PN$27,("&gt;="&amp;$B$4),$C34:$PN34,TabAsistencias[[#Headers],[P]])</f>
        <v>0</v>
      </c>
      <c r="QR34" s="314">
        <f>COUNTIFS($C$27:$PN$27,("&lt;"&amp;$B$5),$C$27:$PN$27,("&gt;="&amp;$B$4),$C34:$PN34,TabAsistencias[[#Headers],[F]])</f>
        <v>0</v>
      </c>
      <c r="QS34" s="314">
        <f>COUNTIFS($C$27:$PN$27,("&lt;"&amp;$B$5),$C$27:$PN$27,("&gt;="&amp;$B$4),$C34:$PN34,TabAsistencias[[#Headers],[R]])</f>
        <v>0</v>
      </c>
      <c r="QT34" s="314">
        <f>COUNTIFS($C$27:$PN$27,("&lt;"&amp;$B$5),$C$27:$PN$27,("&gt;="&amp;$B$4),$C34:$PN34,TabAsistencias[[#Headers],[PP]])</f>
        <v>0</v>
      </c>
      <c r="QU34" s="314">
        <f>COUNTIFS($C$27:$PN$27,("&lt;"&amp;$B$5),$C$27:$PN$27,("&gt;="&amp;$B$4),$C34:$PN34,TabAsistencias[[#Headers],[0]])</f>
        <v>0</v>
      </c>
      <c r="QV34" s="314">
        <f>COUNTIFS($C$27:$PN$27,("&lt;"&amp;$B$5),$C$27:$PN$27,("&gt;="&amp;$B$4),$C34:$PN34,TabAsistencias[[#Headers],[IG]])</f>
        <v>0</v>
      </c>
      <c r="QW34" s="314">
        <f>COUNTIFS($C$27:$PN$27,("&lt;"&amp;$B$5),$C$27:$PN$27,("&gt;="&amp;$B$4),$C34:$PN34,TabAsistencias[[#Headers],[NA]])</f>
        <v>0</v>
      </c>
      <c r="QX34" s="314">
        <f>COUNTIFS($C$27:$PN$27,("&lt;"&amp;$B$5),$C$27:$PN$27,("&gt;="&amp;$B$4),$C34:$PN34,TabAsistencias[[#Headers],[DF]])</f>
        <v>0</v>
      </c>
      <c r="QY34" s="314">
        <f>COUNTIFS($C$27:$PN$27,("&lt;"&amp;$B$5),$C$27:$PN$27,("&gt;="&amp;$B$4),$C34:$PN34,TabAsistencias[[#Headers],[3]])</f>
        <v>0</v>
      </c>
      <c r="QZ34" s="314">
        <f>COUNTIFS($C$27:$PN$27,("&lt;"&amp;$B$5),$C$27:$PN$27,("&gt;="&amp;$B$4),$C34:$PN34,TabAsistencias[[#Headers],[CP]])</f>
        <v>0</v>
      </c>
      <c r="RA34" s="314">
        <f>COUNTIFS($C$27:$PN$27,("&lt;"&amp;$B$5),$C$27:$PN$27,("&gt;="&amp;$B$4),$C34:$PN34,TabAsistencias[[#Headers],[I]])</f>
        <v>0</v>
      </c>
      <c r="RB34" s="314">
        <f>COUNTIFS($C$27:$PN$27,("&lt;"&amp;$B$5),$C$27:$PN$27,("&gt;="&amp;$B$4),$C34:$PN34,TabAsistencias[[#Headers],[T/2]])</f>
        <v>0</v>
      </c>
      <c r="RC34" s="314">
        <f>COUNTIFS($C$27:$PN$27,("&lt;"&amp;$B$5),$C$27:$PN$27,("&gt;="&amp;$B$4),$C34:$PN34,TabAsistencias[[#Headers],[ME]])</f>
        <v>0</v>
      </c>
      <c r="RD34" s="314">
        <f>COUNTIFS($C$27:$PN$27,("&lt;"&amp;$B$5),$C$27:$PN$27,("&gt;="&amp;$B$4),$C34:$PN34,TabAsistencias[[#Headers],[DP]])</f>
        <v>0</v>
      </c>
      <c r="RE34" s="314">
        <f>COUNTIFS($C$27:$PN$27,("&lt;"&amp;$B$5),$C$27:$PN$27,("&gt;="&amp;$B$4),$C34:$PN34,TabAsistencias[[#Headers],[B]])</f>
        <v>1</v>
      </c>
      <c r="RF34" s="314">
        <f>COUNTIFS($C$27:$PN$27,("&lt;"&amp;$B$5),$C$27:$PN$27,("&gt;="&amp;$B$4),$C$28:$PN$28,1,$C34:$PN34,TabAsistencias[[#Headers],[1]])+
COUNTIFS($C$27:$PN$27,("&lt;"&amp;$B$5),$C$27:$PN$27,("&gt;="&amp;$B$4),$C$28:$PN$28,1,$C34:$PN34,TabAsistencias[[#Headers],[DO]])+
COUNTIFS($C$27:$PN$27,("&lt;"&amp;$B$5),$C$27:$PN$27,("&gt;="&amp;$B$4),$C$28:$PN$28,1,$C34:$PN34,TabAsistencias[[#Headers],[R]])+
COUNTIFS($C$27:$PN$27,("&lt;"&amp;$B$5),$C$27:$PN$27,("&gt;="&amp;$B$4),$C$28:$PN$28,1,$C34:$PN34,TabAsistencias[[#Headers],[NA]])+
COUNTIFS($C$27:$PN$27,("&lt;"&amp;$B$5),$C$27:$PN$27,("&gt;="&amp;$B$4),$C$28:$PN$28,1,$C34:$PN34,TabAsistencias[[#Headers],[DF]])+
COUNTIFS($C$27:$PN$27,("&lt;"&amp;$B$5),$C$27:$PN$27,("&gt;="&amp;$B$4),$C$28:$PN$28,1,$C34:$PN34,TabAsistencias[[#Headers],[3]])+
COUNTIFS($C$27:$PN$27,("&lt;"&amp;$B$5),$C$27:$PN$27,("&gt;="&amp;$B$4),$C$28:$PN$28,1,$C34:$PN34,TabAsistencias[[#Headers],[CP]])+
COUNTIFS($C$27:$PN$27,("&lt;"&amp;$B$5),$C$27:$PN$27,("&gt;="&amp;$B$4),$C$28:$PN$28,1,$C34:$PN34,TabAsistencias[[#Headers],[T/2]])</f>
        <v>10</v>
      </c>
      <c r="RG34" s="320" cm="1">
        <f t="array" ref="RG34">IFERROR(VLOOKUP(
DATEDIF((VLOOKUP(TabAsistencias[[#This Row],[ID]],TabEmpleados[],COLUMN(TabEmpleados[Fecha de alta NSS]),FALSE)),Asistencias!$B$3,"Y"),
TabFactorIntegracion[],COLUMN(TabFactorIntegracion[Días vacacionales
establecidos por ley]),FALSE),0)
-
COUNTIF($AH34:$PN34,TabAsistencias[[#Headers],[V]])</f>
        <v>0</v>
      </c>
    </row>
    <row r="35" spans="1:475" x14ac:dyDescent="0.25">
      <c r="A35" s="92">
        <f t="shared" si="434"/>
        <v>5</v>
      </c>
      <c r="B35" s="30" t="str" cm="1">
        <f t="array" ref="B35">VLOOKUP(TabAsistencias[[#This Row],[ID]],TabEmpleados[],COLUMN(TabEmpleados[Nombre]),FALSE)</f>
        <v>LOPEZ CRUZ LAURA</v>
      </c>
      <c r="C35" s="36" t="s">
        <v>139</v>
      </c>
      <c r="D35" s="36" t="s">
        <v>139</v>
      </c>
      <c r="E35" s="36" t="s">
        <v>139</v>
      </c>
      <c r="F35" s="36" t="s">
        <v>139</v>
      </c>
      <c r="G35" s="36" t="s">
        <v>139</v>
      </c>
      <c r="H35" s="36" t="s">
        <v>139</v>
      </c>
      <c r="I35" s="36" t="s">
        <v>139</v>
      </c>
      <c r="J35" s="36" t="s">
        <v>139</v>
      </c>
      <c r="K35" s="36" t="s">
        <v>139</v>
      </c>
      <c r="L35" s="36" t="s">
        <v>139</v>
      </c>
      <c r="M35" s="36" t="s">
        <v>139</v>
      </c>
      <c r="N35" s="36" t="s">
        <v>139</v>
      </c>
      <c r="O35" s="36" t="s">
        <v>139</v>
      </c>
      <c r="P35" s="36" t="s">
        <v>139</v>
      </c>
      <c r="Q35" s="36" t="s">
        <v>139</v>
      </c>
      <c r="R35" s="36" t="s">
        <v>139</v>
      </c>
      <c r="S35" s="36" t="s">
        <v>139</v>
      </c>
      <c r="T35" s="36" t="s">
        <v>139</v>
      </c>
      <c r="U35" s="36" t="s">
        <v>139</v>
      </c>
      <c r="V35" s="36" t="s">
        <v>139</v>
      </c>
      <c r="W35" s="36" t="s">
        <v>139</v>
      </c>
      <c r="X35" s="36" t="s">
        <v>139</v>
      </c>
      <c r="Y35" s="36" t="s">
        <v>139</v>
      </c>
      <c r="Z35" s="36" t="s">
        <v>139</v>
      </c>
      <c r="AA35" s="36" t="s">
        <v>139</v>
      </c>
      <c r="AB35" s="36" t="s">
        <v>139</v>
      </c>
      <c r="AC35" s="36" t="s">
        <v>139</v>
      </c>
      <c r="AD35" s="36" t="s">
        <v>139</v>
      </c>
      <c r="AE35" s="36" t="s">
        <v>139</v>
      </c>
      <c r="AF35" s="36" t="s">
        <v>139</v>
      </c>
      <c r="AG35" s="36" t="s">
        <v>139</v>
      </c>
      <c r="AH35" s="36" t="s">
        <v>128</v>
      </c>
      <c r="AI35" s="36" t="s">
        <v>139</v>
      </c>
      <c r="AJ35" s="36" t="s">
        <v>139</v>
      </c>
      <c r="AK35" s="36" t="s">
        <v>139</v>
      </c>
      <c r="AL35" s="36" t="s">
        <v>139</v>
      </c>
      <c r="AM35" s="36" t="s">
        <v>139</v>
      </c>
      <c r="AN35" s="36" t="s">
        <v>139</v>
      </c>
      <c r="AO35" s="36" t="s">
        <v>139</v>
      </c>
      <c r="AP35" s="36" t="s">
        <v>139</v>
      </c>
      <c r="AQ35" s="36" t="s">
        <v>139</v>
      </c>
      <c r="AR35" s="36" t="s">
        <v>139</v>
      </c>
      <c r="AS35" s="36" t="s">
        <v>139</v>
      </c>
      <c r="AT35" s="36" t="s">
        <v>139</v>
      </c>
      <c r="AU35" s="36" t="s">
        <v>139</v>
      </c>
      <c r="AV35" s="36" t="s">
        <v>139</v>
      </c>
      <c r="AW35" s="36" t="s">
        <v>139</v>
      </c>
      <c r="AX35" s="36" t="s">
        <v>139</v>
      </c>
      <c r="AY35" s="36" t="s">
        <v>139</v>
      </c>
      <c r="AZ35" s="36" t="s">
        <v>139</v>
      </c>
      <c r="BA35" s="36" t="s">
        <v>139</v>
      </c>
      <c r="BB35" s="36" t="s">
        <v>139</v>
      </c>
      <c r="BC35" s="36" t="s">
        <v>139</v>
      </c>
      <c r="BD35" s="36" t="s">
        <v>139</v>
      </c>
      <c r="BE35" s="36" t="s">
        <v>139</v>
      </c>
      <c r="BF35" s="36" t="s">
        <v>139</v>
      </c>
      <c r="BG35" s="36" t="s">
        <v>139</v>
      </c>
      <c r="BH35" s="36" t="s">
        <v>139</v>
      </c>
      <c r="BI35" s="36" t="s">
        <v>139</v>
      </c>
      <c r="BJ35" s="36" t="s">
        <v>139</v>
      </c>
      <c r="BK35" s="36" t="s">
        <v>139</v>
      </c>
      <c r="BL35" s="36" t="s">
        <v>139</v>
      </c>
      <c r="BM35" s="36" t="s">
        <v>139</v>
      </c>
      <c r="BN35" s="36" t="s">
        <v>139</v>
      </c>
      <c r="BO35" s="36" t="s">
        <v>139</v>
      </c>
      <c r="BP35" s="36" t="s">
        <v>139</v>
      </c>
      <c r="BQ35" s="36" t="s">
        <v>139</v>
      </c>
      <c r="BR35" s="36" t="s">
        <v>139</v>
      </c>
      <c r="BS35" s="36" t="s">
        <v>139</v>
      </c>
      <c r="BT35" s="36" t="s">
        <v>139</v>
      </c>
      <c r="BU35" s="36" t="s">
        <v>139</v>
      </c>
      <c r="BV35" s="36" t="s">
        <v>139</v>
      </c>
      <c r="BW35" s="36" t="s">
        <v>139</v>
      </c>
      <c r="BX35" s="36" t="s">
        <v>139</v>
      </c>
      <c r="BY35" s="36" t="s">
        <v>139</v>
      </c>
      <c r="BZ35" s="36" t="s">
        <v>139</v>
      </c>
      <c r="CA35" s="36" t="s">
        <v>139</v>
      </c>
      <c r="CB35" s="36" t="s">
        <v>139</v>
      </c>
      <c r="CC35" s="36" t="s">
        <v>139</v>
      </c>
      <c r="CD35" s="36" t="s">
        <v>139</v>
      </c>
      <c r="CE35" s="36" t="s">
        <v>139</v>
      </c>
      <c r="CF35" s="36" t="s">
        <v>139</v>
      </c>
      <c r="CG35" s="36" t="s">
        <v>139</v>
      </c>
      <c r="CH35" s="36" t="s">
        <v>139</v>
      </c>
      <c r="CI35" s="36" t="s">
        <v>139</v>
      </c>
      <c r="CJ35" s="36" t="s">
        <v>139</v>
      </c>
      <c r="CK35" s="36" t="s">
        <v>139</v>
      </c>
      <c r="CL35" s="36" t="s">
        <v>139</v>
      </c>
      <c r="CM35" s="36" t="s">
        <v>139</v>
      </c>
      <c r="CN35" s="36" t="s">
        <v>139</v>
      </c>
      <c r="CO35" s="36" t="s">
        <v>139</v>
      </c>
      <c r="CP35" s="36" t="s">
        <v>139</v>
      </c>
      <c r="CQ35" s="36" t="s">
        <v>139</v>
      </c>
      <c r="CR35" s="36" t="s">
        <v>139</v>
      </c>
      <c r="CS35" s="36" t="s">
        <v>139</v>
      </c>
      <c r="CT35" s="36" t="s">
        <v>139</v>
      </c>
      <c r="CU35" s="36" t="s">
        <v>139</v>
      </c>
      <c r="CV35" s="36" t="s">
        <v>139</v>
      </c>
      <c r="CW35" s="36" t="s">
        <v>139</v>
      </c>
      <c r="CX35" s="36" t="s">
        <v>139</v>
      </c>
      <c r="CY35" s="36" t="s">
        <v>139</v>
      </c>
      <c r="CZ35" s="36" t="s">
        <v>139</v>
      </c>
      <c r="DA35" s="36" t="s">
        <v>139</v>
      </c>
      <c r="DB35" s="36" t="s">
        <v>139</v>
      </c>
      <c r="DC35" s="36" t="s">
        <v>139</v>
      </c>
      <c r="DD35" s="36" t="s">
        <v>139</v>
      </c>
      <c r="DE35" s="36" t="s">
        <v>139</v>
      </c>
      <c r="DF35" s="36" t="s">
        <v>139</v>
      </c>
      <c r="DG35" s="36" t="s">
        <v>139</v>
      </c>
      <c r="DH35" s="36" t="s">
        <v>139</v>
      </c>
      <c r="DI35" s="36" t="s">
        <v>139</v>
      </c>
      <c r="DJ35" s="36" t="s">
        <v>139</v>
      </c>
      <c r="DK35" s="36" t="s">
        <v>139</v>
      </c>
      <c r="DL35" s="36" t="s">
        <v>139</v>
      </c>
      <c r="DM35" s="36" t="s">
        <v>139</v>
      </c>
      <c r="DN35" s="36" t="s">
        <v>139</v>
      </c>
      <c r="DO35" s="36" t="s">
        <v>139</v>
      </c>
      <c r="DP35" s="36" t="s">
        <v>139</v>
      </c>
      <c r="DQ35" s="36" t="s">
        <v>139</v>
      </c>
      <c r="DR35" s="36" t="s">
        <v>139</v>
      </c>
      <c r="DS35" s="36" t="s">
        <v>139</v>
      </c>
      <c r="DT35" s="36" t="s">
        <v>139</v>
      </c>
      <c r="DU35" s="36" t="s">
        <v>139</v>
      </c>
      <c r="DV35" s="36" t="s">
        <v>139</v>
      </c>
      <c r="DW35" s="36" t="s">
        <v>139</v>
      </c>
      <c r="DX35" s="36" t="s">
        <v>139</v>
      </c>
      <c r="DY35" s="36" t="s">
        <v>139</v>
      </c>
      <c r="DZ35" s="36" t="s">
        <v>139</v>
      </c>
      <c r="EA35" s="36" t="s">
        <v>139</v>
      </c>
      <c r="EB35" s="36" t="s">
        <v>139</v>
      </c>
      <c r="EC35" s="36" t="s">
        <v>139</v>
      </c>
      <c r="ED35" s="36" t="s">
        <v>139</v>
      </c>
      <c r="EE35" s="36" t="s">
        <v>139</v>
      </c>
      <c r="EF35" s="36" t="s">
        <v>139</v>
      </c>
      <c r="EG35" s="36" t="s">
        <v>139</v>
      </c>
      <c r="EH35" s="36" t="s">
        <v>139</v>
      </c>
      <c r="EI35" s="36" t="s">
        <v>139</v>
      </c>
      <c r="EJ35" s="36" t="s">
        <v>139</v>
      </c>
      <c r="EK35" s="36" t="s">
        <v>139</v>
      </c>
      <c r="EL35" s="36" t="s">
        <v>139</v>
      </c>
      <c r="EM35" s="36" t="s">
        <v>139</v>
      </c>
      <c r="EN35" s="36" t="s">
        <v>139</v>
      </c>
      <c r="EO35" s="36" t="s">
        <v>139</v>
      </c>
      <c r="EP35" s="36" t="s">
        <v>139</v>
      </c>
      <c r="EQ35" s="36" t="s">
        <v>139</v>
      </c>
      <c r="ER35" s="36" t="s">
        <v>139</v>
      </c>
      <c r="ES35" s="36" t="s">
        <v>139</v>
      </c>
      <c r="ET35" s="36" t="s">
        <v>139</v>
      </c>
      <c r="EU35" s="36" t="s">
        <v>139</v>
      </c>
      <c r="EV35" s="36" t="s">
        <v>139</v>
      </c>
      <c r="EW35" s="36" t="s">
        <v>139</v>
      </c>
      <c r="EX35" s="36" t="s">
        <v>139</v>
      </c>
      <c r="EY35" s="36" t="s">
        <v>139</v>
      </c>
      <c r="EZ35" s="36" t="s">
        <v>139</v>
      </c>
      <c r="FA35" s="36" t="s">
        <v>139</v>
      </c>
      <c r="FB35" s="36" t="s">
        <v>139</v>
      </c>
      <c r="FC35" s="36" t="s">
        <v>139</v>
      </c>
      <c r="FD35" s="36" t="s">
        <v>139</v>
      </c>
      <c r="FE35" s="36" t="s">
        <v>139</v>
      </c>
      <c r="FF35" s="36" t="s">
        <v>139</v>
      </c>
      <c r="FG35" s="36" t="s">
        <v>139</v>
      </c>
      <c r="FH35" s="36" t="s">
        <v>139</v>
      </c>
      <c r="FI35" s="36" t="s">
        <v>139</v>
      </c>
      <c r="FJ35" s="36" t="s">
        <v>139</v>
      </c>
      <c r="FK35" s="36" t="s">
        <v>139</v>
      </c>
      <c r="FL35" s="36" t="s">
        <v>139</v>
      </c>
      <c r="FM35" s="36" t="s">
        <v>139</v>
      </c>
      <c r="FN35" s="36" t="s">
        <v>139</v>
      </c>
      <c r="FO35" s="36" t="s">
        <v>139</v>
      </c>
      <c r="FP35" s="36" t="s">
        <v>139</v>
      </c>
      <c r="FQ35" s="36" t="s">
        <v>139</v>
      </c>
      <c r="FR35" s="36" t="s">
        <v>139</v>
      </c>
      <c r="FS35" s="36" t="s">
        <v>139</v>
      </c>
      <c r="FT35" s="36" t="s">
        <v>139</v>
      </c>
      <c r="FU35" s="36" t="s">
        <v>139</v>
      </c>
      <c r="FV35" s="36" t="s">
        <v>139</v>
      </c>
      <c r="FW35" s="36" t="s">
        <v>139</v>
      </c>
      <c r="FX35" s="36" t="s">
        <v>139</v>
      </c>
      <c r="FY35" s="36" t="s">
        <v>139</v>
      </c>
      <c r="FZ35" s="36" t="s">
        <v>139</v>
      </c>
      <c r="GA35" s="36" t="s">
        <v>139</v>
      </c>
      <c r="GB35" s="36" t="s">
        <v>139</v>
      </c>
      <c r="GC35" s="36" t="s">
        <v>139</v>
      </c>
      <c r="GD35" s="36" t="s">
        <v>139</v>
      </c>
      <c r="GE35" s="36" t="s">
        <v>139</v>
      </c>
      <c r="GF35" s="36" t="s">
        <v>139</v>
      </c>
      <c r="GG35" s="36" t="s">
        <v>139</v>
      </c>
      <c r="GH35" s="36" t="s">
        <v>139</v>
      </c>
      <c r="GI35" s="36" t="s">
        <v>139</v>
      </c>
      <c r="GJ35" s="36" t="s">
        <v>139</v>
      </c>
      <c r="GK35" s="36" t="s">
        <v>139</v>
      </c>
      <c r="GL35" s="36" t="s">
        <v>139</v>
      </c>
      <c r="GM35" s="36" t="s">
        <v>139</v>
      </c>
      <c r="GN35" s="36" t="s">
        <v>139</v>
      </c>
      <c r="GO35" s="36" t="s">
        <v>139</v>
      </c>
      <c r="GP35" s="36" t="s">
        <v>139</v>
      </c>
      <c r="GQ35" s="36" t="s">
        <v>139</v>
      </c>
      <c r="GR35" s="36" t="s">
        <v>139</v>
      </c>
      <c r="GS35" s="36" t="s">
        <v>139</v>
      </c>
      <c r="GT35" s="36" t="s">
        <v>139</v>
      </c>
      <c r="GU35" s="36" t="s">
        <v>139</v>
      </c>
      <c r="GV35" s="36" t="s">
        <v>139</v>
      </c>
      <c r="GW35" s="36" t="s">
        <v>139</v>
      </c>
      <c r="GX35" s="36" t="s">
        <v>139</v>
      </c>
      <c r="GY35" s="36" t="s">
        <v>139</v>
      </c>
      <c r="GZ35" s="36" t="s">
        <v>139</v>
      </c>
      <c r="HA35" s="36" t="s">
        <v>139</v>
      </c>
      <c r="HB35" s="36" t="s">
        <v>139</v>
      </c>
      <c r="HC35" s="36" t="s">
        <v>139</v>
      </c>
      <c r="HD35" s="36" t="s">
        <v>139</v>
      </c>
      <c r="HE35" s="36" t="s">
        <v>139</v>
      </c>
      <c r="HF35" s="36" t="s">
        <v>139</v>
      </c>
      <c r="HG35" s="36" t="s">
        <v>139</v>
      </c>
      <c r="HH35" s="36" t="s">
        <v>139</v>
      </c>
      <c r="HI35" s="36" t="s">
        <v>139</v>
      </c>
      <c r="HJ35" s="36" t="s">
        <v>139</v>
      </c>
      <c r="HK35" s="36" t="s">
        <v>139</v>
      </c>
      <c r="HL35" s="36" t="s">
        <v>139</v>
      </c>
      <c r="HM35" s="36" t="s">
        <v>139</v>
      </c>
      <c r="HN35" s="36" t="s">
        <v>139</v>
      </c>
      <c r="HO35" s="36" t="s">
        <v>139</v>
      </c>
      <c r="HP35" s="36" t="s">
        <v>139</v>
      </c>
      <c r="HQ35" s="36" t="s">
        <v>139</v>
      </c>
      <c r="HR35" s="36" t="s">
        <v>139</v>
      </c>
      <c r="HS35" s="36" t="s">
        <v>139</v>
      </c>
      <c r="HT35" s="36" t="s">
        <v>139</v>
      </c>
      <c r="HU35" s="36" t="s">
        <v>139</v>
      </c>
      <c r="HV35" s="36" t="s">
        <v>139</v>
      </c>
      <c r="HW35" s="36" t="s">
        <v>139</v>
      </c>
      <c r="HX35" s="36" t="s">
        <v>139</v>
      </c>
      <c r="HY35" s="36" t="s">
        <v>139</v>
      </c>
      <c r="HZ35" s="36" t="s">
        <v>139</v>
      </c>
      <c r="IA35" s="36" t="s">
        <v>139</v>
      </c>
      <c r="IB35" s="36" t="s">
        <v>139</v>
      </c>
      <c r="IC35" s="36" t="s">
        <v>139</v>
      </c>
      <c r="ID35" s="36" t="s">
        <v>139</v>
      </c>
      <c r="IE35" s="36" t="s">
        <v>139</v>
      </c>
      <c r="IF35" s="36" t="s">
        <v>139</v>
      </c>
      <c r="IG35" s="36" t="s">
        <v>139</v>
      </c>
      <c r="IH35" s="36" t="s">
        <v>139</v>
      </c>
      <c r="II35" s="36" t="s">
        <v>139</v>
      </c>
      <c r="IJ35" s="36" t="s">
        <v>139</v>
      </c>
      <c r="IK35" s="36" t="s">
        <v>139</v>
      </c>
      <c r="IL35" s="36" t="s">
        <v>139</v>
      </c>
      <c r="IM35" s="36" t="s">
        <v>139</v>
      </c>
      <c r="IN35" s="36" t="s">
        <v>139</v>
      </c>
      <c r="IO35" s="36" t="s">
        <v>139</v>
      </c>
      <c r="IP35" s="36" t="s">
        <v>139</v>
      </c>
      <c r="IQ35" s="36" t="s">
        <v>139</v>
      </c>
      <c r="IR35" s="36" t="s">
        <v>139</v>
      </c>
      <c r="IS35" s="36" t="s">
        <v>139</v>
      </c>
      <c r="IT35" s="36" t="s">
        <v>139</v>
      </c>
      <c r="IU35" s="36" t="s">
        <v>139</v>
      </c>
      <c r="IV35" s="36" t="s">
        <v>139</v>
      </c>
      <c r="IW35" s="36" t="s">
        <v>139</v>
      </c>
      <c r="IX35" s="36" t="s">
        <v>139</v>
      </c>
      <c r="IY35" s="36" t="s">
        <v>139</v>
      </c>
      <c r="IZ35" s="36" t="s">
        <v>139</v>
      </c>
      <c r="JA35" s="36" t="s">
        <v>139</v>
      </c>
      <c r="JB35" s="36" t="s">
        <v>139</v>
      </c>
      <c r="JC35" s="36" t="s">
        <v>139</v>
      </c>
      <c r="JD35" s="36" t="s">
        <v>139</v>
      </c>
      <c r="JE35" s="36" t="s">
        <v>139</v>
      </c>
      <c r="JF35" s="36" t="s">
        <v>139</v>
      </c>
      <c r="JG35" s="36" t="s">
        <v>139</v>
      </c>
      <c r="JH35" s="36" t="s">
        <v>139</v>
      </c>
      <c r="JI35" s="36" t="s">
        <v>139</v>
      </c>
      <c r="JJ35" s="36" t="s">
        <v>139</v>
      </c>
      <c r="JK35" s="36" t="s">
        <v>139</v>
      </c>
      <c r="JL35" s="36" t="s">
        <v>139</v>
      </c>
      <c r="JM35" s="36" t="s">
        <v>139</v>
      </c>
      <c r="JN35" s="36" t="s">
        <v>139</v>
      </c>
      <c r="JO35" s="36" t="s">
        <v>139</v>
      </c>
      <c r="JP35" s="36" t="s">
        <v>139</v>
      </c>
      <c r="JQ35" s="36" t="s">
        <v>139</v>
      </c>
      <c r="JR35" s="36" t="s">
        <v>139</v>
      </c>
      <c r="JS35" s="36" t="s">
        <v>139</v>
      </c>
      <c r="JT35" s="36" t="s">
        <v>139</v>
      </c>
      <c r="JU35" s="36" t="s">
        <v>139</v>
      </c>
      <c r="JV35" s="36" t="s">
        <v>139</v>
      </c>
      <c r="JW35" s="36" t="s">
        <v>139</v>
      </c>
      <c r="JX35" s="36" t="s">
        <v>139</v>
      </c>
      <c r="JY35" s="36" t="s">
        <v>139</v>
      </c>
      <c r="JZ35" s="36" t="s">
        <v>139</v>
      </c>
      <c r="KA35" s="36" t="s">
        <v>139</v>
      </c>
      <c r="KB35" s="36" t="s">
        <v>139</v>
      </c>
      <c r="KC35" s="36" t="s">
        <v>139</v>
      </c>
      <c r="KD35" s="36" t="s">
        <v>139</v>
      </c>
      <c r="KE35" s="36" t="s">
        <v>139</v>
      </c>
      <c r="KF35" s="36" t="s">
        <v>139</v>
      </c>
      <c r="KG35" s="36" t="s">
        <v>139</v>
      </c>
      <c r="KH35" s="36" t="s">
        <v>139</v>
      </c>
      <c r="KI35" s="36" t="s">
        <v>139</v>
      </c>
      <c r="KJ35" s="36" t="s">
        <v>139</v>
      </c>
      <c r="KK35" s="36" t="s">
        <v>139</v>
      </c>
      <c r="KL35" s="36" t="s">
        <v>139</v>
      </c>
      <c r="KM35" s="36" t="s">
        <v>139</v>
      </c>
      <c r="KN35" s="36" t="s">
        <v>139</v>
      </c>
      <c r="KO35" s="36" t="s">
        <v>139</v>
      </c>
      <c r="KP35" s="36" t="s">
        <v>139</v>
      </c>
      <c r="KQ35" s="36" t="s">
        <v>139</v>
      </c>
      <c r="KR35" s="36" t="s">
        <v>139</v>
      </c>
      <c r="KS35" s="36" t="s">
        <v>139</v>
      </c>
      <c r="KT35" s="36" t="s">
        <v>139</v>
      </c>
      <c r="KU35" s="36" t="s">
        <v>139</v>
      </c>
      <c r="KV35" s="36" t="s">
        <v>139</v>
      </c>
      <c r="KW35" s="36" t="s">
        <v>139</v>
      </c>
      <c r="KX35" s="36" t="s">
        <v>139</v>
      </c>
      <c r="KY35" s="36" t="s">
        <v>139</v>
      </c>
      <c r="KZ35" s="36" t="s">
        <v>139</v>
      </c>
      <c r="LA35" s="36" t="s">
        <v>139</v>
      </c>
      <c r="LB35" s="36" t="s">
        <v>139</v>
      </c>
      <c r="LC35" s="36" t="s">
        <v>139</v>
      </c>
      <c r="LD35" s="36" t="s">
        <v>139</v>
      </c>
      <c r="LE35" s="36" t="s">
        <v>139</v>
      </c>
      <c r="LF35" s="36" t="s">
        <v>139</v>
      </c>
      <c r="LG35" s="36" t="s">
        <v>139</v>
      </c>
      <c r="LH35" s="36" t="s">
        <v>139</v>
      </c>
      <c r="LI35" s="36" t="s">
        <v>139</v>
      </c>
      <c r="LJ35" s="36" t="s">
        <v>139</v>
      </c>
      <c r="LK35" s="36" t="s">
        <v>139</v>
      </c>
      <c r="LL35" s="36" t="s">
        <v>139</v>
      </c>
      <c r="LM35" s="36" t="s">
        <v>139</v>
      </c>
      <c r="LN35" s="36" t="s">
        <v>139</v>
      </c>
      <c r="LO35" s="36" t="s">
        <v>139</v>
      </c>
      <c r="LP35" s="36" t="s">
        <v>139</v>
      </c>
      <c r="LQ35" s="36" t="s">
        <v>139</v>
      </c>
      <c r="LR35" s="36" t="s">
        <v>139</v>
      </c>
      <c r="LS35" s="36" t="s">
        <v>139</v>
      </c>
      <c r="LT35" s="36" t="s">
        <v>139</v>
      </c>
      <c r="LU35" s="36" t="s">
        <v>139</v>
      </c>
      <c r="LV35" s="36" t="s">
        <v>139</v>
      </c>
      <c r="LW35" s="36" t="s">
        <v>139</v>
      </c>
      <c r="LX35" s="36" t="s">
        <v>139</v>
      </c>
      <c r="LY35" s="36" t="s">
        <v>139</v>
      </c>
      <c r="LZ35" s="36" t="s">
        <v>139</v>
      </c>
      <c r="MA35" s="36" t="s">
        <v>139</v>
      </c>
      <c r="MB35" s="36" t="s">
        <v>139</v>
      </c>
      <c r="MC35" s="36" t="s">
        <v>139</v>
      </c>
      <c r="MD35" s="36" t="s">
        <v>139</v>
      </c>
      <c r="ME35" s="36" t="s">
        <v>139</v>
      </c>
      <c r="MF35" s="36" t="s">
        <v>139</v>
      </c>
      <c r="MG35" s="36" t="s">
        <v>139</v>
      </c>
      <c r="MH35" s="36" t="s">
        <v>139</v>
      </c>
      <c r="MI35" s="36" t="s">
        <v>139</v>
      </c>
      <c r="MJ35" s="36" t="s">
        <v>139</v>
      </c>
      <c r="MK35" s="36" t="s">
        <v>139</v>
      </c>
      <c r="ML35" s="36" t="s">
        <v>139</v>
      </c>
      <c r="MM35" s="36" t="s">
        <v>139</v>
      </c>
      <c r="MN35" s="36" t="s">
        <v>139</v>
      </c>
      <c r="MO35" s="36" t="s">
        <v>139</v>
      </c>
      <c r="MP35" s="36" t="s">
        <v>139</v>
      </c>
      <c r="MQ35" s="36" t="s">
        <v>139</v>
      </c>
      <c r="MR35" s="36" t="s">
        <v>139</v>
      </c>
      <c r="MS35" s="36" t="s">
        <v>139</v>
      </c>
      <c r="MT35" s="36" t="s">
        <v>139</v>
      </c>
      <c r="MU35" s="36" t="s">
        <v>139</v>
      </c>
      <c r="MV35" s="36" t="s">
        <v>139</v>
      </c>
      <c r="MW35" s="36" t="s">
        <v>139</v>
      </c>
      <c r="MX35" s="36" t="s">
        <v>139</v>
      </c>
      <c r="MY35" s="36" t="s">
        <v>139</v>
      </c>
      <c r="MZ35" s="36" t="s">
        <v>139</v>
      </c>
      <c r="NA35" s="36" t="s">
        <v>139</v>
      </c>
      <c r="NB35" s="36" t="s">
        <v>139</v>
      </c>
      <c r="NC35" s="36" t="s">
        <v>139</v>
      </c>
      <c r="ND35" s="36" t="s">
        <v>139</v>
      </c>
      <c r="NE35" s="36" t="s">
        <v>139</v>
      </c>
      <c r="NF35" s="36" t="s">
        <v>139</v>
      </c>
      <c r="NG35" s="36" t="s">
        <v>139</v>
      </c>
      <c r="NH35" s="36" t="s">
        <v>139</v>
      </c>
      <c r="NI35" s="36" t="s">
        <v>139</v>
      </c>
      <c r="NJ35" s="36" t="s">
        <v>139</v>
      </c>
      <c r="NK35" s="36" t="s">
        <v>139</v>
      </c>
      <c r="NL35" s="36" t="s">
        <v>139</v>
      </c>
      <c r="NM35" s="36" t="s">
        <v>139</v>
      </c>
      <c r="NN35" s="36" t="s">
        <v>139</v>
      </c>
      <c r="NO35" s="36" t="s">
        <v>139</v>
      </c>
      <c r="NP35" s="36" t="s">
        <v>139</v>
      </c>
      <c r="NQ35" s="36" t="s">
        <v>139</v>
      </c>
      <c r="NR35" s="36" t="s">
        <v>139</v>
      </c>
      <c r="NS35" s="36" t="s">
        <v>139</v>
      </c>
      <c r="NT35" s="36" t="s">
        <v>139</v>
      </c>
      <c r="NU35" s="36" t="s">
        <v>139</v>
      </c>
      <c r="NV35" s="36" t="s">
        <v>139</v>
      </c>
      <c r="NW35" s="36" t="s">
        <v>139</v>
      </c>
      <c r="NX35" s="36" t="s">
        <v>139</v>
      </c>
      <c r="NY35" s="36" t="s">
        <v>139</v>
      </c>
      <c r="NZ35" s="36" t="s">
        <v>139</v>
      </c>
      <c r="OA35" s="36" t="s">
        <v>139</v>
      </c>
      <c r="OB35" s="36" t="s">
        <v>139</v>
      </c>
      <c r="OC35" s="36" t="s">
        <v>139</v>
      </c>
      <c r="OD35" s="36" t="s">
        <v>139</v>
      </c>
      <c r="OE35" s="36" t="s">
        <v>139</v>
      </c>
      <c r="OF35" s="36" t="s">
        <v>139</v>
      </c>
      <c r="OG35" s="36" t="s">
        <v>139</v>
      </c>
      <c r="OH35" s="36" t="s">
        <v>139</v>
      </c>
      <c r="OI35" s="36" t="s">
        <v>139</v>
      </c>
      <c r="OJ35" s="36" t="s">
        <v>139</v>
      </c>
      <c r="OK35" s="36" t="s">
        <v>139</v>
      </c>
      <c r="OL35" s="36" t="s">
        <v>139</v>
      </c>
      <c r="OM35" s="36" t="s">
        <v>139</v>
      </c>
      <c r="ON35" s="36" t="s">
        <v>139</v>
      </c>
      <c r="OO35" s="36" t="s">
        <v>139</v>
      </c>
      <c r="OP35" s="36" t="s">
        <v>139</v>
      </c>
      <c r="OQ35" s="36" t="s">
        <v>139</v>
      </c>
      <c r="OR35" s="36" t="s">
        <v>139</v>
      </c>
      <c r="OS35" s="36" t="s">
        <v>139</v>
      </c>
      <c r="OT35" s="36" t="s">
        <v>139</v>
      </c>
      <c r="OU35" s="36" t="s">
        <v>139</v>
      </c>
      <c r="OV35" s="36" t="s">
        <v>139</v>
      </c>
      <c r="OW35" s="36" t="s">
        <v>139</v>
      </c>
      <c r="OX35" s="36" t="s">
        <v>139</v>
      </c>
      <c r="OY35" s="36" t="s">
        <v>139</v>
      </c>
      <c r="OZ35" s="36" t="s">
        <v>139</v>
      </c>
      <c r="PA35" s="36" t="s">
        <v>139</v>
      </c>
      <c r="PB35" s="36" t="s">
        <v>139</v>
      </c>
      <c r="PC35" s="36" t="s">
        <v>139</v>
      </c>
      <c r="PD35" s="36" t="s">
        <v>139</v>
      </c>
      <c r="PE35" s="36" t="s">
        <v>139</v>
      </c>
      <c r="PF35" s="36" t="s">
        <v>139</v>
      </c>
      <c r="PG35" s="36" t="s">
        <v>139</v>
      </c>
      <c r="PH35" s="36" t="s">
        <v>139</v>
      </c>
      <c r="PI35" s="36" t="s">
        <v>139</v>
      </c>
      <c r="PJ35" s="36" t="s">
        <v>139</v>
      </c>
      <c r="PK35" s="36" t="s">
        <v>139</v>
      </c>
      <c r="PL35" s="36" t="s">
        <v>139</v>
      </c>
      <c r="PM35" s="36" t="s">
        <v>139</v>
      </c>
      <c r="PN35" s="36" t="s">
        <v>139</v>
      </c>
      <c r="PO35" s="74">
        <f>COUNTIFS($C$27:$PN$27,("&lt;"&amp;$B$3),$C$27:$PN$27,("&gt;="&amp;$B$2),$C35:$PN35,TabAsistencias[[#Headers],[1]])</f>
        <v>30</v>
      </c>
      <c r="PP35" s="74">
        <f>COUNTIFS($C$27:$PN$27,("&lt;"&amp;$B$3),$C$27:$PN$27,("&gt;="&amp;$B$2),$C35:$PN35,TabAsistencias[[#Headers],[E]])</f>
        <v>0</v>
      </c>
      <c r="PQ35" s="74">
        <f>COUNTIFS($C$27:$PN$27,("&lt;"&amp;$B$3),$C$27:$PN$27,("&gt;="&amp;$B$2),$C35:$PN35,TabAsistencias[[#Headers],[DE]])</f>
        <v>0</v>
      </c>
      <c r="PR35" s="74">
        <f>COUNTIFS($C$27:$PN$27,("&lt;"&amp;$B$3),$C$27:$PN$27,("&gt;="&amp;$B$2),$C35:$PN35,TabAsistencias[[#Headers],[V]])</f>
        <v>0</v>
      </c>
      <c r="PS35" s="74">
        <f>COUNTIFS($C$27:$PN$27,("&lt;"&amp;$B$3),$C$27:$PN$27,("&gt;="&amp;$B$2),$C35:$PN35,TabAsistencias[[#Headers],[DO]])</f>
        <v>0</v>
      </c>
      <c r="PT35" s="74">
        <f>COUNTIFS($C$27:$PN$27,("&lt;"&amp;$B$3),$C$27:$PN$27,("&gt;="&amp;$B$2),$C35:$PN35,TabAsistencias[[#Headers],[P]])</f>
        <v>0</v>
      </c>
      <c r="PU35" s="74">
        <f>COUNTIFS($C$27:$PN$27,("&lt;"&amp;$B$3),$C$27:$PN$27,("&gt;="&amp;$B$2),$C35:$PN35,TabAsistencias[[#Headers],[F]])</f>
        <v>0</v>
      </c>
      <c r="PV35" s="74">
        <f>COUNTIFS($C$27:$PN$27,("&lt;"&amp;$B$3),$C$27:$PN$27,("&gt;="&amp;$B$2),$C35:$PN35,TabAsistencias[[#Headers],[R]])</f>
        <v>0</v>
      </c>
      <c r="PW35" s="74">
        <f>COUNTIFS($C$27:$PN$27,("&lt;"&amp;$B$3),$C$27:$PN$27,("&gt;="&amp;$B$2),$C35:$PN35,TabAsistencias[[#Headers],[PP]])</f>
        <v>0</v>
      </c>
      <c r="PX35" s="74">
        <f>COUNTIFS($C$27:$PN$27,("&lt;"&amp;$B$3),$C$27:$PN$27,("&gt;="&amp;$B$2),$C35:$PN35,TabAsistencias[[#Headers],[0]])</f>
        <v>0</v>
      </c>
      <c r="PY35" s="74">
        <f>COUNTIFS($C$27:$PN$27,("&lt;"&amp;$B$3),$C$27:$PN$27,("&gt;="&amp;$B$2),$C35:$PN35,TabAsistencias[[#Headers],[IG]])</f>
        <v>0</v>
      </c>
      <c r="PZ35" s="74">
        <f>COUNTIFS($C$27:$PN$27,("&lt;"&amp;$B$3),$C$27:$PN$27,("&gt;="&amp;$B$2),$C35:$PN35,TabAsistencias[[#Headers],[NA]])</f>
        <v>0</v>
      </c>
      <c r="QA35" s="74">
        <f>COUNTIFS($C$27:$PN$27,("&lt;"&amp;$B$3),$C$27:$PN$27,("&gt;="&amp;$B$2),$C35:$PN35,TabAsistencias[[#Headers],[DF]])</f>
        <v>0</v>
      </c>
      <c r="QB35" s="74">
        <f>COUNTIFS($C$27:$PN$27,("&lt;"&amp;$B$3),$C$27:$PN$27,("&gt;="&amp;$B$2),$C35:$PN35,TabAsistencias[[#Headers],[3]])</f>
        <v>0</v>
      </c>
      <c r="QC35" s="74">
        <f>COUNTIFS($C$27:$PN$27,("&lt;"&amp;$B$3),$C$27:$PN$27,("&gt;="&amp;$B$2),$C35:$PN35,TabAsistencias[[#Headers],[CP]])</f>
        <v>0</v>
      </c>
      <c r="QD35" s="74">
        <f>COUNTIFS($C$27:$PN$27,("&lt;"&amp;$B$3),$C$27:$PN$27,("&gt;="&amp;$B$2),$C35:$PN35,TabAsistencias[[#Headers],[I]])</f>
        <v>0</v>
      </c>
      <c r="QE35" s="74">
        <f>COUNTIFS($C$27:$PN$27,("&lt;"&amp;$B$3),$C$27:$PN$27,("&gt;="&amp;$B$2),$C35:$PN35,TabAsistencias[[#Headers],[T/2]])</f>
        <v>0</v>
      </c>
      <c r="QF35" s="74">
        <f>COUNTIFS($C$27:$PN$27,("&lt;"&amp;$B$3),$C$27:$PN$27,("&gt;="&amp;$B$2),$C35:$PN35,TabAsistencias[[#Headers],[ME]])</f>
        <v>0</v>
      </c>
      <c r="QG35" s="74">
        <f>COUNTIFS($C$27:$PN$27,("&lt;"&amp;$B$3),$C$27:$PN$27,("&gt;="&amp;$B$2),$C35:$PN35,TabAsistencias[[#Headers],[DP]])</f>
        <v>0</v>
      </c>
      <c r="QH35" s="74">
        <f>COUNTIFS($C$27:$PN$27,("&lt;"&amp;$B$3),$C$27:$PN$27,("&gt;="&amp;$B$2),$C35:$PN35,TabAsistencias[[#Headers],[B]])</f>
        <v>0</v>
      </c>
      <c r="QI35" s="74">
        <f>(TabAsistencias[[#This Row],[1]]*'Tablas de informacion'!$C$124)+(TabAsistencias[[#This Row],[E]]*'Tablas de informacion'!$C$125)+(TabAsistencias[[#This Row],[DE]]*'Tablas de informacion'!C$126)+(TabAsistencias[[#This Row],[V]]*'Tablas de informacion'!C$127)+(TabAsistencias[[#This Row],[DO]]*'Tablas de informacion'!C$128)+(TabAsistencias[[#This Row],[P]]*'Tablas de informacion'!C$129)+(TabAsistencias[[#This Row],[F]]*'Tablas de informacion'!C$130)+(TabAsistencias[[#This Row],[R]]*'Tablas de informacion'!C$131)+(TabAsistencias[[#This Row],[PP]]*'Tablas de informacion'!C$132)+(TabAsistencias[[#This Row],[0]]*'Tablas de informacion'!C$133)+(TabAsistencias[[#This Row],[IG]]*'Tablas de informacion'!C$134)+(TabAsistencias[[#This Row],[NA]]*'Tablas de informacion'!C$135)+(TabAsistencias[[#This Row],[DF]]*'Tablas de informacion'!C$136)+(TabAsistencias[[#This Row],[3]]*'Tablas de informacion'!C$137)+(TabAsistencias[[#This Row],[CP]]*'Tablas de informacion'!C$138)+(TabAsistencias[[#This Row],[I]]*'Tablas de informacion'!C$139)+(TabAsistencias[[#This Row],[T/2]]*'Tablas de informacion'!C$140)+(TabAsistencias[[#This Row],[ME]]*'Tablas de informacion'!C$141)+(TabAsistencias[[#This Row],[DP]]*'Tablas de informacion'!C$142)+(TabAsistencias[[#This Row],[B]]*'Tablas de informacion'!C$143)-INT(TabAsistencias[[#This Row],[R]]/3)</f>
        <v>30</v>
      </c>
      <c r="QJ35" s="74">
        <f>COUNTIFS($C$27:$PN$27,("&lt;"&amp;$B$3),$C$27:$PN$27,("&gt;="&amp;$B$2),$C$28:$PN$28,1,$C35:$PN35,TabAsistencias[[#Headers],[1]])+
COUNTIFS($C$27:$PN$27,("&lt;"&amp;$B$3),$C$27:$PN$27,("&gt;="&amp;$B$2),$C$28:$PN$28,1,$C35:$PN35,TabAsistencias[[#Headers],[DO]])+
COUNTIFS($C$27:$PN$27,("&lt;"&amp;$B$3),$C$27:$PN$27,("&gt;="&amp;$B$2),$C$28:$PN$28,1,$C35:$PN35,TabAsistencias[[#Headers],[R]])+
COUNTIFS($C$27:$PN$27,("&lt;"&amp;$B$3),$C$27:$PN$27,("&gt;="&amp;$B$2),$C$28:$PN$28,1,$C35:$PN35,TabAsistencias[[#Headers],[NA]])+
COUNTIFS($C$27:$PN$27,("&lt;"&amp;$B$3),$C$27:$PN$27,("&gt;="&amp;$B$2),$C$28:$PN$28,1,$C35:$PN35,TabAsistencias[[#Headers],[DF]])+
COUNTIFS($C$27:$PN$27,("&lt;"&amp;$B$3),$C$27:$PN$27,("&gt;="&amp;$B$2),$C$28:$PN$28,1,$C35:$PN35,TabAsistencias[[#Headers],[3]])+
COUNTIFS($C$27:$PN$27,("&lt;"&amp;$B$3),$C$27:$PN$27,("&gt;="&amp;$B$2),$C$28:$PN$28,1,$C35:$PN35,TabAsistencias[[#Headers],[CP]])+
COUNTIFS($C$27:$PN$27,("&lt;"&amp;$B$3),$C$27:$PN$27,("&gt;="&amp;$B$2),$C$28:$PN$28,1,$C35:$PN35,TabAsistencias[[#Headers],[T/2]])</f>
        <v>4</v>
      </c>
      <c r="QK35" s="315" cm="1">
        <f t="array" ref="QK35">IFERROR(VLOOKUP(
DATEDIF((VLOOKUP(TabAsistencias[[#This Row],[ID]],TabEmpleados[],COLUMN(TabEmpleados[Fecha de ingreso]),FALSE)),Asistencias!$B$3,"Y"),
TabFactorIntegracion[],COLUMN(TabFactorIntegracion[Días vacacionales
establecidos por ley]),FALSE),0)
-
COUNTIF($AH35:$PN35,TabAsistencias[[#Headers],[V]])</f>
        <v>13</v>
      </c>
      <c r="QL35" s="319">
        <f>SUM(TabAsistencias[[#This Row],[''1]],TabAsistencias[[#This Row],[''DE]],TabAsistencias[[#This Row],[''DO]],TabAsistencias[[#This Row],[''R]],TabAsistencias[[#This Row],[''NA]],TabAsistencias[[#This Row],[''DF]],TabAsistencias[[#This Row],[''3]],TabAsistencias[[#This Row],[''CP]],TabAsistencias[[#This Row],[''T/2]],TabAsistencias[[#This Row],[''DP]])</f>
        <v>72</v>
      </c>
      <c r="QM35" s="314">
        <f>COUNTIFS($C$27:$PN$27,("&lt;"&amp;$B$5),$C$27:$PN$27,("&gt;="&amp;$B$4),$C35:$PN35,TabAsistencias[[#Headers],[1]])</f>
        <v>72</v>
      </c>
      <c r="QN35" s="314">
        <f>COUNTIFS($C$27:$PN$27,("&lt;"&amp;$B$5),$C$27:$PN$27,("&gt;="&amp;$B$4),$C35:$PN35,TabAsistencias[[#Headers],[DE]])</f>
        <v>0</v>
      </c>
      <c r="QO35" s="314">
        <f>COUNTIFS($C$27:$PN$27,("&lt;"&amp;$B$5),$C$27:$PN$27,("&gt;="&amp;$B$4),$C35:$PN35,TabAsistencias[[#Headers],[V]])</f>
        <v>1</v>
      </c>
      <c r="QP35" s="314">
        <f>COUNTIFS($C$27:$PN$27,("&lt;"&amp;$B$5),$C$27:$PN$27,("&gt;="&amp;$B$4),$C35:$PN35,TabAsistencias[[#Headers],[DO]])</f>
        <v>0</v>
      </c>
      <c r="QQ35" s="314">
        <f>COUNTIFS($C$27:$PN$27,("&lt;"&amp;$B$5),$C$27:$PN$27,("&gt;="&amp;$B$4),$C35:$PN35,TabAsistencias[[#Headers],[P]])</f>
        <v>0</v>
      </c>
      <c r="QR35" s="314">
        <f>COUNTIFS($C$27:$PN$27,("&lt;"&amp;$B$5),$C$27:$PN$27,("&gt;="&amp;$B$4),$C35:$PN35,TabAsistencias[[#Headers],[F]])</f>
        <v>0</v>
      </c>
      <c r="QS35" s="314">
        <f>COUNTIFS($C$27:$PN$27,("&lt;"&amp;$B$5),$C$27:$PN$27,("&gt;="&amp;$B$4),$C35:$PN35,TabAsistencias[[#Headers],[R]])</f>
        <v>0</v>
      </c>
      <c r="QT35" s="314">
        <f>COUNTIFS($C$27:$PN$27,("&lt;"&amp;$B$5),$C$27:$PN$27,("&gt;="&amp;$B$4),$C35:$PN35,TabAsistencias[[#Headers],[PP]])</f>
        <v>0</v>
      </c>
      <c r="QU35" s="314">
        <f>COUNTIFS($C$27:$PN$27,("&lt;"&amp;$B$5),$C$27:$PN$27,("&gt;="&amp;$B$4),$C35:$PN35,TabAsistencias[[#Headers],[0]])</f>
        <v>0</v>
      </c>
      <c r="QV35" s="314">
        <f>COUNTIFS($C$27:$PN$27,("&lt;"&amp;$B$5),$C$27:$PN$27,("&gt;="&amp;$B$4),$C35:$PN35,TabAsistencias[[#Headers],[IG]])</f>
        <v>0</v>
      </c>
      <c r="QW35" s="314">
        <f>COUNTIFS($C$27:$PN$27,("&lt;"&amp;$B$5),$C$27:$PN$27,("&gt;="&amp;$B$4),$C35:$PN35,TabAsistencias[[#Headers],[NA]])</f>
        <v>0</v>
      </c>
      <c r="QX35" s="314">
        <f>COUNTIFS($C$27:$PN$27,("&lt;"&amp;$B$5),$C$27:$PN$27,("&gt;="&amp;$B$4),$C35:$PN35,TabAsistencias[[#Headers],[DF]])</f>
        <v>0</v>
      </c>
      <c r="QY35" s="314">
        <f>COUNTIFS($C$27:$PN$27,("&lt;"&amp;$B$5),$C$27:$PN$27,("&gt;="&amp;$B$4),$C35:$PN35,TabAsistencias[[#Headers],[3]])</f>
        <v>0</v>
      </c>
      <c r="QZ35" s="314">
        <f>COUNTIFS($C$27:$PN$27,("&lt;"&amp;$B$5),$C$27:$PN$27,("&gt;="&amp;$B$4),$C35:$PN35,TabAsistencias[[#Headers],[CP]])</f>
        <v>0</v>
      </c>
      <c r="RA35" s="314">
        <f>COUNTIFS($C$27:$PN$27,("&lt;"&amp;$B$5),$C$27:$PN$27,("&gt;="&amp;$B$4),$C35:$PN35,TabAsistencias[[#Headers],[I]])</f>
        <v>0</v>
      </c>
      <c r="RB35" s="314">
        <f>COUNTIFS($C$27:$PN$27,("&lt;"&amp;$B$5),$C$27:$PN$27,("&gt;="&amp;$B$4),$C35:$PN35,TabAsistencias[[#Headers],[T/2]])</f>
        <v>0</v>
      </c>
      <c r="RC35" s="314">
        <f>COUNTIFS($C$27:$PN$27,("&lt;"&amp;$B$5),$C$27:$PN$27,("&gt;="&amp;$B$4),$C35:$PN35,TabAsistencias[[#Headers],[ME]])</f>
        <v>0</v>
      </c>
      <c r="RD35" s="314">
        <f>COUNTIFS($C$27:$PN$27,("&lt;"&amp;$B$5),$C$27:$PN$27,("&gt;="&amp;$B$4),$C35:$PN35,TabAsistencias[[#Headers],[DP]])</f>
        <v>0</v>
      </c>
      <c r="RE35" s="314">
        <f>COUNTIFS($C$27:$PN$27,("&lt;"&amp;$B$5),$C$27:$PN$27,("&gt;="&amp;$B$4),$C35:$PN35,TabAsistencias[[#Headers],[B]])</f>
        <v>0</v>
      </c>
      <c r="RF35" s="314">
        <f>COUNTIFS($C$27:$PN$27,("&lt;"&amp;$B$5),$C$27:$PN$27,("&gt;="&amp;$B$4),$C$28:$PN$28,1,$C35:$PN35,TabAsistencias[[#Headers],[1]])+
COUNTIFS($C$27:$PN$27,("&lt;"&amp;$B$5),$C$27:$PN$27,("&gt;="&amp;$B$4),$C$28:$PN$28,1,$C35:$PN35,TabAsistencias[[#Headers],[DO]])+
COUNTIFS($C$27:$PN$27,("&lt;"&amp;$B$5),$C$27:$PN$27,("&gt;="&amp;$B$4),$C$28:$PN$28,1,$C35:$PN35,TabAsistencias[[#Headers],[R]])+
COUNTIFS($C$27:$PN$27,("&lt;"&amp;$B$5),$C$27:$PN$27,("&gt;="&amp;$B$4),$C$28:$PN$28,1,$C35:$PN35,TabAsistencias[[#Headers],[NA]])+
COUNTIFS($C$27:$PN$27,("&lt;"&amp;$B$5),$C$27:$PN$27,("&gt;="&amp;$B$4),$C$28:$PN$28,1,$C35:$PN35,TabAsistencias[[#Headers],[DF]])+
COUNTIFS($C$27:$PN$27,("&lt;"&amp;$B$5),$C$27:$PN$27,("&gt;="&amp;$B$4),$C$28:$PN$28,1,$C35:$PN35,TabAsistencias[[#Headers],[3]])+
COUNTIFS($C$27:$PN$27,("&lt;"&amp;$B$5),$C$27:$PN$27,("&gt;="&amp;$B$4),$C$28:$PN$28,1,$C35:$PN35,TabAsistencias[[#Headers],[CP]])+
COUNTIFS($C$27:$PN$27,("&lt;"&amp;$B$5),$C$27:$PN$27,("&gt;="&amp;$B$4),$C$28:$PN$28,1,$C35:$PN35,TabAsistencias[[#Headers],[T/2]])</f>
        <v>10</v>
      </c>
      <c r="RG35" s="320" cm="1">
        <f t="array" ref="RG35">IFERROR(VLOOKUP(
DATEDIF((VLOOKUP(TabAsistencias[[#This Row],[ID]],TabEmpleados[],COLUMN(TabEmpleados[Fecha de alta NSS]),FALSE)),Asistencias!$B$3,"Y"),
TabFactorIntegracion[],COLUMN(TabFactorIntegracion[Días vacacionales
establecidos por ley]),FALSE),0)
-
COUNTIF($AH35:$PN35,TabAsistencias[[#Headers],[V]])</f>
        <v>13</v>
      </c>
    </row>
    <row r="36" spans="1:475" x14ac:dyDescent="0.25">
      <c r="A36" s="92">
        <f t="shared" si="434"/>
        <v>6</v>
      </c>
      <c r="B36" s="30" t="str" cm="1">
        <f t="array" ref="B36">VLOOKUP(TabAsistencias[[#This Row],[ID]],TabEmpleados[],COLUMN(TabEmpleados[Nombre]),FALSE)</f>
        <v>CAMACHO RAMIREZ ARELI</v>
      </c>
      <c r="C36" s="36" t="s">
        <v>139</v>
      </c>
      <c r="D36" s="36" t="s">
        <v>139</v>
      </c>
      <c r="E36" s="36" t="s">
        <v>139</v>
      </c>
      <c r="F36" s="36" t="s">
        <v>139</v>
      </c>
      <c r="G36" s="36" t="s">
        <v>139</v>
      </c>
      <c r="H36" s="36" t="s">
        <v>139</v>
      </c>
      <c r="I36" s="36" t="s">
        <v>139</v>
      </c>
      <c r="J36" s="36" t="s">
        <v>139</v>
      </c>
      <c r="K36" s="36" t="s">
        <v>139</v>
      </c>
      <c r="L36" s="36" t="s">
        <v>139</v>
      </c>
      <c r="M36" s="36" t="s">
        <v>139</v>
      </c>
      <c r="N36" s="36" t="s">
        <v>139</v>
      </c>
      <c r="O36" s="36" t="s">
        <v>139</v>
      </c>
      <c r="P36" s="36" t="s">
        <v>139</v>
      </c>
      <c r="Q36" s="36" t="s">
        <v>139</v>
      </c>
      <c r="R36" s="36" t="s">
        <v>139</v>
      </c>
      <c r="S36" s="36" t="s">
        <v>139</v>
      </c>
      <c r="T36" s="36" t="s">
        <v>139</v>
      </c>
      <c r="U36" s="36" t="s">
        <v>139</v>
      </c>
      <c r="V36" s="36" t="s">
        <v>139</v>
      </c>
      <c r="W36" s="36" t="s">
        <v>139</v>
      </c>
      <c r="X36" s="36" t="s">
        <v>139</v>
      </c>
      <c r="Y36" s="36" t="s">
        <v>139</v>
      </c>
      <c r="Z36" s="36" t="s">
        <v>139</v>
      </c>
      <c r="AA36" s="36" t="s">
        <v>139</v>
      </c>
      <c r="AB36" s="36" t="s">
        <v>139</v>
      </c>
      <c r="AC36" s="36" t="s">
        <v>139</v>
      </c>
      <c r="AD36" s="36" t="s">
        <v>139</v>
      </c>
      <c r="AE36" s="36" t="s">
        <v>139</v>
      </c>
      <c r="AF36" s="36" t="s">
        <v>139</v>
      </c>
      <c r="AG36" s="36" t="s">
        <v>139</v>
      </c>
      <c r="AH36" s="36" t="s">
        <v>128</v>
      </c>
      <c r="AI36" s="36" t="s">
        <v>139</v>
      </c>
      <c r="AJ36" s="36" t="s">
        <v>139</v>
      </c>
      <c r="AK36" s="36" t="s">
        <v>139</v>
      </c>
      <c r="AL36" s="36" t="s">
        <v>139</v>
      </c>
      <c r="AM36" s="36" t="s">
        <v>139</v>
      </c>
      <c r="AN36" s="36" t="s">
        <v>139</v>
      </c>
      <c r="AO36" s="36" t="s">
        <v>139</v>
      </c>
      <c r="AP36" s="36" t="s">
        <v>139</v>
      </c>
      <c r="AQ36" s="36" t="s">
        <v>139</v>
      </c>
      <c r="AR36" s="36" t="s">
        <v>139</v>
      </c>
      <c r="AS36" s="36" t="s">
        <v>139</v>
      </c>
      <c r="AT36" s="36" t="s">
        <v>139</v>
      </c>
      <c r="AU36" s="36" t="s">
        <v>139</v>
      </c>
      <c r="AV36" s="36" t="s">
        <v>139</v>
      </c>
      <c r="AW36" s="36" t="s">
        <v>139</v>
      </c>
      <c r="AX36" s="36" t="s">
        <v>139</v>
      </c>
      <c r="AY36" s="36" t="s">
        <v>139</v>
      </c>
      <c r="AZ36" s="36" t="s">
        <v>139</v>
      </c>
      <c r="BA36" s="36" t="s">
        <v>139</v>
      </c>
      <c r="BB36" s="36" t="s">
        <v>139</v>
      </c>
      <c r="BC36" s="36" t="s">
        <v>139</v>
      </c>
      <c r="BD36" s="36" t="s">
        <v>139</v>
      </c>
      <c r="BE36" s="36" t="s">
        <v>139</v>
      </c>
      <c r="BF36" s="36" t="s">
        <v>139</v>
      </c>
      <c r="BG36" s="36" t="s">
        <v>139</v>
      </c>
      <c r="BH36" s="36" t="s">
        <v>139</v>
      </c>
      <c r="BI36" s="36" t="s">
        <v>139</v>
      </c>
      <c r="BJ36" s="36" t="s">
        <v>139</v>
      </c>
      <c r="BK36" s="36" t="s">
        <v>139</v>
      </c>
      <c r="BL36" s="36" t="s">
        <v>139</v>
      </c>
      <c r="BM36" s="36" t="s">
        <v>139</v>
      </c>
      <c r="BN36" s="36" t="s">
        <v>139</v>
      </c>
      <c r="BO36" s="36" t="s">
        <v>139</v>
      </c>
      <c r="BP36" s="36" t="s">
        <v>139</v>
      </c>
      <c r="BQ36" s="36" t="s">
        <v>139</v>
      </c>
      <c r="BR36" s="36" t="s">
        <v>139</v>
      </c>
      <c r="BS36" s="36" t="s">
        <v>139</v>
      </c>
      <c r="BT36" s="36" t="s">
        <v>139</v>
      </c>
      <c r="BU36" s="36" t="s">
        <v>139</v>
      </c>
      <c r="BV36" s="36" t="s">
        <v>139</v>
      </c>
      <c r="BW36" s="36" t="s">
        <v>139</v>
      </c>
      <c r="BX36" s="36" t="s">
        <v>139</v>
      </c>
      <c r="BY36" s="36" t="s">
        <v>139</v>
      </c>
      <c r="BZ36" s="36" t="s">
        <v>139</v>
      </c>
      <c r="CA36" s="36" t="s">
        <v>139</v>
      </c>
      <c r="CB36" s="36" t="s">
        <v>139</v>
      </c>
      <c r="CC36" s="36" t="s">
        <v>139</v>
      </c>
      <c r="CD36" s="36" t="s">
        <v>139</v>
      </c>
      <c r="CE36" s="36" t="s">
        <v>139</v>
      </c>
      <c r="CF36" s="36" t="s">
        <v>139</v>
      </c>
      <c r="CG36" s="36" t="s">
        <v>139</v>
      </c>
      <c r="CH36" s="36" t="s">
        <v>139</v>
      </c>
      <c r="CI36" s="36" t="s">
        <v>139</v>
      </c>
      <c r="CJ36" s="36" t="s">
        <v>139</v>
      </c>
      <c r="CK36" s="36" t="s">
        <v>139</v>
      </c>
      <c r="CL36" s="36" t="s">
        <v>139</v>
      </c>
      <c r="CM36" s="36" t="s">
        <v>139</v>
      </c>
      <c r="CN36" s="36" t="s">
        <v>139</v>
      </c>
      <c r="CO36" s="36" t="s">
        <v>139</v>
      </c>
      <c r="CP36" s="36" t="s">
        <v>139</v>
      </c>
      <c r="CQ36" s="36" t="s">
        <v>139</v>
      </c>
      <c r="CR36" s="36" t="s">
        <v>139</v>
      </c>
      <c r="CS36" s="36" t="s">
        <v>139</v>
      </c>
      <c r="CT36" s="36" t="s">
        <v>139</v>
      </c>
      <c r="CU36" s="36" t="s">
        <v>139</v>
      </c>
      <c r="CV36" s="36" t="s">
        <v>139</v>
      </c>
      <c r="CW36" s="36" t="s">
        <v>139</v>
      </c>
      <c r="CX36" s="36" t="s">
        <v>139</v>
      </c>
      <c r="CY36" s="36" t="s">
        <v>139</v>
      </c>
      <c r="CZ36" s="36" t="s">
        <v>139</v>
      </c>
      <c r="DA36" s="36" t="s">
        <v>139</v>
      </c>
      <c r="DB36" s="36" t="s">
        <v>139</v>
      </c>
      <c r="DC36" s="36" t="s">
        <v>139</v>
      </c>
      <c r="DD36" s="36" t="s">
        <v>139</v>
      </c>
      <c r="DE36" s="36" t="s">
        <v>139</v>
      </c>
      <c r="DF36" s="36" t="s">
        <v>139</v>
      </c>
      <c r="DG36" s="36" t="s">
        <v>139</v>
      </c>
      <c r="DH36" s="36" t="s">
        <v>139</v>
      </c>
      <c r="DI36" s="36" t="s">
        <v>139</v>
      </c>
      <c r="DJ36" s="36" t="s">
        <v>139</v>
      </c>
      <c r="DK36" s="36" t="s">
        <v>139</v>
      </c>
      <c r="DL36" s="36" t="s">
        <v>139</v>
      </c>
      <c r="DM36" s="36" t="s">
        <v>139</v>
      </c>
      <c r="DN36" s="36" t="s">
        <v>139</v>
      </c>
      <c r="DO36" s="36" t="s">
        <v>139</v>
      </c>
      <c r="DP36" s="36" t="s">
        <v>139</v>
      </c>
      <c r="DQ36" s="36" t="s">
        <v>139</v>
      </c>
      <c r="DR36" s="36" t="s">
        <v>139</v>
      </c>
      <c r="DS36" s="36" t="s">
        <v>139</v>
      </c>
      <c r="DT36" s="36" t="s">
        <v>139</v>
      </c>
      <c r="DU36" s="36" t="s">
        <v>139</v>
      </c>
      <c r="DV36" s="36" t="s">
        <v>139</v>
      </c>
      <c r="DW36" s="36" t="s">
        <v>139</v>
      </c>
      <c r="DX36" s="36" t="s">
        <v>139</v>
      </c>
      <c r="DY36" s="36" t="s">
        <v>139</v>
      </c>
      <c r="DZ36" s="36" t="s">
        <v>139</v>
      </c>
      <c r="EA36" s="36" t="s">
        <v>139</v>
      </c>
      <c r="EB36" s="36" t="s">
        <v>139</v>
      </c>
      <c r="EC36" s="36" t="s">
        <v>139</v>
      </c>
      <c r="ED36" s="36" t="s">
        <v>139</v>
      </c>
      <c r="EE36" s="36" t="s">
        <v>139</v>
      </c>
      <c r="EF36" s="36" t="s">
        <v>139</v>
      </c>
      <c r="EG36" s="36" t="s">
        <v>139</v>
      </c>
      <c r="EH36" s="36" t="s">
        <v>139</v>
      </c>
      <c r="EI36" s="36" t="s">
        <v>139</v>
      </c>
      <c r="EJ36" s="36" t="s">
        <v>139</v>
      </c>
      <c r="EK36" s="36" t="s">
        <v>139</v>
      </c>
      <c r="EL36" s="36" t="s">
        <v>139</v>
      </c>
      <c r="EM36" s="36" t="s">
        <v>139</v>
      </c>
      <c r="EN36" s="36" t="s">
        <v>139</v>
      </c>
      <c r="EO36" s="36" t="s">
        <v>139</v>
      </c>
      <c r="EP36" s="36" t="s">
        <v>139</v>
      </c>
      <c r="EQ36" s="36" t="s">
        <v>139</v>
      </c>
      <c r="ER36" s="36" t="s">
        <v>139</v>
      </c>
      <c r="ES36" s="36" t="s">
        <v>139</v>
      </c>
      <c r="ET36" s="36" t="s">
        <v>139</v>
      </c>
      <c r="EU36" s="36" t="s">
        <v>139</v>
      </c>
      <c r="EV36" s="36" t="s">
        <v>139</v>
      </c>
      <c r="EW36" s="36" t="s">
        <v>139</v>
      </c>
      <c r="EX36" s="36" t="s">
        <v>139</v>
      </c>
      <c r="EY36" s="36" t="s">
        <v>139</v>
      </c>
      <c r="EZ36" s="36" t="s">
        <v>139</v>
      </c>
      <c r="FA36" s="36" t="s">
        <v>139</v>
      </c>
      <c r="FB36" s="36" t="s">
        <v>139</v>
      </c>
      <c r="FC36" s="36" t="s">
        <v>139</v>
      </c>
      <c r="FD36" s="36" t="s">
        <v>139</v>
      </c>
      <c r="FE36" s="36" t="s">
        <v>139</v>
      </c>
      <c r="FF36" s="36" t="s">
        <v>139</v>
      </c>
      <c r="FG36" s="36" t="s">
        <v>139</v>
      </c>
      <c r="FH36" s="36" t="s">
        <v>139</v>
      </c>
      <c r="FI36" s="36" t="s">
        <v>139</v>
      </c>
      <c r="FJ36" s="36" t="s">
        <v>139</v>
      </c>
      <c r="FK36" s="36" t="s">
        <v>139</v>
      </c>
      <c r="FL36" s="36" t="s">
        <v>139</v>
      </c>
      <c r="FM36" s="36" t="s">
        <v>139</v>
      </c>
      <c r="FN36" s="36" t="s">
        <v>139</v>
      </c>
      <c r="FO36" s="36" t="s">
        <v>139</v>
      </c>
      <c r="FP36" s="36" t="s">
        <v>139</v>
      </c>
      <c r="FQ36" s="36" t="s">
        <v>139</v>
      </c>
      <c r="FR36" s="36" t="s">
        <v>139</v>
      </c>
      <c r="FS36" s="36" t="s">
        <v>139</v>
      </c>
      <c r="FT36" s="36" t="s">
        <v>139</v>
      </c>
      <c r="FU36" s="36" t="s">
        <v>139</v>
      </c>
      <c r="FV36" s="36" t="s">
        <v>139</v>
      </c>
      <c r="FW36" s="36" t="s">
        <v>139</v>
      </c>
      <c r="FX36" s="36" t="s">
        <v>139</v>
      </c>
      <c r="FY36" s="36" t="s">
        <v>139</v>
      </c>
      <c r="FZ36" s="36" t="s">
        <v>139</v>
      </c>
      <c r="GA36" s="36" t="s">
        <v>139</v>
      </c>
      <c r="GB36" s="36" t="s">
        <v>139</v>
      </c>
      <c r="GC36" s="36" t="s">
        <v>139</v>
      </c>
      <c r="GD36" s="36" t="s">
        <v>139</v>
      </c>
      <c r="GE36" s="36" t="s">
        <v>139</v>
      </c>
      <c r="GF36" s="36" t="s">
        <v>139</v>
      </c>
      <c r="GG36" s="36" t="s">
        <v>139</v>
      </c>
      <c r="GH36" s="36" t="s">
        <v>139</v>
      </c>
      <c r="GI36" s="36" t="s">
        <v>139</v>
      </c>
      <c r="GJ36" s="36" t="s">
        <v>139</v>
      </c>
      <c r="GK36" s="36" t="s">
        <v>139</v>
      </c>
      <c r="GL36" s="36" t="s">
        <v>139</v>
      </c>
      <c r="GM36" s="36" t="s">
        <v>139</v>
      </c>
      <c r="GN36" s="36" t="s">
        <v>139</v>
      </c>
      <c r="GO36" s="36" t="s">
        <v>139</v>
      </c>
      <c r="GP36" s="36" t="s">
        <v>139</v>
      </c>
      <c r="GQ36" s="36" t="s">
        <v>139</v>
      </c>
      <c r="GR36" s="36" t="s">
        <v>139</v>
      </c>
      <c r="GS36" s="36" t="s">
        <v>139</v>
      </c>
      <c r="GT36" s="36" t="s">
        <v>139</v>
      </c>
      <c r="GU36" s="36" t="s">
        <v>139</v>
      </c>
      <c r="GV36" s="36" t="s">
        <v>139</v>
      </c>
      <c r="GW36" s="36" t="s">
        <v>139</v>
      </c>
      <c r="GX36" s="36" t="s">
        <v>139</v>
      </c>
      <c r="GY36" s="36" t="s">
        <v>139</v>
      </c>
      <c r="GZ36" s="36" t="s">
        <v>139</v>
      </c>
      <c r="HA36" s="36" t="s">
        <v>139</v>
      </c>
      <c r="HB36" s="36" t="s">
        <v>139</v>
      </c>
      <c r="HC36" s="36" t="s">
        <v>139</v>
      </c>
      <c r="HD36" s="36" t="s">
        <v>139</v>
      </c>
      <c r="HE36" s="36" t="s">
        <v>139</v>
      </c>
      <c r="HF36" s="36" t="s">
        <v>139</v>
      </c>
      <c r="HG36" s="36" t="s">
        <v>139</v>
      </c>
      <c r="HH36" s="36" t="s">
        <v>139</v>
      </c>
      <c r="HI36" s="36" t="s">
        <v>139</v>
      </c>
      <c r="HJ36" s="36" t="s">
        <v>139</v>
      </c>
      <c r="HK36" s="36" t="s">
        <v>139</v>
      </c>
      <c r="HL36" s="36" t="s">
        <v>139</v>
      </c>
      <c r="HM36" s="36" t="s">
        <v>139</v>
      </c>
      <c r="HN36" s="36" t="s">
        <v>139</v>
      </c>
      <c r="HO36" s="36" t="s">
        <v>139</v>
      </c>
      <c r="HP36" s="36" t="s">
        <v>139</v>
      </c>
      <c r="HQ36" s="36" t="s">
        <v>139</v>
      </c>
      <c r="HR36" s="36" t="s">
        <v>139</v>
      </c>
      <c r="HS36" s="36" t="s">
        <v>139</v>
      </c>
      <c r="HT36" s="36" t="s">
        <v>139</v>
      </c>
      <c r="HU36" s="36" t="s">
        <v>139</v>
      </c>
      <c r="HV36" s="36" t="s">
        <v>139</v>
      </c>
      <c r="HW36" s="36" t="s">
        <v>139</v>
      </c>
      <c r="HX36" s="36" t="s">
        <v>139</v>
      </c>
      <c r="HY36" s="36" t="s">
        <v>139</v>
      </c>
      <c r="HZ36" s="36" t="s">
        <v>139</v>
      </c>
      <c r="IA36" s="36" t="s">
        <v>139</v>
      </c>
      <c r="IB36" s="36" t="s">
        <v>139</v>
      </c>
      <c r="IC36" s="36" t="s">
        <v>139</v>
      </c>
      <c r="ID36" s="36" t="s">
        <v>139</v>
      </c>
      <c r="IE36" s="36" t="s">
        <v>139</v>
      </c>
      <c r="IF36" s="36" t="s">
        <v>139</v>
      </c>
      <c r="IG36" s="36" t="s">
        <v>139</v>
      </c>
      <c r="IH36" s="36" t="s">
        <v>139</v>
      </c>
      <c r="II36" s="36" t="s">
        <v>139</v>
      </c>
      <c r="IJ36" s="36" t="s">
        <v>139</v>
      </c>
      <c r="IK36" s="36" t="s">
        <v>139</v>
      </c>
      <c r="IL36" s="36" t="s">
        <v>139</v>
      </c>
      <c r="IM36" s="36" t="s">
        <v>139</v>
      </c>
      <c r="IN36" s="36" t="s">
        <v>139</v>
      </c>
      <c r="IO36" s="36" t="s">
        <v>139</v>
      </c>
      <c r="IP36" s="36" t="s">
        <v>139</v>
      </c>
      <c r="IQ36" s="36" t="s">
        <v>139</v>
      </c>
      <c r="IR36" s="36" t="s">
        <v>139</v>
      </c>
      <c r="IS36" s="36" t="s">
        <v>139</v>
      </c>
      <c r="IT36" s="36" t="s">
        <v>139</v>
      </c>
      <c r="IU36" s="36" t="s">
        <v>139</v>
      </c>
      <c r="IV36" s="36" t="s">
        <v>139</v>
      </c>
      <c r="IW36" s="36" t="s">
        <v>139</v>
      </c>
      <c r="IX36" s="36" t="s">
        <v>139</v>
      </c>
      <c r="IY36" s="36" t="s">
        <v>139</v>
      </c>
      <c r="IZ36" s="36" t="s">
        <v>139</v>
      </c>
      <c r="JA36" s="36" t="s">
        <v>139</v>
      </c>
      <c r="JB36" s="36" t="s">
        <v>139</v>
      </c>
      <c r="JC36" s="36" t="s">
        <v>139</v>
      </c>
      <c r="JD36" s="36" t="s">
        <v>139</v>
      </c>
      <c r="JE36" s="36" t="s">
        <v>139</v>
      </c>
      <c r="JF36" s="36" t="s">
        <v>139</v>
      </c>
      <c r="JG36" s="36" t="s">
        <v>139</v>
      </c>
      <c r="JH36" s="36" t="s">
        <v>139</v>
      </c>
      <c r="JI36" s="36" t="s">
        <v>139</v>
      </c>
      <c r="JJ36" s="36" t="s">
        <v>139</v>
      </c>
      <c r="JK36" s="36" t="s">
        <v>139</v>
      </c>
      <c r="JL36" s="36" t="s">
        <v>139</v>
      </c>
      <c r="JM36" s="36" t="s">
        <v>139</v>
      </c>
      <c r="JN36" s="36" t="s">
        <v>139</v>
      </c>
      <c r="JO36" s="36" t="s">
        <v>139</v>
      </c>
      <c r="JP36" s="36" t="s">
        <v>139</v>
      </c>
      <c r="JQ36" s="36" t="s">
        <v>139</v>
      </c>
      <c r="JR36" s="36" t="s">
        <v>139</v>
      </c>
      <c r="JS36" s="36" t="s">
        <v>139</v>
      </c>
      <c r="JT36" s="36" t="s">
        <v>139</v>
      </c>
      <c r="JU36" s="36" t="s">
        <v>139</v>
      </c>
      <c r="JV36" s="36" t="s">
        <v>139</v>
      </c>
      <c r="JW36" s="36" t="s">
        <v>139</v>
      </c>
      <c r="JX36" s="36" t="s">
        <v>139</v>
      </c>
      <c r="JY36" s="36" t="s">
        <v>139</v>
      </c>
      <c r="JZ36" s="36" t="s">
        <v>139</v>
      </c>
      <c r="KA36" s="36" t="s">
        <v>139</v>
      </c>
      <c r="KB36" s="36" t="s">
        <v>139</v>
      </c>
      <c r="KC36" s="36" t="s">
        <v>139</v>
      </c>
      <c r="KD36" s="36" t="s">
        <v>139</v>
      </c>
      <c r="KE36" s="36" t="s">
        <v>139</v>
      </c>
      <c r="KF36" s="36" t="s">
        <v>139</v>
      </c>
      <c r="KG36" s="36" t="s">
        <v>139</v>
      </c>
      <c r="KH36" s="36" t="s">
        <v>139</v>
      </c>
      <c r="KI36" s="36" t="s">
        <v>139</v>
      </c>
      <c r="KJ36" s="36" t="s">
        <v>139</v>
      </c>
      <c r="KK36" s="36" t="s">
        <v>139</v>
      </c>
      <c r="KL36" s="36" t="s">
        <v>139</v>
      </c>
      <c r="KM36" s="36" t="s">
        <v>139</v>
      </c>
      <c r="KN36" s="36" t="s">
        <v>139</v>
      </c>
      <c r="KO36" s="36" t="s">
        <v>139</v>
      </c>
      <c r="KP36" s="36" t="s">
        <v>139</v>
      </c>
      <c r="KQ36" s="36" t="s">
        <v>139</v>
      </c>
      <c r="KR36" s="36" t="s">
        <v>139</v>
      </c>
      <c r="KS36" s="36" t="s">
        <v>139</v>
      </c>
      <c r="KT36" s="36" t="s">
        <v>139</v>
      </c>
      <c r="KU36" s="36" t="s">
        <v>139</v>
      </c>
      <c r="KV36" s="36" t="s">
        <v>139</v>
      </c>
      <c r="KW36" s="36" t="s">
        <v>139</v>
      </c>
      <c r="KX36" s="36" t="s">
        <v>139</v>
      </c>
      <c r="KY36" s="36" t="s">
        <v>139</v>
      </c>
      <c r="KZ36" s="36" t="s">
        <v>139</v>
      </c>
      <c r="LA36" s="36" t="s">
        <v>139</v>
      </c>
      <c r="LB36" s="36" t="s">
        <v>139</v>
      </c>
      <c r="LC36" s="36" t="s">
        <v>139</v>
      </c>
      <c r="LD36" s="36" t="s">
        <v>139</v>
      </c>
      <c r="LE36" s="36" t="s">
        <v>139</v>
      </c>
      <c r="LF36" s="36" t="s">
        <v>139</v>
      </c>
      <c r="LG36" s="36" t="s">
        <v>139</v>
      </c>
      <c r="LH36" s="36" t="s">
        <v>139</v>
      </c>
      <c r="LI36" s="36" t="s">
        <v>139</v>
      </c>
      <c r="LJ36" s="36" t="s">
        <v>139</v>
      </c>
      <c r="LK36" s="36" t="s">
        <v>139</v>
      </c>
      <c r="LL36" s="36" t="s">
        <v>139</v>
      </c>
      <c r="LM36" s="36" t="s">
        <v>139</v>
      </c>
      <c r="LN36" s="36" t="s">
        <v>139</v>
      </c>
      <c r="LO36" s="36" t="s">
        <v>139</v>
      </c>
      <c r="LP36" s="36" t="s">
        <v>139</v>
      </c>
      <c r="LQ36" s="36" t="s">
        <v>139</v>
      </c>
      <c r="LR36" s="36" t="s">
        <v>139</v>
      </c>
      <c r="LS36" s="36" t="s">
        <v>139</v>
      </c>
      <c r="LT36" s="36" t="s">
        <v>139</v>
      </c>
      <c r="LU36" s="36" t="s">
        <v>139</v>
      </c>
      <c r="LV36" s="36" t="s">
        <v>139</v>
      </c>
      <c r="LW36" s="36" t="s">
        <v>139</v>
      </c>
      <c r="LX36" s="36" t="s">
        <v>139</v>
      </c>
      <c r="LY36" s="36" t="s">
        <v>139</v>
      </c>
      <c r="LZ36" s="36" t="s">
        <v>139</v>
      </c>
      <c r="MA36" s="36" t="s">
        <v>139</v>
      </c>
      <c r="MB36" s="36" t="s">
        <v>139</v>
      </c>
      <c r="MC36" s="36" t="s">
        <v>139</v>
      </c>
      <c r="MD36" s="36" t="s">
        <v>139</v>
      </c>
      <c r="ME36" s="36" t="s">
        <v>139</v>
      </c>
      <c r="MF36" s="36" t="s">
        <v>139</v>
      </c>
      <c r="MG36" s="36" t="s">
        <v>139</v>
      </c>
      <c r="MH36" s="36" t="s">
        <v>139</v>
      </c>
      <c r="MI36" s="36" t="s">
        <v>139</v>
      </c>
      <c r="MJ36" s="36" t="s">
        <v>139</v>
      </c>
      <c r="MK36" s="36" t="s">
        <v>139</v>
      </c>
      <c r="ML36" s="36" t="s">
        <v>139</v>
      </c>
      <c r="MM36" s="36" t="s">
        <v>139</v>
      </c>
      <c r="MN36" s="36" t="s">
        <v>139</v>
      </c>
      <c r="MO36" s="36" t="s">
        <v>139</v>
      </c>
      <c r="MP36" s="36" t="s">
        <v>139</v>
      </c>
      <c r="MQ36" s="36" t="s">
        <v>139</v>
      </c>
      <c r="MR36" s="36" t="s">
        <v>139</v>
      </c>
      <c r="MS36" s="36" t="s">
        <v>139</v>
      </c>
      <c r="MT36" s="36" t="s">
        <v>139</v>
      </c>
      <c r="MU36" s="36" t="s">
        <v>139</v>
      </c>
      <c r="MV36" s="36" t="s">
        <v>139</v>
      </c>
      <c r="MW36" s="36" t="s">
        <v>139</v>
      </c>
      <c r="MX36" s="36" t="s">
        <v>139</v>
      </c>
      <c r="MY36" s="36" t="s">
        <v>139</v>
      </c>
      <c r="MZ36" s="36" t="s">
        <v>139</v>
      </c>
      <c r="NA36" s="36" t="s">
        <v>139</v>
      </c>
      <c r="NB36" s="36" t="s">
        <v>139</v>
      </c>
      <c r="NC36" s="36" t="s">
        <v>139</v>
      </c>
      <c r="ND36" s="36" t="s">
        <v>139</v>
      </c>
      <c r="NE36" s="36" t="s">
        <v>139</v>
      </c>
      <c r="NF36" s="36" t="s">
        <v>139</v>
      </c>
      <c r="NG36" s="36" t="s">
        <v>139</v>
      </c>
      <c r="NH36" s="36" t="s">
        <v>139</v>
      </c>
      <c r="NI36" s="36" t="s">
        <v>139</v>
      </c>
      <c r="NJ36" s="36" t="s">
        <v>139</v>
      </c>
      <c r="NK36" s="36" t="s">
        <v>139</v>
      </c>
      <c r="NL36" s="36" t="s">
        <v>139</v>
      </c>
      <c r="NM36" s="36" t="s">
        <v>139</v>
      </c>
      <c r="NN36" s="36" t="s">
        <v>139</v>
      </c>
      <c r="NO36" s="36" t="s">
        <v>139</v>
      </c>
      <c r="NP36" s="36" t="s">
        <v>139</v>
      </c>
      <c r="NQ36" s="36" t="s">
        <v>139</v>
      </c>
      <c r="NR36" s="36" t="s">
        <v>139</v>
      </c>
      <c r="NS36" s="36" t="s">
        <v>139</v>
      </c>
      <c r="NT36" s="36" t="s">
        <v>139</v>
      </c>
      <c r="NU36" s="36" t="s">
        <v>139</v>
      </c>
      <c r="NV36" s="36" t="s">
        <v>139</v>
      </c>
      <c r="NW36" s="36" t="s">
        <v>139</v>
      </c>
      <c r="NX36" s="36" t="s">
        <v>139</v>
      </c>
      <c r="NY36" s="36" t="s">
        <v>139</v>
      </c>
      <c r="NZ36" s="36" t="s">
        <v>139</v>
      </c>
      <c r="OA36" s="36" t="s">
        <v>139</v>
      </c>
      <c r="OB36" s="36" t="s">
        <v>139</v>
      </c>
      <c r="OC36" s="36" t="s">
        <v>139</v>
      </c>
      <c r="OD36" s="36" t="s">
        <v>139</v>
      </c>
      <c r="OE36" s="36" t="s">
        <v>139</v>
      </c>
      <c r="OF36" s="36" t="s">
        <v>139</v>
      </c>
      <c r="OG36" s="36" t="s">
        <v>139</v>
      </c>
      <c r="OH36" s="36" t="s">
        <v>139</v>
      </c>
      <c r="OI36" s="36" t="s">
        <v>139</v>
      </c>
      <c r="OJ36" s="36" t="s">
        <v>139</v>
      </c>
      <c r="OK36" s="36" t="s">
        <v>139</v>
      </c>
      <c r="OL36" s="36" t="s">
        <v>139</v>
      </c>
      <c r="OM36" s="36" t="s">
        <v>139</v>
      </c>
      <c r="ON36" s="36" t="s">
        <v>139</v>
      </c>
      <c r="OO36" s="36" t="s">
        <v>139</v>
      </c>
      <c r="OP36" s="36" t="s">
        <v>139</v>
      </c>
      <c r="OQ36" s="36" t="s">
        <v>139</v>
      </c>
      <c r="OR36" s="36" t="s">
        <v>139</v>
      </c>
      <c r="OS36" s="36" t="s">
        <v>139</v>
      </c>
      <c r="OT36" s="36" t="s">
        <v>139</v>
      </c>
      <c r="OU36" s="36" t="s">
        <v>139</v>
      </c>
      <c r="OV36" s="36" t="s">
        <v>139</v>
      </c>
      <c r="OW36" s="36" t="s">
        <v>139</v>
      </c>
      <c r="OX36" s="36" t="s">
        <v>139</v>
      </c>
      <c r="OY36" s="36" t="s">
        <v>139</v>
      </c>
      <c r="OZ36" s="36" t="s">
        <v>139</v>
      </c>
      <c r="PA36" s="36" t="s">
        <v>139</v>
      </c>
      <c r="PB36" s="36" t="s">
        <v>139</v>
      </c>
      <c r="PC36" s="36" t="s">
        <v>139</v>
      </c>
      <c r="PD36" s="36" t="s">
        <v>139</v>
      </c>
      <c r="PE36" s="36" t="s">
        <v>139</v>
      </c>
      <c r="PF36" s="36" t="s">
        <v>139</v>
      </c>
      <c r="PG36" s="36" t="s">
        <v>139</v>
      </c>
      <c r="PH36" s="36" t="s">
        <v>139</v>
      </c>
      <c r="PI36" s="36" t="s">
        <v>139</v>
      </c>
      <c r="PJ36" s="36" t="s">
        <v>139</v>
      </c>
      <c r="PK36" s="36" t="s">
        <v>139</v>
      </c>
      <c r="PL36" s="36" t="s">
        <v>139</v>
      </c>
      <c r="PM36" s="36" t="s">
        <v>139</v>
      </c>
      <c r="PN36" s="36" t="s">
        <v>139</v>
      </c>
      <c r="PO36" s="74">
        <f>COUNTIFS($C$27:$PN$27,("&lt;"&amp;$B$3),$C$27:$PN$27,("&gt;="&amp;$B$2),$C36:$PN36,TabAsistencias[[#Headers],[1]])</f>
        <v>30</v>
      </c>
      <c r="PP36" s="74">
        <f>COUNTIFS($C$27:$PN$27,("&lt;"&amp;$B$3),$C$27:$PN$27,("&gt;="&amp;$B$2),$C36:$PN36,TabAsistencias[[#Headers],[E]])</f>
        <v>0</v>
      </c>
      <c r="PQ36" s="74">
        <f>COUNTIFS($C$27:$PN$27,("&lt;"&amp;$B$3),$C$27:$PN$27,("&gt;="&amp;$B$2),$C36:$PN36,TabAsistencias[[#Headers],[DE]])</f>
        <v>0</v>
      </c>
      <c r="PR36" s="74">
        <f>COUNTIFS($C$27:$PN$27,("&lt;"&amp;$B$3),$C$27:$PN$27,("&gt;="&amp;$B$2),$C36:$PN36,TabAsistencias[[#Headers],[V]])</f>
        <v>0</v>
      </c>
      <c r="PS36" s="74">
        <f>COUNTIFS($C$27:$PN$27,("&lt;"&amp;$B$3),$C$27:$PN$27,("&gt;="&amp;$B$2),$C36:$PN36,TabAsistencias[[#Headers],[DO]])</f>
        <v>0</v>
      </c>
      <c r="PT36" s="74">
        <f>COUNTIFS($C$27:$PN$27,("&lt;"&amp;$B$3),$C$27:$PN$27,("&gt;="&amp;$B$2),$C36:$PN36,TabAsistencias[[#Headers],[P]])</f>
        <v>0</v>
      </c>
      <c r="PU36" s="74">
        <f>COUNTIFS($C$27:$PN$27,("&lt;"&amp;$B$3),$C$27:$PN$27,("&gt;="&amp;$B$2),$C36:$PN36,TabAsistencias[[#Headers],[F]])</f>
        <v>0</v>
      </c>
      <c r="PV36" s="74">
        <f>COUNTIFS($C$27:$PN$27,("&lt;"&amp;$B$3),$C$27:$PN$27,("&gt;="&amp;$B$2),$C36:$PN36,TabAsistencias[[#Headers],[R]])</f>
        <v>0</v>
      </c>
      <c r="PW36" s="74">
        <f>COUNTIFS($C$27:$PN$27,("&lt;"&amp;$B$3),$C$27:$PN$27,("&gt;="&amp;$B$2),$C36:$PN36,TabAsistencias[[#Headers],[PP]])</f>
        <v>0</v>
      </c>
      <c r="PX36" s="74">
        <f>COUNTIFS($C$27:$PN$27,("&lt;"&amp;$B$3),$C$27:$PN$27,("&gt;="&amp;$B$2),$C36:$PN36,TabAsistencias[[#Headers],[0]])</f>
        <v>0</v>
      </c>
      <c r="PY36" s="74">
        <f>COUNTIFS($C$27:$PN$27,("&lt;"&amp;$B$3),$C$27:$PN$27,("&gt;="&amp;$B$2),$C36:$PN36,TabAsistencias[[#Headers],[IG]])</f>
        <v>0</v>
      </c>
      <c r="PZ36" s="74">
        <f>COUNTIFS($C$27:$PN$27,("&lt;"&amp;$B$3),$C$27:$PN$27,("&gt;="&amp;$B$2),$C36:$PN36,TabAsistencias[[#Headers],[NA]])</f>
        <v>0</v>
      </c>
      <c r="QA36" s="74">
        <f>COUNTIFS($C$27:$PN$27,("&lt;"&amp;$B$3),$C$27:$PN$27,("&gt;="&amp;$B$2),$C36:$PN36,TabAsistencias[[#Headers],[DF]])</f>
        <v>0</v>
      </c>
      <c r="QB36" s="74">
        <f>COUNTIFS($C$27:$PN$27,("&lt;"&amp;$B$3),$C$27:$PN$27,("&gt;="&amp;$B$2),$C36:$PN36,TabAsistencias[[#Headers],[3]])</f>
        <v>0</v>
      </c>
      <c r="QC36" s="74">
        <f>COUNTIFS($C$27:$PN$27,("&lt;"&amp;$B$3),$C$27:$PN$27,("&gt;="&amp;$B$2),$C36:$PN36,TabAsistencias[[#Headers],[CP]])</f>
        <v>0</v>
      </c>
      <c r="QD36" s="74">
        <f>COUNTIFS($C$27:$PN$27,("&lt;"&amp;$B$3),$C$27:$PN$27,("&gt;="&amp;$B$2),$C36:$PN36,TabAsistencias[[#Headers],[I]])</f>
        <v>0</v>
      </c>
      <c r="QE36" s="74">
        <f>COUNTIFS($C$27:$PN$27,("&lt;"&amp;$B$3),$C$27:$PN$27,("&gt;="&amp;$B$2),$C36:$PN36,TabAsistencias[[#Headers],[T/2]])</f>
        <v>0</v>
      </c>
      <c r="QF36" s="74">
        <f>COUNTIFS($C$27:$PN$27,("&lt;"&amp;$B$3),$C$27:$PN$27,("&gt;="&amp;$B$2),$C36:$PN36,TabAsistencias[[#Headers],[ME]])</f>
        <v>0</v>
      </c>
      <c r="QG36" s="74">
        <f>COUNTIFS($C$27:$PN$27,("&lt;"&amp;$B$3),$C$27:$PN$27,("&gt;="&amp;$B$2),$C36:$PN36,TabAsistencias[[#Headers],[DP]])</f>
        <v>0</v>
      </c>
      <c r="QH36" s="74">
        <f>COUNTIFS($C$27:$PN$27,("&lt;"&amp;$B$3),$C$27:$PN$27,("&gt;="&amp;$B$2),$C36:$PN36,TabAsistencias[[#Headers],[B]])</f>
        <v>0</v>
      </c>
      <c r="QI36" s="74">
        <f>(TabAsistencias[[#This Row],[1]]*'Tablas de informacion'!$C$124)+(TabAsistencias[[#This Row],[E]]*'Tablas de informacion'!$C$125)+(TabAsistencias[[#This Row],[DE]]*'Tablas de informacion'!C$126)+(TabAsistencias[[#This Row],[V]]*'Tablas de informacion'!C$127)+(TabAsistencias[[#This Row],[DO]]*'Tablas de informacion'!C$128)+(TabAsistencias[[#This Row],[P]]*'Tablas de informacion'!C$129)+(TabAsistencias[[#This Row],[F]]*'Tablas de informacion'!C$130)+(TabAsistencias[[#This Row],[R]]*'Tablas de informacion'!C$131)+(TabAsistencias[[#This Row],[PP]]*'Tablas de informacion'!C$132)+(TabAsistencias[[#This Row],[0]]*'Tablas de informacion'!C$133)+(TabAsistencias[[#This Row],[IG]]*'Tablas de informacion'!C$134)+(TabAsistencias[[#This Row],[NA]]*'Tablas de informacion'!C$135)+(TabAsistencias[[#This Row],[DF]]*'Tablas de informacion'!C$136)+(TabAsistencias[[#This Row],[3]]*'Tablas de informacion'!C$137)+(TabAsistencias[[#This Row],[CP]]*'Tablas de informacion'!C$138)+(TabAsistencias[[#This Row],[I]]*'Tablas de informacion'!C$139)+(TabAsistencias[[#This Row],[T/2]]*'Tablas de informacion'!C$140)+(TabAsistencias[[#This Row],[ME]]*'Tablas de informacion'!C$141)+(TabAsistencias[[#This Row],[DP]]*'Tablas de informacion'!C$142)+(TabAsistencias[[#This Row],[B]]*'Tablas de informacion'!C$143)-INT(TabAsistencias[[#This Row],[R]]/3)</f>
        <v>30</v>
      </c>
      <c r="QJ36" s="74">
        <f>COUNTIFS($C$27:$PN$27,("&lt;"&amp;$B$3),$C$27:$PN$27,("&gt;="&amp;$B$2),$C$28:$PN$28,1,$C36:$PN36,TabAsistencias[[#Headers],[1]])+
COUNTIFS($C$27:$PN$27,("&lt;"&amp;$B$3),$C$27:$PN$27,("&gt;="&amp;$B$2),$C$28:$PN$28,1,$C36:$PN36,TabAsistencias[[#Headers],[DO]])+
COUNTIFS($C$27:$PN$27,("&lt;"&amp;$B$3),$C$27:$PN$27,("&gt;="&amp;$B$2),$C$28:$PN$28,1,$C36:$PN36,TabAsistencias[[#Headers],[R]])+
COUNTIFS($C$27:$PN$27,("&lt;"&amp;$B$3),$C$27:$PN$27,("&gt;="&amp;$B$2),$C$28:$PN$28,1,$C36:$PN36,TabAsistencias[[#Headers],[NA]])+
COUNTIFS($C$27:$PN$27,("&lt;"&amp;$B$3),$C$27:$PN$27,("&gt;="&amp;$B$2),$C$28:$PN$28,1,$C36:$PN36,TabAsistencias[[#Headers],[DF]])+
COUNTIFS($C$27:$PN$27,("&lt;"&amp;$B$3),$C$27:$PN$27,("&gt;="&amp;$B$2),$C$28:$PN$28,1,$C36:$PN36,TabAsistencias[[#Headers],[3]])+
COUNTIFS($C$27:$PN$27,("&lt;"&amp;$B$3),$C$27:$PN$27,("&gt;="&amp;$B$2),$C$28:$PN$28,1,$C36:$PN36,TabAsistencias[[#Headers],[CP]])+
COUNTIFS($C$27:$PN$27,("&lt;"&amp;$B$3),$C$27:$PN$27,("&gt;="&amp;$B$2),$C$28:$PN$28,1,$C36:$PN36,TabAsistencias[[#Headers],[T/2]])</f>
        <v>4</v>
      </c>
      <c r="QK36" s="315" cm="1">
        <f t="array" ref="QK36">IFERROR(VLOOKUP(
DATEDIF((VLOOKUP(TabAsistencias[[#This Row],[ID]],TabEmpleados[],COLUMN(TabEmpleados[Fecha de ingreso]),FALSE)),Asistencias!$B$3,"Y"),
TabFactorIntegracion[],COLUMN(TabFactorIntegracion[Días vacacionales
establecidos por ley]),FALSE),0)
-
COUNTIF($AH36:$PN36,TabAsistencias[[#Headers],[V]])</f>
        <v>11</v>
      </c>
      <c r="QL36" s="319">
        <f>SUM(TabAsistencias[[#This Row],[''1]],TabAsistencias[[#This Row],[''DE]],TabAsistencias[[#This Row],[''DO]],TabAsistencias[[#This Row],[''R]],TabAsistencias[[#This Row],[''NA]],TabAsistencias[[#This Row],[''DF]],TabAsistencias[[#This Row],[''3]],TabAsistencias[[#This Row],[''CP]],TabAsistencias[[#This Row],[''T/2]],TabAsistencias[[#This Row],[''DP]])</f>
        <v>72</v>
      </c>
      <c r="QM36" s="314">
        <f>COUNTIFS($C$27:$PN$27,("&lt;"&amp;$B$5),$C$27:$PN$27,("&gt;="&amp;$B$4),$C36:$PN36,TabAsistencias[[#Headers],[1]])</f>
        <v>72</v>
      </c>
      <c r="QN36" s="314">
        <f>COUNTIFS($C$27:$PN$27,("&lt;"&amp;$B$5),$C$27:$PN$27,("&gt;="&amp;$B$4),$C36:$PN36,TabAsistencias[[#Headers],[DE]])</f>
        <v>0</v>
      </c>
      <c r="QO36" s="314">
        <f>COUNTIFS($C$27:$PN$27,("&lt;"&amp;$B$5),$C$27:$PN$27,("&gt;="&amp;$B$4),$C36:$PN36,TabAsistencias[[#Headers],[V]])</f>
        <v>1</v>
      </c>
      <c r="QP36" s="314">
        <f>COUNTIFS($C$27:$PN$27,("&lt;"&amp;$B$5),$C$27:$PN$27,("&gt;="&amp;$B$4),$C36:$PN36,TabAsistencias[[#Headers],[DO]])</f>
        <v>0</v>
      </c>
      <c r="QQ36" s="314">
        <f>COUNTIFS($C$27:$PN$27,("&lt;"&amp;$B$5),$C$27:$PN$27,("&gt;="&amp;$B$4),$C36:$PN36,TabAsistencias[[#Headers],[P]])</f>
        <v>0</v>
      </c>
      <c r="QR36" s="314">
        <f>COUNTIFS($C$27:$PN$27,("&lt;"&amp;$B$5),$C$27:$PN$27,("&gt;="&amp;$B$4),$C36:$PN36,TabAsistencias[[#Headers],[F]])</f>
        <v>0</v>
      </c>
      <c r="QS36" s="314">
        <f>COUNTIFS($C$27:$PN$27,("&lt;"&amp;$B$5),$C$27:$PN$27,("&gt;="&amp;$B$4),$C36:$PN36,TabAsistencias[[#Headers],[R]])</f>
        <v>0</v>
      </c>
      <c r="QT36" s="314">
        <f>COUNTIFS($C$27:$PN$27,("&lt;"&amp;$B$5),$C$27:$PN$27,("&gt;="&amp;$B$4),$C36:$PN36,TabAsistencias[[#Headers],[PP]])</f>
        <v>0</v>
      </c>
      <c r="QU36" s="314">
        <f>COUNTIFS($C$27:$PN$27,("&lt;"&amp;$B$5),$C$27:$PN$27,("&gt;="&amp;$B$4),$C36:$PN36,TabAsistencias[[#Headers],[0]])</f>
        <v>0</v>
      </c>
      <c r="QV36" s="314">
        <f>COUNTIFS($C$27:$PN$27,("&lt;"&amp;$B$5),$C$27:$PN$27,("&gt;="&amp;$B$4),$C36:$PN36,TabAsistencias[[#Headers],[IG]])</f>
        <v>0</v>
      </c>
      <c r="QW36" s="314">
        <f>COUNTIFS($C$27:$PN$27,("&lt;"&amp;$B$5),$C$27:$PN$27,("&gt;="&amp;$B$4),$C36:$PN36,TabAsistencias[[#Headers],[NA]])</f>
        <v>0</v>
      </c>
      <c r="QX36" s="314">
        <f>COUNTIFS($C$27:$PN$27,("&lt;"&amp;$B$5),$C$27:$PN$27,("&gt;="&amp;$B$4),$C36:$PN36,TabAsistencias[[#Headers],[DF]])</f>
        <v>0</v>
      </c>
      <c r="QY36" s="314">
        <f>COUNTIFS($C$27:$PN$27,("&lt;"&amp;$B$5),$C$27:$PN$27,("&gt;="&amp;$B$4),$C36:$PN36,TabAsistencias[[#Headers],[3]])</f>
        <v>0</v>
      </c>
      <c r="QZ36" s="314">
        <f>COUNTIFS($C$27:$PN$27,("&lt;"&amp;$B$5),$C$27:$PN$27,("&gt;="&amp;$B$4),$C36:$PN36,TabAsistencias[[#Headers],[CP]])</f>
        <v>0</v>
      </c>
      <c r="RA36" s="314">
        <f>COUNTIFS($C$27:$PN$27,("&lt;"&amp;$B$5),$C$27:$PN$27,("&gt;="&amp;$B$4),$C36:$PN36,TabAsistencias[[#Headers],[I]])</f>
        <v>0</v>
      </c>
      <c r="RB36" s="314">
        <f>COUNTIFS($C$27:$PN$27,("&lt;"&amp;$B$5),$C$27:$PN$27,("&gt;="&amp;$B$4),$C36:$PN36,TabAsistencias[[#Headers],[T/2]])</f>
        <v>0</v>
      </c>
      <c r="RC36" s="314">
        <f>COUNTIFS($C$27:$PN$27,("&lt;"&amp;$B$5),$C$27:$PN$27,("&gt;="&amp;$B$4),$C36:$PN36,TabAsistencias[[#Headers],[ME]])</f>
        <v>0</v>
      </c>
      <c r="RD36" s="314">
        <f>COUNTIFS($C$27:$PN$27,("&lt;"&amp;$B$5),$C$27:$PN$27,("&gt;="&amp;$B$4),$C36:$PN36,TabAsistencias[[#Headers],[DP]])</f>
        <v>0</v>
      </c>
      <c r="RE36" s="314">
        <f>COUNTIFS($C$27:$PN$27,("&lt;"&amp;$B$5),$C$27:$PN$27,("&gt;="&amp;$B$4),$C36:$PN36,TabAsistencias[[#Headers],[B]])</f>
        <v>0</v>
      </c>
      <c r="RF36" s="314">
        <f>COUNTIFS($C$27:$PN$27,("&lt;"&amp;$B$5),$C$27:$PN$27,("&gt;="&amp;$B$4),$C$28:$PN$28,1,$C36:$PN36,TabAsistencias[[#Headers],[1]])+
COUNTIFS($C$27:$PN$27,("&lt;"&amp;$B$5),$C$27:$PN$27,("&gt;="&amp;$B$4),$C$28:$PN$28,1,$C36:$PN36,TabAsistencias[[#Headers],[DO]])+
COUNTIFS($C$27:$PN$27,("&lt;"&amp;$B$5),$C$27:$PN$27,("&gt;="&amp;$B$4),$C$28:$PN$28,1,$C36:$PN36,TabAsistencias[[#Headers],[R]])+
COUNTIFS($C$27:$PN$27,("&lt;"&amp;$B$5),$C$27:$PN$27,("&gt;="&amp;$B$4),$C$28:$PN$28,1,$C36:$PN36,TabAsistencias[[#Headers],[NA]])+
COUNTIFS($C$27:$PN$27,("&lt;"&amp;$B$5),$C$27:$PN$27,("&gt;="&amp;$B$4),$C$28:$PN$28,1,$C36:$PN36,TabAsistencias[[#Headers],[DF]])+
COUNTIFS($C$27:$PN$27,("&lt;"&amp;$B$5),$C$27:$PN$27,("&gt;="&amp;$B$4),$C$28:$PN$28,1,$C36:$PN36,TabAsistencias[[#Headers],[3]])+
COUNTIFS($C$27:$PN$27,("&lt;"&amp;$B$5),$C$27:$PN$27,("&gt;="&amp;$B$4),$C$28:$PN$28,1,$C36:$PN36,TabAsistencias[[#Headers],[CP]])+
COUNTIFS($C$27:$PN$27,("&lt;"&amp;$B$5),$C$27:$PN$27,("&gt;="&amp;$B$4),$C$28:$PN$28,1,$C36:$PN36,TabAsistencias[[#Headers],[T/2]])</f>
        <v>10</v>
      </c>
      <c r="RG36" s="320" cm="1">
        <f t="array" ref="RG36">IFERROR(VLOOKUP(
DATEDIF((VLOOKUP(TabAsistencias[[#This Row],[ID]],TabEmpleados[],COLUMN(TabEmpleados[Fecha de alta NSS]),FALSE)),Asistencias!$B$3,"Y"),
TabFactorIntegracion[],COLUMN(TabFactorIntegracion[Días vacacionales
establecidos por ley]),FALSE),0)
-
COUNTIF($AH36:$PN36,TabAsistencias[[#Headers],[V]])</f>
        <v>11</v>
      </c>
    </row>
    <row r="37" spans="1:475" x14ac:dyDescent="0.25">
      <c r="A37" s="92">
        <f t="shared" si="434"/>
        <v>7</v>
      </c>
      <c r="B37" s="30" t="str" cm="1">
        <f t="array" ref="B37">VLOOKUP(TabAsistencias[[#This Row],[ID]],TabEmpleados[],COLUMN(TabEmpleados[Nombre]),FALSE)</f>
        <v>GONZALEZ DURAN EDER</v>
      </c>
      <c r="C37" s="36" t="s">
        <v>139</v>
      </c>
      <c r="D37" s="36" t="s">
        <v>139</v>
      </c>
      <c r="E37" s="36" t="s">
        <v>139</v>
      </c>
      <c r="F37" s="36" t="s">
        <v>139</v>
      </c>
      <c r="G37" s="36" t="s">
        <v>139</v>
      </c>
      <c r="H37" s="36" t="s">
        <v>139</v>
      </c>
      <c r="I37" s="36" t="s">
        <v>139</v>
      </c>
      <c r="J37" s="36" t="s">
        <v>139</v>
      </c>
      <c r="K37" s="36" t="s">
        <v>139</v>
      </c>
      <c r="L37" s="36" t="s">
        <v>139</v>
      </c>
      <c r="M37" s="36" t="s">
        <v>139</v>
      </c>
      <c r="N37" s="36" t="s">
        <v>139</v>
      </c>
      <c r="O37" s="36" t="s">
        <v>139</v>
      </c>
      <c r="P37" s="36" t="s">
        <v>139</v>
      </c>
      <c r="Q37" s="36" t="s">
        <v>139</v>
      </c>
      <c r="R37" s="36" t="s">
        <v>139</v>
      </c>
      <c r="S37" s="36" t="s">
        <v>139</v>
      </c>
      <c r="T37" s="36" t="s">
        <v>139</v>
      </c>
      <c r="U37" s="36" t="s">
        <v>139</v>
      </c>
      <c r="V37" s="36" t="s">
        <v>139</v>
      </c>
      <c r="W37" s="36" t="s">
        <v>139</v>
      </c>
      <c r="X37" s="36" t="s">
        <v>139</v>
      </c>
      <c r="Y37" s="36" t="s">
        <v>139</v>
      </c>
      <c r="Z37" s="36" t="s">
        <v>139</v>
      </c>
      <c r="AA37" s="36" t="s">
        <v>139</v>
      </c>
      <c r="AB37" s="36" t="s">
        <v>139</v>
      </c>
      <c r="AC37" s="36" t="s">
        <v>139</v>
      </c>
      <c r="AD37" s="36" t="s">
        <v>139</v>
      </c>
      <c r="AE37" s="36" t="s">
        <v>139</v>
      </c>
      <c r="AF37" s="36" t="s">
        <v>139</v>
      </c>
      <c r="AG37" s="36" t="s">
        <v>139</v>
      </c>
      <c r="AH37" s="36" t="s">
        <v>139</v>
      </c>
      <c r="AI37" s="36" t="s">
        <v>139</v>
      </c>
      <c r="AJ37" s="36" t="s">
        <v>139</v>
      </c>
      <c r="AK37" s="36" t="s">
        <v>139</v>
      </c>
      <c r="AL37" s="36" t="s">
        <v>139</v>
      </c>
      <c r="AM37" s="36" t="s">
        <v>139</v>
      </c>
      <c r="AN37" s="36" t="s">
        <v>139</v>
      </c>
      <c r="AO37" s="36" t="s">
        <v>139</v>
      </c>
      <c r="AP37" s="36" t="s">
        <v>139</v>
      </c>
      <c r="AQ37" s="36" t="s">
        <v>139</v>
      </c>
      <c r="AR37" s="36" t="s">
        <v>139</v>
      </c>
      <c r="AS37" s="36" t="s">
        <v>139</v>
      </c>
      <c r="AT37" s="36" t="s">
        <v>139</v>
      </c>
      <c r="AU37" s="36" t="s">
        <v>139</v>
      </c>
      <c r="AV37" s="36" t="s">
        <v>139</v>
      </c>
      <c r="AW37" s="36" t="s">
        <v>139</v>
      </c>
      <c r="AX37" s="36" t="s">
        <v>139</v>
      </c>
      <c r="AY37" s="36" t="s">
        <v>139</v>
      </c>
      <c r="AZ37" s="36" t="s">
        <v>139</v>
      </c>
      <c r="BA37" s="36" t="s">
        <v>139</v>
      </c>
      <c r="BB37" s="36" t="s">
        <v>139</v>
      </c>
      <c r="BC37" s="36" t="s">
        <v>139</v>
      </c>
      <c r="BD37" s="36" t="s">
        <v>139</v>
      </c>
      <c r="BE37" s="36" t="s">
        <v>139</v>
      </c>
      <c r="BF37" s="36" t="s">
        <v>139</v>
      </c>
      <c r="BG37" s="36" t="s">
        <v>139</v>
      </c>
      <c r="BH37" s="36" t="s">
        <v>139</v>
      </c>
      <c r="BI37" s="36" t="s">
        <v>139</v>
      </c>
      <c r="BJ37" s="36" t="s">
        <v>139</v>
      </c>
      <c r="BK37" s="36" t="s">
        <v>139</v>
      </c>
      <c r="BL37" s="36" t="s">
        <v>139</v>
      </c>
      <c r="BM37" s="36" t="s">
        <v>139</v>
      </c>
      <c r="BN37" s="36" t="s">
        <v>139</v>
      </c>
      <c r="BO37" s="36" t="s">
        <v>139</v>
      </c>
      <c r="BP37" s="36" t="s">
        <v>139</v>
      </c>
      <c r="BQ37" s="36" t="s">
        <v>139</v>
      </c>
      <c r="BR37" s="36" t="s">
        <v>139</v>
      </c>
      <c r="BS37" s="36" t="s">
        <v>139</v>
      </c>
      <c r="BT37" s="36" t="s">
        <v>139</v>
      </c>
      <c r="BU37" s="36" t="s">
        <v>139</v>
      </c>
      <c r="BV37" s="36" t="s">
        <v>139</v>
      </c>
      <c r="BW37" s="36" t="s">
        <v>139</v>
      </c>
      <c r="BX37" s="36" t="s">
        <v>139</v>
      </c>
      <c r="BY37" s="36" t="s">
        <v>139</v>
      </c>
      <c r="BZ37" s="36" t="s">
        <v>139</v>
      </c>
      <c r="CA37" s="36" t="s">
        <v>139</v>
      </c>
      <c r="CB37" s="36" t="s">
        <v>139</v>
      </c>
      <c r="CC37" s="36" t="s">
        <v>139</v>
      </c>
      <c r="CD37" s="36" t="s">
        <v>139</v>
      </c>
      <c r="CE37" s="36" t="s">
        <v>139</v>
      </c>
      <c r="CF37" s="36" t="s">
        <v>139</v>
      </c>
      <c r="CG37" s="36" t="s">
        <v>139</v>
      </c>
      <c r="CH37" s="36" t="s">
        <v>139</v>
      </c>
      <c r="CI37" s="36" t="s">
        <v>139</v>
      </c>
      <c r="CJ37" s="36" t="s">
        <v>139</v>
      </c>
      <c r="CK37" s="36" t="s">
        <v>139</v>
      </c>
      <c r="CL37" s="36" t="s">
        <v>139</v>
      </c>
      <c r="CM37" s="36" t="s">
        <v>139</v>
      </c>
      <c r="CN37" s="36" t="s">
        <v>139</v>
      </c>
      <c r="CO37" s="36" t="s">
        <v>139</v>
      </c>
      <c r="CP37" s="36" t="s">
        <v>139</v>
      </c>
      <c r="CQ37" s="36" t="s">
        <v>139</v>
      </c>
      <c r="CR37" s="36" t="s">
        <v>139</v>
      </c>
      <c r="CS37" s="36" t="s">
        <v>139</v>
      </c>
      <c r="CT37" s="36" t="s">
        <v>139</v>
      </c>
      <c r="CU37" s="36" t="s">
        <v>139</v>
      </c>
      <c r="CV37" s="36" t="s">
        <v>139</v>
      </c>
      <c r="CW37" s="36" t="s">
        <v>139</v>
      </c>
      <c r="CX37" s="36" t="s">
        <v>139</v>
      </c>
      <c r="CY37" s="36" t="s">
        <v>139</v>
      </c>
      <c r="CZ37" s="36" t="s">
        <v>139</v>
      </c>
      <c r="DA37" s="36" t="s">
        <v>139</v>
      </c>
      <c r="DB37" s="36" t="s">
        <v>139</v>
      </c>
      <c r="DC37" s="36" t="s">
        <v>139</v>
      </c>
      <c r="DD37" s="36" t="s">
        <v>139</v>
      </c>
      <c r="DE37" s="36" t="s">
        <v>139</v>
      </c>
      <c r="DF37" s="36" t="s">
        <v>139</v>
      </c>
      <c r="DG37" s="36" t="s">
        <v>139</v>
      </c>
      <c r="DH37" s="36" t="s">
        <v>139</v>
      </c>
      <c r="DI37" s="36" t="s">
        <v>139</v>
      </c>
      <c r="DJ37" s="36" t="s">
        <v>139</v>
      </c>
      <c r="DK37" s="36" t="s">
        <v>139</v>
      </c>
      <c r="DL37" s="36" t="s">
        <v>139</v>
      </c>
      <c r="DM37" s="36" t="s">
        <v>139</v>
      </c>
      <c r="DN37" s="36" t="s">
        <v>139</v>
      </c>
      <c r="DO37" s="36" t="s">
        <v>139</v>
      </c>
      <c r="DP37" s="36" t="s">
        <v>139</v>
      </c>
      <c r="DQ37" s="36" t="s">
        <v>139</v>
      </c>
      <c r="DR37" s="36" t="s">
        <v>139</v>
      </c>
      <c r="DS37" s="36" t="s">
        <v>139</v>
      </c>
      <c r="DT37" s="36" t="s">
        <v>139</v>
      </c>
      <c r="DU37" s="36" t="s">
        <v>139</v>
      </c>
      <c r="DV37" s="36" t="s">
        <v>139</v>
      </c>
      <c r="DW37" s="36" t="s">
        <v>139</v>
      </c>
      <c r="DX37" s="36" t="s">
        <v>139</v>
      </c>
      <c r="DY37" s="36" t="s">
        <v>139</v>
      </c>
      <c r="DZ37" s="36" t="s">
        <v>139</v>
      </c>
      <c r="EA37" s="36" t="s">
        <v>139</v>
      </c>
      <c r="EB37" s="36" t="s">
        <v>139</v>
      </c>
      <c r="EC37" s="36" t="s">
        <v>139</v>
      </c>
      <c r="ED37" s="36" t="s">
        <v>139</v>
      </c>
      <c r="EE37" s="36" t="s">
        <v>139</v>
      </c>
      <c r="EF37" s="36" t="s">
        <v>139</v>
      </c>
      <c r="EG37" s="36" t="s">
        <v>139</v>
      </c>
      <c r="EH37" s="36" t="s">
        <v>139</v>
      </c>
      <c r="EI37" s="36" t="s">
        <v>139</v>
      </c>
      <c r="EJ37" s="36" t="s">
        <v>139</v>
      </c>
      <c r="EK37" s="36" t="s">
        <v>139</v>
      </c>
      <c r="EL37" s="36" t="s">
        <v>139</v>
      </c>
      <c r="EM37" s="36" t="s">
        <v>139</v>
      </c>
      <c r="EN37" s="36" t="s">
        <v>139</v>
      </c>
      <c r="EO37" s="36" t="s">
        <v>139</v>
      </c>
      <c r="EP37" s="36" t="s">
        <v>139</v>
      </c>
      <c r="EQ37" s="36" t="s">
        <v>139</v>
      </c>
      <c r="ER37" s="36" t="s">
        <v>139</v>
      </c>
      <c r="ES37" s="36" t="s">
        <v>139</v>
      </c>
      <c r="ET37" s="36" t="s">
        <v>139</v>
      </c>
      <c r="EU37" s="36" t="s">
        <v>139</v>
      </c>
      <c r="EV37" s="36" t="s">
        <v>139</v>
      </c>
      <c r="EW37" s="36" t="s">
        <v>139</v>
      </c>
      <c r="EX37" s="36" t="s">
        <v>139</v>
      </c>
      <c r="EY37" s="36" t="s">
        <v>139</v>
      </c>
      <c r="EZ37" s="36" t="s">
        <v>139</v>
      </c>
      <c r="FA37" s="36" t="s">
        <v>139</v>
      </c>
      <c r="FB37" s="36" t="s">
        <v>139</v>
      </c>
      <c r="FC37" s="36" t="s">
        <v>139</v>
      </c>
      <c r="FD37" s="36" t="s">
        <v>139</v>
      </c>
      <c r="FE37" s="36" t="s">
        <v>139</v>
      </c>
      <c r="FF37" s="36" t="s">
        <v>139</v>
      </c>
      <c r="FG37" s="36" t="s">
        <v>139</v>
      </c>
      <c r="FH37" s="36" t="s">
        <v>139</v>
      </c>
      <c r="FI37" s="36" t="s">
        <v>139</v>
      </c>
      <c r="FJ37" s="36" t="s">
        <v>139</v>
      </c>
      <c r="FK37" s="36" t="s">
        <v>139</v>
      </c>
      <c r="FL37" s="36" t="s">
        <v>139</v>
      </c>
      <c r="FM37" s="36" t="s">
        <v>139</v>
      </c>
      <c r="FN37" s="36" t="s">
        <v>139</v>
      </c>
      <c r="FO37" s="36" t="s">
        <v>139</v>
      </c>
      <c r="FP37" s="36" t="s">
        <v>139</v>
      </c>
      <c r="FQ37" s="36" t="s">
        <v>139</v>
      </c>
      <c r="FR37" s="36" t="s">
        <v>139</v>
      </c>
      <c r="FS37" s="36" t="s">
        <v>139</v>
      </c>
      <c r="FT37" s="36" t="s">
        <v>139</v>
      </c>
      <c r="FU37" s="36" t="s">
        <v>139</v>
      </c>
      <c r="FV37" s="36" t="s">
        <v>139</v>
      </c>
      <c r="FW37" s="36" t="s">
        <v>139</v>
      </c>
      <c r="FX37" s="36" t="s">
        <v>139</v>
      </c>
      <c r="FY37" s="36" t="s">
        <v>139</v>
      </c>
      <c r="FZ37" s="36" t="s">
        <v>139</v>
      </c>
      <c r="GA37" s="36" t="s">
        <v>139</v>
      </c>
      <c r="GB37" s="36" t="s">
        <v>139</v>
      </c>
      <c r="GC37" s="36" t="s">
        <v>139</v>
      </c>
      <c r="GD37" s="36" t="s">
        <v>139</v>
      </c>
      <c r="GE37" s="36" t="s">
        <v>139</v>
      </c>
      <c r="GF37" s="36" t="s">
        <v>139</v>
      </c>
      <c r="GG37" s="36" t="s">
        <v>139</v>
      </c>
      <c r="GH37" s="36" t="s">
        <v>139</v>
      </c>
      <c r="GI37" s="36" t="s">
        <v>139</v>
      </c>
      <c r="GJ37" s="36" t="s">
        <v>139</v>
      </c>
      <c r="GK37" s="36" t="s">
        <v>139</v>
      </c>
      <c r="GL37" s="36" t="s">
        <v>139</v>
      </c>
      <c r="GM37" s="36" t="s">
        <v>139</v>
      </c>
      <c r="GN37" s="36" t="s">
        <v>139</v>
      </c>
      <c r="GO37" s="36" t="s">
        <v>139</v>
      </c>
      <c r="GP37" s="36" t="s">
        <v>139</v>
      </c>
      <c r="GQ37" s="36" t="s">
        <v>139</v>
      </c>
      <c r="GR37" s="36" t="s">
        <v>139</v>
      </c>
      <c r="GS37" s="36" t="s">
        <v>139</v>
      </c>
      <c r="GT37" s="36" t="s">
        <v>139</v>
      </c>
      <c r="GU37" s="36" t="s">
        <v>139</v>
      </c>
      <c r="GV37" s="36" t="s">
        <v>139</v>
      </c>
      <c r="GW37" s="36" t="s">
        <v>139</v>
      </c>
      <c r="GX37" s="36" t="s">
        <v>139</v>
      </c>
      <c r="GY37" s="36" t="s">
        <v>139</v>
      </c>
      <c r="GZ37" s="36" t="s">
        <v>139</v>
      </c>
      <c r="HA37" s="36" t="s">
        <v>139</v>
      </c>
      <c r="HB37" s="36" t="s">
        <v>139</v>
      </c>
      <c r="HC37" s="36" t="s">
        <v>139</v>
      </c>
      <c r="HD37" s="36" t="s">
        <v>139</v>
      </c>
      <c r="HE37" s="36" t="s">
        <v>139</v>
      </c>
      <c r="HF37" s="36" t="s">
        <v>139</v>
      </c>
      <c r="HG37" s="36" t="s">
        <v>139</v>
      </c>
      <c r="HH37" s="36" t="s">
        <v>139</v>
      </c>
      <c r="HI37" s="36" t="s">
        <v>139</v>
      </c>
      <c r="HJ37" s="36" t="s">
        <v>139</v>
      </c>
      <c r="HK37" s="36" t="s">
        <v>139</v>
      </c>
      <c r="HL37" s="36" t="s">
        <v>139</v>
      </c>
      <c r="HM37" s="36" t="s">
        <v>139</v>
      </c>
      <c r="HN37" s="36" t="s">
        <v>139</v>
      </c>
      <c r="HO37" s="36" t="s">
        <v>139</v>
      </c>
      <c r="HP37" s="36" t="s">
        <v>139</v>
      </c>
      <c r="HQ37" s="36" t="s">
        <v>139</v>
      </c>
      <c r="HR37" s="36" t="s">
        <v>139</v>
      </c>
      <c r="HS37" s="36" t="s">
        <v>139</v>
      </c>
      <c r="HT37" s="36" t="s">
        <v>139</v>
      </c>
      <c r="HU37" s="36" t="s">
        <v>139</v>
      </c>
      <c r="HV37" s="36" t="s">
        <v>139</v>
      </c>
      <c r="HW37" s="36" t="s">
        <v>139</v>
      </c>
      <c r="HX37" s="36" t="s">
        <v>139</v>
      </c>
      <c r="HY37" s="36" t="s">
        <v>139</v>
      </c>
      <c r="HZ37" s="36" t="s">
        <v>139</v>
      </c>
      <c r="IA37" s="36" t="s">
        <v>139</v>
      </c>
      <c r="IB37" s="36" t="s">
        <v>139</v>
      </c>
      <c r="IC37" s="36" t="s">
        <v>139</v>
      </c>
      <c r="ID37" s="36" t="s">
        <v>139</v>
      </c>
      <c r="IE37" s="36" t="s">
        <v>139</v>
      </c>
      <c r="IF37" s="36" t="s">
        <v>139</v>
      </c>
      <c r="IG37" s="36" t="s">
        <v>139</v>
      </c>
      <c r="IH37" s="36" t="s">
        <v>139</v>
      </c>
      <c r="II37" s="36" t="s">
        <v>139</v>
      </c>
      <c r="IJ37" s="36" t="s">
        <v>139</v>
      </c>
      <c r="IK37" s="36" t="s">
        <v>139</v>
      </c>
      <c r="IL37" s="36" t="s">
        <v>139</v>
      </c>
      <c r="IM37" s="36" t="s">
        <v>139</v>
      </c>
      <c r="IN37" s="36" t="s">
        <v>139</v>
      </c>
      <c r="IO37" s="36" t="s">
        <v>139</v>
      </c>
      <c r="IP37" s="36" t="s">
        <v>139</v>
      </c>
      <c r="IQ37" s="36" t="s">
        <v>139</v>
      </c>
      <c r="IR37" s="36" t="s">
        <v>139</v>
      </c>
      <c r="IS37" s="36" t="s">
        <v>139</v>
      </c>
      <c r="IT37" s="36" t="s">
        <v>139</v>
      </c>
      <c r="IU37" s="36" t="s">
        <v>139</v>
      </c>
      <c r="IV37" s="36" t="s">
        <v>139</v>
      </c>
      <c r="IW37" s="36" t="s">
        <v>139</v>
      </c>
      <c r="IX37" s="36" t="s">
        <v>139</v>
      </c>
      <c r="IY37" s="36" t="s">
        <v>139</v>
      </c>
      <c r="IZ37" s="36" t="s">
        <v>139</v>
      </c>
      <c r="JA37" s="36" t="s">
        <v>139</v>
      </c>
      <c r="JB37" s="36" t="s">
        <v>139</v>
      </c>
      <c r="JC37" s="36" t="s">
        <v>139</v>
      </c>
      <c r="JD37" s="36" t="s">
        <v>139</v>
      </c>
      <c r="JE37" s="36" t="s">
        <v>139</v>
      </c>
      <c r="JF37" s="36" t="s">
        <v>139</v>
      </c>
      <c r="JG37" s="36" t="s">
        <v>139</v>
      </c>
      <c r="JH37" s="36" t="s">
        <v>139</v>
      </c>
      <c r="JI37" s="36" t="s">
        <v>139</v>
      </c>
      <c r="JJ37" s="36" t="s">
        <v>139</v>
      </c>
      <c r="JK37" s="36" t="s">
        <v>139</v>
      </c>
      <c r="JL37" s="36" t="s">
        <v>139</v>
      </c>
      <c r="JM37" s="36" t="s">
        <v>139</v>
      </c>
      <c r="JN37" s="36" t="s">
        <v>139</v>
      </c>
      <c r="JO37" s="36" t="s">
        <v>139</v>
      </c>
      <c r="JP37" s="36" t="s">
        <v>139</v>
      </c>
      <c r="JQ37" s="36" t="s">
        <v>139</v>
      </c>
      <c r="JR37" s="36" t="s">
        <v>139</v>
      </c>
      <c r="JS37" s="36" t="s">
        <v>139</v>
      </c>
      <c r="JT37" s="36" t="s">
        <v>139</v>
      </c>
      <c r="JU37" s="36" t="s">
        <v>139</v>
      </c>
      <c r="JV37" s="36" t="s">
        <v>139</v>
      </c>
      <c r="JW37" s="36" t="s">
        <v>139</v>
      </c>
      <c r="JX37" s="36" t="s">
        <v>139</v>
      </c>
      <c r="JY37" s="36" t="s">
        <v>139</v>
      </c>
      <c r="JZ37" s="36" t="s">
        <v>139</v>
      </c>
      <c r="KA37" s="36" t="s">
        <v>139</v>
      </c>
      <c r="KB37" s="36" t="s">
        <v>139</v>
      </c>
      <c r="KC37" s="36" t="s">
        <v>139</v>
      </c>
      <c r="KD37" s="36" t="s">
        <v>139</v>
      </c>
      <c r="KE37" s="36" t="s">
        <v>139</v>
      </c>
      <c r="KF37" s="36" t="s">
        <v>139</v>
      </c>
      <c r="KG37" s="36" t="s">
        <v>139</v>
      </c>
      <c r="KH37" s="36" t="s">
        <v>139</v>
      </c>
      <c r="KI37" s="36" t="s">
        <v>139</v>
      </c>
      <c r="KJ37" s="36" t="s">
        <v>139</v>
      </c>
      <c r="KK37" s="36" t="s">
        <v>139</v>
      </c>
      <c r="KL37" s="36" t="s">
        <v>139</v>
      </c>
      <c r="KM37" s="36" t="s">
        <v>139</v>
      </c>
      <c r="KN37" s="36" t="s">
        <v>139</v>
      </c>
      <c r="KO37" s="36" t="s">
        <v>139</v>
      </c>
      <c r="KP37" s="36" t="s">
        <v>139</v>
      </c>
      <c r="KQ37" s="36" t="s">
        <v>139</v>
      </c>
      <c r="KR37" s="36" t="s">
        <v>139</v>
      </c>
      <c r="KS37" s="36" t="s">
        <v>139</v>
      </c>
      <c r="KT37" s="36" t="s">
        <v>139</v>
      </c>
      <c r="KU37" s="36" t="s">
        <v>139</v>
      </c>
      <c r="KV37" s="36" t="s">
        <v>139</v>
      </c>
      <c r="KW37" s="36" t="s">
        <v>139</v>
      </c>
      <c r="KX37" s="36" t="s">
        <v>139</v>
      </c>
      <c r="KY37" s="36" t="s">
        <v>139</v>
      </c>
      <c r="KZ37" s="36" t="s">
        <v>139</v>
      </c>
      <c r="LA37" s="36" t="s">
        <v>139</v>
      </c>
      <c r="LB37" s="36" t="s">
        <v>139</v>
      </c>
      <c r="LC37" s="36" t="s">
        <v>139</v>
      </c>
      <c r="LD37" s="36" t="s">
        <v>139</v>
      </c>
      <c r="LE37" s="36" t="s">
        <v>139</v>
      </c>
      <c r="LF37" s="36" t="s">
        <v>139</v>
      </c>
      <c r="LG37" s="36" t="s">
        <v>139</v>
      </c>
      <c r="LH37" s="36" t="s">
        <v>139</v>
      </c>
      <c r="LI37" s="36" t="s">
        <v>139</v>
      </c>
      <c r="LJ37" s="36" t="s">
        <v>139</v>
      </c>
      <c r="LK37" s="36" t="s">
        <v>139</v>
      </c>
      <c r="LL37" s="36" t="s">
        <v>139</v>
      </c>
      <c r="LM37" s="36" t="s">
        <v>139</v>
      </c>
      <c r="LN37" s="36" t="s">
        <v>139</v>
      </c>
      <c r="LO37" s="36" t="s">
        <v>139</v>
      </c>
      <c r="LP37" s="36" t="s">
        <v>139</v>
      </c>
      <c r="LQ37" s="36" t="s">
        <v>139</v>
      </c>
      <c r="LR37" s="36" t="s">
        <v>139</v>
      </c>
      <c r="LS37" s="36" t="s">
        <v>139</v>
      </c>
      <c r="LT37" s="36" t="s">
        <v>139</v>
      </c>
      <c r="LU37" s="36" t="s">
        <v>139</v>
      </c>
      <c r="LV37" s="36" t="s">
        <v>139</v>
      </c>
      <c r="LW37" s="36" t="s">
        <v>139</v>
      </c>
      <c r="LX37" s="36" t="s">
        <v>139</v>
      </c>
      <c r="LY37" s="36" t="s">
        <v>139</v>
      </c>
      <c r="LZ37" s="36" t="s">
        <v>139</v>
      </c>
      <c r="MA37" s="36" t="s">
        <v>139</v>
      </c>
      <c r="MB37" s="36" t="s">
        <v>139</v>
      </c>
      <c r="MC37" s="36" t="s">
        <v>139</v>
      </c>
      <c r="MD37" s="36" t="s">
        <v>139</v>
      </c>
      <c r="ME37" s="36" t="s">
        <v>139</v>
      </c>
      <c r="MF37" s="36" t="s">
        <v>139</v>
      </c>
      <c r="MG37" s="36" t="s">
        <v>139</v>
      </c>
      <c r="MH37" s="36" t="s">
        <v>139</v>
      </c>
      <c r="MI37" s="36" t="s">
        <v>139</v>
      </c>
      <c r="MJ37" s="36" t="s">
        <v>139</v>
      </c>
      <c r="MK37" s="36" t="s">
        <v>139</v>
      </c>
      <c r="ML37" s="36" t="s">
        <v>139</v>
      </c>
      <c r="MM37" s="36" t="s">
        <v>139</v>
      </c>
      <c r="MN37" s="36" t="s">
        <v>139</v>
      </c>
      <c r="MO37" s="36" t="s">
        <v>139</v>
      </c>
      <c r="MP37" s="36" t="s">
        <v>139</v>
      </c>
      <c r="MQ37" s="36" t="s">
        <v>139</v>
      </c>
      <c r="MR37" s="36" t="s">
        <v>139</v>
      </c>
      <c r="MS37" s="36" t="s">
        <v>139</v>
      </c>
      <c r="MT37" s="36" t="s">
        <v>139</v>
      </c>
      <c r="MU37" s="36" t="s">
        <v>139</v>
      </c>
      <c r="MV37" s="36" t="s">
        <v>139</v>
      </c>
      <c r="MW37" s="36" t="s">
        <v>139</v>
      </c>
      <c r="MX37" s="36" t="s">
        <v>139</v>
      </c>
      <c r="MY37" s="36" t="s">
        <v>139</v>
      </c>
      <c r="MZ37" s="36" t="s">
        <v>139</v>
      </c>
      <c r="NA37" s="36" t="s">
        <v>139</v>
      </c>
      <c r="NB37" s="36" t="s">
        <v>139</v>
      </c>
      <c r="NC37" s="36" t="s">
        <v>139</v>
      </c>
      <c r="ND37" s="36" t="s">
        <v>139</v>
      </c>
      <c r="NE37" s="36" t="s">
        <v>139</v>
      </c>
      <c r="NF37" s="36" t="s">
        <v>139</v>
      </c>
      <c r="NG37" s="36" t="s">
        <v>139</v>
      </c>
      <c r="NH37" s="36" t="s">
        <v>139</v>
      </c>
      <c r="NI37" s="36" t="s">
        <v>139</v>
      </c>
      <c r="NJ37" s="36" t="s">
        <v>139</v>
      </c>
      <c r="NK37" s="36" t="s">
        <v>139</v>
      </c>
      <c r="NL37" s="36" t="s">
        <v>139</v>
      </c>
      <c r="NM37" s="36" t="s">
        <v>139</v>
      </c>
      <c r="NN37" s="36" t="s">
        <v>139</v>
      </c>
      <c r="NO37" s="36" t="s">
        <v>139</v>
      </c>
      <c r="NP37" s="36" t="s">
        <v>139</v>
      </c>
      <c r="NQ37" s="36" t="s">
        <v>139</v>
      </c>
      <c r="NR37" s="36" t="s">
        <v>139</v>
      </c>
      <c r="NS37" s="36" t="s">
        <v>139</v>
      </c>
      <c r="NT37" s="36" t="s">
        <v>139</v>
      </c>
      <c r="NU37" s="36" t="s">
        <v>139</v>
      </c>
      <c r="NV37" s="36" t="s">
        <v>139</v>
      </c>
      <c r="NW37" s="36" t="s">
        <v>139</v>
      </c>
      <c r="NX37" s="36" t="s">
        <v>139</v>
      </c>
      <c r="NY37" s="36" t="s">
        <v>139</v>
      </c>
      <c r="NZ37" s="36" t="s">
        <v>139</v>
      </c>
      <c r="OA37" s="36" t="s">
        <v>139</v>
      </c>
      <c r="OB37" s="36" t="s">
        <v>139</v>
      </c>
      <c r="OC37" s="36" t="s">
        <v>139</v>
      </c>
      <c r="OD37" s="36" t="s">
        <v>139</v>
      </c>
      <c r="OE37" s="36" t="s">
        <v>139</v>
      </c>
      <c r="OF37" s="36" t="s">
        <v>139</v>
      </c>
      <c r="OG37" s="36" t="s">
        <v>139</v>
      </c>
      <c r="OH37" s="36" t="s">
        <v>139</v>
      </c>
      <c r="OI37" s="36" t="s">
        <v>139</v>
      </c>
      <c r="OJ37" s="36" t="s">
        <v>139</v>
      </c>
      <c r="OK37" s="36" t="s">
        <v>139</v>
      </c>
      <c r="OL37" s="36" t="s">
        <v>139</v>
      </c>
      <c r="OM37" s="36" t="s">
        <v>139</v>
      </c>
      <c r="ON37" s="36" t="s">
        <v>139</v>
      </c>
      <c r="OO37" s="36" t="s">
        <v>139</v>
      </c>
      <c r="OP37" s="36" t="s">
        <v>139</v>
      </c>
      <c r="OQ37" s="36" t="s">
        <v>139</v>
      </c>
      <c r="OR37" s="36" t="s">
        <v>139</v>
      </c>
      <c r="OS37" s="36" t="s">
        <v>139</v>
      </c>
      <c r="OT37" s="36" t="s">
        <v>139</v>
      </c>
      <c r="OU37" s="36" t="s">
        <v>139</v>
      </c>
      <c r="OV37" s="36" t="s">
        <v>139</v>
      </c>
      <c r="OW37" s="36" t="s">
        <v>139</v>
      </c>
      <c r="OX37" s="36" t="s">
        <v>139</v>
      </c>
      <c r="OY37" s="36" t="s">
        <v>139</v>
      </c>
      <c r="OZ37" s="36" t="s">
        <v>139</v>
      </c>
      <c r="PA37" s="36" t="s">
        <v>139</v>
      </c>
      <c r="PB37" s="36" t="s">
        <v>139</v>
      </c>
      <c r="PC37" s="36" t="s">
        <v>139</v>
      </c>
      <c r="PD37" s="36" t="s">
        <v>139</v>
      </c>
      <c r="PE37" s="36" t="s">
        <v>139</v>
      </c>
      <c r="PF37" s="36" t="s">
        <v>139</v>
      </c>
      <c r="PG37" s="36" t="s">
        <v>139</v>
      </c>
      <c r="PH37" s="36" t="s">
        <v>139</v>
      </c>
      <c r="PI37" s="36" t="s">
        <v>139</v>
      </c>
      <c r="PJ37" s="36" t="s">
        <v>139</v>
      </c>
      <c r="PK37" s="36" t="s">
        <v>139</v>
      </c>
      <c r="PL37" s="36" t="s">
        <v>139</v>
      </c>
      <c r="PM37" s="36" t="s">
        <v>139</v>
      </c>
      <c r="PN37" s="36" t="s">
        <v>139</v>
      </c>
      <c r="PO37" s="74">
        <f>COUNTIFS($C$27:$PN$27,("&lt;"&amp;$B$3),$C$27:$PN$27,("&gt;="&amp;$B$2),$C37:$PN37,TabAsistencias[[#Headers],[1]])</f>
        <v>30</v>
      </c>
      <c r="PP37" s="74">
        <f>COUNTIFS($C$27:$PN$27,("&lt;"&amp;$B$3),$C$27:$PN$27,("&gt;="&amp;$B$2),$C37:$PN37,TabAsistencias[[#Headers],[E]])</f>
        <v>0</v>
      </c>
      <c r="PQ37" s="74">
        <f>COUNTIFS($C$27:$PN$27,("&lt;"&amp;$B$3),$C$27:$PN$27,("&gt;="&amp;$B$2),$C37:$PN37,TabAsistencias[[#Headers],[DE]])</f>
        <v>0</v>
      </c>
      <c r="PR37" s="74">
        <f>COUNTIFS($C$27:$PN$27,("&lt;"&amp;$B$3),$C$27:$PN$27,("&gt;="&amp;$B$2),$C37:$PN37,TabAsistencias[[#Headers],[V]])</f>
        <v>0</v>
      </c>
      <c r="PS37" s="74">
        <f>COUNTIFS($C$27:$PN$27,("&lt;"&amp;$B$3),$C$27:$PN$27,("&gt;="&amp;$B$2),$C37:$PN37,TabAsistencias[[#Headers],[DO]])</f>
        <v>0</v>
      </c>
      <c r="PT37" s="74">
        <f>COUNTIFS($C$27:$PN$27,("&lt;"&amp;$B$3),$C$27:$PN$27,("&gt;="&amp;$B$2),$C37:$PN37,TabAsistencias[[#Headers],[P]])</f>
        <v>0</v>
      </c>
      <c r="PU37" s="74">
        <f>COUNTIFS($C$27:$PN$27,("&lt;"&amp;$B$3),$C$27:$PN$27,("&gt;="&amp;$B$2),$C37:$PN37,TabAsistencias[[#Headers],[F]])</f>
        <v>0</v>
      </c>
      <c r="PV37" s="74">
        <f>COUNTIFS($C$27:$PN$27,("&lt;"&amp;$B$3),$C$27:$PN$27,("&gt;="&amp;$B$2),$C37:$PN37,TabAsistencias[[#Headers],[R]])</f>
        <v>0</v>
      </c>
      <c r="PW37" s="74">
        <f>COUNTIFS($C$27:$PN$27,("&lt;"&amp;$B$3),$C$27:$PN$27,("&gt;="&amp;$B$2),$C37:$PN37,TabAsistencias[[#Headers],[PP]])</f>
        <v>0</v>
      </c>
      <c r="PX37" s="74">
        <f>COUNTIFS($C$27:$PN$27,("&lt;"&amp;$B$3),$C$27:$PN$27,("&gt;="&amp;$B$2),$C37:$PN37,TabAsistencias[[#Headers],[0]])</f>
        <v>0</v>
      </c>
      <c r="PY37" s="74">
        <f>COUNTIFS($C$27:$PN$27,("&lt;"&amp;$B$3),$C$27:$PN$27,("&gt;="&amp;$B$2),$C37:$PN37,TabAsistencias[[#Headers],[IG]])</f>
        <v>0</v>
      </c>
      <c r="PZ37" s="74">
        <f>COUNTIFS($C$27:$PN$27,("&lt;"&amp;$B$3),$C$27:$PN$27,("&gt;="&amp;$B$2),$C37:$PN37,TabAsistencias[[#Headers],[NA]])</f>
        <v>0</v>
      </c>
      <c r="QA37" s="74">
        <f>COUNTIFS($C$27:$PN$27,("&lt;"&amp;$B$3),$C$27:$PN$27,("&gt;="&amp;$B$2),$C37:$PN37,TabAsistencias[[#Headers],[DF]])</f>
        <v>0</v>
      </c>
      <c r="QB37" s="74">
        <f>COUNTIFS($C$27:$PN$27,("&lt;"&amp;$B$3),$C$27:$PN$27,("&gt;="&amp;$B$2),$C37:$PN37,TabAsistencias[[#Headers],[3]])</f>
        <v>0</v>
      </c>
      <c r="QC37" s="74">
        <f>COUNTIFS($C$27:$PN$27,("&lt;"&amp;$B$3),$C$27:$PN$27,("&gt;="&amp;$B$2),$C37:$PN37,TabAsistencias[[#Headers],[CP]])</f>
        <v>0</v>
      </c>
      <c r="QD37" s="74">
        <f>COUNTIFS($C$27:$PN$27,("&lt;"&amp;$B$3),$C$27:$PN$27,("&gt;="&amp;$B$2),$C37:$PN37,TabAsistencias[[#Headers],[I]])</f>
        <v>0</v>
      </c>
      <c r="QE37" s="74">
        <f>COUNTIFS($C$27:$PN$27,("&lt;"&amp;$B$3),$C$27:$PN$27,("&gt;="&amp;$B$2),$C37:$PN37,TabAsistencias[[#Headers],[T/2]])</f>
        <v>0</v>
      </c>
      <c r="QF37" s="74">
        <f>COUNTIFS($C$27:$PN$27,("&lt;"&amp;$B$3),$C$27:$PN$27,("&gt;="&amp;$B$2),$C37:$PN37,TabAsistencias[[#Headers],[ME]])</f>
        <v>0</v>
      </c>
      <c r="QG37" s="74">
        <f>COUNTIFS($C$27:$PN$27,("&lt;"&amp;$B$3),$C$27:$PN$27,("&gt;="&amp;$B$2),$C37:$PN37,TabAsistencias[[#Headers],[DP]])</f>
        <v>0</v>
      </c>
      <c r="QH37" s="74">
        <f>COUNTIFS($C$27:$PN$27,("&lt;"&amp;$B$3),$C$27:$PN$27,("&gt;="&amp;$B$2),$C37:$PN37,TabAsistencias[[#Headers],[B]])</f>
        <v>0</v>
      </c>
      <c r="QI37" s="74">
        <f>(TabAsistencias[[#This Row],[1]]*'Tablas de informacion'!$C$124)+(TabAsistencias[[#This Row],[E]]*'Tablas de informacion'!$C$125)+(TabAsistencias[[#This Row],[DE]]*'Tablas de informacion'!C$126)+(TabAsistencias[[#This Row],[V]]*'Tablas de informacion'!C$127)+(TabAsistencias[[#This Row],[DO]]*'Tablas de informacion'!C$128)+(TabAsistencias[[#This Row],[P]]*'Tablas de informacion'!C$129)+(TabAsistencias[[#This Row],[F]]*'Tablas de informacion'!C$130)+(TabAsistencias[[#This Row],[R]]*'Tablas de informacion'!C$131)+(TabAsistencias[[#This Row],[PP]]*'Tablas de informacion'!C$132)+(TabAsistencias[[#This Row],[0]]*'Tablas de informacion'!C$133)+(TabAsistencias[[#This Row],[IG]]*'Tablas de informacion'!C$134)+(TabAsistencias[[#This Row],[NA]]*'Tablas de informacion'!C$135)+(TabAsistencias[[#This Row],[DF]]*'Tablas de informacion'!C$136)+(TabAsistencias[[#This Row],[3]]*'Tablas de informacion'!C$137)+(TabAsistencias[[#This Row],[CP]]*'Tablas de informacion'!C$138)+(TabAsistencias[[#This Row],[I]]*'Tablas de informacion'!C$139)+(TabAsistencias[[#This Row],[T/2]]*'Tablas de informacion'!C$140)+(TabAsistencias[[#This Row],[ME]]*'Tablas de informacion'!C$141)+(TabAsistencias[[#This Row],[DP]]*'Tablas de informacion'!C$142)+(TabAsistencias[[#This Row],[B]]*'Tablas de informacion'!C$143)-INT(TabAsistencias[[#This Row],[R]]/3)</f>
        <v>30</v>
      </c>
      <c r="QJ37" s="74">
        <f>COUNTIFS($C$27:$PN$27,("&lt;"&amp;$B$3),$C$27:$PN$27,("&gt;="&amp;$B$2),$C$28:$PN$28,1,$C37:$PN37,TabAsistencias[[#Headers],[1]])+
COUNTIFS($C$27:$PN$27,("&lt;"&amp;$B$3),$C$27:$PN$27,("&gt;="&amp;$B$2),$C$28:$PN$28,1,$C37:$PN37,TabAsistencias[[#Headers],[DO]])+
COUNTIFS($C$27:$PN$27,("&lt;"&amp;$B$3),$C$27:$PN$27,("&gt;="&amp;$B$2),$C$28:$PN$28,1,$C37:$PN37,TabAsistencias[[#Headers],[R]])+
COUNTIFS($C$27:$PN$27,("&lt;"&amp;$B$3),$C$27:$PN$27,("&gt;="&amp;$B$2),$C$28:$PN$28,1,$C37:$PN37,TabAsistencias[[#Headers],[NA]])+
COUNTIFS($C$27:$PN$27,("&lt;"&amp;$B$3),$C$27:$PN$27,("&gt;="&amp;$B$2),$C$28:$PN$28,1,$C37:$PN37,TabAsistencias[[#Headers],[DF]])+
COUNTIFS($C$27:$PN$27,("&lt;"&amp;$B$3),$C$27:$PN$27,("&gt;="&amp;$B$2),$C$28:$PN$28,1,$C37:$PN37,TabAsistencias[[#Headers],[3]])+
COUNTIFS($C$27:$PN$27,("&lt;"&amp;$B$3),$C$27:$PN$27,("&gt;="&amp;$B$2),$C$28:$PN$28,1,$C37:$PN37,TabAsistencias[[#Headers],[CP]])+
COUNTIFS($C$27:$PN$27,("&lt;"&amp;$B$3),$C$27:$PN$27,("&gt;="&amp;$B$2),$C$28:$PN$28,1,$C37:$PN37,TabAsistencias[[#Headers],[T/2]])</f>
        <v>4</v>
      </c>
      <c r="QK37" s="315" cm="1">
        <f t="array" ref="QK37">IFERROR(VLOOKUP(
DATEDIF((VLOOKUP(TabAsistencias[[#This Row],[ID]],TabEmpleados[],COLUMN(TabEmpleados[Fecha de ingreso]),FALSE)),Asistencias!$B$3,"Y"),
TabFactorIntegracion[],COLUMN(TabFactorIntegracion[Días vacacionales
establecidos por ley]),FALSE),0)
-
COUNTIF($AH37:$PN37,TabAsistencias[[#Headers],[V]])</f>
        <v>12</v>
      </c>
      <c r="QL37" s="319">
        <f>SUM(TabAsistencias[[#This Row],[''1]],TabAsistencias[[#This Row],[''DE]],TabAsistencias[[#This Row],[''DO]],TabAsistencias[[#This Row],[''R]],TabAsistencias[[#This Row],[''NA]],TabAsistencias[[#This Row],[''DF]],TabAsistencias[[#This Row],[''3]],TabAsistencias[[#This Row],[''CP]],TabAsistencias[[#This Row],[''T/2]],TabAsistencias[[#This Row],[''DP]])</f>
        <v>73</v>
      </c>
      <c r="QM37" s="314">
        <f>COUNTIFS($C$27:$PN$27,("&lt;"&amp;$B$5),$C$27:$PN$27,("&gt;="&amp;$B$4),$C37:$PN37,TabAsistencias[[#Headers],[1]])</f>
        <v>73</v>
      </c>
      <c r="QN37" s="314">
        <f>COUNTIFS($C$27:$PN$27,("&lt;"&amp;$B$5),$C$27:$PN$27,("&gt;="&amp;$B$4),$C37:$PN37,TabAsistencias[[#Headers],[DE]])</f>
        <v>0</v>
      </c>
      <c r="QO37" s="314">
        <f>COUNTIFS($C$27:$PN$27,("&lt;"&amp;$B$5),$C$27:$PN$27,("&gt;="&amp;$B$4),$C37:$PN37,TabAsistencias[[#Headers],[V]])</f>
        <v>0</v>
      </c>
      <c r="QP37" s="314">
        <f>COUNTIFS($C$27:$PN$27,("&lt;"&amp;$B$5),$C$27:$PN$27,("&gt;="&amp;$B$4),$C37:$PN37,TabAsistencias[[#Headers],[DO]])</f>
        <v>0</v>
      </c>
      <c r="QQ37" s="314">
        <f>COUNTIFS($C$27:$PN$27,("&lt;"&amp;$B$5),$C$27:$PN$27,("&gt;="&amp;$B$4),$C37:$PN37,TabAsistencias[[#Headers],[P]])</f>
        <v>0</v>
      </c>
      <c r="QR37" s="314">
        <f>COUNTIFS($C$27:$PN$27,("&lt;"&amp;$B$5),$C$27:$PN$27,("&gt;="&amp;$B$4),$C37:$PN37,TabAsistencias[[#Headers],[F]])</f>
        <v>0</v>
      </c>
      <c r="QS37" s="314">
        <f>COUNTIFS($C$27:$PN$27,("&lt;"&amp;$B$5),$C$27:$PN$27,("&gt;="&amp;$B$4),$C37:$PN37,TabAsistencias[[#Headers],[R]])</f>
        <v>0</v>
      </c>
      <c r="QT37" s="314">
        <f>COUNTIFS($C$27:$PN$27,("&lt;"&amp;$B$5),$C$27:$PN$27,("&gt;="&amp;$B$4),$C37:$PN37,TabAsistencias[[#Headers],[PP]])</f>
        <v>0</v>
      </c>
      <c r="QU37" s="314">
        <f>COUNTIFS($C$27:$PN$27,("&lt;"&amp;$B$5),$C$27:$PN$27,("&gt;="&amp;$B$4),$C37:$PN37,TabAsistencias[[#Headers],[0]])</f>
        <v>0</v>
      </c>
      <c r="QV37" s="314">
        <f>COUNTIFS($C$27:$PN$27,("&lt;"&amp;$B$5),$C$27:$PN$27,("&gt;="&amp;$B$4),$C37:$PN37,TabAsistencias[[#Headers],[IG]])</f>
        <v>0</v>
      </c>
      <c r="QW37" s="314">
        <f>COUNTIFS($C$27:$PN$27,("&lt;"&amp;$B$5),$C$27:$PN$27,("&gt;="&amp;$B$4),$C37:$PN37,TabAsistencias[[#Headers],[NA]])</f>
        <v>0</v>
      </c>
      <c r="QX37" s="314">
        <f>COUNTIFS($C$27:$PN$27,("&lt;"&amp;$B$5),$C$27:$PN$27,("&gt;="&amp;$B$4),$C37:$PN37,TabAsistencias[[#Headers],[DF]])</f>
        <v>0</v>
      </c>
      <c r="QY37" s="314">
        <f>COUNTIFS($C$27:$PN$27,("&lt;"&amp;$B$5),$C$27:$PN$27,("&gt;="&amp;$B$4),$C37:$PN37,TabAsistencias[[#Headers],[3]])</f>
        <v>0</v>
      </c>
      <c r="QZ37" s="314">
        <f>COUNTIFS($C$27:$PN$27,("&lt;"&amp;$B$5),$C$27:$PN$27,("&gt;="&amp;$B$4),$C37:$PN37,TabAsistencias[[#Headers],[CP]])</f>
        <v>0</v>
      </c>
      <c r="RA37" s="314">
        <f>COUNTIFS($C$27:$PN$27,("&lt;"&amp;$B$5),$C$27:$PN$27,("&gt;="&amp;$B$4),$C37:$PN37,TabAsistencias[[#Headers],[I]])</f>
        <v>0</v>
      </c>
      <c r="RB37" s="314">
        <f>COUNTIFS($C$27:$PN$27,("&lt;"&amp;$B$5),$C$27:$PN$27,("&gt;="&amp;$B$4),$C37:$PN37,TabAsistencias[[#Headers],[T/2]])</f>
        <v>0</v>
      </c>
      <c r="RC37" s="314">
        <f>COUNTIFS($C$27:$PN$27,("&lt;"&amp;$B$5),$C$27:$PN$27,("&gt;="&amp;$B$4),$C37:$PN37,TabAsistencias[[#Headers],[ME]])</f>
        <v>0</v>
      </c>
      <c r="RD37" s="314">
        <f>COUNTIFS($C$27:$PN$27,("&lt;"&amp;$B$5),$C$27:$PN$27,("&gt;="&amp;$B$4),$C37:$PN37,TabAsistencias[[#Headers],[DP]])</f>
        <v>0</v>
      </c>
      <c r="RE37" s="314">
        <f>COUNTIFS($C$27:$PN$27,("&lt;"&amp;$B$5),$C$27:$PN$27,("&gt;="&amp;$B$4),$C37:$PN37,TabAsistencias[[#Headers],[B]])</f>
        <v>0</v>
      </c>
      <c r="RF37" s="314">
        <f>COUNTIFS($C$27:$PN$27,("&lt;"&amp;$B$5),$C$27:$PN$27,("&gt;="&amp;$B$4),$C$28:$PN$28,1,$C37:$PN37,TabAsistencias[[#Headers],[1]])+
COUNTIFS($C$27:$PN$27,("&lt;"&amp;$B$5),$C$27:$PN$27,("&gt;="&amp;$B$4),$C$28:$PN$28,1,$C37:$PN37,TabAsistencias[[#Headers],[DO]])+
COUNTIFS($C$27:$PN$27,("&lt;"&amp;$B$5),$C$27:$PN$27,("&gt;="&amp;$B$4),$C$28:$PN$28,1,$C37:$PN37,TabAsistencias[[#Headers],[R]])+
COUNTIFS($C$27:$PN$27,("&lt;"&amp;$B$5),$C$27:$PN$27,("&gt;="&amp;$B$4),$C$28:$PN$28,1,$C37:$PN37,TabAsistencias[[#Headers],[NA]])+
COUNTIFS($C$27:$PN$27,("&lt;"&amp;$B$5),$C$27:$PN$27,("&gt;="&amp;$B$4),$C$28:$PN$28,1,$C37:$PN37,TabAsistencias[[#Headers],[DF]])+
COUNTIFS($C$27:$PN$27,("&lt;"&amp;$B$5),$C$27:$PN$27,("&gt;="&amp;$B$4),$C$28:$PN$28,1,$C37:$PN37,TabAsistencias[[#Headers],[3]])+
COUNTIFS($C$27:$PN$27,("&lt;"&amp;$B$5),$C$27:$PN$27,("&gt;="&amp;$B$4),$C$28:$PN$28,1,$C37:$PN37,TabAsistencias[[#Headers],[CP]])+
COUNTIFS($C$27:$PN$27,("&lt;"&amp;$B$5),$C$27:$PN$27,("&gt;="&amp;$B$4),$C$28:$PN$28,1,$C37:$PN37,TabAsistencias[[#Headers],[T/2]])</f>
        <v>11</v>
      </c>
      <c r="RG37" s="320" cm="1">
        <f t="array" ref="RG37">IFERROR(VLOOKUP(
DATEDIF((VLOOKUP(TabAsistencias[[#This Row],[ID]],TabEmpleados[],COLUMN(TabEmpleados[Fecha de alta NSS]),FALSE)),Asistencias!$B$3,"Y"),
TabFactorIntegracion[],COLUMN(TabFactorIntegracion[Días vacacionales
establecidos por ley]),FALSE),0)
-
COUNTIF($AH37:$PN37,TabAsistencias[[#Headers],[V]])</f>
        <v>12</v>
      </c>
    </row>
    <row r="38" spans="1:475" x14ac:dyDescent="0.25">
      <c r="A38" s="92">
        <f t="shared" si="434"/>
        <v>8</v>
      </c>
      <c r="B38" s="30" t="str" cm="1">
        <f t="array" ref="B38">VLOOKUP(TabAsistencias[[#This Row],[ID]],TabEmpleados[],COLUMN(TabEmpleados[Nombre]),FALSE)</f>
        <v>REYES JARQUIN DANIEL</v>
      </c>
      <c r="C38" s="36" t="s">
        <v>139</v>
      </c>
      <c r="D38" s="36" t="s">
        <v>139</v>
      </c>
      <c r="E38" s="36" t="s">
        <v>139</v>
      </c>
      <c r="F38" s="36" t="s">
        <v>139</v>
      </c>
      <c r="G38" s="36" t="s">
        <v>139</v>
      </c>
      <c r="H38" s="36" t="s">
        <v>139</v>
      </c>
      <c r="I38" s="36" t="s">
        <v>139</v>
      </c>
      <c r="J38" s="36" t="s">
        <v>139</v>
      </c>
      <c r="K38" s="36" t="s">
        <v>139</v>
      </c>
      <c r="L38" s="36" t="s">
        <v>139</v>
      </c>
      <c r="M38" s="36" t="s">
        <v>139</v>
      </c>
      <c r="N38" s="36" t="s">
        <v>139</v>
      </c>
      <c r="O38" s="36" t="s">
        <v>139</v>
      </c>
      <c r="P38" s="36" t="s">
        <v>139</v>
      </c>
      <c r="Q38" s="36" t="s">
        <v>139</v>
      </c>
      <c r="R38" s="36" t="s">
        <v>139</v>
      </c>
      <c r="S38" s="36" t="s">
        <v>139</v>
      </c>
      <c r="T38" s="36" t="s">
        <v>139</v>
      </c>
      <c r="U38" s="36" t="s">
        <v>139</v>
      </c>
      <c r="V38" s="36" t="s">
        <v>139</v>
      </c>
      <c r="W38" s="36" t="s">
        <v>139</v>
      </c>
      <c r="X38" s="36" t="s">
        <v>139</v>
      </c>
      <c r="Y38" s="36" t="s">
        <v>139</v>
      </c>
      <c r="Z38" s="36" t="s">
        <v>139</v>
      </c>
      <c r="AA38" s="36" t="s">
        <v>139</v>
      </c>
      <c r="AB38" s="36" t="s">
        <v>139</v>
      </c>
      <c r="AC38" s="36" t="s">
        <v>139</v>
      </c>
      <c r="AD38" s="36" t="s">
        <v>139</v>
      </c>
      <c r="AE38" s="36" t="s">
        <v>139</v>
      </c>
      <c r="AF38" s="36" t="s">
        <v>139</v>
      </c>
      <c r="AG38" s="36" t="s">
        <v>139</v>
      </c>
      <c r="AH38" s="36" t="s">
        <v>139</v>
      </c>
      <c r="AI38" s="36" t="s">
        <v>139</v>
      </c>
      <c r="AJ38" s="36" t="s">
        <v>139</v>
      </c>
      <c r="AK38" s="36" t="s">
        <v>139</v>
      </c>
      <c r="AL38" s="36" t="s">
        <v>139</v>
      </c>
      <c r="AM38" s="36" t="s">
        <v>139</v>
      </c>
      <c r="AN38" s="36" t="s">
        <v>139</v>
      </c>
      <c r="AO38" s="36" t="s">
        <v>139</v>
      </c>
      <c r="AP38" s="36" t="s">
        <v>139</v>
      </c>
      <c r="AQ38" s="36" t="s">
        <v>139</v>
      </c>
      <c r="AR38" s="36" t="s">
        <v>139</v>
      </c>
      <c r="AS38" s="36" t="s">
        <v>139</v>
      </c>
      <c r="AT38" s="36" t="s">
        <v>139</v>
      </c>
      <c r="AU38" s="36" t="s">
        <v>139</v>
      </c>
      <c r="AV38" s="36" t="s">
        <v>139</v>
      </c>
      <c r="AW38" s="36" t="s">
        <v>139</v>
      </c>
      <c r="AX38" s="36" t="s">
        <v>139</v>
      </c>
      <c r="AY38" s="36" t="s">
        <v>139</v>
      </c>
      <c r="AZ38" s="36" t="s">
        <v>139</v>
      </c>
      <c r="BA38" s="36" t="s">
        <v>139</v>
      </c>
      <c r="BB38" s="36" t="s">
        <v>139</v>
      </c>
      <c r="BC38" s="36" t="s">
        <v>139</v>
      </c>
      <c r="BD38" s="36" t="s">
        <v>139</v>
      </c>
      <c r="BE38" s="36" t="s">
        <v>139</v>
      </c>
      <c r="BF38" s="36" t="s">
        <v>139</v>
      </c>
      <c r="BG38" s="36" t="s">
        <v>139</v>
      </c>
      <c r="BH38" s="36" t="s">
        <v>139</v>
      </c>
      <c r="BI38" s="36" t="s">
        <v>139</v>
      </c>
      <c r="BJ38" s="36" t="s">
        <v>139</v>
      </c>
      <c r="BK38" s="36" t="s">
        <v>139</v>
      </c>
      <c r="BL38" s="36" t="s">
        <v>139</v>
      </c>
      <c r="BM38" s="36" t="s">
        <v>139</v>
      </c>
      <c r="BN38" s="36" t="s">
        <v>139</v>
      </c>
      <c r="BO38" s="36" t="s">
        <v>139</v>
      </c>
      <c r="BP38" s="36" t="s">
        <v>139</v>
      </c>
      <c r="BQ38" s="36" t="s">
        <v>139</v>
      </c>
      <c r="BR38" s="36" t="s">
        <v>139</v>
      </c>
      <c r="BS38" s="36" t="s">
        <v>139</v>
      </c>
      <c r="BT38" s="36" t="s">
        <v>139</v>
      </c>
      <c r="BU38" s="36" t="s">
        <v>139</v>
      </c>
      <c r="BV38" s="36" t="s">
        <v>139</v>
      </c>
      <c r="BW38" s="36" t="s">
        <v>139</v>
      </c>
      <c r="BX38" s="36" t="s">
        <v>139</v>
      </c>
      <c r="BY38" s="36" t="s">
        <v>139</v>
      </c>
      <c r="BZ38" s="36" t="s">
        <v>139</v>
      </c>
      <c r="CA38" s="36" t="s">
        <v>139</v>
      </c>
      <c r="CB38" s="36" t="s">
        <v>139</v>
      </c>
      <c r="CC38" s="36" t="s">
        <v>139</v>
      </c>
      <c r="CD38" s="36" t="s">
        <v>139</v>
      </c>
      <c r="CE38" s="36" t="s">
        <v>139</v>
      </c>
      <c r="CF38" s="36" t="s">
        <v>139</v>
      </c>
      <c r="CG38" s="36" t="s">
        <v>139</v>
      </c>
      <c r="CH38" s="36" t="s">
        <v>139</v>
      </c>
      <c r="CI38" s="36" t="s">
        <v>139</v>
      </c>
      <c r="CJ38" s="36" t="s">
        <v>139</v>
      </c>
      <c r="CK38" s="36" t="s">
        <v>139</v>
      </c>
      <c r="CL38" s="36" t="s">
        <v>139</v>
      </c>
      <c r="CM38" s="36" t="s">
        <v>139</v>
      </c>
      <c r="CN38" s="36" t="s">
        <v>139</v>
      </c>
      <c r="CO38" s="36" t="s">
        <v>139</v>
      </c>
      <c r="CP38" s="36" t="s">
        <v>139</v>
      </c>
      <c r="CQ38" s="36" t="s">
        <v>139</v>
      </c>
      <c r="CR38" s="36" t="s">
        <v>139</v>
      </c>
      <c r="CS38" s="36" t="s">
        <v>139</v>
      </c>
      <c r="CT38" s="36" t="s">
        <v>139</v>
      </c>
      <c r="CU38" s="36" t="s">
        <v>139</v>
      </c>
      <c r="CV38" s="36" t="s">
        <v>139</v>
      </c>
      <c r="CW38" s="36" t="s">
        <v>139</v>
      </c>
      <c r="CX38" s="36" t="s">
        <v>139</v>
      </c>
      <c r="CY38" s="36" t="s">
        <v>139</v>
      </c>
      <c r="CZ38" s="36" t="s">
        <v>139</v>
      </c>
      <c r="DA38" s="36" t="s">
        <v>139</v>
      </c>
      <c r="DB38" s="36" t="s">
        <v>139</v>
      </c>
      <c r="DC38" s="36" t="s">
        <v>139</v>
      </c>
      <c r="DD38" s="36" t="s">
        <v>139</v>
      </c>
      <c r="DE38" s="36" t="s">
        <v>139</v>
      </c>
      <c r="DF38" s="36" t="s">
        <v>139</v>
      </c>
      <c r="DG38" s="36" t="s">
        <v>139</v>
      </c>
      <c r="DH38" s="36" t="s">
        <v>139</v>
      </c>
      <c r="DI38" s="36" t="s">
        <v>139</v>
      </c>
      <c r="DJ38" s="36" t="s">
        <v>139</v>
      </c>
      <c r="DK38" s="36" t="s">
        <v>139</v>
      </c>
      <c r="DL38" s="36" t="s">
        <v>139</v>
      </c>
      <c r="DM38" s="36" t="s">
        <v>139</v>
      </c>
      <c r="DN38" s="36" t="s">
        <v>139</v>
      </c>
      <c r="DO38" s="36" t="s">
        <v>139</v>
      </c>
      <c r="DP38" s="36" t="s">
        <v>139</v>
      </c>
      <c r="DQ38" s="36" t="s">
        <v>139</v>
      </c>
      <c r="DR38" s="36" t="s">
        <v>139</v>
      </c>
      <c r="DS38" s="36" t="s">
        <v>139</v>
      </c>
      <c r="DT38" s="36" t="s">
        <v>139</v>
      </c>
      <c r="DU38" s="36" t="s">
        <v>139</v>
      </c>
      <c r="DV38" s="36" t="s">
        <v>139</v>
      </c>
      <c r="DW38" s="36" t="s">
        <v>139</v>
      </c>
      <c r="DX38" s="36" t="s">
        <v>139</v>
      </c>
      <c r="DY38" s="36" t="s">
        <v>139</v>
      </c>
      <c r="DZ38" s="36" t="s">
        <v>139</v>
      </c>
      <c r="EA38" s="36" t="s">
        <v>139</v>
      </c>
      <c r="EB38" s="36" t="s">
        <v>139</v>
      </c>
      <c r="EC38" s="36" t="s">
        <v>139</v>
      </c>
      <c r="ED38" s="36" t="s">
        <v>139</v>
      </c>
      <c r="EE38" s="36" t="s">
        <v>139</v>
      </c>
      <c r="EF38" s="36" t="s">
        <v>139</v>
      </c>
      <c r="EG38" s="36" t="s">
        <v>139</v>
      </c>
      <c r="EH38" s="36" t="s">
        <v>139</v>
      </c>
      <c r="EI38" s="36" t="s">
        <v>139</v>
      </c>
      <c r="EJ38" s="36" t="s">
        <v>139</v>
      </c>
      <c r="EK38" s="36" t="s">
        <v>139</v>
      </c>
      <c r="EL38" s="36" t="s">
        <v>139</v>
      </c>
      <c r="EM38" s="36" t="s">
        <v>139</v>
      </c>
      <c r="EN38" s="36" t="s">
        <v>139</v>
      </c>
      <c r="EO38" s="36" t="s">
        <v>139</v>
      </c>
      <c r="EP38" s="36" t="s">
        <v>139</v>
      </c>
      <c r="EQ38" s="36" t="s">
        <v>139</v>
      </c>
      <c r="ER38" s="36" t="s">
        <v>139</v>
      </c>
      <c r="ES38" s="36" t="s">
        <v>139</v>
      </c>
      <c r="ET38" s="36" t="s">
        <v>139</v>
      </c>
      <c r="EU38" s="36" t="s">
        <v>139</v>
      </c>
      <c r="EV38" s="36" t="s">
        <v>139</v>
      </c>
      <c r="EW38" s="36" t="s">
        <v>139</v>
      </c>
      <c r="EX38" s="36" t="s">
        <v>139</v>
      </c>
      <c r="EY38" s="36" t="s">
        <v>139</v>
      </c>
      <c r="EZ38" s="36" t="s">
        <v>139</v>
      </c>
      <c r="FA38" s="36" t="s">
        <v>139</v>
      </c>
      <c r="FB38" s="36" t="s">
        <v>139</v>
      </c>
      <c r="FC38" s="36" t="s">
        <v>139</v>
      </c>
      <c r="FD38" s="36" t="s">
        <v>139</v>
      </c>
      <c r="FE38" s="36" t="s">
        <v>139</v>
      </c>
      <c r="FF38" s="36" t="s">
        <v>139</v>
      </c>
      <c r="FG38" s="36" t="s">
        <v>139</v>
      </c>
      <c r="FH38" s="36" t="s">
        <v>139</v>
      </c>
      <c r="FI38" s="36" t="s">
        <v>139</v>
      </c>
      <c r="FJ38" s="36" t="s">
        <v>139</v>
      </c>
      <c r="FK38" s="36" t="s">
        <v>139</v>
      </c>
      <c r="FL38" s="36" t="s">
        <v>139</v>
      </c>
      <c r="FM38" s="36" t="s">
        <v>139</v>
      </c>
      <c r="FN38" s="36" t="s">
        <v>139</v>
      </c>
      <c r="FO38" s="36" t="s">
        <v>139</v>
      </c>
      <c r="FP38" s="36" t="s">
        <v>139</v>
      </c>
      <c r="FQ38" s="36" t="s">
        <v>139</v>
      </c>
      <c r="FR38" s="36" t="s">
        <v>139</v>
      </c>
      <c r="FS38" s="36" t="s">
        <v>139</v>
      </c>
      <c r="FT38" s="36" t="s">
        <v>139</v>
      </c>
      <c r="FU38" s="36" t="s">
        <v>139</v>
      </c>
      <c r="FV38" s="36" t="s">
        <v>139</v>
      </c>
      <c r="FW38" s="36" t="s">
        <v>139</v>
      </c>
      <c r="FX38" s="36" t="s">
        <v>139</v>
      </c>
      <c r="FY38" s="36" t="s">
        <v>139</v>
      </c>
      <c r="FZ38" s="36" t="s">
        <v>139</v>
      </c>
      <c r="GA38" s="36" t="s">
        <v>139</v>
      </c>
      <c r="GB38" s="36" t="s">
        <v>139</v>
      </c>
      <c r="GC38" s="36" t="s">
        <v>139</v>
      </c>
      <c r="GD38" s="36" t="s">
        <v>139</v>
      </c>
      <c r="GE38" s="36" t="s">
        <v>139</v>
      </c>
      <c r="GF38" s="36" t="s">
        <v>139</v>
      </c>
      <c r="GG38" s="36" t="s">
        <v>139</v>
      </c>
      <c r="GH38" s="36" t="s">
        <v>139</v>
      </c>
      <c r="GI38" s="36" t="s">
        <v>139</v>
      </c>
      <c r="GJ38" s="36" t="s">
        <v>139</v>
      </c>
      <c r="GK38" s="36" t="s">
        <v>139</v>
      </c>
      <c r="GL38" s="36" t="s">
        <v>139</v>
      </c>
      <c r="GM38" s="36" t="s">
        <v>139</v>
      </c>
      <c r="GN38" s="36" t="s">
        <v>139</v>
      </c>
      <c r="GO38" s="36" t="s">
        <v>139</v>
      </c>
      <c r="GP38" s="36" t="s">
        <v>139</v>
      </c>
      <c r="GQ38" s="36" t="s">
        <v>139</v>
      </c>
      <c r="GR38" s="36" t="s">
        <v>139</v>
      </c>
      <c r="GS38" s="36" t="s">
        <v>139</v>
      </c>
      <c r="GT38" s="36" t="s">
        <v>139</v>
      </c>
      <c r="GU38" s="36" t="s">
        <v>139</v>
      </c>
      <c r="GV38" s="36" t="s">
        <v>139</v>
      </c>
      <c r="GW38" s="36" t="s">
        <v>139</v>
      </c>
      <c r="GX38" s="36" t="s">
        <v>139</v>
      </c>
      <c r="GY38" s="36" t="s">
        <v>139</v>
      </c>
      <c r="GZ38" s="36" t="s">
        <v>139</v>
      </c>
      <c r="HA38" s="36" t="s">
        <v>139</v>
      </c>
      <c r="HB38" s="36" t="s">
        <v>139</v>
      </c>
      <c r="HC38" s="36" t="s">
        <v>139</v>
      </c>
      <c r="HD38" s="36" t="s">
        <v>139</v>
      </c>
      <c r="HE38" s="36" t="s">
        <v>139</v>
      </c>
      <c r="HF38" s="36" t="s">
        <v>139</v>
      </c>
      <c r="HG38" s="36" t="s">
        <v>139</v>
      </c>
      <c r="HH38" s="36" t="s">
        <v>139</v>
      </c>
      <c r="HI38" s="36" t="s">
        <v>139</v>
      </c>
      <c r="HJ38" s="36" t="s">
        <v>139</v>
      </c>
      <c r="HK38" s="36" t="s">
        <v>139</v>
      </c>
      <c r="HL38" s="36" t="s">
        <v>139</v>
      </c>
      <c r="HM38" s="36" t="s">
        <v>139</v>
      </c>
      <c r="HN38" s="36" t="s">
        <v>139</v>
      </c>
      <c r="HO38" s="36" t="s">
        <v>139</v>
      </c>
      <c r="HP38" s="36" t="s">
        <v>139</v>
      </c>
      <c r="HQ38" s="36" t="s">
        <v>139</v>
      </c>
      <c r="HR38" s="36" t="s">
        <v>139</v>
      </c>
      <c r="HS38" s="36" t="s">
        <v>139</v>
      </c>
      <c r="HT38" s="36" t="s">
        <v>139</v>
      </c>
      <c r="HU38" s="36" t="s">
        <v>139</v>
      </c>
      <c r="HV38" s="36" t="s">
        <v>139</v>
      </c>
      <c r="HW38" s="36" t="s">
        <v>139</v>
      </c>
      <c r="HX38" s="36" t="s">
        <v>139</v>
      </c>
      <c r="HY38" s="36" t="s">
        <v>139</v>
      </c>
      <c r="HZ38" s="36" t="s">
        <v>139</v>
      </c>
      <c r="IA38" s="36" t="s">
        <v>139</v>
      </c>
      <c r="IB38" s="36" t="s">
        <v>139</v>
      </c>
      <c r="IC38" s="36" t="s">
        <v>139</v>
      </c>
      <c r="ID38" s="36" t="s">
        <v>139</v>
      </c>
      <c r="IE38" s="36" t="s">
        <v>139</v>
      </c>
      <c r="IF38" s="36" t="s">
        <v>139</v>
      </c>
      <c r="IG38" s="36" t="s">
        <v>139</v>
      </c>
      <c r="IH38" s="36" t="s">
        <v>139</v>
      </c>
      <c r="II38" s="36" t="s">
        <v>139</v>
      </c>
      <c r="IJ38" s="36" t="s">
        <v>139</v>
      </c>
      <c r="IK38" s="36" t="s">
        <v>139</v>
      </c>
      <c r="IL38" s="36" t="s">
        <v>139</v>
      </c>
      <c r="IM38" s="36" t="s">
        <v>139</v>
      </c>
      <c r="IN38" s="36" t="s">
        <v>139</v>
      </c>
      <c r="IO38" s="36" t="s">
        <v>139</v>
      </c>
      <c r="IP38" s="36" t="s">
        <v>139</v>
      </c>
      <c r="IQ38" s="36" t="s">
        <v>139</v>
      </c>
      <c r="IR38" s="36" t="s">
        <v>139</v>
      </c>
      <c r="IS38" s="36" t="s">
        <v>139</v>
      </c>
      <c r="IT38" s="36" t="s">
        <v>139</v>
      </c>
      <c r="IU38" s="36" t="s">
        <v>139</v>
      </c>
      <c r="IV38" s="36" t="s">
        <v>139</v>
      </c>
      <c r="IW38" s="36" t="s">
        <v>139</v>
      </c>
      <c r="IX38" s="36" t="s">
        <v>139</v>
      </c>
      <c r="IY38" s="36" t="s">
        <v>139</v>
      </c>
      <c r="IZ38" s="36" t="s">
        <v>139</v>
      </c>
      <c r="JA38" s="36" t="s">
        <v>139</v>
      </c>
      <c r="JB38" s="36" t="s">
        <v>139</v>
      </c>
      <c r="JC38" s="36" t="s">
        <v>139</v>
      </c>
      <c r="JD38" s="36" t="s">
        <v>139</v>
      </c>
      <c r="JE38" s="36" t="s">
        <v>139</v>
      </c>
      <c r="JF38" s="36" t="s">
        <v>139</v>
      </c>
      <c r="JG38" s="36" t="s">
        <v>139</v>
      </c>
      <c r="JH38" s="36" t="s">
        <v>139</v>
      </c>
      <c r="JI38" s="36" t="s">
        <v>139</v>
      </c>
      <c r="JJ38" s="36" t="s">
        <v>139</v>
      </c>
      <c r="JK38" s="36" t="s">
        <v>139</v>
      </c>
      <c r="JL38" s="36" t="s">
        <v>139</v>
      </c>
      <c r="JM38" s="36" t="s">
        <v>139</v>
      </c>
      <c r="JN38" s="36" t="s">
        <v>139</v>
      </c>
      <c r="JO38" s="36" t="s">
        <v>139</v>
      </c>
      <c r="JP38" s="36" t="s">
        <v>139</v>
      </c>
      <c r="JQ38" s="36" t="s">
        <v>139</v>
      </c>
      <c r="JR38" s="36" t="s">
        <v>139</v>
      </c>
      <c r="JS38" s="36" t="s">
        <v>139</v>
      </c>
      <c r="JT38" s="36" t="s">
        <v>139</v>
      </c>
      <c r="JU38" s="36" t="s">
        <v>139</v>
      </c>
      <c r="JV38" s="36" t="s">
        <v>139</v>
      </c>
      <c r="JW38" s="36" t="s">
        <v>139</v>
      </c>
      <c r="JX38" s="36" t="s">
        <v>139</v>
      </c>
      <c r="JY38" s="36" t="s">
        <v>139</v>
      </c>
      <c r="JZ38" s="36" t="s">
        <v>139</v>
      </c>
      <c r="KA38" s="36" t="s">
        <v>139</v>
      </c>
      <c r="KB38" s="36" t="s">
        <v>139</v>
      </c>
      <c r="KC38" s="36" t="s">
        <v>139</v>
      </c>
      <c r="KD38" s="36" t="s">
        <v>139</v>
      </c>
      <c r="KE38" s="36" t="s">
        <v>139</v>
      </c>
      <c r="KF38" s="36" t="s">
        <v>139</v>
      </c>
      <c r="KG38" s="36" t="s">
        <v>139</v>
      </c>
      <c r="KH38" s="36" t="s">
        <v>139</v>
      </c>
      <c r="KI38" s="36" t="s">
        <v>139</v>
      </c>
      <c r="KJ38" s="36" t="s">
        <v>139</v>
      </c>
      <c r="KK38" s="36" t="s">
        <v>139</v>
      </c>
      <c r="KL38" s="36" t="s">
        <v>139</v>
      </c>
      <c r="KM38" s="36" t="s">
        <v>139</v>
      </c>
      <c r="KN38" s="36" t="s">
        <v>139</v>
      </c>
      <c r="KO38" s="36" t="s">
        <v>139</v>
      </c>
      <c r="KP38" s="36" t="s">
        <v>139</v>
      </c>
      <c r="KQ38" s="36" t="s">
        <v>139</v>
      </c>
      <c r="KR38" s="36" t="s">
        <v>139</v>
      </c>
      <c r="KS38" s="36" t="s">
        <v>139</v>
      </c>
      <c r="KT38" s="36" t="s">
        <v>139</v>
      </c>
      <c r="KU38" s="36" t="s">
        <v>139</v>
      </c>
      <c r="KV38" s="36" t="s">
        <v>139</v>
      </c>
      <c r="KW38" s="36" t="s">
        <v>139</v>
      </c>
      <c r="KX38" s="36" t="s">
        <v>139</v>
      </c>
      <c r="KY38" s="36" t="s">
        <v>139</v>
      </c>
      <c r="KZ38" s="36" t="s">
        <v>139</v>
      </c>
      <c r="LA38" s="36" t="s">
        <v>139</v>
      </c>
      <c r="LB38" s="36" t="s">
        <v>139</v>
      </c>
      <c r="LC38" s="36" t="s">
        <v>139</v>
      </c>
      <c r="LD38" s="36" t="s">
        <v>139</v>
      </c>
      <c r="LE38" s="36" t="s">
        <v>139</v>
      </c>
      <c r="LF38" s="36" t="s">
        <v>139</v>
      </c>
      <c r="LG38" s="36" t="s">
        <v>139</v>
      </c>
      <c r="LH38" s="36" t="s">
        <v>139</v>
      </c>
      <c r="LI38" s="36" t="s">
        <v>139</v>
      </c>
      <c r="LJ38" s="36" t="s">
        <v>139</v>
      </c>
      <c r="LK38" s="36" t="s">
        <v>139</v>
      </c>
      <c r="LL38" s="36" t="s">
        <v>139</v>
      </c>
      <c r="LM38" s="36" t="s">
        <v>139</v>
      </c>
      <c r="LN38" s="36" t="s">
        <v>139</v>
      </c>
      <c r="LO38" s="36" t="s">
        <v>139</v>
      </c>
      <c r="LP38" s="36" t="s">
        <v>139</v>
      </c>
      <c r="LQ38" s="36" t="s">
        <v>139</v>
      </c>
      <c r="LR38" s="36" t="s">
        <v>139</v>
      </c>
      <c r="LS38" s="36" t="s">
        <v>139</v>
      </c>
      <c r="LT38" s="36" t="s">
        <v>139</v>
      </c>
      <c r="LU38" s="36" t="s">
        <v>139</v>
      </c>
      <c r="LV38" s="36" t="s">
        <v>139</v>
      </c>
      <c r="LW38" s="36" t="s">
        <v>139</v>
      </c>
      <c r="LX38" s="36" t="s">
        <v>139</v>
      </c>
      <c r="LY38" s="36" t="s">
        <v>139</v>
      </c>
      <c r="LZ38" s="36" t="s">
        <v>139</v>
      </c>
      <c r="MA38" s="36" t="s">
        <v>139</v>
      </c>
      <c r="MB38" s="36" t="s">
        <v>139</v>
      </c>
      <c r="MC38" s="36" t="s">
        <v>139</v>
      </c>
      <c r="MD38" s="36" t="s">
        <v>139</v>
      </c>
      <c r="ME38" s="36" t="s">
        <v>139</v>
      </c>
      <c r="MF38" s="36" t="s">
        <v>139</v>
      </c>
      <c r="MG38" s="36" t="s">
        <v>139</v>
      </c>
      <c r="MH38" s="36" t="s">
        <v>139</v>
      </c>
      <c r="MI38" s="36" t="s">
        <v>139</v>
      </c>
      <c r="MJ38" s="36" t="s">
        <v>139</v>
      </c>
      <c r="MK38" s="36" t="s">
        <v>139</v>
      </c>
      <c r="ML38" s="36" t="s">
        <v>139</v>
      </c>
      <c r="MM38" s="36" t="s">
        <v>139</v>
      </c>
      <c r="MN38" s="36" t="s">
        <v>139</v>
      </c>
      <c r="MO38" s="36" t="s">
        <v>139</v>
      </c>
      <c r="MP38" s="36" t="s">
        <v>139</v>
      </c>
      <c r="MQ38" s="36" t="s">
        <v>139</v>
      </c>
      <c r="MR38" s="36" t="s">
        <v>139</v>
      </c>
      <c r="MS38" s="36" t="s">
        <v>139</v>
      </c>
      <c r="MT38" s="36" t="s">
        <v>139</v>
      </c>
      <c r="MU38" s="36" t="s">
        <v>139</v>
      </c>
      <c r="MV38" s="36" t="s">
        <v>139</v>
      </c>
      <c r="MW38" s="36" t="s">
        <v>139</v>
      </c>
      <c r="MX38" s="36" t="s">
        <v>139</v>
      </c>
      <c r="MY38" s="36" t="s">
        <v>139</v>
      </c>
      <c r="MZ38" s="36" t="s">
        <v>139</v>
      </c>
      <c r="NA38" s="36" t="s">
        <v>139</v>
      </c>
      <c r="NB38" s="36" t="s">
        <v>139</v>
      </c>
      <c r="NC38" s="36" t="s">
        <v>139</v>
      </c>
      <c r="ND38" s="36" t="s">
        <v>139</v>
      </c>
      <c r="NE38" s="36" t="s">
        <v>139</v>
      </c>
      <c r="NF38" s="36" t="s">
        <v>139</v>
      </c>
      <c r="NG38" s="36" t="s">
        <v>139</v>
      </c>
      <c r="NH38" s="36" t="s">
        <v>139</v>
      </c>
      <c r="NI38" s="36" t="s">
        <v>139</v>
      </c>
      <c r="NJ38" s="36" t="s">
        <v>139</v>
      </c>
      <c r="NK38" s="36" t="s">
        <v>139</v>
      </c>
      <c r="NL38" s="36" t="s">
        <v>139</v>
      </c>
      <c r="NM38" s="36" t="s">
        <v>139</v>
      </c>
      <c r="NN38" s="36" t="s">
        <v>139</v>
      </c>
      <c r="NO38" s="36" t="s">
        <v>139</v>
      </c>
      <c r="NP38" s="36" t="s">
        <v>139</v>
      </c>
      <c r="NQ38" s="36" t="s">
        <v>139</v>
      </c>
      <c r="NR38" s="36" t="s">
        <v>139</v>
      </c>
      <c r="NS38" s="36" t="s">
        <v>139</v>
      </c>
      <c r="NT38" s="36" t="s">
        <v>139</v>
      </c>
      <c r="NU38" s="36" t="s">
        <v>139</v>
      </c>
      <c r="NV38" s="36" t="s">
        <v>139</v>
      </c>
      <c r="NW38" s="36" t="s">
        <v>139</v>
      </c>
      <c r="NX38" s="36" t="s">
        <v>139</v>
      </c>
      <c r="NY38" s="36" t="s">
        <v>139</v>
      </c>
      <c r="NZ38" s="36" t="s">
        <v>139</v>
      </c>
      <c r="OA38" s="36" t="s">
        <v>139</v>
      </c>
      <c r="OB38" s="36" t="s">
        <v>139</v>
      </c>
      <c r="OC38" s="36" t="s">
        <v>139</v>
      </c>
      <c r="OD38" s="36" t="s">
        <v>139</v>
      </c>
      <c r="OE38" s="36" t="s">
        <v>139</v>
      </c>
      <c r="OF38" s="36" t="s">
        <v>139</v>
      </c>
      <c r="OG38" s="36" t="s">
        <v>139</v>
      </c>
      <c r="OH38" s="36" t="s">
        <v>139</v>
      </c>
      <c r="OI38" s="36" t="s">
        <v>139</v>
      </c>
      <c r="OJ38" s="36" t="s">
        <v>139</v>
      </c>
      <c r="OK38" s="36" t="s">
        <v>139</v>
      </c>
      <c r="OL38" s="36" t="s">
        <v>139</v>
      </c>
      <c r="OM38" s="36" t="s">
        <v>139</v>
      </c>
      <c r="ON38" s="36" t="s">
        <v>139</v>
      </c>
      <c r="OO38" s="36" t="s">
        <v>139</v>
      </c>
      <c r="OP38" s="36" t="s">
        <v>139</v>
      </c>
      <c r="OQ38" s="36" t="s">
        <v>139</v>
      </c>
      <c r="OR38" s="36" t="s">
        <v>139</v>
      </c>
      <c r="OS38" s="36" t="s">
        <v>139</v>
      </c>
      <c r="OT38" s="36" t="s">
        <v>139</v>
      </c>
      <c r="OU38" s="36" t="s">
        <v>139</v>
      </c>
      <c r="OV38" s="36" t="s">
        <v>139</v>
      </c>
      <c r="OW38" s="36" t="s">
        <v>139</v>
      </c>
      <c r="OX38" s="36" t="s">
        <v>139</v>
      </c>
      <c r="OY38" s="36" t="s">
        <v>139</v>
      </c>
      <c r="OZ38" s="36" t="s">
        <v>139</v>
      </c>
      <c r="PA38" s="36" t="s">
        <v>139</v>
      </c>
      <c r="PB38" s="36" t="s">
        <v>139</v>
      </c>
      <c r="PC38" s="36" t="s">
        <v>139</v>
      </c>
      <c r="PD38" s="36" t="s">
        <v>139</v>
      </c>
      <c r="PE38" s="36" t="s">
        <v>139</v>
      </c>
      <c r="PF38" s="36" t="s">
        <v>139</v>
      </c>
      <c r="PG38" s="36" t="s">
        <v>139</v>
      </c>
      <c r="PH38" s="36" t="s">
        <v>139</v>
      </c>
      <c r="PI38" s="36" t="s">
        <v>139</v>
      </c>
      <c r="PJ38" s="36" t="s">
        <v>139</v>
      </c>
      <c r="PK38" s="36" t="s">
        <v>139</v>
      </c>
      <c r="PL38" s="36" t="s">
        <v>139</v>
      </c>
      <c r="PM38" s="36" t="s">
        <v>139</v>
      </c>
      <c r="PN38" s="36" t="s">
        <v>139</v>
      </c>
      <c r="PO38" s="74">
        <f>COUNTIFS($C$27:$PN$27,("&lt;"&amp;$B$3),$C$27:$PN$27,("&gt;="&amp;$B$2),$C38:$PN38,TabAsistencias[[#Headers],[1]])</f>
        <v>30</v>
      </c>
      <c r="PP38" s="74">
        <f>COUNTIFS($C$27:$PN$27,("&lt;"&amp;$B$3),$C$27:$PN$27,("&gt;="&amp;$B$2),$C38:$PN38,TabAsistencias[[#Headers],[E]])</f>
        <v>0</v>
      </c>
      <c r="PQ38" s="74">
        <f>COUNTIFS($C$27:$PN$27,("&lt;"&amp;$B$3),$C$27:$PN$27,("&gt;="&amp;$B$2),$C38:$PN38,TabAsistencias[[#Headers],[DE]])</f>
        <v>0</v>
      </c>
      <c r="PR38" s="74">
        <f>COUNTIFS($C$27:$PN$27,("&lt;"&amp;$B$3),$C$27:$PN$27,("&gt;="&amp;$B$2),$C38:$PN38,TabAsistencias[[#Headers],[V]])</f>
        <v>0</v>
      </c>
      <c r="PS38" s="74">
        <f>COUNTIFS($C$27:$PN$27,("&lt;"&amp;$B$3),$C$27:$PN$27,("&gt;="&amp;$B$2),$C38:$PN38,TabAsistencias[[#Headers],[DO]])</f>
        <v>0</v>
      </c>
      <c r="PT38" s="74">
        <f>COUNTIFS($C$27:$PN$27,("&lt;"&amp;$B$3),$C$27:$PN$27,("&gt;="&amp;$B$2),$C38:$PN38,TabAsistencias[[#Headers],[P]])</f>
        <v>0</v>
      </c>
      <c r="PU38" s="74">
        <f>COUNTIFS($C$27:$PN$27,("&lt;"&amp;$B$3),$C$27:$PN$27,("&gt;="&amp;$B$2),$C38:$PN38,TabAsistencias[[#Headers],[F]])</f>
        <v>0</v>
      </c>
      <c r="PV38" s="74">
        <f>COUNTIFS($C$27:$PN$27,("&lt;"&amp;$B$3),$C$27:$PN$27,("&gt;="&amp;$B$2),$C38:$PN38,TabAsistencias[[#Headers],[R]])</f>
        <v>0</v>
      </c>
      <c r="PW38" s="74">
        <f>COUNTIFS($C$27:$PN$27,("&lt;"&amp;$B$3),$C$27:$PN$27,("&gt;="&amp;$B$2),$C38:$PN38,TabAsistencias[[#Headers],[PP]])</f>
        <v>0</v>
      </c>
      <c r="PX38" s="74">
        <f>COUNTIFS($C$27:$PN$27,("&lt;"&amp;$B$3),$C$27:$PN$27,("&gt;="&amp;$B$2),$C38:$PN38,TabAsistencias[[#Headers],[0]])</f>
        <v>0</v>
      </c>
      <c r="PY38" s="74">
        <f>COUNTIFS($C$27:$PN$27,("&lt;"&amp;$B$3),$C$27:$PN$27,("&gt;="&amp;$B$2),$C38:$PN38,TabAsistencias[[#Headers],[IG]])</f>
        <v>0</v>
      </c>
      <c r="PZ38" s="74">
        <f>COUNTIFS($C$27:$PN$27,("&lt;"&amp;$B$3),$C$27:$PN$27,("&gt;="&amp;$B$2),$C38:$PN38,TabAsistencias[[#Headers],[NA]])</f>
        <v>0</v>
      </c>
      <c r="QA38" s="74">
        <f>COUNTIFS($C$27:$PN$27,("&lt;"&amp;$B$3),$C$27:$PN$27,("&gt;="&amp;$B$2),$C38:$PN38,TabAsistencias[[#Headers],[DF]])</f>
        <v>0</v>
      </c>
      <c r="QB38" s="74">
        <f>COUNTIFS($C$27:$PN$27,("&lt;"&amp;$B$3),$C$27:$PN$27,("&gt;="&amp;$B$2),$C38:$PN38,TabAsistencias[[#Headers],[3]])</f>
        <v>0</v>
      </c>
      <c r="QC38" s="74">
        <f>COUNTIFS($C$27:$PN$27,("&lt;"&amp;$B$3),$C$27:$PN$27,("&gt;="&amp;$B$2),$C38:$PN38,TabAsistencias[[#Headers],[CP]])</f>
        <v>0</v>
      </c>
      <c r="QD38" s="74">
        <f>COUNTIFS($C$27:$PN$27,("&lt;"&amp;$B$3),$C$27:$PN$27,("&gt;="&amp;$B$2),$C38:$PN38,TabAsistencias[[#Headers],[I]])</f>
        <v>0</v>
      </c>
      <c r="QE38" s="74">
        <f>COUNTIFS($C$27:$PN$27,("&lt;"&amp;$B$3),$C$27:$PN$27,("&gt;="&amp;$B$2),$C38:$PN38,TabAsistencias[[#Headers],[T/2]])</f>
        <v>0</v>
      </c>
      <c r="QF38" s="74">
        <f>COUNTIFS($C$27:$PN$27,("&lt;"&amp;$B$3),$C$27:$PN$27,("&gt;="&amp;$B$2),$C38:$PN38,TabAsistencias[[#Headers],[ME]])</f>
        <v>0</v>
      </c>
      <c r="QG38" s="74">
        <f>COUNTIFS($C$27:$PN$27,("&lt;"&amp;$B$3),$C$27:$PN$27,("&gt;="&amp;$B$2),$C38:$PN38,TabAsistencias[[#Headers],[DP]])</f>
        <v>0</v>
      </c>
      <c r="QH38" s="74">
        <f>COUNTIFS($C$27:$PN$27,("&lt;"&amp;$B$3),$C$27:$PN$27,("&gt;="&amp;$B$2),$C38:$PN38,TabAsistencias[[#Headers],[B]])</f>
        <v>0</v>
      </c>
      <c r="QI38" s="74">
        <f>(TabAsistencias[[#This Row],[1]]*'Tablas de informacion'!$C$124)+(TabAsistencias[[#This Row],[E]]*'Tablas de informacion'!$C$125)+(TabAsistencias[[#This Row],[DE]]*'Tablas de informacion'!C$126)+(TabAsistencias[[#This Row],[V]]*'Tablas de informacion'!C$127)+(TabAsistencias[[#This Row],[DO]]*'Tablas de informacion'!C$128)+(TabAsistencias[[#This Row],[P]]*'Tablas de informacion'!C$129)+(TabAsistencias[[#This Row],[F]]*'Tablas de informacion'!C$130)+(TabAsistencias[[#This Row],[R]]*'Tablas de informacion'!C$131)+(TabAsistencias[[#This Row],[PP]]*'Tablas de informacion'!C$132)+(TabAsistencias[[#This Row],[0]]*'Tablas de informacion'!C$133)+(TabAsistencias[[#This Row],[IG]]*'Tablas de informacion'!C$134)+(TabAsistencias[[#This Row],[NA]]*'Tablas de informacion'!C$135)+(TabAsistencias[[#This Row],[DF]]*'Tablas de informacion'!C$136)+(TabAsistencias[[#This Row],[3]]*'Tablas de informacion'!C$137)+(TabAsistencias[[#This Row],[CP]]*'Tablas de informacion'!C$138)+(TabAsistencias[[#This Row],[I]]*'Tablas de informacion'!C$139)+(TabAsistencias[[#This Row],[T/2]]*'Tablas de informacion'!C$140)+(TabAsistencias[[#This Row],[ME]]*'Tablas de informacion'!C$141)+(TabAsistencias[[#This Row],[DP]]*'Tablas de informacion'!C$142)+(TabAsistencias[[#This Row],[B]]*'Tablas de informacion'!C$143)-INT(TabAsistencias[[#This Row],[R]]/3)</f>
        <v>30</v>
      </c>
      <c r="QJ38" s="74">
        <f>COUNTIFS($C$27:$PN$27,("&lt;"&amp;$B$3),$C$27:$PN$27,("&gt;="&amp;$B$2),$C$28:$PN$28,1,$C38:$PN38,TabAsistencias[[#Headers],[1]])+
COUNTIFS($C$27:$PN$27,("&lt;"&amp;$B$3),$C$27:$PN$27,("&gt;="&amp;$B$2),$C$28:$PN$28,1,$C38:$PN38,TabAsistencias[[#Headers],[DO]])+
COUNTIFS($C$27:$PN$27,("&lt;"&amp;$B$3),$C$27:$PN$27,("&gt;="&amp;$B$2),$C$28:$PN$28,1,$C38:$PN38,TabAsistencias[[#Headers],[R]])+
COUNTIFS($C$27:$PN$27,("&lt;"&amp;$B$3),$C$27:$PN$27,("&gt;="&amp;$B$2),$C$28:$PN$28,1,$C38:$PN38,TabAsistencias[[#Headers],[NA]])+
COUNTIFS($C$27:$PN$27,("&lt;"&amp;$B$3),$C$27:$PN$27,("&gt;="&amp;$B$2),$C$28:$PN$28,1,$C38:$PN38,TabAsistencias[[#Headers],[DF]])+
COUNTIFS($C$27:$PN$27,("&lt;"&amp;$B$3),$C$27:$PN$27,("&gt;="&amp;$B$2),$C$28:$PN$28,1,$C38:$PN38,TabAsistencias[[#Headers],[3]])+
COUNTIFS($C$27:$PN$27,("&lt;"&amp;$B$3),$C$27:$PN$27,("&gt;="&amp;$B$2),$C$28:$PN$28,1,$C38:$PN38,TabAsistencias[[#Headers],[CP]])+
COUNTIFS($C$27:$PN$27,("&lt;"&amp;$B$3),$C$27:$PN$27,("&gt;="&amp;$B$2),$C$28:$PN$28,1,$C38:$PN38,TabAsistencias[[#Headers],[T/2]])</f>
        <v>4</v>
      </c>
      <c r="QK38" s="315" cm="1">
        <f t="array" ref="QK38">IFERROR(VLOOKUP(
DATEDIF((VLOOKUP(TabAsistencias[[#This Row],[ID]],TabEmpleados[],COLUMN(TabEmpleados[Fecha de ingreso]),FALSE)),Asistencias!$B$3,"Y"),
TabFactorIntegracion[],COLUMN(TabFactorIntegracion[Días vacacionales
establecidos por ley]),FALSE),0)
-
COUNTIF($AH38:$PN38,TabAsistencias[[#Headers],[V]])</f>
        <v>12</v>
      </c>
      <c r="QL38" s="319">
        <f>SUM(TabAsistencias[[#This Row],[''1]],TabAsistencias[[#This Row],[''DE]],TabAsistencias[[#This Row],[''DO]],TabAsistencias[[#This Row],[''R]],TabAsistencias[[#This Row],[''NA]],TabAsistencias[[#This Row],[''DF]],TabAsistencias[[#This Row],[''3]],TabAsistencias[[#This Row],[''CP]],TabAsistencias[[#This Row],[''T/2]],TabAsistencias[[#This Row],[''DP]])</f>
        <v>73</v>
      </c>
      <c r="QM38" s="314">
        <f>COUNTIFS($C$27:$PN$27,("&lt;"&amp;$B$5),$C$27:$PN$27,("&gt;="&amp;$B$4),$C38:$PN38,TabAsistencias[[#Headers],[1]])</f>
        <v>73</v>
      </c>
      <c r="QN38" s="314">
        <f>COUNTIFS($C$27:$PN$27,("&lt;"&amp;$B$5),$C$27:$PN$27,("&gt;="&amp;$B$4),$C38:$PN38,TabAsistencias[[#Headers],[DE]])</f>
        <v>0</v>
      </c>
      <c r="QO38" s="314">
        <f>COUNTIFS($C$27:$PN$27,("&lt;"&amp;$B$5),$C$27:$PN$27,("&gt;="&amp;$B$4),$C38:$PN38,TabAsistencias[[#Headers],[V]])</f>
        <v>0</v>
      </c>
      <c r="QP38" s="314">
        <f>COUNTIFS($C$27:$PN$27,("&lt;"&amp;$B$5),$C$27:$PN$27,("&gt;="&amp;$B$4),$C38:$PN38,TabAsistencias[[#Headers],[DO]])</f>
        <v>0</v>
      </c>
      <c r="QQ38" s="314">
        <f>COUNTIFS($C$27:$PN$27,("&lt;"&amp;$B$5),$C$27:$PN$27,("&gt;="&amp;$B$4),$C38:$PN38,TabAsistencias[[#Headers],[P]])</f>
        <v>0</v>
      </c>
      <c r="QR38" s="314">
        <f>COUNTIFS($C$27:$PN$27,("&lt;"&amp;$B$5),$C$27:$PN$27,("&gt;="&amp;$B$4),$C38:$PN38,TabAsistencias[[#Headers],[F]])</f>
        <v>0</v>
      </c>
      <c r="QS38" s="314">
        <f>COUNTIFS($C$27:$PN$27,("&lt;"&amp;$B$5),$C$27:$PN$27,("&gt;="&amp;$B$4),$C38:$PN38,TabAsistencias[[#Headers],[R]])</f>
        <v>0</v>
      </c>
      <c r="QT38" s="314">
        <f>COUNTIFS($C$27:$PN$27,("&lt;"&amp;$B$5),$C$27:$PN$27,("&gt;="&amp;$B$4),$C38:$PN38,TabAsistencias[[#Headers],[PP]])</f>
        <v>0</v>
      </c>
      <c r="QU38" s="314">
        <f>COUNTIFS($C$27:$PN$27,("&lt;"&amp;$B$5),$C$27:$PN$27,("&gt;="&amp;$B$4),$C38:$PN38,TabAsistencias[[#Headers],[0]])</f>
        <v>0</v>
      </c>
      <c r="QV38" s="314">
        <f>COUNTIFS($C$27:$PN$27,("&lt;"&amp;$B$5),$C$27:$PN$27,("&gt;="&amp;$B$4),$C38:$PN38,TabAsistencias[[#Headers],[IG]])</f>
        <v>0</v>
      </c>
      <c r="QW38" s="314">
        <f>COUNTIFS($C$27:$PN$27,("&lt;"&amp;$B$5),$C$27:$PN$27,("&gt;="&amp;$B$4),$C38:$PN38,TabAsistencias[[#Headers],[NA]])</f>
        <v>0</v>
      </c>
      <c r="QX38" s="314">
        <f>COUNTIFS($C$27:$PN$27,("&lt;"&amp;$B$5),$C$27:$PN$27,("&gt;="&amp;$B$4),$C38:$PN38,TabAsistencias[[#Headers],[DF]])</f>
        <v>0</v>
      </c>
      <c r="QY38" s="314">
        <f>COUNTIFS($C$27:$PN$27,("&lt;"&amp;$B$5),$C$27:$PN$27,("&gt;="&amp;$B$4),$C38:$PN38,TabAsistencias[[#Headers],[3]])</f>
        <v>0</v>
      </c>
      <c r="QZ38" s="314">
        <f>COUNTIFS($C$27:$PN$27,("&lt;"&amp;$B$5),$C$27:$PN$27,("&gt;="&amp;$B$4),$C38:$PN38,TabAsistencias[[#Headers],[CP]])</f>
        <v>0</v>
      </c>
      <c r="RA38" s="314">
        <f>COUNTIFS($C$27:$PN$27,("&lt;"&amp;$B$5),$C$27:$PN$27,("&gt;="&amp;$B$4),$C38:$PN38,TabAsistencias[[#Headers],[I]])</f>
        <v>0</v>
      </c>
      <c r="RB38" s="314">
        <f>COUNTIFS($C$27:$PN$27,("&lt;"&amp;$B$5),$C$27:$PN$27,("&gt;="&amp;$B$4),$C38:$PN38,TabAsistencias[[#Headers],[T/2]])</f>
        <v>0</v>
      </c>
      <c r="RC38" s="314">
        <f>COUNTIFS($C$27:$PN$27,("&lt;"&amp;$B$5),$C$27:$PN$27,("&gt;="&amp;$B$4),$C38:$PN38,TabAsistencias[[#Headers],[ME]])</f>
        <v>0</v>
      </c>
      <c r="RD38" s="314">
        <f>COUNTIFS($C$27:$PN$27,("&lt;"&amp;$B$5),$C$27:$PN$27,("&gt;="&amp;$B$4),$C38:$PN38,TabAsistencias[[#Headers],[DP]])</f>
        <v>0</v>
      </c>
      <c r="RE38" s="314">
        <f>COUNTIFS($C$27:$PN$27,("&lt;"&amp;$B$5),$C$27:$PN$27,("&gt;="&amp;$B$4),$C38:$PN38,TabAsistencias[[#Headers],[B]])</f>
        <v>0</v>
      </c>
      <c r="RF38" s="314">
        <f>COUNTIFS($C$27:$PN$27,("&lt;"&amp;$B$5),$C$27:$PN$27,("&gt;="&amp;$B$4),$C$28:$PN$28,1,$C38:$PN38,TabAsistencias[[#Headers],[1]])+
COUNTIFS($C$27:$PN$27,("&lt;"&amp;$B$5),$C$27:$PN$27,("&gt;="&amp;$B$4),$C$28:$PN$28,1,$C38:$PN38,TabAsistencias[[#Headers],[DO]])+
COUNTIFS($C$27:$PN$27,("&lt;"&amp;$B$5),$C$27:$PN$27,("&gt;="&amp;$B$4),$C$28:$PN$28,1,$C38:$PN38,TabAsistencias[[#Headers],[R]])+
COUNTIFS($C$27:$PN$27,("&lt;"&amp;$B$5),$C$27:$PN$27,("&gt;="&amp;$B$4),$C$28:$PN$28,1,$C38:$PN38,TabAsistencias[[#Headers],[NA]])+
COUNTIFS($C$27:$PN$27,("&lt;"&amp;$B$5),$C$27:$PN$27,("&gt;="&amp;$B$4),$C$28:$PN$28,1,$C38:$PN38,TabAsistencias[[#Headers],[DF]])+
COUNTIFS($C$27:$PN$27,("&lt;"&amp;$B$5),$C$27:$PN$27,("&gt;="&amp;$B$4),$C$28:$PN$28,1,$C38:$PN38,TabAsistencias[[#Headers],[3]])+
COUNTIFS($C$27:$PN$27,("&lt;"&amp;$B$5),$C$27:$PN$27,("&gt;="&amp;$B$4),$C$28:$PN$28,1,$C38:$PN38,TabAsistencias[[#Headers],[CP]])+
COUNTIFS($C$27:$PN$27,("&lt;"&amp;$B$5),$C$27:$PN$27,("&gt;="&amp;$B$4),$C$28:$PN$28,1,$C38:$PN38,TabAsistencias[[#Headers],[T/2]])</f>
        <v>11</v>
      </c>
      <c r="RG38" s="320" cm="1">
        <f t="array" ref="RG38">IFERROR(VLOOKUP(
DATEDIF((VLOOKUP(TabAsistencias[[#This Row],[ID]],TabEmpleados[],COLUMN(TabEmpleados[Fecha de alta NSS]),FALSE)),Asistencias!$B$3,"Y"),
TabFactorIntegracion[],COLUMN(TabFactorIntegracion[Días vacacionales
establecidos por ley]),FALSE),0)
-
COUNTIF($AH38:$PN38,TabAsistencias[[#Headers],[V]])</f>
        <v>12</v>
      </c>
    </row>
    <row r="39" spans="1:475" x14ac:dyDescent="0.25">
      <c r="A39" s="92">
        <f t="shared" si="434"/>
        <v>9</v>
      </c>
      <c r="B39" s="30" t="str" cm="1">
        <f t="array" ref="B39">VLOOKUP(TabAsistencias[[#This Row],[ID]],TabEmpleados[],COLUMN(TabEmpleados[Nombre]),FALSE)</f>
        <v xml:space="preserve">ANTONIO LOPEZ JAVIER </v>
      </c>
      <c r="C39" s="36" t="s">
        <v>139</v>
      </c>
      <c r="D39" s="36" t="s">
        <v>139</v>
      </c>
      <c r="E39" s="36" t="s">
        <v>139</v>
      </c>
      <c r="F39" s="36" t="s">
        <v>139</v>
      </c>
      <c r="G39" s="36" t="s">
        <v>139</v>
      </c>
      <c r="H39" s="36" t="s">
        <v>139</v>
      </c>
      <c r="I39" s="36" t="s">
        <v>139</v>
      </c>
      <c r="J39" s="36" t="s">
        <v>139</v>
      </c>
      <c r="K39" s="36" t="s">
        <v>139</v>
      </c>
      <c r="L39" s="36" t="s">
        <v>139</v>
      </c>
      <c r="M39" s="36" t="s">
        <v>139</v>
      </c>
      <c r="N39" s="36" t="s">
        <v>139</v>
      </c>
      <c r="O39" s="36" t="s">
        <v>139</v>
      </c>
      <c r="P39" s="36" t="s">
        <v>139</v>
      </c>
      <c r="Q39" s="36" t="s">
        <v>139</v>
      </c>
      <c r="R39" s="36" t="s">
        <v>139</v>
      </c>
      <c r="S39" s="36" t="s">
        <v>139</v>
      </c>
      <c r="T39" s="36" t="s">
        <v>139</v>
      </c>
      <c r="U39" s="36" t="s">
        <v>139</v>
      </c>
      <c r="V39" s="36" t="s">
        <v>139</v>
      </c>
      <c r="W39" s="36" t="s">
        <v>139</v>
      </c>
      <c r="X39" s="36" t="s">
        <v>139</v>
      </c>
      <c r="Y39" s="36" t="s">
        <v>139</v>
      </c>
      <c r="Z39" s="36" t="s">
        <v>139</v>
      </c>
      <c r="AA39" s="36" t="s">
        <v>139</v>
      </c>
      <c r="AB39" s="36" t="s">
        <v>139</v>
      </c>
      <c r="AC39" s="36" t="s">
        <v>139</v>
      </c>
      <c r="AD39" s="36" t="s">
        <v>139</v>
      </c>
      <c r="AE39" s="36" t="s">
        <v>139</v>
      </c>
      <c r="AF39" s="36" t="s">
        <v>139</v>
      </c>
      <c r="AG39" s="36" t="s">
        <v>139</v>
      </c>
      <c r="AH39" s="36" t="s">
        <v>139</v>
      </c>
      <c r="AI39" s="36" t="s">
        <v>139</v>
      </c>
      <c r="AJ39" s="36" t="s">
        <v>139</v>
      </c>
      <c r="AK39" s="36" t="s">
        <v>139</v>
      </c>
      <c r="AL39" s="36" t="s">
        <v>139</v>
      </c>
      <c r="AM39" s="36" t="s">
        <v>139</v>
      </c>
      <c r="AN39" s="36" t="s">
        <v>139</v>
      </c>
      <c r="AO39" s="36" t="s">
        <v>139</v>
      </c>
      <c r="AP39" s="36" t="s">
        <v>139</v>
      </c>
      <c r="AQ39" s="36" t="s">
        <v>139</v>
      </c>
      <c r="AR39" s="36" t="s">
        <v>139</v>
      </c>
      <c r="AS39" s="36" t="s">
        <v>139</v>
      </c>
      <c r="AT39" s="36" t="s">
        <v>139</v>
      </c>
      <c r="AU39" s="36" t="s">
        <v>139</v>
      </c>
      <c r="AV39" s="36" t="s">
        <v>139</v>
      </c>
      <c r="AW39" s="36" t="s">
        <v>139</v>
      </c>
      <c r="AX39" s="36" t="s">
        <v>139</v>
      </c>
      <c r="AY39" s="36" t="s">
        <v>139</v>
      </c>
      <c r="AZ39" s="36" t="s">
        <v>139</v>
      </c>
      <c r="BA39" s="36" t="s">
        <v>139</v>
      </c>
      <c r="BB39" s="36" t="s">
        <v>139</v>
      </c>
      <c r="BC39" s="36" t="s">
        <v>139</v>
      </c>
      <c r="BD39" s="36" t="s">
        <v>139</v>
      </c>
      <c r="BE39" s="36" t="s">
        <v>139</v>
      </c>
      <c r="BF39" s="36" t="s">
        <v>139</v>
      </c>
      <c r="BG39" s="36" t="s">
        <v>139</v>
      </c>
      <c r="BH39" s="36" t="s">
        <v>139</v>
      </c>
      <c r="BI39" s="36" t="s">
        <v>139</v>
      </c>
      <c r="BJ39" s="36" t="s">
        <v>139</v>
      </c>
      <c r="BK39" s="36" t="s">
        <v>139</v>
      </c>
      <c r="BL39" s="36" t="s">
        <v>139</v>
      </c>
      <c r="BM39" s="36" t="s">
        <v>139</v>
      </c>
      <c r="BN39" s="36" t="s">
        <v>139</v>
      </c>
      <c r="BO39" s="36" t="s">
        <v>139</v>
      </c>
      <c r="BP39" s="36" t="s">
        <v>139</v>
      </c>
      <c r="BQ39" s="36" t="s">
        <v>139</v>
      </c>
      <c r="BR39" s="36" t="s">
        <v>139</v>
      </c>
      <c r="BS39" s="36" t="s">
        <v>139</v>
      </c>
      <c r="BT39" s="36" t="s">
        <v>139</v>
      </c>
      <c r="BU39" s="36" t="s">
        <v>139</v>
      </c>
      <c r="BV39" s="36" t="s">
        <v>139</v>
      </c>
      <c r="BW39" s="36" t="s">
        <v>139</v>
      </c>
      <c r="BX39" s="36" t="s">
        <v>139</v>
      </c>
      <c r="BY39" s="36" t="s">
        <v>139</v>
      </c>
      <c r="BZ39" s="36" t="s">
        <v>139</v>
      </c>
      <c r="CA39" s="36" t="s">
        <v>139</v>
      </c>
      <c r="CB39" s="36" t="s">
        <v>139</v>
      </c>
      <c r="CC39" s="36" t="s">
        <v>139</v>
      </c>
      <c r="CD39" s="36" t="s">
        <v>139</v>
      </c>
      <c r="CE39" s="36" t="s">
        <v>139</v>
      </c>
      <c r="CF39" s="36" t="s">
        <v>139</v>
      </c>
      <c r="CG39" s="36" t="s">
        <v>139</v>
      </c>
      <c r="CH39" s="36" t="s">
        <v>139</v>
      </c>
      <c r="CI39" s="36" t="s">
        <v>139</v>
      </c>
      <c r="CJ39" s="36" t="s">
        <v>139</v>
      </c>
      <c r="CK39" s="36" t="s">
        <v>139</v>
      </c>
      <c r="CL39" s="36" t="s">
        <v>139</v>
      </c>
      <c r="CM39" s="36" t="s">
        <v>139</v>
      </c>
      <c r="CN39" s="36" t="s">
        <v>139</v>
      </c>
      <c r="CO39" s="36" t="s">
        <v>139</v>
      </c>
      <c r="CP39" s="36" t="s">
        <v>139</v>
      </c>
      <c r="CQ39" s="36" t="s">
        <v>139</v>
      </c>
      <c r="CR39" s="36" t="s">
        <v>139</v>
      </c>
      <c r="CS39" s="36" t="s">
        <v>139</v>
      </c>
      <c r="CT39" s="36" t="s">
        <v>139</v>
      </c>
      <c r="CU39" s="36" t="s">
        <v>139</v>
      </c>
      <c r="CV39" s="36" t="s">
        <v>139</v>
      </c>
      <c r="CW39" s="36" t="s">
        <v>139</v>
      </c>
      <c r="CX39" s="36" t="s">
        <v>139</v>
      </c>
      <c r="CY39" s="36" t="s">
        <v>139</v>
      </c>
      <c r="CZ39" s="36" t="s">
        <v>139</v>
      </c>
      <c r="DA39" s="36" t="s">
        <v>139</v>
      </c>
      <c r="DB39" s="36" t="s">
        <v>139</v>
      </c>
      <c r="DC39" s="36" t="s">
        <v>139</v>
      </c>
      <c r="DD39" s="36" t="s">
        <v>139</v>
      </c>
      <c r="DE39" s="36" t="s">
        <v>139</v>
      </c>
      <c r="DF39" s="36" t="s">
        <v>139</v>
      </c>
      <c r="DG39" s="36" t="s">
        <v>139</v>
      </c>
      <c r="DH39" s="36" t="s">
        <v>139</v>
      </c>
      <c r="DI39" s="36" t="s">
        <v>139</v>
      </c>
      <c r="DJ39" s="36" t="s">
        <v>139</v>
      </c>
      <c r="DK39" s="36" t="s">
        <v>139</v>
      </c>
      <c r="DL39" s="36" t="s">
        <v>139</v>
      </c>
      <c r="DM39" s="36" t="s">
        <v>139</v>
      </c>
      <c r="DN39" s="36" t="s">
        <v>139</v>
      </c>
      <c r="DO39" s="36" t="s">
        <v>139</v>
      </c>
      <c r="DP39" s="36" t="s">
        <v>139</v>
      </c>
      <c r="DQ39" s="36" t="s">
        <v>139</v>
      </c>
      <c r="DR39" s="36" t="s">
        <v>139</v>
      </c>
      <c r="DS39" s="36" t="s">
        <v>139</v>
      </c>
      <c r="DT39" s="36" t="s">
        <v>139</v>
      </c>
      <c r="DU39" s="36" t="s">
        <v>139</v>
      </c>
      <c r="DV39" s="36" t="s">
        <v>139</v>
      </c>
      <c r="DW39" s="36" t="s">
        <v>139</v>
      </c>
      <c r="DX39" s="36" t="s">
        <v>139</v>
      </c>
      <c r="DY39" s="36" t="s">
        <v>139</v>
      </c>
      <c r="DZ39" s="36" t="s">
        <v>139</v>
      </c>
      <c r="EA39" s="36" t="s">
        <v>139</v>
      </c>
      <c r="EB39" s="36" t="s">
        <v>139</v>
      </c>
      <c r="EC39" s="36" t="s">
        <v>139</v>
      </c>
      <c r="ED39" s="36" t="s">
        <v>139</v>
      </c>
      <c r="EE39" s="36" t="s">
        <v>139</v>
      </c>
      <c r="EF39" s="36" t="s">
        <v>139</v>
      </c>
      <c r="EG39" s="36" t="s">
        <v>139</v>
      </c>
      <c r="EH39" s="36" t="s">
        <v>139</v>
      </c>
      <c r="EI39" s="36" t="s">
        <v>139</v>
      </c>
      <c r="EJ39" s="36" t="s">
        <v>139</v>
      </c>
      <c r="EK39" s="36" t="s">
        <v>139</v>
      </c>
      <c r="EL39" s="36" t="s">
        <v>139</v>
      </c>
      <c r="EM39" s="36" t="s">
        <v>139</v>
      </c>
      <c r="EN39" s="36" t="s">
        <v>139</v>
      </c>
      <c r="EO39" s="36" t="s">
        <v>139</v>
      </c>
      <c r="EP39" s="36" t="s">
        <v>139</v>
      </c>
      <c r="EQ39" s="36" t="s">
        <v>139</v>
      </c>
      <c r="ER39" s="36" t="s">
        <v>139</v>
      </c>
      <c r="ES39" s="36" t="s">
        <v>139</v>
      </c>
      <c r="ET39" s="36" t="s">
        <v>139</v>
      </c>
      <c r="EU39" s="36" t="s">
        <v>139</v>
      </c>
      <c r="EV39" s="36" t="s">
        <v>139</v>
      </c>
      <c r="EW39" s="36" t="s">
        <v>139</v>
      </c>
      <c r="EX39" s="36" t="s">
        <v>139</v>
      </c>
      <c r="EY39" s="36" t="s">
        <v>139</v>
      </c>
      <c r="EZ39" s="36" t="s">
        <v>139</v>
      </c>
      <c r="FA39" s="36" t="s">
        <v>139</v>
      </c>
      <c r="FB39" s="36" t="s">
        <v>139</v>
      </c>
      <c r="FC39" s="36" t="s">
        <v>139</v>
      </c>
      <c r="FD39" s="36" t="s">
        <v>139</v>
      </c>
      <c r="FE39" s="36" t="s">
        <v>139</v>
      </c>
      <c r="FF39" s="36" t="s">
        <v>139</v>
      </c>
      <c r="FG39" s="36" t="s">
        <v>139</v>
      </c>
      <c r="FH39" s="36" t="s">
        <v>139</v>
      </c>
      <c r="FI39" s="36" t="s">
        <v>139</v>
      </c>
      <c r="FJ39" s="36" t="s">
        <v>139</v>
      </c>
      <c r="FK39" s="36" t="s">
        <v>139</v>
      </c>
      <c r="FL39" s="36" t="s">
        <v>139</v>
      </c>
      <c r="FM39" s="36" t="s">
        <v>139</v>
      </c>
      <c r="FN39" s="36" t="s">
        <v>139</v>
      </c>
      <c r="FO39" s="36" t="s">
        <v>139</v>
      </c>
      <c r="FP39" s="36" t="s">
        <v>139</v>
      </c>
      <c r="FQ39" s="36" t="s">
        <v>139</v>
      </c>
      <c r="FR39" s="36" t="s">
        <v>139</v>
      </c>
      <c r="FS39" s="36" t="s">
        <v>139</v>
      </c>
      <c r="FT39" s="36" t="s">
        <v>139</v>
      </c>
      <c r="FU39" s="36" t="s">
        <v>139</v>
      </c>
      <c r="FV39" s="36" t="s">
        <v>139</v>
      </c>
      <c r="FW39" s="36" t="s">
        <v>139</v>
      </c>
      <c r="FX39" s="36" t="s">
        <v>139</v>
      </c>
      <c r="FY39" s="36" t="s">
        <v>139</v>
      </c>
      <c r="FZ39" s="36" t="s">
        <v>139</v>
      </c>
      <c r="GA39" s="36" t="s">
        <v>139</v>
      </c>
      <c r="GB39" s="36" t="s">
        <v>139</v>
      </c>
      <c r="GC39" s="36" t="s">
        <v>139</v>
      </c>
      <c r="GD39" s="36" t="s">
        <v>139</v>
      </c>
      <c r="GE39" s="36" t="s">
        <v>139</v>
      </c>
      <c r="GF39" s="36" t="s">
        <v>139</v>
      </c>
      <c r="GG39" s="36" t="s">
        <v>139</v>
      </c>
      <c r="GH39" s="36" t="s">
        <v>139</v>
      </c>
      <c r="GI39" s="36" t="s">
        <v>139</v>
      </c>
      <c r="GJ39" s="36" t="s">
        <v>139</v>
      </c>
      <c r="GK39" s="36" t="s">
        <v>139</v>
      </c>
      <c r="GL39" s="36" t="s">
        <v>139</v>
      </c>
      <c r="GM39" s="36" t="s">
        <v>139</v>
      </c>
      <c r="GN39" s="36" t="s">
        <v>139</v>
      </c>
      <c r="GO39" s="36" t="s">
        <v>139</v>
      </c>
      <c r="GP39" s="36" t="s">
        <v>139</v>
      </c>
      <c r="GQ39" s="36" t="s">
        <v>139</v>
      </c>
      <c r="GR39" s="36" t="s">
        <v>139</v>
      </c>
      <c r="GS39" s="36" t="s">
        <v>139</v>
      </c>
      <c r="GT39" s="36" t="s">
        <v>139</v>
      </c>
      <c r="GU39" s="36" t="s">
        <v>139</v>
      </c>
      <c r="GV39" s="36" t="s">
        <v>139</v>
      </c>
      <c r="GW39" s="36" t="s">
        <v>139</v>
      </c>
      <c r="GX39" s="36" t="s">
        <v>139</v>
      </c>
      <c r="GY39" s="36" t="s">
        <v>139</v>
      </c>
      <c r="GZ39" s="36" t="s">
        <v>139</v>
      </c>
      <c r="HA39" s="36" t="s">
        <v>139</v>
      </c>
      <c r="HB39" s="36" t="s">
        <v>139</v>
      </c>
      <c r="HC39" s="36" t="s">
        <v>139</v>
      </c>
      <c r="HD39" s="36" t="s">
        <v>139</v>
      </c>
      <c r="HE39" s="36" t="s">
        <v>139</v>
      </c>
      <c r="HF39" s="36" t="s">
        <v>139</v>
      </c>
      <c r="HG39" s="36" t="s">
        <v>139</v>
      </c>
      <c r="HH39" s="36" t="s">
        <v>139</v>
      </c>
      <c r="HI39" s="36" t="s">
        <v>139</v>
      </c>
      <c r="HJ39" s="36" t="s">
        <v>139</v>
      </c>
      <c r="HK39" s="36" t="s">
        <v>139</v>
      </c>
      <c r="HL39" s="36" t="s">
        <v>139</v>
      </c>
      <c r="HM39" s="36" t="s">
        <v>139</v>
      </c>
      <c r="HN39" s="36" t="s">
        <v>139</v>
      </c>
      <c r="HO39" s="36" t="s">
        <v>139</v>
      </c>
      <c r="HP39" s="36" t="s">
        <v>139</v>
      </c>
      <c r="HQ39" s="36" t="s">
        <v>139</v>
      </c>
      <c r="HR39" s="36" t="s">
        <v>139</v>
      </c>
      <c r="HS39" s="36" t="s">
        <v>139</v>
      </c>
      <c r="HT39" s="36" t="s">
        <v>139</v>
      </c>
      <c r="HU39" s="36" t="s">
        <v>139</v>
      </c>
      <c r="HV39" s="36" t="s">
        <v>139</v>
      </c>
      <c r="HW39" s="36" t="s">
        <v>139</v>
      </c>
      <c r="HX39" s="36" t="s">
        <v>139</v>
      </c>
      <c r="HY39" s="36" t="s">
        <v>139</v>
      </c>
      <c r="HZ39" s="36" t="s">
        <v>139</v>
      </c>
      <c r="IA39" s="36" t="s">
        <v>139</v>
      </c>
      <c r="IB39" s="36" t="s">
        <v>139</v>
      </c>
      <c r="IC39" s="36" t="s">
        <v>139</v>
      </c>
      <c r="ID39" s="36" t="s">
        <v>139</v>
      </c>
      <c r="IE39" s="36" t="s">
        <v>139</v>
      </c>
      <c r="IF39" s="36" t="s">
        <v>139</v>
      </c>
      <c r="IG39" s="36" t="s">
        <v>139</v>
      </c>
      <c r="IH39" s="36" t="s">
        <v>139</v>
      </c>
      <c r="II39" s="36" t="s">
        <v>139</v>
      </c>
      <c r="IJ39" s="36" t="s">
        <v>139</v>
      </c>
      <c r="IK39" s="36" t="s">
        <v>139</v>
      </c>
      <c r="IL39" s="36" t="s">
        <v>139</v>
      </c>
      <c r="IM39" s="36" t="s">
        <v>139</v>
      </c>
      <c r="IN39" s="36" t="s">
        <v>139</v>
      </c>
      <c r="IO39" s="36" t="s">
        <v>139</v>
      </c>
      <c r="IP39" s="36" t="s">
        <v>139</v>
      </c>
      <c r="IQ39" s="36" t="s">
        <v>139</v>
      </c>
      <c r="IR39" s="36" t="s">
        <v>139</v>
      </c>
      <c r="IS39" s="36" t="s">
        <v>139</v>
      </c>
      <c r="IT39" s="36" t="s">
        <v>139</v>
      </c>
      <c r="IU39" s="36" t="s">
        <v>139</v>
      </c>
      <c r="IV39" s="36" t="s">
        <v>139</v>
      </c>
      <c r="IW39" s="36" t="s">
        <v>139</v>
      </c>
      <c r="IX39" s="36" t="s">
        <v>139</v>
      </c>
      <c r="IY39" s="36" t="s">
        <v>139</v>
      </c>
      <c r="IZ39" s="36" t="s">
        <v>139</v>
      </c>
      <c r="JA39" s="36" t="s">
        <v>139</v>
      </c>
      <c r="JB39" s="36" t="s">
        <v>139</v>
      </c>
      <c r="JC39" s="36" t="s">
        <v>139</v>
      </c>
      <c r="JD39" s="36" t="s">
        <v>139</v>
      </c>
      <c r="JE39" s="36" t="s">
        <v>139</v>
      </c>
      <c r="JF39" s="36" t="s">
        <v>139</v>
      </c>
      <c r="JG39" s="36" t="s">
        <v>139</v>
      </c>
      <c r="JH39" s="36" t="s">
        <v>139</v>
      </c>
      <c r="JI39" s="36" t="s">
        <v>139</v>
      </c>
      <c r="JJ39" s="36" t="s">
        <v>139</v>
      </c>
      <c r="JK39" s="36" t="s">
        <v>139</v>
      </c>
      <c r="JL39" s="36" t="s">
        <v>139</v>
      </c>
      <c r="JM39" s="36" t="s">
        <v>139</v>
      </c>
      <c r="JN39" s="36" t="s">
        <v>139</v>
      </c>
      <c r="JO39" s="36" t="s">
        <v>139</v>
      </c>
      <c r="JP39" s="36" t="s">
        <v>139</v>
      </c>
      <c r="JQ39" s="36" t="s">
        <v>139</v>
      </c>
      <c r="JR39" s="36" t="s">
        <v>139</v>
      </c>
      <c r="JS39" s="36" t="s">
        <v>139</v>
      </c>
      <c r="JT39" s="36" t="s">
        <v>139</v>
      </c>
      <c r="JU39" s="36" t="s">
        <v>139</v>
      </c>
      <c r="JV39" s="36" t="s">
        <v>139</v>
      </c>
      <c r="JW39" s="36" t="s">
        <v>139</v>
      </c>
      <c r="JX39" s="36" t="s">
        <v>139</v>
      </c>
      <c r="JY39" s="36" t="s">
        <v>139</v>
      </c>
      <c r="JZ39" s="36" t="s">
        <v>139</v>
      </c>
      <c r="KA39" s="36" t="s">
        <v>139</v>
      </c>
      <c r="KB39" s="36" t="s">
        <v>139</v>
      </c>
      <c r="KC39" s="36" t="s">
        <v>139</v>
      </c>
      <c r="KD39" s="36" t="s">
        <v>139</v>
      </c>
      <c r="KE39" s="36" t="s">
        <v>139</v>
      </c>
      <c r="KF39" s="36" t="s">
        <v>139</v>
      </c>
      <c r="KG39" s="36" t="s">
        <v>139</v>
      </c>
      <c r="KH39" s="36" t="s">
        <v>139</v>
      </c>
      <c r="KI39" s="36" t="s">
        <v>139</v>
      </c>
      <c r="KJ39" s="36" t="s">
        <v>139</v>
      </c>
      <c r="KK39" s="36" t="s">
        <v>139</v>
      </c>
      <c r="KL39" s="36" t="s">
        <v>139</v>
      </c>
      <c r="KM39" s="36" t="s">
        <v>139</v>
      </c>
      <c r="KN39" s="36" t="s">
        <v>139</v>
      </c>
      <c r="KO39" s="36" t="s">
        <v>139</v>
      </c>
      <c r="KP39" s="36" t="s">
        <v>139</v>
      </c>
      <c r="KQ39" s="36" t="s">
        <v>139</v>
      </c>
      <c r="KR39" s="36" t="s">
        <v>139</v>
      </c>
      <c r="KS39" s="36" t="s">
        <v>139</v>
      </c>
      <c r="KT39" s="36" t="s">
        <v>139</v>
      </c>
      <c r="KU39" s="36" t="s">
        <v>139</v>
      </c>
      <c r="KV39" s="36" t="s">
        <v>139</v>
      </c>
      <c r="KW39" s="36" t="s">
        <v>139</v>
      </c>
      <c r="KX39" s="36" t="s">
        <v>139</v>
      </c>
      <c r="KY39" s="36" t="s">
        <v>139</v>
      </c>
      <c r="KZ39" s="36" t="s">
        <v>139</v>
      </c>
      <c r="LA39" s="36" t="s">
        <v>139</v>
      </c>
      <c r="LB39" s="36" t="s">
        <v>139</v>
      </c>
      <c r="LC39" s="36" t="s">
        <v>139</v>
      </c>
      <c r="LD39" s="36" t="s">
        <v>139</v>
      </c>
      <c r="LE39" s="36" t="s">
        <v>139</v>
      </c>
      <c r="LF39" s="36" t="s">
        <v>139</v>
      </c>
      <c r="LG39" s="36" t="s">
        <v>139</v>
      </c>
      <c r="LH39" s="36" t="s">
        <v>139</v>
      </c>
      <c r="LI39" s="36" t="s">
        <v>139</v>
      </c>
      <c r="LJ39" s="36" t="s">
        <v>139</v>
      </c>
      <c r="LK39" s="36" t="s">
        <v>139</v>
      </c>
      <c r="LL39" s="36" t="s">
        <v>139</v>
      </c>
      <c r="LM39" s="36" t="s">
        <v>139</v>
      </c>
      <c r="LN39" s="36" t="s">
        <v>139</v>
      </c>
      <c r="LO39" s="36" t="s">
        <v>139</v>
      </c>
      <c r="LP39" s="36" t="s">
        <v>139</v>
      </c>
      <c r="LQ39" s="36" t="s">
        <v>139</v>
      </c>
      <c r="LR39" s="36" t="s">
        <v>139</v>
      </c>
      <c r="LS39" s="36" t="s">
        <v>139</v>
      </c>
      <c r="LT39" s="36" t="s">
        <v>139</v>
      </c>
      <c r="LU39" s="36" t="s">
        <v>139</v>
      </c>
      <c r="LV39" s="36" t="s">
        <v>139</v>
      </c>
      <c r="LW39" s="36" t="s">
        <v>139</v>
      </c>
      <c r="LX39" s="36" t="s">
        <v>139</v>
      </c>
      <c r="LY39" s="36" t="s">
        <v>139</v>
      </c>
      <c r="LZ39" s="36" t="s">
        <v>139</v>
      </c>
      <c r="MA39" s="36" t="s">
        <v>139</v>
      </c>
      <c r="MB39" s="36" t="s">
        <v>139</v>
      </c>
      <c r="MC39" s="36" t="s">
        <v>139</v>
      </c>
      <c r="MD39" s="36" t="s">
        <v>139</v>
      </c>
      <c r="ME39" s="36" t="s">
        <v>139</v>
      </c>
      <c r="MF39" s="36" t="s">
        <v>139</v>
      </c>
      <c r="MG39" s="36" t="s">
        <v>139</v>
      </c>
      <c r="MH39" s="36" t="s">
        <v>139</v>
      </c>
      <c r="MI39" s="36" t="s">
        <v>139</v>
      </c>
      <c r="MJ39" s="36" t="s">
        <v>139</v>
      </c>
      <c r="MK39" s="36" t="s">
        <v>139</v>
      </c>
      <c r="ML39" s="36" t="s">
        <v>139</v>
      </c>
      <c r="MM39" s="36" t="s">
        <v>139</v>
      </c>
      <c r="MN39" s="36" t="s">
        <v>139</v>
      </c>
      <c r="MO39" s="36" t="s">
        <v>139</v>
      </c>
      <c r="MP39" s="36" t="s">
        <v>139</v>
      </c>
      <c r="MQ39" s="36" t="s">
        <v>139</v>
      </c>
      <c r="MR39" s="36" t="s">
        <v>139</v>
      </c>
      <c r="MS39" s="36" t="s">
        <v>139</v>
      </c>
      <c r="MT39" s="36" t="s">
        <v>139</v>
      </c>
      <c r="MU39" s="36" t="s">
        <v>139</v>
      </c>
      <c r="MV39" s="36" t="s">
        <v>139</v>
      </c>
      <c r="MW39" s="36" t="s">
        <v>139</v>
      </c>
      <c r="MX39" s="36" t="s">
        <v>139</v>
      </c>
      <c r="MY39" s="36" t="s">
        <v>139</v>
      </c>
      <c r="MZ39" s="36" t="s">
        <v>139</v>
      </c>
      <c r="NA39" s="36" t="s">
        <v>139</v>
      </c>
      <c r="NB39" s="36" t="s">
        <v>139</v>
      </c>
      <c r="NC39" s="36" t="s">
        <v>139</v>
      </c>
      <c r="ND39" s="36" t="s">
        <v>139</v>
      </c>
      <c r="NE39" s="36" t="s">
        <v>139</v>
      </c>
      <c r="NF39" s="36" t="s">
        <v>139</v>
      </c>
      <c r="NG39" s="36" t="s">
        <v>139</v>
      </c>
      <c r="NH39" s="36" t="s">
        <v>139</v>
      </c>
      <c r="NI39" s="36" t="s">
        <v>139</v>
      </c>
      <c r="NJ39" s="36" t="s">
        <v>139</v>
      </c>
      <c r="NK39" s="36" t="s">
        <v>139</v>
      </c>
      <c r="NL39" s="36" t="s">
        <v>139</v>
      </c>
      <c r="NM39" s="36" t="s">
        <v>139</v>
      </c>
      <c r="NN39" s="36" t="s">
        <v>139</v>
      </c>
      <c r="NO39" s="36" t="s">
        <v>139</v>
      </c>
      <c r="NP39" s="36" t="s">
        <v>139</v>
      </c>
      <c r="NQ39" s="36" t="s">
        <v>139</v>
      </c>
      <c r="NR39" s="36" t="s">
        <v>139</v>
      </c>
      <c r="NS39" s="36" t="s">
        <v>139</v>
      </c>
      <c r="NT39" s="36" t="s">
        <v>139</v>
      </c>
      <c r="NU39" s="36" t="s">
        <v>139</v>
      </c>
      <c r="NV39" s="36" t="s">
        <v>139</v>
      </c>
      <c r="NW39" s="36" t="s">
        <v>139</v>
      </c>
      <c r="NX39" s="36" t="s">
        <v>139</v>
      </c>
      <c r="NY39" s="36" t="s">
        <v>139</v>
      </c>
      <c r="NZ39" s="36" t="s">
        <v>139</v>
      </c>
      <c r="OA39" s="36" t="s">
        <v>139</v>
      </c>
      <c r="OB39" s="36" t="s">
        <v>139</v>
      </c>
      <c r="OC39" s="36" t="s">
        <v>139</v>
      </c>
      <c r="OD39" s="36" t="s">
        <v>139</v>
      </c>
      <c r="OE39" s="36" t="s">
        <v>139</v>
      </c>
      <c r="OF39" s="36" t="s">
        <v>139</v>
      </c>
      <c r="OG39" s="36" t="s">
        <v>139</v>
      </c>
      <c r="OH39" s="36" t="s">
        <v>139</v>
      </c>
      <c r="OI39" s="36" t="s">
        <v>139</v>
      </c>
      <c r="OJ39" s="36" t="s">
        <v>139</v>
      </c>
      <c r="OK39" s="36" t="s">
        <v>139</v>
      </c>
      <c r="OL39" s="36" t="s">
        <v>139</v>
      </c>
      <c r="OM39" s="36" t="s">
        <v>139</v>
      </c>
      <c r="ON39" s="36" t="s">
        <v>139</v>
      </c>
      <c r="OO39" s="36" t="s">
        <v>139</v>
      </c>
      <c r="OP39" s="36" t="s">
        <v>139</v>
      </c>
      <c r="OQ39" s="36" t="s">
        <v>139</v>
      </c>
      <c r="OR39" s="36" t="s">
        <v>139</v>
      </c>
      <c r="OS39" s="36" t="s">
        <v>139</v>
      </c>
      <c r="OT39" s="36" t="s">
        <v>139</v>
      </c>
      <c r="OU39" s="36" t="s">
        <v>139</v>
      </c>
      <c r="OV39" s="36" t="s">
        <v>139</v>
      </c>
      <c r="OW39" s="36" t="s">
        <v>139</v>
      </c>
      <c r="OX39" s="36" t="s">
        <v>139</v>
      </c>
      <c r="OY39" s="36" t="s">
        <v>139</v>
      </c>
      <c r="OZ39" s="36" t="s">
        <v>139</v>
      </c>
      <c r="PA39" s="36" t="s">
        <v>139</v>
      </c>
      <c r="PB39" s="36" t="s">
        <v>139</v>
      </c>
      <c r="PC39" s="36" t="s">
        <v>139</v>
      </c>
      <c r="PD39" s="36" t="s">
        <v>139</v>
      </c>
      <c r="PE39" s="36" t="s">
        <v>139</v>
      </c>
      <c r="PF39" s="36" t="s">
        <v>139</v>
      </c>
      <c r="PG39" s="36" t="s">
        <v>139</v>
      </c>
      <c r="PH39" s="36" t="s">
        <v>139</v>
      </c>
      <c r="PI39" s="36" t="s">
        <v>139</v>
      </c>
      <c r="PJ39" s="36" t="s">
        <v>139</v>
      </c>
      <c r="PK39" s="36" t="s">
        <v>139</v>
      </c>
      <c r="PL39" s="36" t="s">
        <v>139</v>
      </c>
      <c r="PM39" s="36" t="s">
        <v>139</v>
      </c>
      <c r="PN39" s="36" t="s">
        <v>139</v>
      </c>
      <c r="PO39" s="74">
        <f>COUNTIFS($C$27:$PN$27,("&lt;"&amp;$B$3),$C$27:$PN$27,("&gt;="&amp;$B$2),$C39:$PN39,TabAsistencias[[#Headers],[1]])</f>
        <v>30</v>
      </c>
      <c r="PP39" s="74">
        <f>COUNTIFS($C$27:$PN$27,("&lt;"&amp;$B$3),$C$27:$PN$27,("&gt;="&amp;$B$2),$C39:$PN39,TabAsistencias[[#Headers],[E]])</f>
        <v>0</v>
      </c>
      <c r="PQ39" s="74">
        <f>COUNTIFS($C$27:$PN$27,("&lt;"&amp;$B$3),$C$27:$PN$27,("&gt;="&amp;$B$2),$C39:$PN39,TabAsistencias[[#Headers],[DE]])</f>
        <v>0</v>
      </c>
      <c r="PR39" s="74">
        <f>COUNTIFS($C$27:$PN$27,("&lt;"&amp;$B$3),$C$27:$PN$27,("&gt;="&amp;$B$2),$C39:$PN39,TabAsistencias[[#Headers],[V]])</f>
        <v>0</v>
      </c>
      <c r="PS39" s="74">
        <f>COUNTIFS($C$27:$PN$27,("&lt;"&amp;$B$3),$C$27:$PN$27,("&gt;="&amp;$B$2),$C39:$PN39,TabAsistencias[[#Headers],[DO]])</f>
        <v>0</v>
      </c>
      <c r="PT39" s="74">
        <f>COUNTIFS($C$27:$PN$27,("&lt;"&amp;$B$3),$C$27:$PN$27,("&gt;="&amp;$B$2),$C39:$PN39,TabAsistencias[[#Headers],[P]])</f>
        <v>0</v>
      </c>
      <c r="PU39" s="74">
        <f>COUNTIFS($C$27:$PN$27,("&lt;"&amp;$B$3),$C$27:$PN$27,("&gt;="&amp;$B$2),$C39:$PN39,TabAsistencias[[#Headers],[F]])</f>
        <v>0</v>
      </c>
      <c r="PV39" s="74">
        <f>COUNTIFS($C$27:$PN$27,("&lt;"&amp;$B$3),$C$27:$PN$27,("&gt;="&amp;$B$2),$C39:$PN39,TabAsistencias[[#Headers],[R]])</f>
        <v>0</v>
      </c>
      <c r="PW39" s="74">
        <f>COUNTIFS($C$27:$PN$27,("&lt;"&amp;$B$3),$C$27:$PN$27,("&gt;="&amp;$B$2),$C39:$PN39,TabAsistencias[[#Headers],[PP]])</f>
        <v>0</v>
      </c>
      <c r="PX39" s="74">
        <f>COUNTIFS($C$27:$PN$27,("&lt;"&amp;$B$3),$C$27:$PN$27,("&gt;="&amp;$B$2),$C39:$PN39,TabAsistencias[[#Headers],[0]])</f>
        <v>0</v>
      </c>
      <c r="PY39" s="74">
        <f>COUNTIFS($C$27:$PN$27,("&lt;"&amp;$B$3),$C$27:$PN$27,("&gt;="&amp;$B$2),$C39:$PN39,TabAsistencias[[#Headers],[IG]])</f>
        <v>0</v>
      </c>
      <c r="PZ39" s="74">
        <f>COUNTIFS($C$27:$PN$27,("&lt;"&amp;$B$3),$C$27:$PN$27,("&gt;="&amp;$B$2),$C39:$PN39,TabAsistencias[[#Headers],[NA]])</f>
        <v>0</v>
      </c>
      <c r="QA39" s="74">
        <f>COUNTIFS($C$27:$PN$27,("&lt;"&amp;$B$3),$C$27:$PN$27,("&gt;="&amp;$B$2),$C39:$PN39,TabAsistencias[[#Headers],[DF]])</f>
        <v>0</v>
      </c>
      <c r="QB39" s="74">
        <f>COUNTIFS($C$27:$PN$27,("&lt;"&amp;$B$3),$C$27:$PN$27,("&gt;="&amp;$B$2),$C39:$PN39,TabAsistencias[[#Headers],[3]])</f>
        <v>0</v>
      </c>
      <c r="QC39" s="74">
        <f>COUNTIFS($C$27:$PN$27,("&lt;"&amp;$B$3),$C$27:$PN$27,("&gt;="&amp;$B$2),$C39:$PN39,TabAsistencias[[#Headers],[CP]])</f>
        <v>0</v>
      </c>
      <c r="QD39" s="74">
        <f>COUNTIFS($C$27:$PN$27,("&lt;"&amp;$B$3),$C$27:$PN$27,("&gt;="&amp;$B$2),$C39:$PN39,TabAsistencias[[#Headers],[I]])</f>
        <v>0</v>
      </c>
      <c r="QE39" s="74">
        <f>COUNTIFS($C$27:$PN$27,("&lt;"&amp;$B$3),$C$27:$PN$27,("&gt;="&amp;$B$2),$C39:$PN39,TabAsistencias[[#Headers],[T/2]])</f>
        <v>0</v>
      </c>
      <c r="QF39" s="74">
        <f>COUNTIFS($C$27:$PN$27,("&lt;"&amp;$B$3),$C$27:$PN$27,("&gt;="&amp;$B$2),$C39:$PN39,TabAsistencias[[#Headers],[ME]])</f>
        <v>0</v>
      </c>
      <c r="QG39" s="74">
        <f>COUNTIFS($C$27:$PN$27,("&lt;"&amp;$B$3),$C$27:$PN$27,("&gt;="&amp;$B$2),$C39:$PN39,TabAsistencias[[#Headers],[DP]])</f>
        <v>0</v>
      </c>
      <c r="QH39" s="74">
        <f>COUNTIFS($C$27:$PN$27,("&lt;"&amp;$B$3),$C$27:$PN$27,("&gt;="&amp;$B$2),$C39:$PN39,TabAsistencias[[#Headers],[B]])</f>
        <v>0</v>
      </c>
      <c r="QI39" s="74">
        <f>(TabAsistencias[[#This Row],[1]]*'Tablas de informacion'!$C$124)+(TabAsistencias[[#This Row],[E]]*'Tablas de informacion'!$C$125)+(TabAsistencias[[#This Row],[DE]]*'Tablas de informacion'!C$126)+(TabAsistencias[[#This Row],[V]]*'Tablas de informacion'!C$127)+(TabAsistencias[[#This Row],[DO]]*'Tablas de informacion'!C$128)+(TabAsistencias[[#This Row],[P]]*'Tablas de informacion'!C$129)+(TabAsistencias[[#This Row],[F]]*'Tablas de informacion'!C$130)+(TabAsistencias[[#This Row],[R]]*'Tablas de informacion'!C$131)+(TabAsistencias[[#This Row],[PP]]*'Tablas de informacion'!C$132)+(TabAsistencias[[#This Row],[0]]*'Tablas de informacion'!C$133)+(TabAsistencias[[#This Row],[IG]]*'Tablas de informacion'!C$134)+(TabAsistencias[[#This Row],[NA]]*'Tablas de informacion'!C$135)+(TabAsistencias[[#This Row],[DF]]*'Tablas de informacion'!C$136)+(TabAsistencias[[#This Row],[3]]*'Tablas de informacion'!C$137)+(TabAsistencias[[#This Row],[CP]]*'Tablas de informacion'!C$138)+(TabAsistencias[[#This Row],[I]]*'Tablas de informacion'!C$139)+(TabAsistencias[[#This Row],[T/2]]*'Tablas de informacion'!C$140)+(TabAsistencias[[#This Row],[ME]]*'Tablas de informacion'!C$141)+(TabAsistencias[[#This Row],[DP]]*'Tablas de informacion'!C$142)+(TabAsistencias[[#This Row],[B]]*'Tablas de informacion'!C$143)-INT(TabAsistencias[[#This Row],[R]]/3)</f>
        <v>30</v>
      </c>
      <c r="QJ39" s="74">
        <f>COUNTIFS($C$27:$PN$27,("&lt;"&amp;$B$3),$C$27:$PN$27,("&gt;="&amp;$B$2),$C$28:$PN$28,1,$C39:$PN39,TabAsistencias[[#Headers],[1]])+
COUNTIFS($C$27:$PN$27,("&lt;"&amp;$B$3),$C$27:$PN$27,("&gt;="&amp;$B$2),$C$28:$PN$28,1,$C39:$PN39,TabAsistencias[[#Headers],[DO]])+
COUNTIFS($C$27:$PN$27,("&lt;"&amp;$B$3),$C$27:$PN$27,("&gt;="&amp;$B$2),$C$28:$PN$28,1,$C39:$PN39,TabAsistencias[[#Headers],[R]])+
COUNTIFS($C$27:$PN$27,("&lt;"&amp;$B$3),$C$27:$PN$27,("&gt;="&amp;$B$2),$C$28:$PN$28,1,$C39:$PN39,TabAsistencias[[#Headers],[NA]])+
COUNTIFS($C$27:$PN$27,("&lt;"&amp;$B$3),$C$27:$PN$27,("&gt;="&amp;$B$2),$C$28:$PN$28,1,$C39:$PN39,TabAsistencias[[#Headers],[DF]])+
COUNTIFS($C$27:$PN$27,("&lt;"&amp;$B$3),$C$27:$PN$27,("&gt;="&amp;$B$2),$C$28:$PN$28,1,$C39:$PN39,TabAsistencias[[#Headers],[3]])+
COUNTIFS($C$27:$PN$27,("&lt;"&amp;$B$3),$C$27:$PN$27,("&gt;="&amp;$B$2),$C$28:$PN$28,1,$C39:$PN39,TabAsistencias[[#Headers],[CP]])+
COUNTIFS($C$27:$PN$27,("&lt;"&amp;$B$3),$C$27:$PN$27,("&gt;="&amp;$B$2),$C$28:$PN$28,1,$C39:$PN39,TabAsistencias[[#Headers],[T/2]])</f>
        <v>4</v>
      </c>
      <c r="QK39" s="315" cm="1">
        <f t="array" ref="QK39">IFERROR(VLOOKUP(
DATEDIF((VLOOKUP(TabAsistencias[[#This Row],[ID]],TabEmpleados[],COLUMN(TabEmpleados[Fecha de ingreso]),FALSE)),Asistencias!$B$3,"Y"),
TabFactorIntegracion[],COLUMN(TabFactorIntegracion[Días vacacionales
establecidos por ley]),FALSE),0)
-
COUNTIF($AH39:$PN39,TabAsistencias[[#Headers],[V]])</f>
        <v>24</v>
      </c>
      <c r="QL39" s="319">
        <f>SUM(TabAsistencias[[#This Row],[''1]],TabAsistencias[[#This Row],[''DE]],TabAsistencias[[#This Row],[''DO]],TabAsistencias[[#This Row],[''R]],TabAsistencias[[#This Row],[''NA]],TabAsistencias[[#This Row],[''DF]],TabAsistencias[[#This Row],[''3]],TabAsistencias[[#This Row],[''CP]],TabAsistencias[[#This Row],[''T/2]],TabAsistencias[[#This Row],[''DP]])</f>
        <v>73</v>
      </c>
      <c r="QM39" s="314">
        <f>COUNTIFS($C$27:$PN$27,("&lt;"&amp;$B$5),$C$27:$PN$27,("&gt;="&amp;$B$4),$C39:$PN39,TabAsistencias[[#Headers],[1]])</f>
        <v>73</v>
      </c>
      <c r="QN39" s="314">
        <f>COUNTIFS($C$27:$PN$27,("&lt;"&amp;$B$5),$C$27:$PN$27,("&gt;="&amp;$B$4),$C39:$PN39,TabAsistencias[[#Headers],[DE]])</f>
        <v>0</v>
      </c>
      <c r="QO39" s="314">
        <f>COUNTIFS($C$27:$PN$27,("&lt;"&amp;$B$5),$C$27:$PN$27,("&gt;="&amp;$B$4),$C39:$PN39,TabAsistencias[[#Headers],[V]])</f>
        <v>0</v>
      </c>
      <c r="QP39" s="314">
        <f>COUNTIFS($C$27:$PN$27,("&lt;"&amp;$B$5),$C$27:$PN$27,("&gt;="&amp;$B$4),$C39:$PN39,TabAsistencias[[#Headers],[DO]])</f>
        <v>0</v>
      </c>
      <c r="QQ39" s="314">
        <f>COUNTIFS($C$27:$PN$27,("&lt;"&amp;$B$5),$C$27:$PN$27,("&gt;="&amp;$B$4),$C39:$PN39,TabAsistencias[[#Headers],[P]])</f>
        <v>0</v>
      </c>
      <c r="QR39" s="314">
        <f>COUNTIFS($C$27:$PN$27,("&lt;"&amp;$B$5),$C$27:$PN$27,("&gt;="&amp;$B$4),$C39:$PN39,TabAsistencias[[#Headers],[F]])</f>
        <v>0</v>
      </c>
      <c r="QS39" s="314">
        <f>COUNTIFS($C$27:$PN$27,("&lt;"&amp;$B$5),$C$27:$PN$27,("&gt;="&amp;$B$4),$C39:$PN39,TabAsistencias[[#Headers],[R]])</f>
        <v>0</v>
      </c>
      <c r="QT39" s="314">
        <f>COUNTIFS($C$27:$PN$27,("&lt;"&amp;$B$5),$C$27:$PN$27,("&gt;="&amp;$B$4),$C39:$PN39,TabAsistencias[[#Headers],[PP]])</f>
        <v>0</v>
      </c>
      <c r="QU39" s="314">
        <f>COUNTIFS($C$27:$PN$27,("&lt;"&amp;$B$5),$C$27:$PN$27,("&gt;="&amp;$B$4),$C39:$PN39,TabAsistencias[[#Headers],[0]])</f>
        <v>0</v>
      </c>
      <c r="QV39" s="314">
        <f>COUNTIFS($C$27:$PN$27,("&lt;"&amp;$B$5),$C$27:$PN$27,("&gt;="&amp;$B$4),$C39:$PN39,TabAsistencias[[#Headers],[IG]])</f>
        <v>0</v>
      </c>
      <c r="QW39" s="314">
        <f>COUNTIFS($C$27:$PN$27,("&lt;"&amp;$B$5),$C$27:$PN$27,("&gt;="&amp;$B$4),$C39:$PN39,TabAsistencias[[#Headers],[NA]])</f>
        <v>0</v>
      </c>
      <c r="QX39" s="314">
        <f>COUNTIFS($C$27:$PN$27,("&lt;"&amp;$B$5),$C$27:$PN$27,("&gt;="&amp;$B$4),$C39:$PN39,TabAsistencias[[#Headers],[DF]])</f>
        <v>0</v>
      </c>
      <c r="QY39" s="314">
        <f>COUNTIFS($C$27:$PN$27,("&lt;"&amp;$B$5),$C$27:$PN$27,("&gt;="&amp;$B$4),$C39:$PN39,TabAsistencias[[#Headers],[3]])</f>
        <v>0</v>
      </c>
      <c r="QZ39" s="314">
        <f>COUNTIFS($C$27:$PN$27,("&lt;"&amp;$B$5),$C$27:$PN$27,("&gt;="&amp;$B$4),$C39:$PN39,TabAsistencias[[#Headers],[CP]])</f>
        <v>0</v>
      </c>
      <c r="RA39" s="314">
        <f>COUNTIFS($C$27:$PN$27,("&lt;"&amp;$B$5),$C$27:$PN$27,("&gt;="&amp;$B$4),$C39:$PN39,TabAsistencias[[#Headers],[I]])</f>
        <v>0</v>
      </c>
      <c r="RB39" s="314">
        <f>COUNTIFS($C$27:$PN$27,("&lt;"&amp;$B$5),$C$27:$PN$27,("&gt;="&amp;$B$4),$C39:$PN39,TabAsistencias[[#Headers],[T/2]])</f>
        <v>0</v>
      </c>
      <c r="RC39" s="314">
        <f>COUNTIFS($C$27:$PN$27,("&lt;"&amp;$B$5),$C$27:$PN$27,("&gt;="&amp;$B$4),$C39:$PN39,TabAsistencias[[#Headers],[ME]])</f>
        <v>0</v>
      </c>
      <c r="RD39" s="314">
        <f>COUNTIFS($C$27:$PN$27,("&lt;"&amp;$B$5),$C$27:$PN$27,("&gt;="&amp;$B$4),$C39:$PN39,TabAsistencias[[#Headers],[DP]])</f>
        <v>0</v>
      </c>
      <c r="RE39" s="314">
        <f>COUNTIFS($C$27:$PN$27,("&lt;"&amp;$B$5),$C$27:$PN$27,("&gt;="&amp;$B$4),$C39:$PN39,TabAsistencias[[#Headers],[B]])</f>
        <v>0</v>
      </c>
      <c r="RF39" s="314">
        <f>COUNTIFS($C$27:$PN$27,("&lt;"&amp;$B$5),$C$27:$PN$27,("&gt;="&amp;$B$4),$C$28:$PN$28,1,$C39:$PN39,TabAsistencias[[#Headers],[1]])+
COUNTIFS($C$27:$PN$27,("&lt;"&amp;$B$5),$C$27:$PN$27,("&gt;="&amp;$B$4),$C$28:$PN$28,1,$C39:$PN39,TabAsistencias[[#Headers],[DO]])+
COUNTIFS($C$27:$PN$27,("&lt;"&amp;$B$5),$C$27:$PN$27,("&gt;="&amp;$B$4),$C$28:$PN$28,1,$C39:$PN39,TabAsistencias[[#Headers],[R]])+
COUNTIFS($C$27:$PN$27,("&lt;"&amp;$B$5),$C$27:$PN$27,("&gt;="&amp;$B$4),$C$28:$PN$28,1,$C39:$PN39,TabAsistencias[[#Headers],[NA]])+
COUNTIFS($C$27:$PN$27,("&lt;"&amp;$B$5),$C$27:$PN$27,("&gt;="&amp;$B$4),$C$28:$PN$28,1,$C39:$PN39,TabAsistencias[[#Headers],[DF]])+
COUNTIFS($C$27:$PN$27,("&lt;"&amp;$B$5),$C$27:$PN$27,("&gt;="&amp;$B$4),$C$28:$PN$28,1,$C39:$PN39,TabAsistencias[[#Headers],[3]])+
COUNTIFS($C$27:$PN$27,("&lt;"&amp;$B$5),$C$27:$PN$27,("&gt;="&amp;$B$4),$C$28:$PN$28,1,$C39:$PN39,TabAsistencias[[#Headers],[CP]])+
COUNTIFS($C$27:$PN$27,("&lt;"&amp;$B$5),$C$27:$PN$27,("&gt;="&amp;$B$4),$C$28:$PN$28,1,$C39:$PN39,TabAsistencias[[#Headers],[T/2]])</f>
        <v>11</v>
      </c>
      <c r="RG39" s="320" cm="1">
        <f t="array" ref="RG39">IFERROR(VLOOKUP(
DATEDIF((VLOOKUP(TabAsistencias[[#This Row],[ID]],TabEmpleados[],COLUMN(TabEmpleados[Fecha de alta NSS]),FALSE)),Asistencias!$B$3,"Y"),
TabFactorIntegracion[],COLUMN(TabFactorIntegracion[Días vacacionales
establecidos por ley]),FALSE),0)
-
COUNTIF($AH39:$PN39,TabAsistencias[[#Headers],[V]])</f>
        <v>0</v>
      </c>
    </row>
    <row r="40" spans="1:475" x14ac:dyDescent="0.25">
      <c r="A40" s="92">
        <f t="shared" si="434"/>
        <v>10</v>
      </c>
      <c r="B40" s="30" t="str" cm="1">
        <f t="array" ref="B40">VLOOKUP(TabAsistencias[[#This Row],[ID]],TabEmpleados[],COLUMN(TabEmpleados[Nombre]),FALSE)</f>
        <v>GALVAN HERNANDEZ FLOR SILVANA</v>
      </c>
      <c r="C40" s="36" t="s">
        <v>139</v>
      </c>
      <c r="D40" s="36" t="s">
        <v>139</v>
      </c>
      <c r="E40" s="36" t="s">
        <v>139</v>
      </c>
      <c r="F40" s="36" t="s">
        <v>139</v>
      </c>
      <c r="G40" s="36" t="s">
        <v>139</v>
      </c>
      <c r="H40" s="36" t="s">
        <v>139</v>
      </c>
      <c r="I40" s="36" t="s">
        <v>139</v>
      </c>
      <c r="J40" s="36" t="s">
        <v>139</v>
      </c>
      <c r="K40" s="36" t="s">
        <v>139</v>
      </c>
      <c r="L40" s="36" t="s">
        <v>139</v>
      </c>
      <c r="M40" s="36" t="s">
        <v>139</v>
      </c>
      <c r="N40" s="36" t="s">
        <v>139</v>
      </c>
      <c r="O40" s="36" t="s">
        <v>139</v>
      </c>
      <c r="P40" s="36" t="s">
        <v>139</v>
      </c>
      <c r="Q40" s="36" t="s">
        <v>139</v>
      </c>
      <c r="R40" s="36" t="s">
        <v>139</v>
      </c>
      <c r="S40" s="36" t="s">
        <v>139</v>
      </c>
      <c r="T40" s="36" t="s">
        <v>139</v>
      </c>
      <c r="U40" s="36" t="s">
        <v>139</v>
      </c>
      <c r="V40" s="36" t="s">
        <v>139</v>
      </c>
      <c r="W40" s="36" t="s">
        <v>139</v>
      </c>
      <c r="X40" s="36" t="s">
        <v>139</v>
      </c>
      <c r="Y40" s="36" t="s">
        <v>139</v>
      </c>
      <c r="Z40" s="36" t="s">
        <v>139</v>
      </c>
      <c r="AA40" s="36" t="s">
        <v>139</v>
      </c>
      <c r="AB40" s="36" t="s">
        <v>139</v>
      </c>
      <c r="AC40" s="36" t="s">
        <v>139</v>
      </c>
      <c r="AD40" s="36" t="s">
        <v>139</v>
      </c>
      <c r="AE40" s="36" t="s">
        <v>139</v>
      </c>
      <c r="AF40" s="36" t="s">
        <v>139</v>
      </c>
      <c r="AG40" s="36" t="s">
        <v>139</v>
      </c>
      <c r="AH40" s="36" t="s">
        <v>139</v>
      </c>
      <c r="AI40" s="36" t="s">
        <v>139</v>
      </c>
      <c r="AJ40" s="36" t="s">
        <v>139</v>
      </c>
      <c r="AK40" s="36" t="s">
        <v>139</v>
      </c>
      <c r="AL40" s="36" t="s">
        <v>139</v>
      </c>
      <c r="AM40" s="36" t="s">
        <v>139</v>
      </c>
      <c r="AN40" s="36" t="s">
        <v>139</v>
      </c>
      <c r="AO40" s="36" t="s">
        <v>139</v>
      </c>
      <c r="AP40" s="36" t="s">
        <v>139</v>
      </c>
      <c r="AQ40" s="36" t="s">
        <v>139</v>
      </c>
      <c r="AR40" s="36" t="s">
        <v>139</v>
      </c>
      <c r="AS40" s="36" t="s">
        <v>139</v>
      </c>
      <c r="AT40" s="36" t="s">
        <v>139</v>
      </c>
      <c r="AU40" s="36" t="s">
        <v>139</v>
      </c>
      <c r="AV40" s="36" t="s">
        <v>139</v>
      </c>
      <c r="AW40" s="36" t="s">
        <v>139</v>
      </c>
      <c r="AX40" s="36" t="s">
        <v>139</v>
      </c>
      <c r="AY40" s="36" t="s">
        <v>139</v>
      </c>
      <c r="AZ40" s="36" t="s">
        <v>139</v>
      </c>
      <c r="BA40" s="36" t="s">
        <v>139</v>
      </c>
      <c r="BB40" s="36" t="s">
        <v>139</v>
      </c>
      <c r="BC40" s="36" t="s">
        <v>139</v>
      </c>
      <c r="BD40" s="36" t="s">
        <v>139</v>
      </c>
      <c r="BE40" s="36" t="s">
        <v>139</v>
      </c>
      <c r="BF40" s="36" t="s">
        <v>139</v>
      </c>
      <c r="BG40" s="36" t="s">
        <v>139</v>
      </c>
      <c r="BH40" s="36" t="s">
        <v>139</v>
      </c>
      <c r="BI40" s="36" t="s">
        <v>139</v>
      </c>
      <c r="BJ40" s="36" t="s">
        <v>139</v>
      </c>
      <c r="BK40" s="36" t="s">
        <v>139</v>
      </c>
      <c r="BL40" s="36" t="s">
        <v>139</v>
      </c>
      <c r="BM40" s="36" t="s">
        <v>139</v>
      </c>
      <c r="BN40" s="36" t="s">
        <v>139</v>
      </c>
      <c r="BO40" s="36" t="s">
        <v>139</v>
      </c>
      <c r="BP40" s="36" t="s">
        <v>139</v>
      </c>
      <c r="BQ40" s="36" t="s">
        <v>139</v>
      </c>
      <c r="BR40" s="36" t="s">
        <v>139</v>
      </c>
      <c r="BS40" s="36" t="s">
        <v>139</v>
      </c>
      <c r="BT40" s="36" t="s">
        <v>139</v>
      </c>
      <c r="BU40" s="36" t="s">
        <v>139</v>
      </c>
      <c r="BV40" s="36" t="s">
        <v>139</v>
      </c>
      <c r="BW40" s="36" t="s">
        <v>139</v>
      </c>
      <c r="BX40" s="36" t="s">
        <v>139</v>
      </c>
      <c r="BY40" s="36" t="s">
        <v>139</v>
      </c>
      <c r="BZ40" s="36" t="s">
        <v>139</v>
      </c>
      <c r="CA40" s="36" t="s">
        <v>139</v>
      </c>
      <c r="CB40" s="36" t="s">
        <v>139</v>
      </c>
      <c r="CC40" s="36" t="s">
        <v>139</v>
      </c>
      <c r="CD40" s="36" t="s">
        <v>139</v>
      </c>
      <c r="CE40" s="36" t="s">
        <v>139</v>
      </c>
      <c r="CF40" s="36" t="s">
        <v>139</v>
      </c>
      <c r="CG40" s="36" t="s">
        <v>139</v>
      </c>
      <c r="CH40" s="36" t="s">
        <v>139</v>
      </c>
      <c r="CI40" s="36" t="s">
        <v>139</v>
      </c>
      <c r="CJ40" s="36" t="s">
        <v>139</v>
      </c>
      <c r="CK40" s="36" t="s">
        <v>139</v>
      </c>
      <c r="CL40" s="36" t="s">
        <v>139</v>
      </c>
      <c r="CM40" s="36" t="s">
        <v>139</v>
      </c>
      <c r="CN40" s="36" t="s">
        <v>139</v>
      </c>
      <c r="CO40" s="36" t="s">
        <v>139</v>
      </c>
      <c r="CP40" s="36" t="s">
        <v>139</v>
      </c>
      <c r="CQ40" s="36" t="s">
        <v>139</v>
      </c>
      <c r="CR40" s="36" t="s">
        <v>139</v>
      </c>
      <c r="CS40" s="36" t="s">
        <v>139</v>
      </c>
      <c r="CT40" s="36" t="s">
        <v>139</v>
      </c>
      <c r="CU40" s="36" t="s">
        <v>139</v>
      </c>
      <c r="CV40" s="36" t="s">
        <v>139</v>
      </c>
      <c r="CW40" s="36" t="s">
        <v>139</v>
      </c>
      <c r="CX40" s="36" t="s">
        <v>139</v>
      </c>
      <c r="CY40" s="36" t="s">
        <v>139</v>
      </c>
      <c r="CZ40" s="36" t="s">
        <v>139</v>
      </c>
      <c r="DA40" s="36" t="s">
        <v>139</v>
      </c>
      <c r="DB40" s="36" t="s">
        <v>139</v>
      </c>
      <c r="DC40" s="36" t="s">
        <v>139</v>
      </c>
      <c r="DD40" s="36" t="s">
        <v>139</v>
      </c>
      <c r="DE40" s="36" t="s">
        <v>139</v>
      </c>
      <c r="DF40" s="36" t="s">
        <v>139</v>
      </c>
      <c r="DG40" s="36" t="s">
        <v>139</v>
      </c>
      <c r="DH40" s="36" t="s">
        <v>139</v>
      </c>
      <c r="DI40" s="36" t="s">
        <v>139</v>
      </c>
      <c r="DJ40" s="36" t="s">
        <v>139</v>
      </c>
      <c r="DK40" s="36" t="s">
        <v>139</v>
      </c>
      <c r="DL40" s="36" t="s">
        <v>139</v>
      </c>
      <c r="DM40" s="36" t="s">
        <v>139</v>
      </c>
      <c r="DN40" s="36" t="s">
        <v>139</v>
      </c>
      <c r="DO40" s="36" t="s">
        <v>139</v>
      </c>
      <c r="DP40" s="36" t="s">
        <v>139</v>
      </c>
      <c r="DQ40" s="36" t="s">
        <v>139</v>
      </c>
      <c r="DR40" s="36" t="s">
        <v>139</v>
      </c>
      <c r="DS40" s="36" t="s">
        <v>139</v>
      </c>
      <c r="DT40" s="36" t="s">
        <v>139</v>
      </c>
      <c r="DU40" s="36" t="s">
        <v>139</v>
      </c>
      <c r="DV40" s="36" t="s">
        <v>139</v>
      </c>
      <c r="DW40" s="36" t="s">
        <v>139</v>
      </c>
      <c r="DX40" s="36" t="s">
        <v>139</v>
      </c>
      <c r="DY40" s="36" t="s">
        <v>139</v>
      </c>
      <c r="DZ40" s="36" t="s">
        <v>139</v>
      </c>
      <c r="EA40" s="36" t="s">
        <v>139</v>
      </c>
      <c r="EB40" s="36" t="s">
        <v>139</v>
      </c>
      <c r="EC40" s="36" t="s">
        <v>139</v>
      </c>
      <c r="ED40" s="36" t="s">
        <v>139</v>
      </c>
      <c r="EE40" s="36" t="s">
        <v>139</v>
      </c>
      <c r="EF40" s="36" t="s">
        <v>139</v>
      </c>
      <c r="EG40" s="36" t="s">
        <v>139</v>
      </c>
      <c r="EH40" s="36" t="s">
        <v>139</v>
      </c>
      <c r="EI40" s="36" t="s">
        <v>139</v>
      </c>
      <c r="EJ40" s="36" t="s">
        <v>139</v>
      </c>
      <c r="EK40" s="36" t="s">
        <v>139</v>
      </c>
      <c r="EL40" s="36" t="s">
        <v>139</v>
      </c>
      <c r="EM40" s="36" t="s">
        <v>139</v>
      </c>
      <c r="EN40" s="36" t="s">
        <v>139</v>
      </c>
      <c r="EO40" s="36" t="s">
        <v>139</v>
      </c>
      <c r="EP40" s="36" t="s">
        <v>139</v>
      </c>
      <c r="EQ40" s="36" t="s">
        <v>139</v>
      </c>
      <c r="ER40" s="36" t="s">
        <v>139</v>
      </c>
      <c r="ES40" s="36" t="s">
        <v>139</v>
      </c>
      <c r="ET40" s="36" t="s">
        <v>139</v>
      </c>
      <c r="EU40" s="36" t="s">
        <v>139</v>
      </c>
      <c r="EV40" s="36" t="s">
        <v>139</v>
      </c>
      <c r="EW40" s="36" t="s">
        <v>139</v>
      </c>
      <c r="EX40" s="36" t="s">
        <v>139</v>
      </c>
      <c r="EY40" s="36" t="s">
        <v>139</v>
      </c>
      <c r="EZ40" s="36" t="s">
        <v>139</v>
      </c>
      <c r="FA40" s="36" t="s">
        <v>139</v>
      </c>
      <c r="FB40" s="36" t="s">
        <v>139</v>
      </c>
      <c r="FC40" s="36" t="s">
        <v>139</v>
      </c>
      <c r="FD40" s="36" t="s">
        <v>139</v>
      </c>
      <c r="FE40" s="36" t="s">
        <v>139</v>
      </c>
      <c r="FF40" s="36" t="s">
        <v>139</v>
      </c>
      <c r="FG40" s="36" t="s">
        <v>139</v>
      </c>
      <c r="FH40" s="36" t="s">
        <v>139</v>
      </c>
      <c r="FI40" s="36" t="s">
        <v>139</v>
      </c>
      <c r="FJ40" s="36" t="s">
        <v>139</v>
      </c>
      <c r="FK40" s="36" t="s">
        <v>139</v>
      </c>
      <c r="FL40" s="36" t="s">
        <v>139</v>
      </c>
      <c r="FM40" s="36" t="s">
        <v>139</v>
      </c>
      <c r="FN40" s="36" t="s">
        <v>139</v>
      </c>
      <c r="FO40" s="36" t="s">
        <v>139</v>
      </c>
      <c r="FP40" s="36" t="s">
        <v>139</v>
      </c>
      <c r="FQ40" s="36" t="s">
        <v>139</v>
      </c>
      <c r="FR40" s="36" t="s">
        <v>139</v>
      </c>
      <c r="FS40" s="36" t="s">
        <v>139</v>
      </c>
      <c r="FT40" s="36" t="s">
        <v>139</v>
      </c>
      <c r="FU40" s="36" t="s">
        <v>139</v>
      </c>
      <c r="FV40" s="36" t="s">
        <v>139</v>
      </c>
      <c r="FW40" s="36" t="s">
        <v>139</v>
      </c>
      <c r="FX40" s="36" t="s">
        <v>139</v>
      </c>
      <c r="FY40" s="36" t="s">
        <v>139</v>
      </c>
      <c r="FZ40" s="36" t="s">
        <v>139</v>
      </c>
      <c r="GA40" s="36" t="s">
        <v>139</v>
      </c>
      <c r="GB40" s="36" t="s">
        <v>139</v>
      </c>
      <c r="GC40" s="36" t="s">
        <v>139</v>
      </c>
      <c r="GD40" s="36" t="s">
        <v>139</v>
      </c>
      <c r="GE40" s="36" t="s">
        <v>139</v>
      </c>
      <c r="GF40" s="36" t="s">
        <v>139</v>
      </c>
      <c r="GG40" s="36" t="s">
        <v>139</v>
      </c>
      <c r="GH40" s="36" t="s">
        <v>139</v>
      </c>
      <c r="GI40" s="36" t="s">
        <v>139</v>
      </c>
      <c r="GJ40" s="36" t="s">
        <v>139</v>
      </c>
      <c r="GK40" s="36" t="s">
        <v>139</v>
      </c>
      <c r="GL40" s="36" t="s">
        <v>139</v>
      </c>
      <c r="GM40" s="36" t="s">
        <v>139</v>
      </c>
      <c r="GN40" s="36" t="s">
        <v>139</v>
      </c>
      <c r="GO40" s="36" t="s">
        <v>139</v>
      </c>
      <c r="GP40" s="36" t="s">
        <v>139</v>
      </c>
      <c r="GQ40" s="36" t="s">
        <v>139</v>
      </c>
      <c r="GR40" s="36" t="s">
        <v>139</v>
      </c>
      <c r="GS40" s="36" t="s">
        <v>139</v>
      </c>
      <c r="GT40" s="36" t="s">
        <v>139</v>
      </c>
      <c r="GU40" s="36" t="s">
        <v>139</v>
      </c>
      <c r="GV40" s="36" t="s">
        <v>139</v>
      </c>
      <c r="GW40" s="36" t="s">
        <v>139</v>
      </c>
      <c r="GX40" s="36" t="s">
        <v>139</v>
      </c>
      <c r="GY40" s="36" t="s">
        <v>139</v>
      </c>
      <c r="GZ40" s="36" t="s">
        <v>139</v>
      </c>
      <c r="HA40" s="36" t="s">
        <v>139</v>
      </c>
      <c r="HB40" s="36" t="s">
        <v>139</v>
      </c>
      <c r="HC40" s="36" t="s">
        <v>139</v>
      </c>
      <c r="HD40" s="36" t="s">
        <v>139</v>
      </c>
      <c r="HE40" s="36" t="s">
        <v>139</v>
      </c>
      <c r="HF40" s="36" t="s">
        <v>139</v>
      </c>
      <c r="HG40" s="36" t="s">
        <v>139</v>
      </c>
      <c r="HH40" s="36" t="s">
        <v>139</v>
      </c>
      <c r="HI40" s="36" t="s">
        <v>139</v>
      </c>
      <c r="HJ40" s="36" t="s">
        <v>139</v>
      </c>
      <c r="HK40" s="36" t="s">
        <v>139</v>
      </c>
      <c r="HL40" s="36" t="s">
        <v>139</v>
      </c>
      <c r="HM40" s="36" t="s">
        <v>139</v>
      </c>
      <c r="HN40" s="36" t="s">
        <v>139</v>
      </c>
      <c r="HO40" s="36" t="s">
        <v>139</v>
      </c>
      <c r="HP40" s="36" t="s">
        <v>139</v>
      </c>
      <c r="HQ40" s="36" t="s">
        <v>139</v>
      </c>
      <c r="HR40" s="36" t="s">
        <v>139</v>
      </c>
      <c r="HS40" s="36" t="s">
        <v>139</v>
      </c>
      <c r="HT40" s="36" t="s">
        <v>139</v>
      </c>
      <c r="HU40" s="36" t="s">
        <v>139</v>
      </c>
      <c r="HV40" s="36" t="s">
        <v>139</v>
      </c>
      <c r="HW40" s="36" t="s">
        <v>139</v>
      </c>
      <c r="HX40" s="36" t="s">
        <v>139</v>
      </c>
      <c r="HY40" s="36" t="s">
        <v>139</v>
      </c>
      <c r="HZ40" s="36" t="s">
        <v>139</v>
      </c>
      <c r="IA40" s="36" t="s">
        <v>139</v>
      </c>
      <c r="IB40" s="36" t="s">
        <v>139</v>
      </c>
      <c r="IC40" s="36" t="s">
        <v>139</v>
      </c>
      <c r="ID40" s="36" t="s">
        <v>139</v>
      </c>
      <c r="IE40" s="36" t="s">
        <v>139</v>
      </c>
      <c r="IF40" s="36" t="s">
        <v>139</v>
      </c>
      <c r="IG40" s="36" t="s">
        <v>139</v>
      </c>
      <c r="IH40" s="36" t="s">
        <v>139</v>
      </c>
      <c r="II40" s="36" t="s">
        <v>139</v>
      </c>
      <c r="IJ40" s="36" t="s">
        <v>139</v>
      </c>
      <c r="IK40" s="36" t="s">
        <v>139</v>
      </c>
      <c r="IL40" s="36" t="s">
        <v>139</v>
      </c>
      <c r="IM40" s="36" t="s">
        <v>139</v>
      </c>
      <c r="IN40" s="36" t="s">
        <v>139</v>
      </c>
      <c r="IO40" s="36" t="s">
        <v>139</v>
      </c>
      <c r="IP40" s="36" t="s">
        <v>139</v>
      </c>
      <c r="IQ40" s="36" t="s">
        <v>139</v>
      </c>
      <c r="IR40" s="36" t="s">
        <v>139</v>
      </c>
      <c r="IS40" s="36" t="s">
        <v>139</v>
      </c>
      <c r="IT40" s="36" t="s">
        <v>139</v>
      </c>
      <c r="IU40" s="36" t="s">
        <v>139</v>
      </c>
      <c r="IV40" s="36" t="s">
        <v>139</v>
      </c>
      <c r="IW40" s="36" t="s">
        <v>139</v>
      </c>
      <c r="IX40" s="36" t="s">
        <v>139</v>
      </c>
      <c r="IY40" s="36" t="s">
        <v>139</v>
      </c>
      <c r="IZ40" s="36" t="s">
        <v>139</v>
      </c>
      <c r="JA40" s="36" t="s">
        <v>139</v>
      </c>
      <c r="JB40" s="36" t="s">
        <v>139</v>
      </c>
      <c r="JC40" s="36" t="s">
        <v>139</v>
      </c>
      <c r="JD40" s="36" t="s">
        <v>139</v>
      </c>
      <c r="JE40" s="36" t="s">
        <v>139</v>
      </c>
      <c r="JF40" s="36" t="s">
        <v>139</v>
      </c>
      <c r="JG40" s="36" t="s">
        <v>139</v>
      </c>
      <c r="JH40" s="36" t="s">
        <v>139</v>
      </c>
      <c r="JI40" s="36" t="s">
        <v>139</v>
      </c>
      <c r="JJ40" s="36" t="s">
        <v>139</v>
      </c>
      <c r="JK40" s="36" t="s">
        <v>139</v>
      </c>
      <c r="JL40" s="36" t="s">
        <v>139</v>
      </c>
      <c r="JM40" s="36" t="s">
        <v>139</v>
      </c>
      <c r="JN40" s="36" t="s">
        <v>139</v>
      </c>
      <c r="JO40" s="36" t="s">
        <v>139</v>
      </c>
      <c r="JP40" s="36" t="s">
        <v>139</v>
      </c>
      <c r="JQ40" s="36" t="s">
        <v>139</v>
      </c>
      <c r="JR40" s="36" t="s">
        <v>139</v>
      </c>
      <c r="JS40" s="36" t="s">
        <v>139</v>
      </c>
      <c r="JT40" s="36" t="s">
        <v>139</v>
      </c>
      <c r="JU40" s="36" t="s">
        <v>139</v>
      </c>
      <c r="JV40" s="36" t="s">
        <v>139</v>
      </c>
      <c r="JW40" s="36" t="s">
        <v>139</v>
      </c>
      <c r="JX40" s="36" t="s">
        <v>139</v>
      </c>
      <c r="JY40" s="36" t="s">
        <v>139</v>
      </c>
      <c r="JZ40" s="36" t="s">
        <v>139</v>
      </c>
      <c r="KA40" s="36" t="s">
        <v>139</v>
      </c>
      <c r="KB40" s="36" t="s">
        <v>139</v>
      </c>
      <c r="KC40" s="36" t="s">
        <v>139</v>
      </c>
      <c r="KD40" s="36" t="s">
        <v>139</v>
      </c>
      <c r="KE40" s="36" t="s">
        <v>139</v>
      </c>
      <c r="KF40" s="36" t="s">
        <v>139</v>
      </c>
      <c r="KG40" s="36" t="s">
        <v>139</v>
      </c>
      <c r="KH40" s="36" t="s">
        <v>139</v>
      </c>
      <c r="KI40" s="36" t="s">
        <v>139</v>
      </c>
      <c r="KJ40" s="36" t="s">
        <v>139</v>
      </c>
      <c r="KK40" s="36" t="s">
        <v>139</v>
      </c>
      <c r="KL40" s="36" t="s">
        <v>139</v>
      </c>
      <c r="KM40" s="36" t="s">
        <v>139</v>
      </c>
      <c r="KN40" s="36" t="s">
        <v>139</v>
      </c>
      <c r="KO40" s="36" t="s">
        <v>139</v>
      </c>
      <c r="KP40" s="36" t="s">
        <v>139</v>
      </c>
      <c r="KQ40" s="36" t="s">
        <v>139</v>
      </c>
      <c r="KR40" s="36" t="s">
        <v>139</v>
      </c>
      <c r="KS40" s="36" t="s">
        <v>139</v>
      </c>
      <c r="KT40" s="36" t="s">
        <v>139</v>
      </c>
      <c r="KU40" s="36" t="s">
        <v>139</v>
      </c>
      <c r="KV40" s="36" t="s">
        <v>139</v>
      </c>
      <c r="KW40" s="36" t="s">
        <v>139</v>
      </c>
      <c r="KX40" s="36" t="s">
        <v>139</v>
      </c>
      <c r="KY40" s="36" t="s">
        <v>139</v>
      </c>
      <c r="KZ40" s="36" t="s">
        <v>139</v>
      </c>
      <c r="LA40" s="36" t="s">
        <v>139</v>
      </c>
      <c r="LB40" s="36" t="s">
        <v>139</v>
      </c>
      <c r="LC40" s="36" t="s">
        <v>139</v>
      </c>
      <c r="LD40" s="36" t="s">
        <v>139</v>
      </c>
      <c r="LE40" s="36" t="s">
        <v>139</v>
      </c>
      <c r="LF40" s="36" t="s">
        <v>139</v>
      </c>
      <c r="LG40" s="36" t="s">
        <v>139</v>
      </c>
      <c r="LH40" s="36" t="s">
        <v>139</v>
      </c>
      <c r="LI40" s="36" t="s">
        <v>139</v>
      </c>
      <c r="LJ40" s="36" t="s">
        <v>139</v>
      </c>
      <c r="LK40" s="36" t="s">
        <v>139</v>
      </c>
      <c r="LL40" s="36" t="s">
        <v>139</v>
      </c>
      <c r="LM40" s="36" t="s">
        <v>139</v>
      </c>
      <c r="LN40" s="36" t="s">
        <v>139</v>
      </c>
      <c r="LO40" s="36" t="s">
        <v>139</v>
      </c>
      <c r="LP40" s="36" t="s">
        <v>139</v>
      </c>
      <c r="LQ40" s="36" t="s">
        <v>139</v>
      </c>
      <c r="LR40" s="36" t="s">
        <v>139</v>
      </c>
      <c r="LS40" s="36" t="s">
        <v>139</v>
      </c>
      <c r="LT40" s="36" t="s">
        <v>139</v>
      </c>
      <c r="LU40" s="36" t="s">
        <v>139</v>
      </c>
      <c r="LV40" s="36" t="s">
        <v>139</v>
      </c>
      <c r="LW40" s="36" t="s">
        <v>139</v>
      </c>
      <c r="LX40" s="36" t="s">
        <v>139</v>
      </c>
      <c r="LY40" s="36" t="s">
        <v>139</v>
      </c>
      <c r="LZ40" s="36" t="s">
        <v>139</v>
      </c>
      <c r="MA40" s="36" t="s">
        <v>139</v>
      </c>
      <c r="MB40" s="36" t="s">
        <v>139</v>
      </c>
      <c r="MC40" s="36" t="s">
        <v>139</v>
      </c>
      <c r="MD40" s="36" t="s">
        <v>139</v>
      </c>
      <c r="ME40" s="36" t="s">
        <v>139</v>
      </c>
      <c r="MF40" s="36" t="s">
        <v>139</v>
      </c>
      <c r="MG40" s="36" t="s">
        <v>139</v>
      </c>
      <c r="MH40" s="36" t="s">
        <v>139</v>
      </c>
      <c r="MI40" s="36" t="s">
        <v>139</v>
      </c>
      <c r="MJ40" s="36" t="s">
        <v>139</v>
      </c>
      <c r="MK40" s="36" t="s">
        <v>139</v>
      </c>
      <c r="ML40" s="36" t="s">
        <v>139</v>
      </c>
      <c r="MM40" s="36" t="s">
        <v>139</v>
      </c>
      <c r="MN40" s="36" t="s">
        <v>139</v>
      </c>
      <c r="MO40" s="36" t="s">
        <v>139</v>
      </c>
      <c r="MP40" s="36" t="s">
        <v>139</v>
      </c>
      <c r="MQ40" s="36" t="s">
        <v>139</v>
      </c>
      <c r="MR40" s="36" t="s">
        <v>139</v>
      </c>
      <c r="MS40" s="36" t="s">
        <v>139</v>
      </c>
      <c r="MT40" s="36" t="s">
        <v>139</v>
      </c>
      <c r="MU40" s="36" t="s">
        <v>139</v>
      </c>
      <c r="MV40" s="36" t="s">
        <v>139</v>
      </c>
      <c r="MW40" s="36" t="s">
        <v>139</v>
      </c>
      <c r="MX40" s="36" t="s">
        <v>139</v>
      </c>
      <c r="MY40" s="36" t="s">
        <v>139</v>
      </c>
      <c r="MZ40" s="36" t="s">
        <v>139</v>
      </c>
      <c r="NA40" s="36" t="s">
        <v>139</v>
      </c>
      <c r="NB40" s="36" t="s">
        <v>139</v>
      </c>
      <c r="NC40" s="36" t="s">
        <v>139</v>
      </c>
      <c r="ND40" s="36" t="s">
        <v>139</v>
      </c>
      <c r="NE40" s="36" t="s">
        <v>139</v>
      </c>
      <c r="NF40" s="36" t="s">
        <v>139</v>
      </c>
      <c r="NG40" s="36" t="s">
        <v>139</v>
      </c>
      <c r="NH40" s="36" t="s">
        <v>139</v>
      </c>
      <c r="NI40" s="36" t="s">
        <v>139</v>
      </c>
      <c r="NJ40" s="36" t="s">
        <v>139</v>
      </c>
      <c r="NK40" s="36" t="s">
        <v>139</v>
      </c>
      <c r="NL40" s="36" t="s">
        <v>139</v>
      </c>
      <c r="NM40" s="36" t="s">
        <v>139</v>
      </c>
      <c r="NN40" s="36" t="s">
        <v>139</v>
      </c>
      <c r="NO40" s="36" t="s">
        <v>139</v>
      </c>
      <c r="NP40" s="36" t="s">
        <v>139</v>
      </c>
      <c r="NQ40" s="36" t="s">
        <v>139</v>
      </c>
      <c r="NR40" s="36" t="s">
        <v>139</v>
      </c>
      <c r="NS40" s="36" t="s">
        <v>139</v>
      </c>
      <c r="NT40" s="36" t="s">
        <v>139</v>
      </c>
      <c r="NU40" s="36" t="s">
        <v>139</v>
      </c>
      <c r="NV40" s="36" t="s">
        <v>139</v>
      </c>
      <c r="NW40" s="36" t="s">
        <v>139</v>
      </c>
      <c r="NX40" s="36" t="s">
        <v>139</v>
      </c>
      <c r="NY40" s="36" t="s">
        <v>139</v>
      </c>
      <c r="NZ40" s="36" t="s">
        <v>139</v>
      </c>
      <c r="OA40" s="36" t="s">
        <v>139</v>
      </c>
      <c r="OB40" s="36" t="s">
        <v>139</v>
      </c>
      <c r="OC40" s="36" t="s">
        <v>139</v>
      </c>
      <c r="OD40" s="36" t="s">
        <v>139</v>
      </c>
      <c r="OE40" s="36" t="s">
        <v>139</v>
      </c>
      <c r="OF40" s="36" t="s">
        <v>139</v>
      </c>
      <c r="OG40" s="36" t="s">
        <v>139</v>
      </c>
      <c r="OH40" s="36" t="s">
        <v>139</v>
      </c>
      <c r="OI40" s="36" t="s">
        <v>139</v>
      </c>
      <c r="OJ40" s="36" t="s">
        <v>139</v>
      </c>
      <c r="OK40" s="36" t="s">
        <v>139</v>
      </c>
      <c r="OL40" s="36" t="s">
        <v>139</v>
      </c>
      <c r="OM40" s="36" t="s">
        <v>139</v>
      </c>
      <c r="ON40" s="36" t="s">
        <v>139</v>
      </c>
      <c r="OO40" s="36" t="s">
        <v>139</v>
      </c>
      <c r="OP40" s="36" t="s">
        <v>139</v>
      </c>
      <c r="OQ40" s="36" t="s">
        <v>139</v>
      </c>
      <c r="OR40" s="36" t="s">
        <v>139</v>
      </c>
      <c r="OS40" s="36" t="s">
        <v>139</v>
      </c>
      <c r="OT40" s="36" t="s">
        <v>139</v>
      </c>
      <c r="OU40" s="36" t="s">
        <v>139</v>
      </c>
      <c r="OV40" s="36" t="s">
        <v>139</v>
      </c>
      <c r="OW40" s="36" t="s">
        <v>139</v>
      </c>
      <c r="OX40" s="36" t="s">
        <v>139</v>
      </c>
      <c r="OY40" s="36" t="s">
        <v>139</v>
      </c>
      <c r="OZ40" s="36" t="s">
        <v>139</v>
      </c>
      <c r="PA40" s="36" t="s">
        <v>139</v>
      </c>
      <c r="PB40" s="36" t="s">
        <v>139</v>
      </c>
      <c r="PC40" s="36" t="s">
        <v>139</v>
      </c>
      <c r="PD40" s="36" t="s">
        <v>139</v>
      </c>
      <c r="PE40" s="36" t="s">
        <v>139</v>
      </c>
      <c r="PF40" s="36" t="s">
        <v>139</v>
      </c>
      <c r="PG40" s="36" t="s">
        <v>139</v>
      </c>
      <c r="PH40" s="36" t="s">
        <v>139</v>
      </c>
      <c r="PI40" s="36" t="s">
        <v>139</v>
      </c>
      <c r="PJ40" s="36" t="s">
        <v>139</v>
      </c>
      <c r="PK40" s="36" t="s">
        <v>139</v>
      </c>
      <c r="PL40" s="36" t="s">
        <v>139</v>
      </c>
      <c r="PM40" s="36" t="s">
        <v>139</v>
      </c>
      <c r="PN40" s="36" t="s">
        <v>139</v>
      </c>
      <c r="PO40" s="74">
        <f>COUNTIFS($C$27:$PN$27,("&lt;"&amp;$B$3),$C$27:$PN$27,("&gt;="&amp;$B$2),$C40:$PN40,TabAsistencias[[#Headers],[1]])</f>
        <v>30</v>
      </c>
      <c r="PP40" s="74">
        <f>COUNTIFS($C$27:$PN$27,("&lt;"&amp;$B$3),$C$27:$PN$27,("&gt;="&amp;$B$2),$C40:$PN40,TabAsistencias[[#Headers],[E]])</f>
        <v>0</v>
      </c>
      <c r="PQ40" s="74">
        <f>COUNTIFS($C$27:$PN$27,("&lt;"&amp;$B$3),$C$27:$PN$27,("&gt;="&amp;$B$2),$C40:$PN40,TabAsistencias[[#Headers],[DE]])</f>
        <v>0</v>
      </c>
      <c r="PR40" s="74">
        <f>COUNTIFS($C$27:$PN$27,("&lt;"&amp;$B$3),$C$27:$PN$27,("&gt;="&amp;$B$2),$C40:$PN40,TabAsistencias[[#Headers],[V]])</f>
        <v>0</v>
      </c>
      <c r="PS40" s="74">
        <f>COUNTIFS($C$27:$PN$27,("&lt;"&amp;$B$3),$C$27:$PN$27,("&gt;="&amp;$B$2),$C40:$PN40,TabAsistencias[[#Headers],[DO]])</f>
        <v>0</v>
      </c>
      <c r="PT40" s="74">
        <f>COUNTIFS($C$27:$PN$27,("&lt;"&amp;$B$3),$C$27:$PN$27,("&gt;="&amp;$B$2),$C40:$PN40,TabAsistencias[[#Headers],[P]])</f>
        <v>0</v>
      </c>
      <c r="PU40" s="74">
        <f>COUNTIFS($C$27:$PN$27,("&lt;"&amp;$B$3),$C$27:$PN$27,("&gt;="&amp;$B$2),$C40:$PN40,TabAsistencias[[#Headers],[F]])</f>
        <v>0</v>
      </c>
      <c r="PV40" s="74">
        <f>COUNTIFS($C$27:$PN$27,("&lt;"&amp;$B$3),$C$27:$PN$27,("&gt;="&amp;$B$2),$C40:$PN40,TabAsistencias[[#Headers],[R]])</f>
        <v>0</v>
      </c>
      <c r="PW40" s="74">
        <f>COUNTIFS($C$27:$PN$27,("&lt;"&amp;$B$3),$C$27:$PN$27,("&gt;="&amp;$B$2),$C40:$PN40,TabAsistencias[[#Headers],[PP]])</f>
        <v>0</v>
      </c>
      <c r="PX40" s="74">
        <f>COUNTIFS($C$27:$PN$27,("&lt;"&amp;$B$3),$C$27:$PN$27,("&gt;="&amp;$B$2),$C40:$PN40,TabAsistencias[[#Headers],[0]])</f>
        <v>0</v>
      </c>
      <c r="PY40" s="74">
        <f>COUNTIFS($C$27:$PN$27,("&lt;"&amp;$B$3),$C$27:$PN$27,("&gt;="&amp;$B$2),$C40:$PN40,TabAsistencias[[#Headers],[IG]])</f>
        <v>0</v>
      </c>
      <c r="PZ40" s="74">
        <f>COUNTIFS($C$27:$PN$27,("&lt;"&amp;$B$3),$C$27:$PN$27,("&gt;="&amp;$B$2),$C40:$PN40,TabAsistencias[[#Headers],[NA]])</f>
        <v>0</v>
      </c>
      <c r="QA40" s="74">
        <f>COUNTIFS($C$27:$PN$27,("&lt;"&amp;$B$3),$C$27:$PN$27,("&gt;="&amp;$B$2),$C40:$PN40,TabAsistencias[[#Headers],[DF]])</f>
        <v>0</v>
      </c>
      <c r="QB40" s="74">
        <f>COUNTIFS($C$27:$PN$27,("&lt;"&amp;$B$3),$C$27:$PN$27,("&gt;="&amp;$B$2),$C40:$PN40,TabAsistencias[[#Headers],[3]])</f>
        <v>0</v>
      </c>
      <c r="QC40" s="74">
        <f>COUNTIFS($C$27:$PN$27,("&lt;"&amp;$B$3),$C$27:$PN$27,("&gt;="&amp;$B$2),$C40:$PN40,TabAsistencias[[#Headers],[CP]])</f>
        <v>0</v>
      </c>
      <c r="QD40" s="74">
        <f>COUNTIFS($C$27:$PN$27,("&lt;"&amp;$B$3),$C$27:$PN$27,("&gt;="&amp;$B$2),$C40:$PN40,TabAsistencias[[#Headers],[I]])</f>
        <v>0</v>
      </c>
      <c r="QE40" s="74">
        <f>COUNTIFS($C$27:$PN$27,("&lt;"&amp;$B$3),$C$27:$PN$27,("&gt;="&amp;$B$2),$C40:$PN40,TabAsistencias[[#Headers],[T/2]])</f>
        <v>0</v>
      </c>
      <c r="QF40" s="74">
        <f>COUNTIFS($C$27:$PN$27,("&lt;"&amp;$B$3),$C$27:$PN$27,("&gt;="&amp;$B$2),$C40:$PN40,TabAsistencias[[#Headers],[ME]])</f>
        <v>0</v>
      </c>
      <c r="QG40" s="74">
        <f>COUNTIFS($C$27:$PN$27,("&lt;"&amp;$B$3),$C$27:$PN$27,("&gt;="&amp;$B$2),$C40:$PN40,TabAsistencias[[#Headers],[DP]])</f>
        <v>0</v>
      </c>
      <c r="QH40" s="74">
        <f>COUNTIFS($C$27:$PN$27,("&lt;"&amp;$B$3),$C$27:$PN$27,("&gt;="&amp;$B$2),$C40:$PN40,TabAsistencias[[#Headers],[B]])</f>
        <v>0</v>
      </c>
      <c r="QI40" s="74">
        <f>(TabAsistencias[[#This Row],[1]]*'Tablas de informacion'!$C$124)+(TabAsistencias[[#This Row],[E]]*'Tablas de informacion'!$C$125)+(TabAsistencias[[#This Row],[DE]]*'Tablas de informacion'!C$126)+(TabAsistencias[[#This Row],[V]]*'Tablas de informacion'!C$127)+(TabAsistencias[[#This Row],[DO]]*'Tablas de informacion'!C$128)+(TabAsistencias[[#This Row],[P]]*'Tablas de informacion'!C$129)+(TabAsistencias[[#This Row],[F]]*'Tablas de informacion'!C$130)+(TabAsistencias[[#This Row],[R]]*'Tablas de informacion'!C$131)+(TabAsistencias[[#This Row],[PP]]*'Tablas de informacion'!C$132)+(TabAsistencias[[#This Row],[0]]*'Tablas de informacion'!C$133)+(TabAsistencias[[#This Row],[IG]]*'Tablas de informacion'!C$134)+(TabAsistencias[[#This Row],[NA]]*'Tablas de informacion'!C$135)+(TabAsistencias[[#This Row],[DF]]*'Tablas de informacion'!C$136)+(TabAsistencias[[#This Row],[3]]*'Tablas de informacion'!C$137)+(TabAsistencias[[#This Row],[CP]]*'Tablas de informacion'!C$138)+(TabAsistencias[[#This Row],[I]]*'Tablas de informacion'!C$139)+(TabAsistencias[[#This Row],[T/2]]*'Tablas de informacion'!C$140)+(TabAsistencias[[#This Row],[ME]]*'Tablas de informacion'!C$141)+(TabAsistencias[[#This Row],[DP]]*'Tablas de informacion'!C$142)+(TabAsistencias[[#This Row],[B]]*'Tablas de informacion'!C$143)-INT(TabAsistencias[[#This Row],[R]]/3)</f>
        <v>30</v>
      </c>
      <c r="QJ40" s="74">
        <f>COUNTIFS($C$27:$PN$27,("&lt;"&amp;$B$3),$C$27:$PN$27,("&gt;="&amp;$B$2),$C$28:$PN$28,1,$C40:$PN40,TabAsistencias[[#Headers],[1]])+
COUNTIFS($C$27:$PN$27,("&lt;"&amp;$B$3),$C$27:$PN$27,("&gt;="&amp;$B$2),$C$28:$PN$28,1,$C40:$PN40,TabAsistencias[[#Headers],[DO]])+
COUNTIFS($C$27:$PN$27,("&lt;"&amp;$B$3),$C$27:$PN$27,("&gt;="&amp;$B$2),$C$28:$PN$28,1,$C40:$PN40,TabAsistencias[[#Headers],[R]])+
COUNTIFS($C$27:$PN$27,("&lt;"&amp;$B$3),$C$27:$PN$27,("&gt;="&amp;$B$2),$C$28:$PN$28,1,$C40:$PN40,TabAsistencias[[#Headers],[NA]])+
COUNTIFS($C$27:$PN$27,("&lt;"&amp;$B$3),$C$27:$PN$27,("&gt;="&amp;$B$2),$C$28:$PN$28,1,$C40:$PN40,TabAsistencias[[#Headers],[DF]])+
COUNTIFS($C$27:$PN$27,("&lt;"&amp;$B$3),$C$27:$PN$27,("&gt;="&amp;$B$2),$C$28:$PN$28,1,$C40:$PN40,TabAsistencias[[#Headers],[3]])+
COUNTIFS($C$27:$PN$27,("&lt;"&amp;$B$3),$C$27:$PN$27,("&gt;="&amp;$B$2),$C$28:$PN$28,1,$C40:$PN40,TabAsistencias[[#Headers],[CP]])+
COUNTIFS($C$27:$PN$27,("&lt;"&amp;$B$3),$C$27:$PN$27,("&gt;="&amp;$B$2),$C$28:$PN$28,1,$C40:$PN40,TabAsistencias[[#Headers],[T/2]])</f>
        <v>4</v>
      </c>
      <c r="QK40" s="315" cm="1">
        <f t="array" ref="QK40">IFERROR(VLOOKUP(
DATEDIF((VLOOKUP(TabAsistencias[[#This Row],[ID]],TabEmpleados[],COLUMN(TabEmpleados[Fecha de ingreso]),FALSE)),Asistencias!$B$3,"Y"),
TabFactorIntegracion[],COLUMN(TabFactorIntegracion[Días vacacionales
establecidos por ley]),FALSE),0)
-
COUNTIF($AH40:$PN40,TabAsistencias[[#Headers],[V]])</f>
        <v>12</v>
      </c>
      <c r="QL40" s="319">
        <f>SUM(TabAsistencias[[#This Row],[''1]],TabAsistencias[[#This Row],[''DE]],TabAsistencias[[#This Row],[''DO]],TabAsistencias[[#This Row],[''R]],TabAsistencias[[#This Row],[''NA]],TabAsistencias[[#This Row],[''DF]],TabAsistencias[[#This Row],[''3]],TabAsistencias[[#This Row],[''CP]],TabAsistencias[[#This Row],[''T/2]],TabAsistencias[[#This Row],[''DP]])</f>
        <v>73</v>
      </c>
      <c r="QM40" s="314">
        <f>COUNTIFS($C$27:$PN$27,("&lt;"&amp;$B$5),$C$27:$PN$27,("&gt;="&amp;$B$4),$C40:$PN40,TabAsistencias[[#Headers],[1]])</f>
        <v>73</v>
      </c>
      <c r="QN40" s="314">
        <f>COUNTIFS($C$27:$PN$27,("&lt;"&amp;$B$5),$C$27:$PN$27,("&gt;="&amp;$B$4),$C40:$PN40,TabAsistencias[[#Headers],[DE]])</f>
        <v>0</v>
      </c>
      <c r="QO40" s="314">
        <f>COUNTIFS($C$27:$PN$27,("&lt;"&amp;$B$5),$C$27:$PN$27,("&gt;="&amp;$B$4),$C40:$PN40,TabAsistencias[[#Headers],[V]])</f>
        <v>0</v>
      </c>
      <c r="QP40" s="314">
        <f>COUNTIFS($C$27:$PN$27,("&lt;"&amp;$B$5),$C$27:$PN$27,("&gt;="&amp;$B$4),$C40:$PN40,TabAsistencias[[#Headers],[DO]])</f>
        <v>0</v>
      </c>
      <c r="QQ40" s="314">
        <f>COUNTIFS($C$27:$PN$27,("&lt;"&amp;$B$5),$C$27:$PN$27,("&gt;="&amp;$B$4),$C40:$PN40,TabAsistencias[[#Headers],[P]])</f>
        <v>0</v>
      </c>
      <c r="QR40" s="314">
        <f>COUNTIFS($C$27:$PN$27,("&lt;"&amp;$B$5),$C$27:$PN$27,("&gt;="&amp;$B$4),$C40:$PN40,TabAsistencias[[#Headers],[F]])</f>
        <v>0</v>
      </c>
      <c r="QS40" s="314">
        <f>COUNTIFS($C$27:$PN$27,("&lt;"&amp;$B$5),$C$27:$PN$27,("&gt;="&amp;$B$4),$C40:$PN40,TabAsistencias[[#Headers],[R]])</f>
        <v>0</v>
      </c>
      <c r="QT40" s="314">
        <f>COUNTIFS($C$27:$PN$27,("&lt;"&amp;$B$5),$C$27:$PN$27,("&gt;="&amp;$B$4),$C40:$PN40,TabAsistencias[[#Headers],[PP]])</f>
        <v>0</v>
      </c>
      <c r="QU40" s="314">
        <f>COUNTIFS($C$27:$PN$27,("&lt;"&amp;$B$5),$C$27:$PN$27,("&gt;="&amp;$B$4),$C40:$PN40,TabAsistencias[[#Headers],[0]])</f>
        <v>0</v>
      </c>
      <c r="QV40" s="314">
        <f>COUNTIFS($C$27:$PN$27,("&lt;"&amp;$B$5),$C$27:$PN$27,("&gt;="&amp;$B$4),$C40:$PN40,TabAsistencias[[#Headers],[IG]])</f>
        <v>0</v>
      </c>
      <c r="QW40" s="314">
        <f>COUNTIFS($C$27:$PN$27,("&lt;"&amp;$B$5),$C$27:$PN$27,("&gt;="&amp;$B$4),$C40:$PN40,TabAsistencias[[#Headers],[NA]])</f>
        <v>0</v>
      </c>
      <c r="QX40" s="314">
        <f>COUNTIFS($C$27:$PN$27,("&lt;"&amp;$B$5),$C$27:$PN$27,("&gt;="&amp;$B$4),$C40:$PN40,TabAsistencias[[#Headers],[DF]])</f>
        <v>0</v>
      </c>
      <c r="QY40" s="314">
        <f>COUNTIFS($C$27:$PN$27,("&lt;"&amp;$B$5),$C$27:$PN$27,("&gt;="&amp;$B$4),$C40:$PN40,TabAsistencias[[#Headers],[3]])</f>
        <v>0</v>
      </c>
      <c r="QZ40" s="314">
        <f>COUNTIFS($C$27:$PN$27,("&lt;"&amp;$B$5),$C$27:$PN$27,("&gt;="&amp;$B$4),$C40:$PN40,TabAsistencias[[#Headers],[CP]])</f>
        <v>0</v>
      </c>
      <c r="RA40" s="314">
        <f>COUNTIFS($C$27:$PN$27,("&lt;"&amp;$B$5),$C$27:$PN$27,("&gt;="&amp;$B$4),$C40:$PN40,TabAsistencias[[#Headers],[I]])</f>
        <v>0</v>
      </c>
      <c r="RB40" s="314">
        <f>COUNTIFS($C$27:$PN$27,("&lt;"&amp;$B$5),$C$27:$PN$27,("&gt;="&amp;$B$4),$C40:$PN40,TabAsistencias[[#Headers],[T/2]])</f>
        <v>0</v>
      </c>
      <c r="RC40" s="314">
        <f>COUNTIFS($C$27:$PN$27,("&lt;"&amp;$B$5),$C$27:$PN$27,("&gt;="&amp;$B$4),$C40:$PN40,TabAsistencias[[#Headers],[ME]])</f>
        <v>0</v>
      </c>
      <c r="RD40" s="314">
        <f>COUNTIFS($C$27:$PN$27,("&lt;"&amp;$B$5),$C$27:$PN$27,("&gt;="&amp;$B$4),$C40:$PN40,TabAsistencias[[#Headers],[DP]])</f>
        <v>0</v>
      </c>
      <c r="RE40" s="314">
        <f>COUNTIFS($C$27:$PN$27,("&lt;"&amp;$B$5),$C$27:$PN$27,("&gt;="&amp;$B$4),$C40:$PN40,TabAsistencias[[#Headers],[B]])</f>
        <v>0</v>
      </c>
      <c r="RF40" s="314">
        <f>COUNTIFS($C$27:$PN$27,("&lt;"&amp;$B$5),$C$27:$PN$27,("&gt;="&amp;$B$4),$C$28:$PN$28,1,$C40:$PN40,TabAsistencias[[#Headers],[1]])+
COUNTIFS($C$27:$PN$27,("&lt;"&amp;$B$5),$C$27:$PN$27,("&gt;="&amp;$B$4),$C$28:$PN$28,1,$C40:$PN40,TabAsistencias[[#Headers],[DO]])+
COUNTIFS($C$27:$PN$27,("&lt;"&amp;$B$5),$C$27:$PN$27,("&gt;="&amp;$B$4),$C$28:$PN$28,1,$C40:$PN40,TabAsistencias[[#Headers],[R]])+
COUNTIFS($C$27:$PN$27,("&lt;"&amp;$B$5),$C$27:$PN$27,("&gt;="&amp;$B$4),$C$28:$PN$28,1,$C40:$PN40,TabAsistencias[[#Headers],[NA]])+
COUNTIFS($C$27:$PN$27,("&lt;"&amp;$B$5),$C$27:$PN$27,("&gt;="&amp;$B$4),$C$28:$PN$28,1,$C40:$PN40,TabAsistencias[[#Headers],[DF]])+
COUNTIFS($C$27:$PN$27,("&lt;"&amp;$B$5),$C$27:$PN$27,("&gt;="&amp;$B$4),$C$28:$PN$28,1,$C40:$PN40,TabAsistencias[[#Headers],[3]])+
COUNTIFS($C$27:$PN$27,("&lt;"&amp;$B$5),$C$27:$PN$27,("&gt;="&amp;$B$4),$C$28:$PN$28,1,$C40:$PN40,TabAsistencias[[#Headers],[CP]])+
COUNTIFS($C$27:$PN$27,("&lt;"&amp;$B$5),$C$27:$PN$27,("&gt;="&amp;$B$4),$C$28:$PN$28,1,$C40:$PN40,TabAsistencias[[#Headers],[T/2]])</f>
        <v>11</v>
      </c>
      <c r="RG40" s="320" cm="1">
        <f t="array" ref="RG40">IFERROR(VLOOKUP(
DATEDIF((VLOOKUP(TabAsistencias[[#This Row],[ID]],TabEmpleados[],COLUMN(TabEmpleados[Fecha de alta NSS]),FALSE)),Asistencias!$B$3,"Y"),
TabFactorIntegracion[],COLUMN(TabFactorIntegracion[Días vacacionales
establecidos por ley]),FALSE),0)
-
COUNTIF($AH40:$PN40,TabAsistencias[[#Headers],[V]])</f>
        <v>12</v>
      </c>
    </row>
    <row r="41" spans="1:475" x14ac:dyDescent="0.25">
      <c r="A41" s="92">
        <f t="shared" si="434"/>
        <v>11</v>
      </c>
      <c r="B41" s="30" t="str" cm="1">
        <f t="array" ref="B41">VLOOKUP(TabAsistencias[[#This Row],[ID]],TabEmpleados[],COLUMN(TabEmpleados[Nombre]),FALSE)</f>
        <v>VELASCO TEAHULOS MARIA ASUNCION</v>
      </c>
      <c r="C41" s="36" t="s">
        <v>139</v>
      </c>
      <c r="D41" s="36" t="s">
        <v>139</v>
      </c>
      <c r="E41" s="36" t="s">
        <v>139</v>
      </c>
      <c r="F41" s="36" t="s">
        <v>139</v>
      </c>
      <c r="G41" s="36" t="s">
        <v>139</v>
      </c>
      <c r="H41" s="36" t="s">
        <v>139</v>
      </c>
      <c r="I41" s="36" t="s">
        <v>139</v>
      </c>
      <c r="J41" s="36" t="s">
        <v>139</v>
      </c>
      <c r="K41" s="36" t="s">
        <v>139</v>
      </c>
      <c r="L41" s="36" t="s">
        <v>139</v>
      </c>
      <c r="M41" s="36" t="s">
        <v>139</v>
      </c>
      <c r="N41" s="36" t="s">
        <v>139</v>
      </c>
      <c r="O41" s="36" t="s">
        <v>139</v>
      </c>
      <c r="P41" s="36" t="s">
        <v>139</v>
      </c>
      <c r="Q41" s="36" t="s">
        <v>139</v>
      </c>
      <c r="R41" s="36" t="s">
        <v>139</v>
      </c>
      <c r="S41" s="36" t="s">
        <v>139</v>
      </c>
      <c r="T41" s="36" t="s">
        <v>139</v>
      </c>
      <c r="U41" s="36" t="s">
        <v>139</v>
      </c>
      <c r="V41" s="36" t="s">
        <v>139</v>
      </c>
      <c r="W41" s="36" t="s">
        <v>139</v>
      </c>
      <c r="X41" s="36" t="s">
        <v>139</v>
      </c>
      <c r="Y41" s="36" t="s">
        <v>139</v>
      </c>
      <c r="Z41" s="36" t="s">
        <v>139</v>
      </c>
      <c r="AA41" s="36" t="s">
        <v>139</v>
      </c>
      <c r="AB41" s="36" t="s">
        <v>139</v>
      </c>
      <c r="AC41" s="36" t="s">
        <v>139</v>
      </c>
      <c r="AD41" s="36" t="s">
        <v>139</v>
      </c>
      <c r="AE41" s="36" t="s">
        <v>139</v>
      </c>
      <c r="AF41" s="36" t="s">
        <v>139</v>
      </c>
      <c r="AG41" s="36" t="s">
        <v>139</v>
      </c>
      <c r="AH41" s="36" t="s">
        <v>139</v>
      </c>
      <c r="AI41" s="36" t="s">
        <v>139</v>
      </c>
      <c r="AJ41" s="36" t="s">
        <v>139</v>
      </c>
      <c r="AK41" s="36" t="s">
        <v>139</v>
      </c>
      <c r="AL41" s="36" t="s">
        <v>139</v>
      </c>
      <c r="AM41" s="36" t="s">
        <v>139</v>
      </c>
      <c r="AN41" s="36" t="s">
        <v>139</v>
      </c>
      <c r="AO41" s="36" t="s">
        <v>139</v>
      </c>
      <c r="AP41" s="36" t="s">
        <v>139</v>
      </c>
      <c r="AQ41" s="36" t="s">
        <v>139</v>
      </c>
      <c r="AR41" s="36" t="s">
        <v>139</v>
      </c>
      <c r="AS41" s="36" t="s">
        <v>139</v>
      </c>
      <c r="AT41" s="36" t="s">
        <v>139</v>
      </c>
      <c r="AU41" s="36" t="s">
        <v>139</v>
      </c>
      <c r="AV41" s="36" t="s">
        <v>139</v>
      </c>
      <c r="AW41" s="36" t="s">
        <v>139</v>
      </c>
      <c r="AX41" s="36" t="s">
        <v>139</v>
      </c>
      <c r="AY41" s="36" t="s">
        <v>139</v>
      </c>
      <c r="AZ41" s="36" t="s">
        <v>139</v>
      </c>
      <c r="BA41" s="36" t="s">
        <v>139</v>
      </c>
      <c r="BB41" s="36" t="s">
        <v>139</v>
      </c>
      <c r="BC41" s="36" t="s">
        <v>139</v>
      </c>
      <c r="BD41" s="36" t="s">
        <v>139</v>
      </c>
      <c r="BE41" s="36" t="s">
        <v>139</v>
      </c>
      <c r="BF41" s="36" t="s">
        <v>139</v>
      </c>
      <c r="BG41" s="36" t="s">
        <v>139</v>
      </c>
      <c r="BH41" s="36" t="s">
        <v>139</v>
      </c>
      <c r="BI41" s="36" t="s">
        <v>139</v>
      </c>
      <c r="BJ41" s="36" t="s">
        <v>139</v>
      </c>
      <c r="BK41" s="36" t="s">
        <v>139</v>
      </c>
      <c r="BL41" s="36" t="s">
        <v>139</v>
      </c>
      <c r="BM41" s="36" t="s">
        <v>139</v>
      </c>
      <c r="BN41" s="36" t="s">
        <v>139</v>
      </c>
      <c r="BO41" s="36" t="s">
        <v>139</v>
      </c>
      <c r="BP41" s="36" t="s">
        <v>139</v>
      </c>
      <c r="BQ41" s="36" t="s">
        <v>139</v>
      </c>
      <c r="BR41" s="36" t="s">
        <v>139</v>
      </c>
      <c r="BS41" s="36" t="s">
        <v>139</v>
      </c>
      <c r="BT41" s="36" t="s">
        <v>139</v>
      </c>
      <c r="BU41" s="36" t="s">
        <v>139</v>
      </c>
      <c r="BV41" s="36" t="s">
        <v>139</v>
      </c>
      <c r="BW41" s="36" t="s">
        <v>139</v>
      </c>
      <c r="BX41" s="36" t="s">
        <v>139</v>
      </c>
      <c r="BY41" s="36" t="s">
        <v>139</v>
      </c>
      <c r="BZ41" s="36" t="s">
        <v>139</v>
      </c>
      <c r="CA41" s="36" t="s">
        <v>139</v>
      </c>
      <c r="CB41" s="36" t="s">
        <v>139</v>
      </c>
      <c r="CC41" s="36" t="s">
        <v>139</v>
      </c>
      <c r="CD41" s="36" t="s">
        <v>139</v>
      </c>
      <c r="CE41" s="36" t="s">
        <v>139</v>
      </c>
      <c r="CF41" s="36" t="s">
        <v>139</v>
      </c>
      <c r="CG41" s="36" t="s">
        <v>139</v>
      </c>
      <c r="CH41" s="36" t="s">
        <v>139</v>
      </c>
      <c r="CI41" s="36" t="s">
        <v>139</v>
      </c>
      <c r="CJ41" s="36" t="s">
        <v>139</v>
      </c>
      <c r="CK41" s="36" t="s">
        <v>139</v>
      </c>
      <c r="CL41" s="36" t="s">
        <v>139</v>
      </c>
      <c r="CM41" s="36" t="s">
        <v>139</v>
      </c>
      <c r="CN41" s="36" t="s">
        <v>139</v>
      </c>
      <c r="CO41" s="36" t="s">
        <v>139</v>
      </c>
      <c r="CP41" s="36" t="s">
        <v>139</v>
      </c>
      <c r="CQ41" s="36" t="s">
        <v>139</v>
      </c>
      <c r="CR41" s="36" t="s">
        <v>139</v>
      </c>
      <c r="CS41" s="36" t="s">
        <v>139</v>
      </c>
      <c r="CT41" s="36" t="s">
        <v>139</v>
      </c>
      <c r="CU41" s="36" t="s">
        <v>139</v>
      </c>
      <c r="CV41" s="36" t="s">
        <v>139</v>
      </c>
      <c r="CW41" s="36" t="s">
        <v>139</v>
      </c>
      <c r="CX41" s="36" t="s">
        <v>139</v>
      </c>
      <c r="CY41" s="36" t="s">
        <v>139</v>
      </c>
      <c r="CZ41" s="36" t="s">
        <v>139</v>
      </c>
      <c r="DA41" s="36" t="s">
        <v>139</v>
      </c>
      <c r="DB41" s="36" t="s">
        <v>139</v>
      </c>
      <c r="DC41" s="36" t="s">
        <v>139</v>
      </c>
      <c r="DD41" s="36" t="s">
        <v>139</v>
      </c>
      <c r="DE41" s="36" t="s">
        <v>139</v>
      </c>
      <c r="DF41" s="36" t="s">
        <v>139</v>
      </c>
      <c r="DG41" s="36" t="s">
        <v>139</v>
      </c>
      <c r="DH41" s="36" t="s">
        <v>139</v>
      </c>
      <c r="DI41" s="36" t="s">
        <v>139</v>
      </c>
      <c r="DJ41" s="36" t="s">
        <v>139</v>
      </c>
      <c r="DK41" s="36" t="s">
        <v>139</v>
      </c>
      <c r="DL41" s="36" t="s">
        <v>139</v>
      </c>
      <c r="DM41" s="36" t="s">
        <v>139</v>
      </c>
      <c r="DN41" s="36" t="s">
        <v>139</v>
      </c>
      <c r="DO41" s="36" t="s">
        <v>139</v>
      </c>
      <c r="DP41" s="36" t="s">
        <v>139</v>
      </c>
      <c r="DQ41" s="36" t="s">
        <v>139</v>
      </c>
      <c r="DR41" s="36" t="s">
        <v>139</v>
      </c>
      <c r="DS41" s="36" t="s">
        <v>139</v>
      </c>
      <c r="DT41" s="36" t="s">
        <v>139</v>
      </c>
      <c r="DU41" s="36" t="s">
        <v>139</v>
      </c>
      <c r="DV41" s="36" t="s">
        <v>139</v>
      </c>
      <c r="DW41" s="36" t="s">
        <v>139</v>
      </c>
      <c r="DX41" s="36" t="s">
        <v>139</v>
      </c>
      <c r="DY41" s="36" t="s">
        <v>139</v>
      </c>
      <c r="DZ41" s="36" t="s">
        <v>139</v>
      </c>
      <c r="EA41" s="36" t="s">
        <v>139</v>
      </c>
      <c r="EB41" s="36" t="s">
        <v>139</v>
      </c>
      <c r="EC41" s="36" t="s">
        <v>139</v>
      </c>
      <c r="ED41" s="36" t="s">
        <v>139</v>
      </c>
      <c r="EE41" s="36" t="s">
        <v>139</v>
      </c>
      <c r="EF41" s="36" t="s">
        <v>139</v>
      </c>
      <c r="EG41" s="36" t="s">
        <v>139</v>
      </c>
      <c r="EH41" s="36" t="s">
        <v>139</v>
      </c>
      <c r="EI41" s="36" t="s">
        <v>139</v>
      </c>
      <c r="EJ41" s="36" t="s">
        <v>139</v>
      </c>
      <c r="EK41" s="36" t="s">
        <v>139</v>
      </c>
      <c r="EL41" s="36" t="s">
        <v>139</v>
      </c>
      <c r="EM41" s="36" t="s">
        <v>139</v>
      </c>
      <c r="EN41" s="36" t="s">
        <v>139</v>
      </c>
      <c r="EO41" s="36" t="s">
        <v>139</v>
      </c>
      <c r="EP41" s="36" t="s">
        <v>139</v>
      </c>
      <c r="EQ41" s="36" t="s">
        <v>139</v>
      </c>
      <c r="ER41" s="36" t="s">
        <v>139</v>
      </c>
      <c r="ES41" s="36" t="s">
        <v>139</v>
      </c>
      <c r="ET41" s="36" t="s">
        <v>139</v>
      </c>
      <c r="EU41" s="36" t="s">
        <v>139</v>
      </c>
      <c r="EV41" s="36" t="s">
        <v>139</v>
      </c>
      <c r="EW41" s="36" t="s">
        <v>139</v>
      </c>
      <c r="EX41" s="36" t="s">
        <v>139</v>
      </c>
      <c r="EY41" s="36" t="s">
        <v>139</v>
      </c>
      <c r="EZ41" s="36" t="s">
        <v>139</v>
      </c>
      <c r="FA41" s="36" t="s">
        <v>139</v>
      </c>
      <c r="FB41" s="36" t="s">
        <v>139</v>
      </c>
      <c r="FC41" s="36" t="s">
        <v>139</v>
      </c>
      <c r="FD41" s="36" t="s">
        <v>139</v>
      </c>
      <c r="FE41" s="36" t="s">
        <v>139</v>
      </c>
      <c r="FF41" s="36" t="s">
        <v>139</v>
      </c>
      <c r="FG41" s="36" t="s">
        <v>139</v>
      </c>
      <c r="FH41" s="36" t="s">
        <v>139</v>
      </c>
      <c r="FI41" s="36" t="s">
        <v>139</v>
      </c>
      <c r="FJ41" s="36" t="s">
        <v>139</v>
      </c>
      <c r="FK41" s="36" t="s">
        <v>139</v>
      </c>
      <c r="FL41" s="36" t="s">
        <v>139</v>
      </c>
      <c r="FM41" s="36" t="s">
        <v>139</v>
      </c>
      <c r="FN41" s="36" t="s">
        <v>139</v>
      </c>
      <c r="FO41" s="36" t="s">
        <v>139</v>
      </c>
      <c r="FP41" s="36" t="s">
        <v>139</v>
      </c>
      <c r="FQ41" s="36" t="s">
        <v>139</v>
      </c>
      <c r="FR41" s="36" t="s">
        <v>139</v>
      </c>
      <c r="FS41" s="36" t="s">
        <v>139</v>
      </c>
      <c r="FT41" s="36" t="s">
        <v>139</v>
      </c>
      <c r="FU41" s="36" t="s">
        <v>139</v>
      </c>
      <c r="FV41" s="36" t="s">
        <v>139</v>
      </c>
      <c r="FW41" s="36" t="s">
        <v>139</v>
      </c>
      <c r="FX41" s="36" t="s">
        <v>139</v>
      </c>
      <c r="FY41" s="36" t="s">
        <v>139</v>
      </c>
      <c r="FZ41" s="36" t="s">
        <v>139</v>
      </c>
      <c r="GA41" s="36" t="s">
        <v>139</v>
      </c>
      <c r="GB41" s="36" t="s">
        <v>139</v>
      </c>
      <c r="GC41" s="36" t="s">
        <v>139</v>
      </c>
      <c r="GD41" s="36" t="s">
        <v>139</v>
      </c>
      <c r="GE41" s="36" t="s">
        <v>139</v>
      </c>
      <c r="GF41" s="36" t="s">
        <v>139</v>
      </c>
      <c r="GG41" s="36" t="s">
        <v>139</v>
      </c>
      <c r="GH41" s="36" t="s">
        <v>139</v>
      </c>
      <c r="GI41" s="36" t="s">
        <v>139</v>
      </c>
      <c r="GJ41" s="36" t="s">
        <v>139</v>
      </c>
      <c r="GK41" s="36" t="s">
        <v>139</v>
      </c>
      <c r="GL41" s="36" t="s">
        <v>139</v>
      </c>
      <c r="GM41" s="36" t="s">
        <v>139</v>
      </c>
      <c r="GN41" s="36" t="s">
        <v>139</v>
      </c>
      <c r="GO41" s="36" t="s">
        <v>139</v>
      </c>
      <c r="GP41" s="36" t="s">
        <v>139</v>
      </c>
      <c r="GQ41" s="36" t="s">
        <v>139</v>
      </c>
      <c r="GR41" s="36" t="s">
        <v>139</v>
      </c>
      <c r="GS41" s="36" t="s">
        <v>139</v>
      </c>
      <c r="GT41" s="36" t="s">
        <v>139</v>
      </c>
      <c r="GU41" s="36" t="s">
        <v>139</v>
      </c>
      <c r="GV41" s="36" t="s">
        <v>139</v>
      </c>
      <c r="GW41" s="36" t="s">
        <v>139</v>
      </c>
      <c r="GX41" s="36" t="s">
        <v>139</v>
      </c>
      <c r="GY41" s="36" t="s">
        <v>139</v>
      </c>
      <c r="GZ41" s="36" t="s">
        <v>139</v>
      </c>
      <c r="HA41" s="36" t="s">
        <v>139</v>
      </c>
      <c r="HB41" s="36" t="s">
        <v>139</v>
      </c>
      <c r="HC41" s="36" t="s">
        <v>139</v>
      </c>
      <c r="HD41" s="36" t="s">
        <v>139</v>
      </c>
      <c r="HE41" s="36" t="s">
        <v>139</v>
      </c>
      <c r="HF41" s="36" t="s">
        <v>139</v>
      </c>
      <c r="HG41" s="36" t="s">
        <v>139</v>
      </c>
      <c r="HH41" s="36" t="s">
        <v>139</v>
      </c>
      <c r="HI41" s="36" t="s">
        <v>139</v>
      </c>
      <c r="HJ41" s="36" t="s">
        <v>139</v>
      </c>
      <c r="HK41" s="36" t="s">
        <v>139</v>
      </c>
      <c r="HL41" s="36" t="s">
        <v>139</v>
      </c>
      <c r="HM41" s="36" t="s">
        <v>139</v>
      </c>
      <c r="HN41" s="36" t="s">
        <v>139</v>
      </c>
      <c r="HO41" s="36" t="s">
        <v>139</v>
      </c>
      <c r="HP41" s="36" t="s">
        <v>139</v>
      </c>
      <c r="HQ41" s="36" t="s">
        <v>139</v>
      </c>
      <c r="HR41" s="36" t="s">
        <v>139</v>
      </c>
      <c r="HS41" s="36" t="s">
        <v>139</v>
      </c>
      <c r="HT41" s="36" t="s">
        <v>139</v>
      </c>
      <c r="HU41" s="36" t="s">
        <v>139</v>
      </c>
      <c r="HV41" s="36" t="s">
        <v>139</v>
      </c>
      <c r="HW41" s="36" t="s">
        <v>139</v>
      </c>
      <c r="HX41" s="36" t="s">
        <v>139</v>
      </c>
      <c r="HY41" s="36" t="s">
        <v>139</v>
      </c>
      <c r="HZ41" s="36" t="s">
        <v>139</v>
      </c>
      <c r="IA41" s="36" t="s">
        <v>139</v>
      </c>
      <c r="IB41" s="36" t="s">
        <v>139</v>
      </c>
      <c r="IC41" s="36" t="s">
        <v>139</v>
      </c>
      <c r="ID41" s="36" t="s">
        <v>139</v>
      </c>
      <c r="IE41" s="36" t="s">
        <v>139</v>
      </c>
      <c r="IF41" s="36" t="s">
        <v>139</v>
      </c>
      <c r="IG41" s="36" t="s">
        <v>139</v>
      </c>
      <c r="IH41" s="36" t="s">
        <v>139</v>
      </c>
      <c r="II41" s="36" t="s">
        <v>139</v>
      </c>
      <c r="IJ41" s="36" t="s">
        <v>139</v>
      </c>
      <c r="IK41" s="36" t="s">
        <v>139</v>
      </c>
      <c r="IL41" s="36" t="s">
        <v>139</v>
      </c>
      <c r="IM41" s="36" t="s">
        <v>139</v>
      </c>
      <c r="IN41" s="36" t="s">
        <v>139</v>
      </c>
      <c r="IO41" s="36" t="s">
        <v>139</v>
      </c>
      <c r="IP41" s="36" t="s">
        <v>139</v>
      </c>
      <c r="IQ41" s="36" t="s">
        <v>139</v>
      </c>
      <c r="IR41" s="36" t="s">
        <v>139</v>
      </c>
      <c r="IS41" s="36" t="s">
        <v>139</v>
      </c>
      <c r="IT41" s="36" t="s">
        <v>139</v>
      </c>
      <c r="IU41" s="36" t="s">
        <v>139</v>
      </c>
      <c r="IV41" s="36" t="s">
        <v>139</v>
      </c>
      <c r="IW41" s="36" t="s">
        <v>139</v>
      </c>
      <c r="IX41" s="36" t="s">
        <v>139</v>
      </c>
      <c r="IY41" s="36" t="s">
        <v>139</v>
      </c>
      <c r="IZ41" s="36" t="s">
        <v>139</v>
      </c>
      <c r="JA41" s="36" t="s">
        <v>139</v>
      </c>
      <c r="JB41" s="36" t="s">
        <v>139</v>
      </c>
      <c r="JC41" s="36" t="s">
        <v>139</v>
      </c>
      <c r="JD41" s="36" t="s">
        <v>139</v>
      </c>
      <c r="JE41" s="36" t="s">
        <v>139</v>
      </c>
      <c r="JF41" s="36" t="s">
        <v>139</v>
      </c>
      <c r="JG41" s="36" t="s">
        <v>139</v>
      </c>
      <c r="JH41" s="36" t="s">
        <v>139</v>
      </c>
      <c r="JI41" s="36" t="s">
        <v>139</v>
      </c>
      <c r="JJ41" s="36" t="s">
        <v>139</v>
      </c>
      <c r="JK41" s="36" t="s">
        <v>139</v>
      </c>
      <c r="JL41" s="36" t="s">
        <v>139</v>
      </c>
      <c r="JM41" s="36" t="s">
        <v>139</v>
      </c>
      <c r="JN41" s="36" t="s">
        <v>139</v>
      </c>
      <c r="JO41" s="36" t="s">
        <v>139</v>
      </c>
      <c r="JP41" s="36" t="s">
        <v>139</v>
      </c>
      <c r="JQ41" s="36" t="s">
        <v>139</v>
      </c>
      <c r="JR41" s="36" t="s">
        <v>139</v>
      </c>
      <c r="JS41" s="36" t="s">
        <v>139</v>
      </c>
      <c r="JT41" s="36" t="s">
        <v>139</v>
      </c>
      <c r="JU41" s="36" t="s">
        <v>139</v>
      </c>
      <c r="JV41" s="36" t="s">
        <v>139</v>
      </c>
      <c r="JW41" s="36" t="s">
        <v>139</v>
      </c>
      <c r="JX41" s="36" t="s">
        <v>139</v>
      </c>
      <c r="JY41" s="36" t="s">
        <v>139</v>
      </c>
      <c r="JZ41" s="36" t="s">
        <v>139</v>
      </c>
      <c r="KA41" s="36" t="s">
        <v>139</v>
      </c>
      <c r="KB41" s="36" t="s">
        <v>139</v>
      </c>
      <c r="KC41" s="36" t="s">
        <v>139</v>
      </c>
      <c r="KD41" s="36" t="s">
        <v>139</v>
      </c>
      <c r="KE41" s="36" t="s">
        <v>139</v>
      </c>
      <c r="KF41" s="36" t="s">
        <v>139</v>
      </c>
      <c r="KG41" s="36" t="s">
        <v>139</v>
      </c>
      <c r="KH41" s="36" t="s">
        <v>139</v>
      </c>
      <c r="KI41" s="36" t="s">
        <v>139</v>
      </c>
      <c r="KJ41" s="36" t="s">
        <v>139</v>
      </c>
      <c r="KK41" s="36" t="s">
        <v>139</v>
      </c>
      <c r="KL41" s="36" t="s">
        <v>139</v>
      </c>
      <c r="KM41" s="36" t="s">
        <v>139</v>
      </c>
      <c r="KN41" s="36" t="s">
        <v>139</v>
      </c>
      <c r="KO41" s="36" t="s">
        <v>139</v>
      </c>
      <c r="KP41" s="36" t="s">
        <v>139</v>
      </c>
      <c r="KQ41" s="36" t="s">
        <v>139</v>
      </c>
      <c r="KR41" s="36" t="s">
        <v>139</v>
      </c>
      <c r="KS41" s="36" t="s">
        <v>139</v>
      </c>
      <c r="KT41" s="36" t="s">
        <v>139</v>
      </c>
      <c r="KU41" s="36" t="s">
        <v>139</v>
      </c>
      <c r="KV41" s="36" t="s">
        <v>139</v>
      </c>
      <c r="KW41" s="36" t="s">
        <v>139</v>
      </c>
      <c r="KX41" s="36" t="s">
        <v>139</v>
      </c>
      <c r="KY41" s="36" t="s">
        <v>139</v>
      </c>
      <c r="KZ41" s="36" t="s">
        <v>139</v>
      </c>
      <c r="LA41" s="36" t="s">
        <v>139</v>
      </c>
      <c r="LB41" s="36" t="s">
        <v>139</v>
      </c>
      <c r="LC41" s="36" t="s">
        <v>139</v>
      </c>
      <c r="LD41" s="36" t="s">
        <v>139</v>
      </c>
      <c r="LE41" s="36" t="s">
        <v>139</v>
      </c>
      <c r="LF41" s="36" t="s">
        <v>139</v>
      </c>
      <c r="LG41" s="36" t="s">
        <v>139</v>
      </c>
      <c r="LH41" s="36" t="s">
        <v>139</v>
      </c>
      <c r="LI41" s="36" t="s">
        <v>139</v>
      </c>
      <c r="LJ41" s="36" t="s">
        <v>139</v>
      </c>
      <c r="LK41" s="36" t="s">
        <v>139</v>
      </c>
      <c r="LL41" s="36" t="s">
        <v>139</v>
      </c>
      <c r="LM41" s="36" t="s">
        <v>139</v>
      </c>
      <c r="LN41" s="36" t="s">
        <v>139</v>
      </c>
      <c r="LO41" s="36" t="s">
        <v>139</v>
      </c>
      <c r="LP41" s="36" t="s">
        <v>139</v>
      </c>
      <c r="LQ41" s="36" t="s">
        <v>139</v>
      </c>
      <c r="LR41" s="36" t="s">
        <v>139</v>
      </c>
      <c r="LS41" s="36" t="s">
        <v>139</v>
      </c>
      <c r="LT41" s="36" t="s">
        <v>139</v>
      </c>
      <c r="LU41" s="36" t="s">
        <v>139</v>
      </c>
      <c r="LV41" s="36" t="s">
        <v>139</v>
      </c>
      <c r="LW41" s="36" t="s">
        <v>139</v>
      </c>
      <c r="LX41" s="36" t="s">
        <v>139</v>
      </c>
      <c r="LY41" s="36" t="s">
        <v>139</v>
      </c>
      <c r="LZ41" s="36" t="s">
        <v>139</v>
      </c>
      <c r="MA41" s="36" t="s">
        <v>139</v>
      </c>
      <c r="MB41" s="36" t="s">
        <v>139</v>
      </c>
      <c r="MC41" s="36" t="s">
        <v>139</v>
      </c>
      <c r="MD41" s="36" t="s">
        <v>139</v>
      </c>
      <c r="ME41" s="36" t="s">
        <v>139</v>
      </c>
      <c r="MF41" s="36" t="s">
        <v>139</v>
      </c>
      <c r="MG41" s="36" t="s">
        <v>139</v>
      </c>
      <c r="MH41" s="36" t="s">
        <v>139</v>
      </c>
      <c r="MI41" s="36" t="s">
        <v>139</v>
      </c>
      <c r="MJ41" s="36" t="s">
        <v>139</v>
      </c>
      <c r="MK41" s="36" t="s">
        <v>139</v>
      </c>
      <c r="ML41" s="36" t="s">
        <v>139</v>
      </c>
      <c r="MM41" s="36" t="s">
        <v>139</v>
      </c>
      <c r="MN41" s="36" t="s">
        <v>139</v>
      </c>
      <c r="MO41" s="36" t="s">
        <v>139</v>
      </c>
      <c r="MP41" s="36" t="s">
        <v>139</v>
      </c>
      <c r="MQ41" s="36" t="s">
        <v>139</v>
      </c>
      <c r="MR41" s="36" t="s">
        <v>139</v>
      </c>
      <c r="MS41" s="36" t="s">
        <v>139</v>
      </c>
      <c r="MT41" s="36" t="s">
        <v>139</v>
      </c>
      <c r="MU41" s="36" t="s">
        <v>139</v>
      </c>
      <c r="MV41" s="36" t="s">
        <v>139</v>
      </c>
      <c r="MW41" s="36" t="s">
        <v>139</v>
      </c>
      <c r="MX41" s="36" t="s">
        <v>139</v>
      </c>
      <c r="MY41" s="36" t="s">
        <v>139</v>
      </c>
      <c r="MZ41" s="36" t="s">
        <v>139</v>
      </c>
      <c r="NA41" s="36" t="s">
        <v>139</v>
      </c>
      <c r="NB41" s="36" t="s">
        <v>139</v>
      </c>
      <c r="NC41" s="36" t="s">
        <v>139</v>
      </c>
      <c r="ND41" s="36" t="s">
        <v>139</v>
      </c>
      <c r="NE41" s="36" t="s">
        <v>139</v>
      </c>
      <c r="NF41" s="36" t="s">
        <v>139</v>
      </c>
      <c r="NG41" s="36" t="s">
        <v>139</v>
      </c>
      <c r="NH41" s="36" t="s">
        <v>139</v>
      </c>
      <c r="NI41" s="36" t="s">
        <v>139</v>
      </c>
      <c r="NJ41" s="36" t="s">
        <v>139</v>
      </c>
      <c r="NK41" s="36" t="s">
        <v>139</v>
      </c>
      <c r="NL41" s="36" t="s">
        <v>139</v>
      </c>
      <c r="NM41" s="36" t="s">
        <v>139</v>
      </c>
      <c r="NN41" s="36" t="s">
        <v>139</v>
      </c>
      <c r="NO41" s="36" t="s">
        <v>139</v>
      </c>
      <c r="NP41" s="36" t="s">
        <v>139</v>
      </c>
      <c r="NQ41" s="36" t="s">
        <v>139</v>
      </c>
      <c r="NR41" s="36" t="s">
        <v>139</v>
      </c>
      <c r="NS41" s="36" t="s">
        <v>139</v>
      </c>
      <c r="NT41" s="36" t="s">
        <v>139</v>
      </c>
      <c r="NU41" s="36" t="s">
        <v>139</v>
      </c>
      <c r="NV41" s="36" t="s">
        <v>139</v>
      </c>
      <c r="NW41" s="36" t="s">
        <v>139</v>
      </c>
      <c r="NX41" s="36" t="s">
        <v>139</v>
      </c>
      <c r="NY41" s="36" t="s">
        <v>139</v>
      </c>
      <c r="NZ41" s="36" t="s">
        <v>139</v>
      </c>
      <c r="OA41" s="36" t="s">
        <v>139</v>
      </c>
      <c r="OB41" s="36" t="s">
        <v>139</v>
      </c>
      <c r="OC41" s="36" t="s">
        <v>139</v>
      </c>
      <c r="OD41" s="36" t="s">
        <v>139</v>
      </c>
      <c r="OE41" s="36" t="s">
        <v>139</v>
      </c>
      <c r="OF41" s="36" t="s">
        <v>139</v>
      </c>
      <c r="OG41" s="36" t="s">
        <v>139</v>
      </c>
      <c r="OH41" s="36" t="s">
        <v>139</v>
      </c>
      <c r="OI41" s="36" t="s">
        <v>139</v>
      </c>
      <c r="OJ41" s="36" t="s">
        <v>139</v>
      </c>
      <c r="OK41" s="36" t="s">
        <v>139</v>
      </c>
      <c r="OL41" s="36" t="s">
        <v>139</v>
      </c>
      <c r="OM41" s="36" t="s">
        <v>139</v>
      </c>
      <c r="ON41" s="36" t="s">
        <v>139</v>
      </c>
      <c r="OO41" s="36" t="s">
        <v>139</v>
      </c>
      <c r="OP41" s="36" t="s">
        <v>139</v>
      </c>
      <c r="OQ41" s="36" t="s">
        <v>139</v>
      </c>
      <c r="OR41" s="36" t="s">
        <v>139</v>
      </c>
      <c r="OS41" s="36" t="s">
        <v>139</v>
      </c>
      <c r="OT41" s="36" t="s">
        <v>139</v>
      </c>
      <c r="OU41" s="36" t="s">
        <v>139</v>
      </c>
      <c r="OV41" s="36" t="s">
        <v>139</v>
      </c>
      <c r="OW41" s="36" t="s">
        <v>139</v>
      </c>
      <c r="OX41" s="36" t="s">
        <v>139</v>
      </c>
      <c r="OY41" s="36" t="s">
        <v>139</v>
      </c>
      <c r="OZ41" s="36" t="s">
        <v>139</v>
      </c>
      <c r="PA41" s="36" t="s">
        <v>139</v>
      </c>
      <c r="PB41" s="36" t="s">
        <v>139</v>
      </c>
      <c r="PC41" s="36" t="s">
        <v>139</v>
      </c>
      <c r="PD41" s="36" t="s">
        <v>139</v>
      </c>
      <c r="PE41" s="36" t="s">
        <v>139</v>
      </c>
      <c r="PF41" s="36" t="s">
        <v>139</v>
      </c>
      <c r="PG41" s="36" t="s">
        <v>139</v>
      </c>
      <c r="PH41" s="36" t="s">
        <v>139</v>
      </c>
      <c r="PI41" s="36" t="s">
        <v>139</v>
      </c>
      <c r="PJ41" s="36" t="s">
        <v>139</v>
      </c>
      <c r="PK41" s="36" t="s">
        <v>139</v>
      </c>
      <c r="PL41" s="36" t="s">
        <v>139</v>
      </c>
      <c r="PM41" s="36" t="s">
        <v>139</v>
      </c>
      <c r="PN41" s="36" t="s">
        <v>139</v>
      </c>
      <c r="PO41" s="74">
        <f>COUNTIFS($C$27:$PN$27,("&lt;"&amp;$B$3),$C$27:$PN$27,("&gt;="&amp;$B$2),$C41:$PN41,TabAsistencias[[#Headers],[1]])</f>
        <v>30</v>
      </c>
      <c r="PP41" s="74">
        <f>COUNTIFS($C$27:$PN$27,("&lt;"&amp;$B$3),$C$27:$PN$27,("&gt;="&amp;$B$2),$C41:$PN41,TabAsistencias[[#Headers],[E]])</f>
        <v>0</v>
      </c>
      <c r="PQ41" s="74">
        <f>COUNTIFS($C$27:$PN$27,("&lt;"&amp;$B$3),$C$27:$PN$27,("&gt;="&amp;$B$2),$C41:$PN41,TabAsistencias[[#Headers],[DE]])</f>
        <v>0</v>
      </c>
      <c r="PR41" s="74">
        <f>COUNTIFS($C$27:$PN$27,("&lt;"&amp;$B$3),$C$27:$PN$27,("&gt;="&amp;$B$2),$C41:$PN41,TabAsistencias[[#Headers],[V]])</f>
        <v>0</v>
      </c>
      <c r="PS41" s="74">
        <f>COUNTIFS($C$27:$PN$27,("&lt;"&amp;$B$3),$C$27:$PN$27,("&gt;="&amp;$B$2),$C41:$PN41,TabAsistencias[[#Headers],[DO]])</f>
        <v>0</v>
      </c>
      <c r="PT41" s="74">
        <f>COUNTIFS($C$27:$PN$27,("&lt;"&amp;$B$3),$C$27:$PN$27,("&gt;="&amp;$B$2),$C41:$PN41,TabAsistencias[[#Headers],[P]])</f>
        <v>0</v>
      </c>
      <c r="PU41" s="74">
        <f>COUNTIFS($C$27:$PN$27,("&lt;"&amp;$B$3),$C$27:$PN$27,("&gt;="&amp;$B$2),$C41:$PN41,TabAsistencias[[#Headers],[F]])</f>
        <v>0</v>
      </c>
      <c r="PV41" s="74">
        <f>COUNTIFS($C$27:$PN$27,("&lt;"&amp;$B$3),$C$27:$PN$27,("&gt;="&amp;$B$2),$C41:$PN41,TabAsistencias[[#Headers],[R]])</f>
        <v>0</v>
      </c>
      <c r="PW41" s="74">
        <f>COUNTIFS($C$27:$PN$27,("&lt;"&amp;$B$3),$C$27:$PN$27,("&gt;="&amp;$B$2),$C41:$PN41,TabAsistencias[[#Headers],[PP]])</f>
        <v>0</v>
      </c>
      <c r="PX41" s="74">
        <f>COUNTIFS($C$27:$PN$27,("&lt;"&amp;$B$3),$C$27:$PN$27,("&gt;="&amp;$B$2),$C41:$PN41,TabAsistencias[[#Headers],[0]])</f>
        <v>0</v>
      </c>
      <c r="PY41" s="74">
        <f>COUNTIFS($C$27:$PN$27,("&lt;"&amp;$B$3),$C$27:$PN$27,("&gt;="&amp;$B$2),$C41:$PN41,TabAsistencias[[#Headers],[IG]])</f>
        <v>0</v>
      </c>
      <c r="PZ41" s="74">
        <f>COUNTIFS($C$27:$PN$27,("&lt;"&amp;$B$3),$C$27:$PN$27,("&gt;="&amp;$B$2),$C41:$PN41,TabAsistencias[[#Headers],[NA]])</f>
        <v>0</v>
      </c>
      <c r="QA41" s="74">
        <f>COUNTIFS($C$27:$PN$27,("&lt;"&amp;$B$3),$C$27:$PN$27,("&gt;="&amp;$B$2),$C41:$PN41,TabAsistencias[[#Headers],[DF]])</f>
        <v>0</v>
      </c>
      <c r="QB41" s="74">
        <f>COUNTIFS($C$27:$PN$27,("&lt;"&amp;$B$3),$C$27:$PN$27,("&gt;="&amp;$B$2),$C41:$PN41,TabAsistencias[[#Headers],[3]])</f>
        <v>0</v>
      </c>
      <c r="QC41" s="74">
        <f>COUNTIFS($C$27:$PN$27,("&lt;"&amp;$B$3),$C$27:$PN$27,("&gt;="&amp;$B$2),$C41:$PN41,TabAsistencias[[#Headers],[CP]])</f>
        <v>0</v>
      </c>
      <c r="QD41" s="74">
        <f>COUNTIFS($C$27:$PN$27,("&lt;"&amp;$B$3),$C$27:$PN$27,("&gt;="&amp;$B$2),$C41:$PN41,TabAsistencias[[#Headers],[I]])</f>
        <v>0</v>
      </c>
      <c r="QE41" s="74">
        <f>COUNTIFS($C$27:$PN$27,("&lt;"&amp;$B$3),$C$27:$PN$27,("&gt;="&amp;$B$2),$C41:$PN41,TabAsistencias[[#Headers],[T/2]])</f>
        <v>0</v>
      </c>
      <c r="QF41" s="74">
        <f>COUNTIFS($C$27:$PN$27,("&lt;"&amp;$B$3),$C$27:$PN$27,("&gt;="&amp;$B$2),$C41:$PN41,TabAsistencias[[#Headers],[ME]])</f>
        <v>0</v>
      </c>
      <c r="QG41" s="74">
        <f>COUNTIFS($C$27:$PN$27,("&lt;"&amp;$B$3),$C$27:$PN$27,("&gt;="&amp;$B$2),$C41:$PN41,TabAsistencias[[#Headers],[DP]])</f>
        <v>0</v>
      </c>
      <c r="QH41" s="74">
        <f>COUNTIFS($C$27:$PN$27,("&lt;"&amp;$B$3),$C$27:$PN$27,("&gt;="&amp;$B$2),$C41:$PN41,TabAsistencias[[#Headers],[B]])</f>
        <v>0</v>
      </c>
      <c r="QI41" s="74">
        <f>(TabAsistencias[[#This Row],[1]]*'Tablas de informacion'!$C$124)+(TabAsistencias[[#This Row],[E]]*'Tablas de informacion'!$C$125)+(TabAsistencias[[#This Row],[DE]]*'Tablas de informacion'!C$126)+(TabAsistencias[[#This Row],[V]]*'Tablas de informacion'!C$127)+(TabAsistencias[[#This Row],[DO]]*'Tablas de informacion'!C$128)+(TabAsistencias[[#This Row],[P]]*'Tablas de informacion'!C$129)+(TabAsistencias[[#This Row],[F]]*'Tablas de informacion'!C$130)+(TabAsistencias[[#This Row],[R]]*'Tablas de informacion'!C$131)+(TabAsistencias[[#This Row],[PP]]*'Tablas de informacion'!C$132)+(TabAsistencias[[#This Row],[0]]*'Tablas de informacion'!C$133)+(TabAsistencias[[#This Row],[IG]]*'Tablas de informacion'!C$134)+(TabAsistencias[[#This Row],[NA]]*'Tablas de informacion'!C$135)+(TabAsistencias[[#This Row],[DF]]*'Tablas de informacion'!C$136)+(TabAsistencias[[#This Row],[3]]*'Tablas de informacion'!C$137)+(TabAsistencias[[#This Row],[CP]]*'Tablas de informacion'!C$138)+(TabAsistencias[[#This Row],[I]]*'Tablas de informacion'!C$139)+(TabAsistencias[[#This Row],[T/2]]*'Tablas de informacion'!C$140)+(TabAsistencias[[#This Row],[ME]]*'Tablas de informacion'!C$141)+(TabAsistencias[[#This Row],[DP]]*'Tablas de informacion'!C$142)+(TabAsistencias[[#This Row],[B]]*'Tablas de informacion'!C$143)-INT(TabAsistencias[[#This Row],[R]]/3)</f>
        <v>30</v>
      </c>
      <c r="QJ41" s="74">
        <f>COUNTIFS($C$27:$PN$27,("&lt;"&amp;$B$3),$C$27:$PN$27,("&gt;="&amp;$B$2),$C$28:$PN$28,1,$C41:$PN41,TabAsistencias[[#Headers],[1]])+
COUNTIFS($C$27:$PN$27,("&lt;"&amp;$B$3),$C$27:$PN$27,("&gt;="&amp;$B$2),$C$28:$PN$28,1,$C41:$PN41,TabAsistencias[[#Headers],[DO]])+
COUNTIFS($C$27:$PN$27,("&lt;"&amp;$B$3),$C$27:$PN$27,("&gt;="&amp;$B$2),$C$28:$PN$28,1,$C41:$PN41,TabAsistencias[[#Headers],[R]])+
COUNTIFS($C$27:$PN$27,("&lt;"&amp;$B$3),$C$27:$PN$27,("&gt;="&amp;$B$2),$C$28:$PN$28,1,$C41:$PN41,TabAsistencias[[#Headers],[NA]])+
COUNTIFS($C$27:$PN$27,("&lt;"&amp;$B$3),$C$27:$PN$27,("&gt;="&amp;$B$2),$C$28:$PN$28,1,$C41:$PN41,TabAsistencias[[#Headers],[DF]])+
COUNTIFS($C$27:$PN$27,("&lt;"&amp;$B$3),$C$27:$PN$27,("&gt;="&amp;$B$2),$C$28:$PN$28,1,$C41:$PN41,TabAsistencias[[#Headers],[3]])+
COUNTIFS($C$27:$PN$27,("&lt;"&amp;$B$3),$C$27:$PN$27,("&gt;="&amp;$B$2),$C$28:$PN$28,1,$C41:$PN41,TabAsistencias[[#Headers],[CP]])+
COUNTIFS($C$27:$PN$27,("&lt;"&amp;$B$3),$C$27:$PN$27,("&gt;="&amp;$B$2),$C$28:$PN$28,1,$C41:$PN41,TabAsistencias[[#Headers],[T/2]])</f>
        <v>4</v>
      </c>
      <c r="QK41" s="315" cm="1">
        <f t="array" ref="QK41">IFERROR(VLOOKUP(
DATEDIF((VLOOKUP(TabAsistencias[[#This Row],[ID]],TabEmpleados[],COLUMN(TabEmpleados[Fecha de ingreso]),FALSE)),Asistencias!$B$3,"Y"),
TabFactorIntegracion[],COLUMN(TabFactorIntegracion[Días vacacionales
establecidos por ley]),FALSE),0)
-
COUNTIF($AH41:$PN41,TabAsistencias[[#Headers],[V]])</f>
        <v>12</v>
      </c>
      <c r="QL41" s="319">
        <f>SUM(TabAsistencias[[#This Row],[''1]],TabAsistencias[[#This Row],[''DE]],TabAsistencias[[#This Row],[''DO]],TabAsistencias[[#This Row],[''R]],TabAsistencias[[#This Row],[''NA]],TabAsistencias[[#This Row],[''DF]],TabAsistencias[[#This Row],[''3]],TabAsistencias[[#This Row],[''CP]],TabAsistencias[[#This Row],[''T/2]],TabAsistencias[[#This Row],[''DP]])</f>
        <v>73</v>
      </c>
      <c r="QM41" s="314">
        <f>COUNTIFS($C$27:$PN$27,("&lt;"&amp;$B$5),$C$27:$PN$27,("&gt;="&amp;$B$4),$C41:$PN41,TabAsistencias[[#Headers],[1]])</f>
        <v>73</v>
      </c>
      <c r="QN41" s="314">
        <f>COUNTIFS($C$27:$PN$27,("&lt;"&amp;$B$5),$C$27:$PN$27,("&gt;="&amp;$B$4),$C41:$PN41,TabAsistencias[[#Headers],[DE]])</f>
        <v>0</v>
      </c>
      <c r="QO41" s="314">
        <f>COUNTIFS($C$27:$PN$27,("&lt;"&amp;$B$5),$C$27:$PN$27,("&gt;="&amp;$B$4),$C41:$PN41,TabAsistencias[[#Headers],[V]])</f>
        <v>0</v>
      </c>
      <c r="QP41" s="314">
        <f>COUNTIFS($C$27:$PN$27,("&lt;"&amp;$B$5),$C$27:$PN$27,("&gt;="&amp;$B$4),$C41:$PN41,TabAsistencias[[#Headers],[DO]])</f>
        <v>0</v>
      </c>
      <c r="QQ41" s="314">
        <f>COUNTIFS($C$27:$PN$27,("&lt;"&amp;$B$5),$C$27:$PN$27,("&gt;="&amp;$B$4),$C41:$PN41,TabAsistencias[[#Headers],[P]])</f>
        <v>0</v>
      </c>
      <c r="QR41" s="314">
        <f>COUNTIFS($C$27:$PN$27,("&lt;"&amp;$B$5),$C$27:$PN$27,("&gt;="&amp;$B$4),$C41:$PN41,TabAsistencias[[#Headers],[F]])</f>
        <v>0</v>
      </c>
      <c r="QS41" s="314">
        <f>COUNTIFS($C$27:$PN$27,("&lt;"&amp;$B$5),$C$27:$PN$27,("&gt;="&amp;$B$4),$C41:$PN41,TabAsistencias[[#Headers],[R]])</f>
        <v>0</v>
      </c>
      <c r="QT41" s="314">
        <f>COUNTIFS($C$27:$PN$27,("&lt;"&amp;$B$5),$C$27:$PN$27,("&gt;="&amp;$B$4),$C41:$PN41,TabAsistencias[[#Headers],[PP]])</f>
        <v>0</v>
      </c>
      <c r="QU41" s="314">
        <f>COUNTIFS($C$27:$PN$27,("&lt;"&amp;$B$5),$C$27:$PN$27,("&gt;="&amp;$B$4),$C41:$PN41,TabAsistencias[[#Headers],[0]])</f>
        <v>0</v>
      </c>
      <c r="QV41" s="314">
        <f>COUNTIFS($C$27:$PN$27,("&lt;"&amp;$B$5),$C$27:$PN$27,("&gt;="&amp;$B$4),$C41:$PN41,TabAsistencias[[#Headers],[IG]])</f>
        <v>0</v>
      </c>
      <c r="QW41" s="314">
        <f>COUNTIFS($C$27:$PN$27,("&lt;"&amp;$B$5),$C$27:$PN$27,("&gt;="&amp;$B$4),$C41:$PN41,TabAsistencias[[#Headers],[NA]])</f>
        <v>0</v>
      </c>
      <c r="QX41" s="314">
        <f>COUNTIFS($C$27:$PN$27,("&lt;"&amp;$B$5),$C$27:$PN$27,("&gt;="&amp;$B$4),$C41:$PN41,TabAsistencias[[#Headers],[DF]])</f>
        <v>0</v>
      </c>
      <c r="QY41" s="314">
        <f>COUNTIFS($C$27:$PN$27,("&lt;"&amp;$B$5),$C$27:$PN$27,("&gt;="&amp;$B$4),$C41:$PN41,TabAsistencias[[#Headers],[3]])</f>
        <v>0</v>
      </c>
      <c r="QZ41" s="314">
        <f>COUNTIFS($C$27:$PN$27,("&lt;"&amp;$B$5),$C$27:$PN$27,("&gt;="&amp;$B$4),$C41:$PN41,TabAsistencias[[#Headers],[CP]])</f>
        <v>0</v>
      </c>
      <c r="RA41" s="314">
        <f>COUNTIFS($C$27:$PN$27,("&lt;"&amp;$B$5),$C$27:$PN$27,("&gt;="&amp;$B$4),$C41:$PN41,TabAsistencias[[#Headers],[I]])</f>
        <v>0</v>
      </c>
      <c r="RB41" s="314">
        <f>COUNTIFS($C$27:$PN$27,("&lt;"&amp;$B$5),$C$27:$PN$27,("&gt;="&amp;$B$4),$C41:$PN41,TabAsistencias[[#Headers],[T/2]])</f>
        <v>0</v>
      </c>
      <c r="RC41" s="314">
        <f>COUNTIFS($C$27:$PN$27,("&lt;"&amp;$B$5),$C$27:$PN$27,("&gt;="&amp;$B$4),$C41:$PN41,TabAsistencias[[#Headers],[ME]])</f>
        <v>0</v>
      </c>
      <c r="RD41" s="314">
        <f>COUNTIFS($C$27:$PN$27,("&lt;"&amp;$B$5),$C$27:$PN$27,("&gt;="&amp;$B$4),$C41:$PN41,TabAsistencias[[#Headers],[DP]])</f>
        <v>0</v>
      </c>
      <c r="RE41" s="314">
        <f>COUNTIFS($C$27:$PN$27,("&lt;"&amp;$B$5),$C$27:$PN$27,("&gt;="&amp;$B$4),$C41:$PN41,TabAsistencias[[#Headers],[B]])</f>
        <v>0</v>
      </c>
      <c r="RF41" s="314">
        <f>COUNTIFS($C$27:$PN$27,("&lt;"&amp;$B$5),$C$27:$PN$27,("&gt;="&amp;$B$4),$C$28:$PN$28,1,$C41:$PN41,TabAsistencias[[#Headers],[1]])+
COUNTIFS($C$27:$PN$27,("&lt;"&amp;$B$5),$C$27:$PN$27,("&gt;="&amp;$B$4),$C$28:$PN$28,1,$C41:$PN41,TabAsistencias[[#Headers],[DO]])+
COUNTIFS($C$27:$PN$27,("&lt;"&amp;$B$5),$C$27:$PN$27,("&gt;="&amp;$B$4),$C$28:$PN$28,1,$C41:$PN41,TabAsistencias[[#Headers],[R]])+
COUNTIFS($C$27:$PN$27,("&lt;"&amp;$B$5),$C$27:$PN$27,("&gt;="&amp;$B$4),$C$28:$PN$28,1,$C41:$PN41,TabAsistencias[[#Headers],[NA]])+
COUNTIFS($C$27:$PN$27,("&lt;"&amp;$B$5),$C$27:$PN$27,("&gt;="&amp;$B$4),$C$28:$PN$28,1,$C41:$PN41,TabAsistencias[[#Headers],[DF]])+
COUNTIFS($C$27:$PN$27,("&lt;"&amp;$B$5),$C$27:$PN$27,("&gt;="&amp;$B$4),$C$28:$PN$28,1,$C41:$PN41,TabAsistencias[[#Headers],[3]])+
COUNTIFS($C$27:$PN$27,("&lt;"&amp;$B$5),$C$27:$PN$27,("&gt;="&amp;$B$4),$C$28:$PN$28,1,$C41:$PN41,TabAsistencias[[#Headers],[CP]])+
COUNTIFS($C$27:$PN$27,("&lt;"&amp;$B$5),$C$27:$PN$27,("&gt;="&amp;$B$4),$C$28:$PN$28,1,$C41:$PN41,TabAsistencias[[#Headers],[T/2]])</f>
        <v>11</v>
      </c>
      <c r="RG41" s="320" cm="1">
        <f t="array" ref="RG41">IFERROR(VLOOKUP(
DATEDIF((VLOOKUP(TabAsistencias[[#This Row],[ID]],TabEmpleados[],COLUMN(TabEmpleados[Fecha de alta NSS]),FALSE)),Asistencias!$B$3,"Y"),
TabFactorIntegracion[],COLUMN(TabFactorIntegracion[Días vacacionales
establecidos por ley]),FALSE),0)
-
COUNTIF($AH41:$PN41,TabAsistencias[[#Headers],[V]])</f>
        <v>12</v>
      </c>
    </row>
    <row r="42" spans="1:475" x14ac:dyDescent="0.25">
      <c r="A42" s="92">
        <f t="shared" si="434"/>
        <v>12</v>
      </c>
      <c r="B42" s="30" t="str" cm="1">
        <f t="array" ref="B42">VLOOKUP(TabAsistencias[[#This Row],[ID]],TabEmpleados[],COLUMN(TabEmpleados[Nombre]),FALSE)</f>
        <v>GARCIA MARTINEZ JORGE MANUEL</v>
      </c>
      <c r="C42" s="36" t="s">
        <v>139</v>
      </c>
      <c r="D42" s="36" t="s">
        <v>139</v>
      </c>
      <c r="E42" s="36" t="s">
        <v>139</v>
      </c>
      <c r="F42" s="36" t="s">
        <v>139</v>
      </c>
      <c r="G42" s="36" t="s">
        <v>139</v>
      </c>
      <c r="H42" s="36" t="s">
        <v>139</v>
      </c>
      <c r="I42" s="36" t="s">
        <v>139</v>
      </c>
      <c r="J42" s="36" t="s">
        <v>139</v>
      </c>
      <c r="K42" s="36" t="s">
        <v>139</v>
      </c>
      <c r="L42" s="36" t="s">
        <v>139</v>
      </c>
      <c r="M42" s="36" t="s">
        <v>139</v>
      </c>
      <c r="N42" s="36" t="s">
        <v>139</v>
      </c>
      <c r="O42" s="36" t="s">
        <v>139</v>
      </c>
      <c r="P42" s="36" t="s">
        <v>139</v>
      </c>
      <c r="Q42" s="36" t="s">
        <v>139</v>
      </c>
      <c r="R42" s="36" t="s">
        <v>139</v>
      </c>
      <c r="S42" s="36" t="s">
        <v>139</v>
      </c>
      <c r="T42" s="36" t="s">
        <v>139</v>
      </c>
      <c r="U42" s="36" t="s">
        <v>139</v>
      </c>
      <c r="V42" s="36" t="s">
        <v>139</v>
      </c>
      <c r="W42" s="36" t="s">
        <v>139</v>
      </c>
      <c r="X42" s="36" t="s">
        <v>139</v>
      </c>
      <c r="Y42" s="36" t="s">
        <v>139</v>
      </c>
      <c r="Z42" s="36" t="s">
        <v>139</v>
      </c>
      <c r="AA42" s="36" t="s">
        <v>139</v>
      </c>
      <c r="AB42" s="36" t="s">
        <v>139</v>
      </c>
      <c r="AC42" s="36" t="s">
        <v>139</v>
      </c>
      <c r="AD42" s="36" t="s">
        <v>139</v>
      </c>
      <c r="AE42" s="36" t="s">
        <v>139</v>
      </c>
      <c r="AF42" s="36" t="s">
        <v>139</v>
      </c>
      <c r="AG42" s="36" t="s">
        <v>139</v>
      </c>
      <c r="AH42" s="36" t="s">
        <v>139</v>
      </c>
      <c r="AI42" s="36" t="s">
        <v>139</v>
      </c>
      <c r="AJ42" s="36" t="s">
        <v>139</v>
      </c>
      <c r="AK42" s="36" t="s">
        <v>139</v>
      </c>
      <c r="AL42" s="36" t="s">
        <v>139</v>
      </c>
      <c r="AM42" s="36" t="s">
        <v>139</v>
      </c>
      <c r="AN42" s="36" t="s">
        <v>139</v>
      </c>
      <c r="AO42" s="36" t="s">
        <v>139</v>
      </c>
      <c r="AP42" s="36" t="s">
        <v>139</v>
      </c>
      <c r="AQ42" s="36" t="s">
        <v>139</v>
      </c>
      <c r="AR42" s="36" t="s">
        <v>139</v>
      </c>
      <c r="AS42" s="36" t="s">
        <v>139</v>
      </c>
      <c r="AT42" s="36" t="s">
        <v>139</v>
      </c>
      <c r="AU42" s="36" t="s">
        <v>139</v>
      </c>
      <c r="AV42" s="36" t="s">
        <v>139</v>
      </c>
      <c r="AW42" s="36" t="s">
        <v>139</v>
      </c>
      <c r="AX42" s="36" t="s">
        <v>139</v>
      </c>
      <c r="AY42" s="36" t="s">
        <v>139</v>
      </c>
      <c r="AZ42" s="36" t="s">
        <v>139</v>
      </c>
      <c r="BA42" s="36" t="s">
        <v>139</v>
      </c>
      <c r="BB42" s="36" t="s">
        <v>139</v>
      </c>
      <c r="BC42" s="36" t="s">
        <v>139</v>
      </c>
      <c r="BD42" s="36" t="s">
        <v>139</v>
      </c>
      <c r="BE42" s="36" t="s">
        <v>139</v>
      </c>
      <c r="BF42" s="36" t="s">
        <v>139</v>
      </c>
      <c r="BG42" s="36" t="s">
        <v>139</v>
      </c>
      <c r="BH42" s="36" t="s">
        <v>139</v>
      </c>
      <c r="BI42" s="36" t="s">
        <v>139</v>
      </c>
      <c r="BJ42" s="36" t="s">
        <v>139</v>
      </c>
      <c r="BK42" s="36" t="s">
        <v>139</v>
      </c>
      <c r="BL42" s="36" t="s">
        <v>139</v>
      </c>
      <c r="BM42" s="36" t="s">
        <v>139</v>
      </c>
      <c r="BN42" s="36" t="s">
        <v>139</v>
      </c>
      <c r="BO42" s="36" t="s">
        <v>139</v>
      </c>
      <c r="BP42" s="36" t="s">
        <v>139</v>
      </c>
      <c r="BQ42" s="36" t="s">
        <v>139</v>
      </c>
      <c r="BR42" s="36" t="s">
        <v>139</v>
      </c>
      <c r="BS42" s="36" t="s">
        <v>139</v>
      </c>
      <c r="BT42" s="36" t="s">
        <v>139</v>
      </c>
      <c r="BU42" s="36" t="s">
        <v>139</v>
      </c>
      <c r="BV42" s="36" t="s">
        <v>139</v>
      </c>
      <c r="BW42" s="36" t="s">
        <v>139</v>
      </c>
      <c r="BX42" s="36" t="s">
        <v>139</v>
      </c>
      <c r="BY42" s="36" t="s">
        <v>139</v>
      </c>
      <c r="BZ42" s="36" t="s">
        <v>139</v>
      </c>
      <c r="CA42" s="36" t="s">
        <v>139</v>
      </c>
      <c r="CB42" s="36" t="s">
        <v>139</v>
      </c>
      <c r="CC42" s="36" t="s">
        <v>139</v>
      </c>
      <c r="CD42" s="36" t="s">
        <v>139</v>
      </c>
      <c r="CE42" s="36" t="s">
        <v>139</v>
      </c>
      <c r="CF42" s="36" t="s">
        <v>139</v>
      </c>
      <c r="CG42" s="36" t="s">
        <v>139</v>
      </c>
      <c r="CH42" s="36" t="s">
        <v>139</v>
      </c>
      <c r="CI42" s="36" t="s">
        <v>139</v>
      </c>
      <c r="CJ42" s="36" t="s">
        <v>139</v>
      </c>
      <c r="CK42" s="36" t="s">
        <v>139</v>
      </c>
      <c r="CL42" s="36" t="s">
        <v>139</v>
      </c>
      <c r="CM42" s="36" t="s">
        <v>139</v>
      </c>
      <c r="CN42" s="36" t="s">
        <v>139</v>
      </c>
      <c r="CO42" s="36" t="s">
        <v>139</v>
      </c>
      <c r="CP42" s="36" t="s">
        <v>139</v>
      </c>
      <c r="CQ42" s="36" t="s">
        <v>139</v>
      </c>
      <c r="CR42" s="36" t="s">
        <v>139</v>
      </c>
      <c r="CS42" s="36" t="s">
        <v>139</v>
      </c>
      <c r="CT42" s="36" t="s">
        <v>139</v>
      </c>
      <c r="CU42" s="36" t="s">
        <v>139</v>
      </c>
      <c r="CV42" s="36" t="s">
        <v>139</v>
      </c>
      <c r="CW42" s="36" t="s">
        <v>139</v>
      </c>
      <c r="CX42" s="36" t="s">
        <v>139</v>
      </c>
      <c r="CY42" s="36" t="s">
        <v>139</v>
      </c>
      <c r="CZ42" s="36" t="s">
        <v>139</v>
      </c>
      <c r="DA42" s="36" t="s">
        <v>139</v>
      </c>
      <c r="DB42" s="36" t="s">
        <v>139</v>
      </c>
      <c r="DC42" s="36" t="s">
        <v>139</v>
      </c>
      <c r="DD42" s="36" t="s">
        <v>139</v>
      </c>
      <c r="DE42" s="36" t="s">
        <v>139</v>
      </c>
      <c r="DF42" s="36" t="s">
        <v>139</v>
      </c>
      <c r="DG42" s="36" t="s">
        <v>139</v>
      </c>
      <c r="DH42" s="36" t="s">
        <v>139</v>
      </c>
      <c r="DI42" s="36" t="s">
        <v>139</v>
      </c>
      <c r="DJ42" s="36" t="s">
        <v>139</v>
      </c>
      <c r="DK42" s="36" t="s">
        <v>139</v>
      </c>
      <c r="DL42" s="36" t="s">
        <v>139</v>
      </c>
      <c r="DM42" s="36" t="s">
        <v>139</v>
      </c>
      <c r="DN42" s="36" t="s">
        <v>139</v>
      </c>
      <c r="DO42" s="36" t="s">
        <v>139</v>
      </c>
      <c r="DP42" s="36" t="s">
        <v>139</v>
      </c>
      <c r="DQ42" s="36" t="s">
        <v>139</v>
      </c>
      <c r="DR42" s="36" t="s">
        <v>139</v>
      </c>
      <c r="DS42" s="36" t="s">
        <v>139</v>
      </c>
      <c r="DT42" s="36" t="s">
        <v>139</v>
      </c>
      <c r="DU42" s="36" t="s">
        <v>139</v>
      </c>
      <c r="DV42" s="36" t="s">
        <v>139</v>
      </c>
      <c r="DW42" s="36" t="s">
        <v>139</v>
      </c>
      <c r="DX42" s="36" t="s">
        <v>139</v>
      </c>
      <c r="DY42" s="36" t="s">
        <v>139</v>
      </c>
      <c r="DZ42" s="36" t="s">
        <v>139</v>
      </c>
      <c r="EA42" s="36" t="s">
        <v>139</v>
      </c>
      <c r="EB42" s="36" t="s">
        <v>139</v>
      </c>
      <c r="EC42" s="36" t="s">
        <v>139</v>
      </c>
      <c r="ED42" s="36" t="s">
        <v>139</v>
      </c>
      <c r="EE42" s="36" t="s">
        <v>139</v>
      </c>
      <c r="EF42" s="36" t="s">
        <v>139</v>
      </c>
      <c r="EG42" s="36" t="s">
        <v>139</v>
      </c>
      <c r="EH42" s="36" t="s">
        <v>139</v>
      </c>
      <c r="EI42" s="36" t="s">
        <v>139</v>
      </c>
      <c r="EJ42" s="36" t="s">
        <v>139</v>
      </c>
      <c r="EK42" s="36" t="s">
        <v>139</v>
      </c>
      <c r="EL42" s="36" t="s">
        <v>139</v>
      </c>
      <c r="EM42" s="36" t="s">
        <v>139</v>
      </c>
      <c r="EN42" s="36" t="s">
        <v>139</v>
      </c>
      <c r="EO42" s="36" t="s">
        <v>139</v>
      </c>
      <c r="EP42" s="36" t="s">
        <v>139</v>
      </c>
      <c r="EQ42" s="36" t="s">
        <v>139</v>
      </c>
      <c r="ER42" s="36" t="s">
        <v>139</v>
      </c>
      <c r="ES42" s="36" t="s">
        <v>139</v>
      </c>
      <c r="ET42" s="36" t="s">
        <v>139</v>
      </c>
      <c r="EU42" s="36" t="s">
        <v>139</v>
      </c>
      <c r="EV42" s="36" t="s">
        <v>139</v>
      </c>
      <c r="EW42" s="36" t="s">
        <v>139</v>
      </c>
      <c r="EX42" s="36" t="s">
        <v>139</v>
      </c>
      <c r="EY42" s="36" t="s">
        <v>139</v>
      </c>
      <c r="EZ42" s="36" t="s">
        <v>139</v>
      </c>
      <c r="FA42" s="36" t="s">
        <v>139</v>
      </c>
      <c r="FB42" s="36" t="s">
        <v>139</v>
      </c>
      <c r="FC42" s="36" t="s">
        <v>139</v>
      </c>
      <c r="FD42" s="36" t="s">
        <v>139</v>
      </c>
      <c r="FE42" s="36" t="s">
        <v>139</v>
      </c>
      <c r="FF42" s="36" t="s">
        <v>139</v>
      </c>
      <c r="FG42" s="36" t="s">
        <v>139</v>
      </c>
      <c r="FH42" s="36" t="s">
        <v>139</v>
      </c>
      <c r="FI42" s="36" t="s">
        <v>139</v>
      </c>
      <c r="FJ42" s="36" t="s">
        <v>139</v>
      </c>
      <c r="FK42" s="36" t="s">
        <v>139</v>
      </c>
      <c r="FL42" s="36" t="s">
        <v>139</v>
      </c>
      <c r="FM42" s="36" t="s">
        <v>139</v>
      </c>
      <c r="FN42" s="36" t="s">
        <v>139</v>
      </c>
      <c r="FO42" s="36" t="s">
        <v>139</v>
      </c>
      <c r="FP42" s="36" t="s">
        <v>139</v>
      </c>
      <c r="FQ42" s="36" t="s">
        <v>139</v>
      </c>
      <c r="FR42" s="36" t="s">
        <v>139</v>
      </c>
      <c r="FS42" s="36" t="s">
        <v>139</v>
      </c>
      <c r="FT42" s="36" t="s">
        <v>139</v>
      </c>
      <c r="FU42" s="36" t="s">
        <v>139</v>
      </c>
      <c r="FV42" s="36" t="s">
        <v>139</v>
      </c>
      <c r="FW42" s="36" t="s">
        <v>139</v>
      </c>
      <c r="FX42" s="36" t="s">
        <v>139</v>
      </c>
      <c r="FY42" s="36" t="s">
        <v>139</v>
      </c>
      <c r="FZ42" s="36" t="s">
        <v>139</v>
      </c>
      <c r="GA42" s="36" t="s">
        <v>139</v>
      </c>
      <c r="GB42" s="36" t="s">
        <v>139</v>
      </c>
      <c r="GC42" s="36" t="s">
        <v>139</v>
      </c>
      <c r="GD42" s="36" t="s">
        <v>139</v>
      </c>
      <c r="GE42" s="36" t="s">
        <v>139</v>
      </c>
      <c r="GF42" s="36" t="s">
        <v>139</v>
      </c>
      <c r="GG42" s="36" t="s">
        <v>139</v>
      </c>
      <c r="GH42" s="36" t="s">
        <v>139</v>
      </c>
      <c r="GI42" s="36" t="s">
        <v>139</v>
      </c>
      <c r="GJ42" s="36" t="s">
        <v>139</v>
      </c>
      <c r="GK42" s="36" t="s">
        <v>139</v>
      </c>
      <c r="GL42" s="36" t="s">
        <v>139</v>
      </c>
      <c r="GM42" s="36" t="s">
        <v>139</v>
      </c>
      <c r="GN42" s="36" t="s">
        <v>139</v>
      </c>
      <c r="GO42" s="36" t="s">
        <v>139</v>
      </c>
      <c r="GP42" s="36" t="s">
        <v>139</v>
      </c>
      <c r="GQ42" s="36" t="s">
        <v>139</v>
      </c>
      <c r="GR42" s="36" t="s">
        <v>139</v>
      </c>
      <c r="GS42" s="36" t="s">
        <v>139</v>
      </c>
      <c r="GT42" s="36" t="s">
        <v>139</v>
      </c>
      <c r="GU42" s="36" t="s">
        <v>139</v>
      </c>
      <c r="GV42" s="36" t="s">
        <v>139</v>
      </c>
      <c r="GW42" s="36" t="s">
        <v>139</v>
      </c>
      <c r="GX42" s="36" t="s">
        <v>139</v>
      </c>
      <c r="GY42" s="36" t="s">
        <v>139</v>
      </c>
      <c r="GZ42" s="36" t="s">
        <v>139</v>
      </c>
      <c r="HA42" s="36" t="s">
        <v>139</v>
      </c>
      <c r="HB42" s="36" t="s">
        <v>139</v>
      </c>
      <c r="HC42" s="36" t="s">
        <v>139</v>
      </c>
      <c r="HD42" s="36" t="s">
        <v>139</v>
      </c>
      <c r="HE42" s="36" t="s">
        <v>139</v>
      </c>
      <c r="HF42" s="36" t="s">
        <v>139</v>
      </c>
      <c r="HG42" s="36" t="s">
        <v>139</v>
      </c>
      <c r="HH42" s="36" t="s">
        <v>139</v>
      </c>
      <c r="HI42" s="36" t="s">
        <v>139</v>
      </c>
      <c r="HJ42" s="36" t="s">
        <v>139</v>
      </c>
      <c r="HK42" s="36" t="s">
        <v>139</v>
      </c>
      <c r="HL42" s="36" t="s">
        <v>139</v>
      </c>
      <c r="HM42" s="36" t="s">
        <v>139</v>
      </c>
      <c r="HN42" s="36" t="s">
        <v>139</v>
      </c>
      <c r="HO42" s="36" t="s">
        <v>139</v>
      </c>
      <c r="HP42" s="36" t="s">
        <v>139</v>
      </c>
      <c r="HQ42" s="36" t="s">
        <v>139</v>
      </c>
      <c r="HR42" s="36" t="s">
        <v>139</v>
      </c>
      <c r="HS42" s="36" t="s">
        <v>139</v>
      </c>
      <c r="HT42" s="36" t="s">
        <v>139</v>
      </c>
      <c r="HU42" s="36" t="s">
        <v>139</v>
      </c>
      <c r="HV42" s="36" t="s">
        <v>139</v>
      </c>
      <c r="HW42" s="36" t="s">
        <v>139</v>
      </c>
      <c r="HX42" s="36" t="s">
        <v>139</v>
      </c>
      <c r="HY42" s="36" t="s">
        <v>139</v>
      </c>
      <c r="HZ42" s="36" t="s">
        <v>139</v>
      </c>
      <c r="IA42" s="36" t="s">
        <v>139</v>
      </c>
      <c r="IB42" s="36" t="s">
        <v>139</v>
      </c>
      <c r="IC42" s="36" t="s">
        <v>139</v>
      </c>
      <c r="ID42" s="36" t="s">
        <v>139</v>
      </c>
      <c r="IE42" s="36" t="s">
        <v>139</v>
      </c>
      <c r="IF42" s="36" t="s">
        <v>139</v>
      </c>
      <c r="IG42" s="36" t="s">
        <v>139</v>
      </c>
      <c r="IH42" s="36" t="s">
        <v>139</v>
      </c>
      <c r="II42" s="36" t="s">
        <v>139</v>
      </c>
      <c r="IJ42" s="36" t="s">
        <v>139</v>
      </c>
      <c r="IK42" s="36" t="s">
        <v>139</v>
      </c>
      <c r="IL42" s="36" t="s">
        <v>139</v>
      </c>
      <c r="IM42" s="36" t="s">
        <v>139</v>
      </c>
      <c r="IN42" s="36" t="s">
        <v>139</v>
      </c>
      <c r="IO42" s="36" t="s">
        <v>139</v>
      </c>
      <c r="IP42" s="36" t="s">
        <v>139</v>
      </c>
      <c r="IQ42" s="36" t="s">
        <v>139</v>
      </c>
      <c r="IR42" s="36" t="s">
        <v>139</v>
      </c>
      <c r="IS42" s="36" t="s">
        <v>139</v>
      </c>
      <c r="IT42" s="36" t="s">
        <v>139</v>
      </c>
      <c r="IU42" s="36" t="s">
        <v>139</v>
      </c>
      <c r="IV42" s="36" t="s">
        <v>139</v>
      </c>
      <c r="IW42" s="36" t="s">
        <v>139</v>
      </c>
      <c r="IX42" s="36" t="s">
        <v>139</v>
      </c>
      <c r="IY42" s="36" t="s">
        <v>139</v>
      </c>
      <c r="IZ42" s="36" t="s">
        <v>139</v>
      </c>
      <c r="JA42" s="36" t="s">
        <v>139</v>
      </c>
      <c r="JB42" s="36" t="s">
        <v>139</v>
      </c>
      <c r="JC42" s="36" t="s">
        <v>139</v>
      </c>
      <c r="JD42" s="36" t="s">
        <v>139</v>
      </c>
      <c r="JE42" s="36" t="s">
        <v>139</v>
      </c>
      <c r="JF42" s="36" t="s">
        <v>139</v>
      </c>
      <c r="JG42" s="36" t="s">
        <v>139</v>
      </c>
      <c r="JH42" s="36" t="s">
        <v>139</v>
      </c>
      <c r="JI42" s="36" t="s">
        <v>139</v>
      </c>
      <c r="JJ42" s="36" t="s">
        <v>139</v>
      </c>
      <c r="JK42" s="36" t="s">
        <v>139</v>
      </c>
      <c r="JL42" s="36" t="s">
        <v>139</v>
      </c>
      <c r="JM42" s="36" t="s">
        <v>139</v>
      </c>
      <c r="JN42" s="36" t="s">
        <v>139</v>
      </c>
      <c r="JO42" s="36" t="s">
        <v>139</v>
      </c>
      <c r="JP42" s="36" t="s">
        <v>139</v>
      </c>
      <c r="JQ42" s="36" t="s">
        <v>139</v>
      </c>
      <c r="JR42" s="36" t="s">
        <v>139</v>
      </c>
      <c r="JS42" s="36" t="s">
        <v>139</v>
      </c>
      <c r="JT42" s="36" t="s">
        <v>139</v>
      </c>
      <c r="JU42" s="36" t="s">
        <v>139</v>
      </c>
      <c r="JV42" s="36" t="s">
        <v>139</v>
      </c>
      <c r="JW42" s="36" t="s">
        <v>139</v>
      </c>
      <c r="JX42" s="36" t="s">
        <v>139</v>
      </c>
      <c r="JY42" s="36" t="s">
        <v>139</v>
      </c>
      <c r="JZ42" s="36" t="s">
        <v>139</v>
      </c>
      <c r="KA42" s="36" t="s">
        <v>139</v>
      </c>
      <c r="KB42" s="36" t="s">
        <v>139</v>
      </c>
      <c r="KC42" s="36" t="s">
        <v>139</v>
      </c>
      <c r="KD42" s="36" t="s">
        <v>139</v>
      </c>
      <c r="KE42" s="36" t="s">
        <v>139</v>
      </c>
      <c r="KF42" s="36" t="s">
        <v>139</v>
      </c>
      <c r="KG42" s="36" t="s">
        <v>139</v>
      </c>
      <c r="KH42" s="36" t="s">
        <v>139</v>
      </c>
      <c r="KI42" s="36" t="s">
        <v>139</v>
      </c>
      <c r="KJ42" s="36" t="s">
        <v>139</v>
      </c>
      <c r="KK42" s="36" t="s">
        <v>139</v>
      </c>
      <c r="KL42" s="36" t="s">
        <v>139</v>
      </c>
      <c r="KM42" s="36" t="s">
        <v>139</v>
      </c>
      <c r="KN42" s="36" t="s">
        <v>139</v>
      </c>
      <c r="KO42" s="36" t="s">
        <v>139</v>
      </c>
      <c r="KP42" s="36" t="s">
        <v>139</v>
      </c>
      <c r="KQ42" s="36" t="s">
        <v>139</v>
      </c>
      <c r="KR42" s="36" t="s">
        <v>139</v>
      </c>
      <c r="KS42" s="36" t="s">
        <v>139</v>
      </c>
      <c r="KT42" s="36" t="s">
        <v>139</v>
      </c>
      <c r="KU42" s="36" t="s">
        <v>139</v>
      </c>
      <c r="KV42" s="36" t="s">
        <v>139</v>
      </c>
      <c r="KW42" s="36" t="s">
        <v>139</v>
      </c>
      <c r="KX42" s="36" t="s">
        <v>139</v>
      </c>
      <c r="KY42" s="36" t="s">
        <v>139</v>
      </c>
      <c r="KZ42" s="36" t="s">
        <v>139</v>
      </c>
      <c r="LA42" s="36" t="s">
        <v>139</v>
      </c>
      <c r="LB42" s="36" t="s">
        <v>139</v>
      </c>
      <c r="LC42" s="36" t="s">
        <v>139</v>
      </c>
      <c r="LD42" s="36" t="s">
        <v>139</v>
      </c>
      <c r="LE42" s="36" t="s">
        <v>139</v>
      </c>
      <c r="LF42" s="36" t="s">
        <v>139</v>
      </c>
      <c r="LG42" s="36" t="s">
        <v>139</v>
      </c>
      <c r="LH42" s="36" t="s">
        <v>139</v>
      </c>
      <c r="LI42" s="36" t="s">
        <v>139</v>
      </c>
      <c r="LJ42" s="36" t="s">
        <v>139</v>
      </c>
      <c r="LK42" s="36" t="s">
        <v>139</v>
      </c>
      <c r="LL42" s="36" t="s">
        <v>139</v>
      </c>
      <c r="LM42" s="36" t="s">
        <v>139</v>
      </c>
      <c r="LN42" s="36" t="s">
        <v>139</v>
      </c>
      <c r="LO42" s="36" t="s">
        <v>139</v>
      </c>
      <c r="LP42" s="36" t="s">
        <v>139</v>
      </c>
      <c r="LQ42" s="36" t="s">
        <v>139</v>
      </c>
      <c r="LR42" s="36" t="s">
        <v>139</v>
      </c>
      <c r="LS42" s="36" t="s">
        <v>139</v>
      </c>
      <c r="LT42" s="36" t="s">
        <v>139</v>
      </c>
      <c r="LU42" s="36" t="s">
        <v>139</v>
      </c>
      <c r="LV42" s="36" t="s">
        <v>139</v>
      </c>
      <c r="LW42" s="36" t="s">
        <v>139</v>
      </c>
      <c r="LX42" s="36" t="s">
        <v>139</v>
      </c>
      <c r="LY42" s="36" t="s">
        <v>139</v>
      </c>
      <c r="LZ42" s="36" t="s">
        <v>139</v>
      </c>
      <c r="MA42" s="36" t="s">
        <v>139</v>
      </c>
      <c r="MB42" s="36" t="s">
        <v>139</v>
      </c>
      <c r="MC42" s="36" t="s">
        <v>139</v>
      </c>
      <c r="MD42" s="36" t="s">
        <v>139</v>
      </c>
      <c r="ME42" s="36" t="s">
        <v>139</v>
      </c>
      <c r="MF42" s="36" t="s">
        <v>139</v>
      </c>
      <c r="MG42" s="36" t="s">
        <v>139</v>
      </c>
      <c r="MH42" s="36" t="s">
        <v>139</v>
      </c>
      <c r="MI42" s="36" t="s">
        <v>139</v>
      </c>
      <c r="MJ42" s="36" t="s">
        <v>139</v>
      </c>
      <c r="MK42" s="36" t="s">
        <v>139</v>
      </c>
      <c r="ML42" s="36" t="s">
        <v>139</v>
      </c>
      <c r="MM42" s="36" t="s">
        <v>139</v>
      </c>
      <c r="MN42" s="36" t="s">
        <v>139</v>
      </c>
      <c r="MO42" s="36" t="s">
        <v>139</v>
      </c>
      <c r="MP42" s="36" t="s">
        <v>139</v>
      </c>
      <c r="MQ42" s="36" t="s">
        <v>139</v>
      </c>
      <c r="MR42" s="36" t="s">
        <v>139</v>
      </c>
      <c r="MS42" s="36" t="s">
        <v>139</v>
      </c>
      <c r="MT42" s="36" t="s">
        <v>139</v>
      </c>
      <c r="MU42" s="36" t="s">
        <v>139</v>
      </c>
      <c r="MV42" s="36" t="s">
        <v>139</v>
      </c>
      <c r="MW42" s="36" t="s">
        <v>139</v>
      </c>
      <c r="MX42" s="36" t="s">
        <v>139</v>
      </c>
      <c r="MY42" s="36" t="s">
        <v>139</v>
      </c>
      <c r="MZ42" s="36" t="s">
        <v>139</v>
      </c>
      <c r="NA42" s="36" t="s">
        <v>139</v>
      </c>
      <c r="NB42" s="36" t="s">
        <v>139</v>
      </c>
      <c r="NC42" s="36" t="s">
        <v>139</v>
      </c>
      <c r="ND42" s="36" t="s">
        <v>139</v>
      </c>
      <c r="NE42" s="36" t="s">
        <v>139</v>
      </c>
      <c r="NF42" s="36" t="s">
        <v>139</v>
      </c>
      <c r="NG42" s="36" t="s">
        <v>139</v>
      </c>
      <c r="NH42" s="36" t="s">
        <v>139</v>
      </c>
      <c r="NI42" s="36" t="s">
        <v>139</v>
      </c>
      <c r="NJ42" s="36" t="s">
        <v>139</v>
      </c>
      <c r="NK42" s="36" t="s">
        <v>139</v>
      </c>
      <c r="NL42" s="36" t="s">
        <v>139</v>
      </c>
      <c r="NM42" s="36" t="s">
        <v>139</v>
      </c>
      <c r="NN42" s="36" t="s">
        <v>139</v>
      </c>
      <c r="NO42" s="36" t="s">
        <v>139</v>
      </c>
      <c r="NP42" s="36" t="s">
        <v>139</v>
      </c>
      <c r="NQ42" s="36" t="s">
        <v>139</v>
      </c>
      <c r="NR42" s="36" t="s">
        <v>139</v>
      </c>
      <c r="NS42" s="36" t="s">
        <v>139</v>
      </c>
      <c r="NT42" s="36" t="s">
        <v>139</v>
      </c>
      <c r="NU42" s="36" t="s">
        <v>139</v>
      </c>
      <c r="NV42" s="36" t="s">
        <v>139</v>
      </c>
      <c r="NW42" s="36" t="s">
        <v>139</v>
      </c>
      <c r="NX42" s="36" t="s">
        <v>139</v>
      </c>
      <c r="NY42" s="36" t="s">
        <v>139</v>
      </c>
      <c r="NZ42" s="36" t="s">
        <v>139</v>
      </c>
      <c r="OA42" s="36" t="s">
        <v>139</v>
      </c>
      <c r="OB42" s="36" t="s">
        <v>139</v>
      </c>
      <c r="OC42" s="36" t="s">
        <v>139</v>
      </c>
      <c r="OD42" s="36" t="s">
        <v>139</v>
      </c>
      <c r="OE42" s="36" t="s">
        <v>139</v>
      </c>
      <c r="OF42" s="36" t="s">
        <v>139</v>
      </c>
      <c r="OG42" s="36" t="s">
        <v>139</v>
      </c>
      <c r="OH42" s="36" t="s">
        <v>139</v>
      </c>
      <c r="OI42" s="36" t="s">
        <v>139</v>
      </c>
      <c r="OJ42" s="36" t="s">
        <v>139</v>
      </c>
      <c r="OK42" s="36" t="s">
        <v>139</v>
      </c>
      <c r="OL42" s="36" t="s">
        <v>139</v>
      </c>
      <c r="OM42" s="36" t="s">
        <v>139</v>
      </c>
      <c r="ON42" s="36" t="s">
        <v>139</v>
      </c>
      <c r="OO42" s="36" t="s">
        <v>139</v>
      </c>
      <c r="OP42" s="36" t="s">
        <v>139</v>
      </c>
      <c r="OQ42" s="36" t="s">
        <v>139</v>
      </c>
      <c r="OR42" s="36" t="s">
        <v>139</v>
      </c>
      <c r="OS42" s="36" t="s">
        <v>139</v>
      </c>
      <c r="OT42" s="36" t="s">
        <v>139</v>
      </c>
      <c r="OU42" s="36" t="s">
        <v>139</v>
      </c>
      <c r="OV42" s="36" t="s">
        <v>139</v>
      </c>
      <c r="OW42" s="36" t="s">
        <v>139</v>
      </c>
      <c r="OX42" s="36" t="s">
        <v>139</v>
      </c>
      <c r="OY42" s="36" t="s">
        <v>139</v>
      </c>
      <c r="OZ42" s="36" t="s">
        <v>139</v>
      </c>
      <c r="PA42" s="36" t="s">
        <v>139</v>
      </c>
      <c r="PB42" s="36" t="s">
        <v>139</v>
      </c>
      <c r="PC42" s="36" t="s">
        <v>139</v>
      </c>
      <c r="PD42" s="36" t="s">
        <v>139</v>
      </c>
      <c r="PE42" s="36" t="s">
        <v>139</v>
      </c>
      <c r="PF42" s="36" t="s">
        <v>139</v>
      </c>
      <c r="PG42" s="36" t="s">
        <v>139</v>
      </c>
      <c r="PH42" s="36" t="s">
        <v>139</v>
      </c>
      <c r="PI42" s="36" t="s">
        <v>139</v>
      </c>
      <c r="PJ42" s="36" t="s">
        <v>139</v>
      </c>
      <c r="PK42" s="36" t="s">
        <v>139</v>
      </c>
      <c r="PL42" s="36" t="s">
        <v>139</v>
      </c>
      <c r="PM42" s="36" t="s">
        <v>139</v>
      </c>
      <c r="PN42" s="36" t="s">
        <v>139</v>
      </c>
      <c r="PO42" s="74">
        <f>COUNTIFS($C$27:$PN$27,("&lt;"&amp;$B$3),$C$27:$PN$27,("&gt;="&amp;$B$2),$C42:$PN42,TabAsistencias[[#Headers],[1]])</f>
        <v>30</v>
      </c>
      <c r="PP42" s="74">
        <f>COUNTIFS($C$27:$PN$27,("&lt;"&amp;$B$3),$C$27:$PN$27,("&gt;="&amp;$B$2),$C42:$PN42,TabAsistencias[[#Headers],[E]])</f>
        <v>0</v>
      </c>
      <c r="PQ42" s="74">
        <f>COUNTIFS($C$27:$PN$27,("&lt;"&amp;$B$3),$C$27:$PN$27,("&gt;="&amp;$B$2),$C42:$PN42,TabAsistencias[[#Headers],[DE]])</f>
        <v>0</v>
      </c>
      <c r="PR42" s="74">
        <f>COUNTIFS($C$27:$PN$27,("&lt;"&amp;$B$3),$C$27:$PN$27,("&gt;="&amp;$B$2),$C42:$PN42,TabAsistencias[[#Headers],[V]])</f>
        <v>0</v>
      </c>
      <c r="PS42" s="74">
        <f>COUNTIFS($C$27:$PN$27,("&lt;"&amp;$B$3),$C$27:$PN$27,("&gt;="&amp;$B$2),$C42:$PN42,TabAsistencias[[#Headers],[DO]])</f>
        <v>0</v>
      </c>
      <c r="PT42" s="74">
        <f>COUNTIFS($C$27:$PN$27,("&lt;"&amp;$B$3),$C$27:$PN$27,("&gt;="&amp;$B$2),$C42:$PN42,TabAsistencias[[#Headers],[P]])</f>
        <v>0</v>
      </c>
      <c r="PU42" s="74">
        <f>COUNTIFS($C$27:$PN$27,("&lt;"&amp;$B$3),$C$27:$PN$27,("&gt;="&amp;$B$2),$C42:$PN42,TabAsistencias[[#Headers],[F]])</f>
        <v>0</v>
      </c>
      <c r="PV42" s="74">
        <f>COUNTIFS($C$27:$PN$27,("&lt;"&amp;$B$3),$C$27:$PN$27,("&gt;="&amp;$B$2),$C42:$PN42,TabAsistencias[[#Headers],[R]])</f>
        <v>0</v>
      </c>
      <c r="PW42" s="74">
        <f>COUNTIFS($C$27:$PN$27,("&lt;"&amp;$B$3),$C$27:$PN$27,("&gt;="&amp;$B$2),$C42:$PN42,TabAsistencias[[#Headers],[PP]])</f>
        <v>0</v>
      </c>
      <c r="PX42" s="74">
        <f>COUNTIFS($C$27:$PN$27,("&lt;"&amp;$B$3),$C$27:$PN$27,("&gt;="&amp;$B$2),$C42:$PN42,TabAsistencias[[#Headers],[0]])</f>
        <v>0</v>
      </c>
      <c r="PY42" s="74">
        <f>COUNTIFS($C$27:$PN$27,("&lt;"&amp;$B$3),$C$27:$PN$27,("&gt;="&amp;$B$2),$C42:$PN42,TabAsistencias[[#Headers],[IG]])</f>
        <v>0</v>
      </c>
      <c r="PZ42" s="74">
        <f>COUNTIFS($C$27:$PN$27,("&lt;"&amp;$B$3),$C$27:$PN$27,("&gt;="&amp;$B$2),$C42:$PN42,TabAsistencias[[#Headers],[NA]])</f>
        <v>0</v>
      </c>
      <c r="QA42" s="74">
        <f>COUNTIFS($C$27:$PN$27,("&lt;"&amp;$B$3),$C$27:$PN$27,("&gt;="&amp;$B$2),$C42:$PN42,TabAsistencias[[#Headers],[DF]])</f>
        <v>0</v>
      </c>
      <c r="QB42" s="74">
        <f>COUNTIFS($C$27:$PN$27,("&lt;"&amp;$B$3),$C$27:$PN$27,("&gt;="&amp;$B$2),$C42:$PN42,TabAsistencias[[#Headers],[3]])</f>
        <v>0</v>
      </c>
      <c r="QC42" s="74">
        <f>COUNTIFS($C$27:$PN$27,("&lt;"&amp;$B$3),$C$27:$PN$27,("&gt;="&amp;$B$2),$C42:$PN42,TabAsistencias[[#Headers],[CP]])</f>
        <v>0</v>
      </c>
      <c r="QD42" s="74">
        <f>COUNTIFS($C$27:$PN$27,("&lt;"&amp;$B$3),$C$27:$PN$27,("&gt;="&amp;$B$2),$C42:$PN42,TabAsistencias[[#Headers],[I]])</f>
        <v>0</v>
      </c>
      <c r="QE42" s="74">
        <f>COUNTIFS($C$27:$PN$27,("&lt;"&amp;$B$3),$C$27:$PN$27,("&gt;="&amp;$B$2),$C42:$PN42,TabAsistencias[[#Headers],[T/2]])</f>
        <v>0</v>
      </c>
      <c r="QF42" s="74">
        <f>COUNTIFS($C$27:$PN$27,("&lt;"&amp;$B$3),$C$27:$PN$27,("&gt;="&amp;$B$2),$C42:$PN42,TabAsistencias[[#Headers],[ME]])</f>
        <v>0</v>
      </c>
      <c r="QG42" s="74">
        <f>COUNTIFS($C$27:$PN$27,("&lt;"&amp;$B$3),$C$27:$PN$27,("&gt;="&amp;$B$2),$C42:$PN42,TabAsistencias[[#Headers],[DP]])</f>
        <v>0</v>
      </c>
      <c r="QH42" s="74">
        <f>COUNTIFS($C$27:$PN$27,("&lt;"&amp;$B$3),$C$27:$PN$27,("&gt;="&amp;$B$2),$C42:$PN42,TabAsistencias[[#Headers],[B]])</f>
        <v>0</v>
      </c>
      <c r="QI42" s="74">
        <f>(TabAsistencias[[#This Row],[1]]*'Tablas de informacion'!$C$124)+(TabAsistencias[[#This Row],[E]]*'Tablas de informacion'!$C$125)+(TabAsistencias[[#This Row],[DE]]*'Tablas de informacion'!C$126)+(TabAsistencias[[#This Row],[V]]*'Tablas de informacion'!C$127)+(TabAsistencias[[#This Row],[DO]]*'Tablas de informacion'!C$128)+(TabAsistencias[[#This Row],[P]]*'Tablas de informacion'!C$129)+(TabAsistencias[[#This Row],[F]]*'Tablas de informacion'!C$130)+(TabAsistencias[[#This Row],[R]]*'Tablas de informacion'!C$131)+(TabAsistencias[[#This Row],[PP]]*'Tablas de informacion'!C$132)+(TabAsistencias[[#This Row],[0]]*'Tablas de informacion'!C$133)+(TabAsistencias[[#This Row],[IG]]*'Tablas de informacion'!C$134)+(TabAsistencias[[#This Row],[NA]]*'Tablas de informacion'!C$135)+(TabAsistencias[[#This Row],[DF]]*'Tablas de informacion'!C$136)+(TabAsistencias[[#This Row],[3]]*'Tablas de informacion'!C$137)+(TabAsistencias[[#This Row],[CP]]*'Tablas de informacion'!C$138)+(TabAsistencias[[#This Row],[I]]*'Tablas de informacion'!C$139)+(TabAsistencias[[#This Row],[T/2]]*'Tablas de informacion'!C$140)+(TabAsistencias[[#This Row],[ME]]*'Tablas de informacion'!C$141)+(TabAsistencias[[#This Row],[DP]]*'Tablas de informacion'!C$142)+(TabAsistencias[[#This Row],[B]]*'Tablas de informacion'!C$143)-INT(TabAsistencias[[#This Row],[R]]/3)</f>
        <v>30</v>
      </c>
      <c r="QJ42" s="74">
        <f>COUNTIFS($C$27:$PN$27,("&lt;"&amp;$B$3),$C$27:$PN$27,("&gt;="&amp;$B$2),$C$28:$PN$28,1,$C42:$PN42,TabAsistencias[[#Headers],[1]])+
COUNTIFS($C$27:$PN$27,("&lt;"&amp;$B$3),$C$27:$PN$27,("&gt;="&amp;$B$2),$C$28:$PN$28,1,$C42:$PN42,TabAsistencias[[#Headers],[DO]])+
COUNTIFS($C$27:$PN$27,("&lt;"&amp;$B$3),$C$27:$PN$27,("&gt;="&amp;$B$2),$C$28:$PN$28,1,$C42:$PN42,TabAsistencias[[#Headers],[R]])+
COUNTIFS($C$27:$PN$27,("&lt;"&amp;$B$3),$C$27:$PN$27,("&gt;="&amp;$B$2),$C$28:$PN$28,1,$C42:$PN42,TabAsistencias[[#Headers],[NA]])+
COUNTIFS($C$27:$PN$27,("&lt;"&amp;$B$3),$C$27:$PN$27,("&gt;="&amp;$B$2),$C$28:$PN$28,1,$C42:$PN42,TabAsistencias[[#Headers],[DF]])+
COUNTIFS($C$27:$PN$27,("&lt;"&amp;$B$3),$C$27:$PN$27,("&gt;="&amp;$B$2),$C$28:$PN$28,1,$C42:$PN42,TabAsistencias[[#Headers],[3]])+
COUNTIFS($C$27:$PN$27,("&lt;"&amp;$B$3),$C$27:$PN$27,("&gt;="&amp;$B$2),$C$28:$PN$28,1,$C42:$PN42,TabAsistencias[[#Headers],[CP]])+
COUNTIFS($C$27:$PN$27,("&lt;"&amp;$B$3),$C$27:$PN$27,("&gt;="&amp;$B$2),$C$28:$PN$28,1,$C42:$PN42,TabAsistencias[[#Headers],[T/2]])</f>
        <v>4</v>
      </c>
      <c r="QK42" s="315" cm="1">
        <f t="array" ref="QK42">IFERROR(VLOOKUP(
DATEDIF((VLOOKUP(TabAsistencias[[#This Row],[ID]],TabEmpleados[],COLUMN(TabEmpleados[Fecha de ingreso]),FALSE)),Asistencias!$B$3,"Y"),
TabFactorIntegracion[],COLUMN(TabFactorIntegracion[Días vacacionales
establecidos por ley]),FALSE),0)
-
COUNTIF($AH42:$PN42,TabAsistencias[[#Headers],[V]])</f>
        <v>12</v>
      </c>
      <c r="QL42" s="319">
        <f>SUM(TabAsistencias[[#This Row],[''1]],TabAsistencias[[#This Row],[''DE]],TabAsistencias[[#This Row],[''DO]],TabAsistencias[[#This Row],[''R]],TabAsistencias[[#This Row],[''NA]],TabAsistencias[[#This Row],[''DF]],TabAsistencias[[#This Row],[''3]],TabAsistencias[[#This Row],[''CP]],TabAsistencias[[#This Row],[''T/2]],TabAsistencias[[#This Row],[''DP]])</f>
        <v>73</v>
      </c>
      <c r="QM42" s="314">
        <f>COUNTIFS($C$27:$PN$27,("&lt;"&amp;$B$5),$C$27:$PN$27,("&gt;="&amp;$B$4),$C42:$PN42,TabAsistencias[[#Headers],[1]])</f>
        <v>73</v>
      </c>
      <c r="QN42" s="314">
        <f>COUNTIFS($C$27:$PN$27,("&lt;"&amp;$B$5),$C$27:$PN$27,("&gt;="&amp;$B$4),$C42:$PN42,TabAsistencias[[#Headers],[DE]])</f>
        <v>0</v>
      </c>
      <c r="QO42" s="314">
        <f>COUNTIFS($C$27:$PN$27,("&lt;"&amp;$B$5),$C$27:$PN$27,("&gt;="&amp;$B$4),$C42:$PN42,TabAsistencias[[#Headers],[V]])</f>
        <v>0</v>
      </c>
      <c r="QP42" s="314">
        <f>COUNTIFS($C$27:$PN$27,("&lt;"&amp;$B$5),$C$27:$PN$27,("&gt;="&amp;$B$4),$C42:$PN42,TabAsistencias[[#Headers],[DO]])</f>
        <v>0</v>
      </c>
      <c r="QQ42" s="314">
        <f>COUNTIFS($C$27:$PN$27,("&lt;"&amp;$B$5),$C$27:$PN$27,("&gt;="&amp;$B$4),$C42:$PN42,TabAsistencias[[#Headers],[P]])</f>
        <v>0</v>
      </c>
      <c r="QR42" s="314">
        <f>COUNTIFS($C$27:$PN$27,("&lt;"&amp;$B$5),$C$27:$PN$27,("&gt;="&amp;$B$4),$C42:$PN42,TabAsistencias[[#Headers],[F]])</f>
        <v>0</v>
      </c>
      <c r="QS42" s="314">
        <f>COUNTIFS($C$27:$PN$27,("&lt;"&amp;$B$5),$C$27:$PN$27,("&gt;="&amp;$B$4),$C42:$PN42,TabAsistencias[[#Headers],[R]])</f>
        <v>0</v>
      </c>
      <c r="QT42" s="314">
        <f>COUNTIFS($C$27:$PN$27,("&lt;"&amp;$B$5),$C$27:$PN$27,("&gt;="&amp;$B$4),$C42:$PN42,TabAsistencias[[#Headers],[PP]])</f>
        <v>0</v>
      </c>
      <c r="QU42" s="314">
        <f>COUNTIFS($C$27:$PN$27,("&lt;"&amp;$B$5),$C$27:$PN$27,("&gt;="&amp;$B$4),$C42:$PN42,TabAsistencias[[#Headers],[0]])</f>
        <v>0</v>
      </c>
      <c r="QV42" s="314">
        <f>COUNTIFS($C$27:$PN$27,("&lt;"&amp;$B$5),$C$27:$PN$27,("&gt;="&amp;$B$4),$C42:$PN42,TabAsistencias[[#Headers],[IG]])</f>
        <v>0</v>
      </c>
      <c r="QW42" s="314">
        <f>COUNTIFS($C$27:$PN$27,("&lt;"&amp;$B$5),$C$27:$PN$27,("&gt;="&amp;$B$4),$C42:$PN42,TabAsistencias[[#Headers],[NA]])</f>
        <v>0</v>
      </c>
      <c r="QX42" s="314">
        <f>COUNTIFS($C$27:$PN$27,("&lt;"&amp;$B$5),$C$27:$PN$27,("&gt;="&amp;$B$4),$C42:$PN42,TabAsistencias[[#Headers],[DF]])</f>
        <v>0</v>
      </c>
      <c r="QY42" s="314">
        <f>COUNTIFS($C$27:$PN$27,("&lt;"&amp;$B$5),$C$27:$PN$27,("&gt;="&amp;$B$4),$C42:$PN42,TabAsistencias[[#Headers],[3]])</f>
        <v>0</v>
      </c>
      <c r="QZ42" s="314">
        <f>COUNTIFS($C$27:$PN$27,("&lt;"&amp;$B$5),$C$27:$PN$27,("&gt;="&amp;$B$4),$C42:$PN42,TabAsistencias[[#Headers],[CP]])</f>
        <v>0</v>
      </c>
      <c r="RA42" s="314">
        <f>COUNTIFS($C$27:$PN$27,("&lt;"&amp;$B$5),$C$27:$PN$27,("&gt;="&amp;$B$4),$C42:$PN42,TabAsistencias[[#Headers],[I]])</f>
        <v>0</v>
      </c>
      <c r="RB42" s="314">
        <f>COUNTIFS($C$27:$PN$27,("&lt;"&amp;$B$5),$C$27:$PN$27,("&gt;="&amp;$B$4),$C42:$PN42,TabAsistencias[[#Headers],[T/2]])</f>
        <v>0</v>
      </c>
      <c r="RC42" s="314">
        <f>COUNTIFS($C$27:$PN$27,("&lt;"&amp;$B$5),$C$27:$PN$27,("&gt;="&amp;$B$4),$C42:$PN42,TabAsistencias[[#Headers],[ME]])</f>
        <v>0</v>
      </c>
      <c r="RD42" s="314">
        <f>COUNTIFS($C$27:$PN$27,("&lt;"&amp;$B$5),$C$27:$PN$27,("&gt;="&amp;$B$4),$C42:$PN42,TabAsistencias[[#Headers],[DP]])</f>
        <v>0</v>
      </c>
      <c r="RE42" s="314">
        <f>COUNTIFS($C$27:$PN$27,("&lt;"&amp;$B$5),$C$27:$PN$27,("&gt;="&amp;$B$4),$C42:$PN42,TabAsistencias[[#Headers],[B]])</f>
        <v>0</v>
      </c>
      <c r="RF42" s="314">
        <f>COUNTIFS($C$27:$PN$27,("&lt;"&amp;$B$5),$C$27:$PN$27,("&gt;="&amp;$B$4),$C$28:$PN$28,1,$C42:$PN42,TabAsistencias[[#Headers],[1]])+
COUNTIFS($C$27:$PN$27,("&lt;"&amp;$B$5),$C$27:$PN$27,("&gt;="&amp;$B$4),$C$28:$PN$28,1,$C42:$PN42,TabAsistencias[[#Headers],[DO]])+
COUNTIFS($C$27:$PN$27,("&lt;"&amp;$B$5),$C$27:$PN$27,("&gt;="&amp;$B$4),$C$28:$PN$28,1,$C42:$PN42,TabAsistencias[[#Headers],[R]])+
COUNTIFS($C$27:$PN$27,("&lt;"&amp;$B$5),$C$27:$PN$27,("&gt;="&amp;$B$4),$C$28:$PN$28,1,$C42:$PN42,TabAsistencias[[#Headers],[NA]])+
COUNTIFS($C$27:$PN$27,("&lt;"&amp;$B$5),$C$27:$PN$27,("&gt;="&amp;$B$4),$C$28:$PN$28,1,$C42:$PN42,TabAsistencias[[#Headers],[DF]])+
COUNTIFS($C$27:$PN$27,("&lt;"&amp;$B$5),$C$27:$PN$27,("&gt;="&amp;$B$4),$C$28:$PN$28,1,$C42:$PN42,TabAsistencias[[#Headers],[3]])+
COUNTIFS($C$27:$PN$27,("&lt;"&amp;$B$5),$C$27:$PN$27,("&gt;="&amp;$B$4),$C$28:$PN$28,1,$C42:$PN42,TabAsistencias[[#Headers],[CP]])+
COUNTIFS($C$27:$PN$27,("&lt;"&amp;$B$5),$C$27:$PN$27,("&gt;="&amp;$B$4),$C$28:$PN$28,1,$C42:$PN42,TabAsistencias[[#Headers],[T/2]])</f>
        <v>11</v>
      </c>
      <c r="RG42" s="320" cm="1">
        <f t="array" ref="RG42">IFERROR(VLOOKUP(
DATEDIF((VLOOKUP(TabAsistencias[[#This Row],[ID]],TabEmpleados[],COLUMN(TabEmpleados[Fecha de alta NSS]),FALSE)),Asistencias!$B$3,"Y"),
TabFactorIntegracion[],COLUMN(TabFactorIntegracion[Días vacacionales
establecidos por ley]),FALSE),0)
-
COUNTIF($AH42:$PN42,TabAsistencias[[#Headers],[V]])</f>
        <v>12</v>
      </c>
    </row>
    <row r="43" spans="1:475" x14ac:dyDescent="0.25">
      <c r="A43" s="92">
        <f t="shared" si="434"/>
        <v>13</v>
      </c>
      <c r="B43" s="30" t="str" cm="1">
        <f t="array" ref="B43">VLOOKUP(TabAsistencias[[#This Row],[ID]],TabEmpleados[],COLUMN(TabEmpleados[Nombre]),FALSE)</f>
        <v>APARICIO MORALES EFRAIN</v>
      </c>
      <c r="C43" s="36" t="s">
        <v>139</v>
      </c>
      <c r="D43" s="36" t="s">
        <v>139</v>
      </c>
      <c r="E43" s="36" t="s">
        <v>139</v>
      </c>
      <c r="F43" s="36" t="s">
        <v>139</v>
      </c>
      <c r="G43" s="36" t="s">
        <v>139</v>
      </c>
      <c r="H43" s="36" t="s">
        <v>139</v>
      </c>
      <c r="I43" s="36" t="s">
        <v>139</v>
      </c>
      <c r="J43" s="36" t="s">
        <v>139</v>
      </c>
      <c r="K43" s="36" t="s">
        <v>139</v>
      </c>
      <c r="L43" s="36" t="s">
        <v>139</v>
      </c>
      <c r="M43" s="36" t="s">
        <v>139</v>
      </c>
      <c r="N43" s="36" t="s">
        <v>139</v>
      </c>
      <c r="O43" s="36" t="s">
        <v>139</v>
      </c>
      <c r="P43" s="36" t="s">
        <v>139</v>
      </c>
      <c r="Q43" s="36" t="s">
        <v>139</v>
      </c>
      <c r="R43" s="36" t="s">
        <v>139</v>
      </c>
      <c r="S43" s="36" t="s">
        <v>139</v>
      </c>
      <c r="T43" s="36" t="s">
        <v>139</v>
      </c>
      <c r="U43" s="36" t="s">
        <v>139</v>
      </c>
      <c r="V43" s="36" t="s">
        <v>139</v>
      </c>
      <c r="W43" s="36" t="s">
        <v>139</v>
      </c>
      <c r="X43" s="36" t="s">
        <v>139</v>
      </c>
      <c r="Y43" s="36" t="s">
        <v>139</v>
      </c>
      <c r="Z43" s="36" t="s">
        <v>139</v>
      </c>
      <c r="AA43" s="36" t="s">
        <v>139</v>
      </c>
      <c r="AB43" s="36" t="s">
        <v>139</v>
      </c>
      <c r="AC43" s="36" t="s">
        <v>139</v>
      </c>
      <c r="AD43" s="36" t="s">
        <v>139</v>
      </c>
      <c r="AE43" s="36" t="s">
        <v>139</v>
      </c>
      <c r="AF43" s="36" t="s">
        <v>139</v>
      </c>
      <c r="AG43" s="36" t="s">
        <v>139</v>
      </c>
      <c r="AH43" s="36" t="s">
        <v>139</v>
      </c>
      <c r="AI43" s="36" t="s">
        <v>139</v>
      </c>
      <c r="AJ43" s="36" t="s">
        <v>139</v>
      </c>
      <c r="AK43" s="36" t="s">
        <v>139</v>
      </c>
      <c r="AL43" s="36" t="s">
        <v>139</v>
      </c>
      <c r="AM43" s="36" t="s">
        <v>139</v>
      </c>
      <c r="AN43" s="36" t="s">
        <v>139</v>
      </c>
      <c r="AO43" s="36" t="s">
        <v>139</v>
      </c>
      <c r="AP43" s="36" t="s">
        <v>139</v>
      </c>
      <c r="AQ43" s="36" t="s">
        <v>139</v>
      </c>
      <c r="AR43" s="36" t="s">
        <v>139</v>
      </c>
      <c r="AS43" s="36" t="s">
        <v>139</v>
      </c>
      <c r="AT43" s="36" t="s">
        <v>139</v>
      </c>
      <c r="AU43" s="36" t="s">
        <v>139</v>
      </c>
      <c r="AV43" s="36" t="s">
        <v>139</v>
      </c>
      <c r="AW43" s="36" t="s">
        <v>139</v>
      </c>
      <c r="AX43" s="36" t="s">
        <v>139</v>
      </c>
      <c r="AY43" s="36" t="s">
        <v>139</v>
      </c>
      <c r="AZ43" s="36" t="s">
        <v>139</v>
      </c>
      <c r="BA43" s="36" t="s">
        <v>139</v>
      </c>
      <c r="BB43" s="36" t="s">
        <v>139</v>
      </c>
      <c r="BC43" s="36" t="s">
        <v>139</v>
      </c>
      <c r="BD43" s="36" t="s">
        <v>139</v>
      </c>
      <c r="BE43" s="36" t="s">
        <v>139</v>
      </c>
      <c r="BF43" s="36" t="s">
        <v>139</v>
      </c>
      <c r="BG43" s="36" t="s">
        <v>139</v>
      </c>
      <c r="BH43" s="36" t="s">
        <v>139</v>
      </c>
      <c r="BI43" s="36" t="s">
        <v>139</v>
      </c>
      <c r="BJ43" s="36" t="s">
        <v>139</v>
      </c>
      <c r="BK43" s="36" t="s">
        <v>139</v>
      </c>
      <c r="BL43" s="36" t="s">
        <v>139</v>
      </c>
      <c r="BM43" s="36" t="s">
        <v>139</v>
      </c>
      <c r="BN43" s="36" t="s">
        <v>139</v>
      </c>
      <c r="BO43" s="36" t="s">
        <v>139</v>
      </c>
      <c r="BP43" s="36" t="s">
        <v>139</v>
      </c>
      <c r="BQ43" s="36" t="s">
        <v>139</v>
      </c>
      <c r="BR43" s="36" t="s">
        <v>139</v>
      </c>
      <c r="BS43" s="36" t="s">
        <v>139</v>
      </c>
      <c r="BT43" s="36" t="s">
        <v>139</v>
      </c>
      <c r="BU43" s="36" t="s">
        <v>139</v>
      </c>
      <c r="BV43" s="36" t="s">
        <v>139</v>
      </c>
      <c r="BW43" s="36" t="s">
        <v>139</v>
      </c>
      <c r="BX43" s="36" t="s">
        <v>139</v>
      </c>
      <c r="BY43" s="36" t="s">
        <v>139</v>
      </c>
      <c r="BZ43" s="36" t="s">
        <v>139</v>
      </c>
      <c r="CA43" s="36" t="s">
        <v>139</v>
      </c>
      <c r="CB43" s="36" t="s">
        <v>139</v>
      </c>
      <c r="CC43" s="36" t="s">
        <v>139</v>
      </c>
      <c r="CD43" s="36" t="s">
        <v>139</v>
      </c>
      <c r="CE43" s="36" t="s">
        <v>139</v>
      </c>
      <c r="CF43" s="36" t="s">
        <v>139</v>
      </c>
      <c r="CG43" s="36" t="s">
        <v>139</v>
      </c>
      <c r="CH43" s="36" t="s">
        <v>139</v>
      </c>
      <c r="CI43" s="36" t="s">
        <v>139</v>
      </c>
      <c r="CJ43" s="36" t="s">
        <v>139</v>
      </c>
      <c r="CK43" s="36" t="s">
        <v>139</v>
      </c>
      <c r="CL43" s="36" t="s">
        <v>139</v>
      </c>
      <c r="CM43" s="36" t="s">
        <v>139</v>
      </c>
      <c r="CN43" s="36" t="s">
        <v>139</v>
      </c>
      <c r="CO43" s="36" t="s">
        <v>139</v>
      </c>
      <c r="CP43" s="36" t="s">
        <v>139</v>
      </c>
      <c r="CQ43" s="36" t="s">
        <v>139</v>
      </c>
      <c r="CR43" s="36" t="s">
        <v>139</v>
      </c>
      <c r="CS43" s="36" t="s">
        <v>139</v>
      </c>
      <c r="CT43" s="36" t="s">
        <v>139</v>
      </c>
      <c r="CU43" s="36" t="s">
        <v>139</v>
      </c>
      <c r="CV43" s="36" t="s">
        <v>139</v>
      </c>
      <c r="CW43" s="36" t="s">
        <v>139</v>
      </c>
      <c r="CX43" s="36" t="s">
        <v>139</v>
      </c>
      <c r="CY43" s="36" t="s">
        <v>139</v>
      </c>
      <c r="CZ43" s="36" t="s">
        <v>139</v>
      </c>
      <c r="DA43" s="36" t="s">
        <v>139</v>
      </c>
      <c r="DB43" s="36" t="s">
        <v>139</v>
      </c>
      <c r="DC43" s="36" t="s">
        <v>139</v>
      </c>
      <c r="DD43" s="36" t="s">
        <v>139</v>
      </c>
      <c r="DE43" s="36" t="s">
        <v>139</v>
      </c>
      <c r="DF43" s="36" t="s">
        <v>139</v>
      </c>
      <c r="DG43" s="36" t="s">
        <v>139</v>
      </c>
      <c r="DH43" s="36" t="s">
        <v>139</v>
      </c>
      <c r="DI43" s="36" t="s">
        <v>139</v>
      </c>
      <c r="DJ43" s="36" t="s">
        <v>139</v>
      </c>
      <c r="DK43" s="36" t="s">
        <v>139</v>
      </c>
      <c r="DL43" s="36" t="s">
        <v>139</v>
      </c>
      <c r="DM43" s="36" t="s">
        <v>139</v>
      </c>
      <c r="DN43" s="36" t="s">
        <v>139</v>
      </c>
      <c r="DO43" s="36" t="s">
        <v>139</v>
      </c>
      <c r="DP43" s="36" t="s">
        <v>139</v>
      </c>
      <c r="DQ43" s="36" t="s">
        <v>139</v>
      </c>
      <c r="DR43" s="36" t="s">
        <v>139</v>
      </c>
      <c r="DS43" s="36" t="s">
        <v>139</v>
      </c>
      <c r="DT43" s="36" t="s">
        <v>139</v>
      </c>
      <c r="DU43" s="36" t="s">
        <v>139</v>
      </c>
      <c r="DV43" s="36" t="s">
        <v>139</v>
      </c>
      <c r="DW43" s="36" t="s">
        <v>139</v>
      </c>
      <c r="DX43" s="36" t="s">
        <v>139</v>
      </c>
      <c r="DY43" s="36" t="s">
        <v>139</v>
      </c>
      <c r="DZ43" s="36" t="s">
        <v>139</v>
      </c>
      <c r="EA43" s="36" t="s">
        <v>139</v>
      </c>
      <c r="EB43" s="36" t="s">
        <v>139</v>
      </c>
      <c r="EC43" s="36" t="s">
        <v>139</v>
      </c>
      <c r="ED43" s="36" t="s">
        <v>139</v>
      </c>
      <c r="EE43" s="36" t="s">
        <v>139</v>
      </c>
      <c r="EF43" s="36" t="s">
        <v>139</v>
      </c>
      <c r="EG43" s="36" t="s">
        <v>139</v>
      </c>
      <c r="EH43" s="36" t="s">
        <v>139</v>
      </c>
      <c r="EI43" s="36" t="s">
        <v>139</v>
      </c>
      <c r="EJ43" s="36" t="s">
        <v>139</v>
      </c>
      <c r="EK43" s="36" t="s">
        <v>139</v>
      </c>
      <c r="EL43" s="36" t="s">
        <v>139</v>
      </c>
      <c r="EM43" s="36" t="s">
        <v>139</v>
      </c>
      <c r="EN43" s="36" t="s">
        <v>139</v>
      </c>
      <c r="EO43" s="36" t="s">
        <v>139</v>
      </c>
      <c r="EP43" s="36" t="s">
        <v>139</v>
      </c>
      <c r="EQ43" s="36" t="s">
        <v>139</v>
      </c>
      <c r="ER43" s="36" t="s">
        <v>139</v>
      </c>
      <c r="ES43" s="36" t="s">
        <v>139</v>
      </c>
      <c r="ET43" s="36" t="s">
        <v>139</v>
      </c>
      <c r="EU43" s="36" t="s">
        <v>139</v>
      </c>
      <c r="EV43" s="36" t="s">
        <v>139</v>
      </c>
      <c r="EW43" s="36" t="s">
        <v>139</v>
      </c>
      <c r="EX43" s="36" t="s">
        <v>139</v>
      </c>
      <c r="EY43" s="36" t="s">
        <v>139</v>
      </c>
      <c r="EZ43" s="36" t="s">
        <v>139</v>
      </c>
      <c r="FA43" s="36" t="s">
        <v>139</v>
      </c>
      <c r="FB43" s="36" t="s">
        <v>139</v>
      </c>
      <c r="FC43" s="36" t="s">
        <v>139</v>
      </c>
      <c r="FD43" s="36" t="s">
        <v>139</v>
      </c>
      <c r="FE43" s="36" t="s">
        <v>139</v>
      </c>
      <c r="FF43" s="36" t="s">
        <v>139</v>
      </c>
      <c r="FG43" s="36" t="s">
        <v>139</v>
      </c>
      <c r="FH43" s="36" t="s">
        <v>139</v>
      </c>
      <c r="FI43" s="36" t="s">
        <v>139</v>
      </c>
      <c r="FJ43" s="36" t="s">
        <v>139</v>
      </c>
      <c r="FK43" s="36" t="s">
        <v>139</v>
      </c>
      <c r="FL43" s="36" t="s">
        <v>139</v>
      </c>
      <c r="FM43" s="36" t="s">
        <v>139</v>
      </c>
      <c r="FN43" s="36" t="s">
        <v>139</v>
      </c>
      <c r="FO43" s="36" t="s">
        <v>139</v>
      </c>
      <c r="FP43" s="36" t="s">
        <v>139</v>
      </c>
      <c r="FQ43" s="36" t="s">
        <v>139</v>
      </c>
      <c r="FR43" s="36" t="s">
        <v>139</v>
      </c>
      <c r="FS43" s="36" t="s">
        <v>139</v>
      </c>
      <c r="FT43" s="36" t="s">
        <v>139</v>
      </c>
      <c r="FU43" s="36" t="s">
        <v>139</v>
      </c>
      <c r="FV43" s="36" t="s">
        <v>139</v>
      </c>
      <c r="FW43" s="36" t="s">
        <v>139</v>
      </c>
      <c r="FX43" s="36" t="s">
        <v>139</v>
      </c>
      <c r="FY43" s="36" t="s">
        <v>139</v>
      </c>
      <c r="FZ43" s="36" t="s">
        <v>139</v>
      </c>
      <c r="GA43" s="36" t="s">
        <v>139</v>
      </c>
      <c r="GB43" s="36" t="s">
        <v>139</v>
      </c>
      <c r="GC43" s="36" t="s">
        <v>139</v>
      </c>
      <c r="GD43" s="36" t="s">
        <v>139</v>
      </c>
      <c r="GE43" s="36" t="s">
        <v>139</v>
      </c>
      <c r="GF43" s="36" t="s">
        <v>139</v>
      </c>
      <c r="GG43" s="36" t="s">
        <v>139</v>
      </c>
      <c r="GH43" s="36" t="s">
        <v>139</v>
      </c>
      <c r="GI43" s="36" t="s">
        <v>139</v>
      </c>
      <c r="GJ43" s="36" t="s">
        <v>139</v>
      </c>
      <c r="GK43" s="36" t="s">
        <v>139</v>
      </c>
      <c r="GL43" s="36" t="s">
        <v>139</v>
      </c>
      <c r="GM43" s="36" t="s">
        <v>139</v>
      </c>
      <c r="GN43" s="36" t="s">
        <v>139</v>
      </c>
      <c r="GO43" s="36" t="s">
        <v>139</v>
      </c>
      <c r="GP43" s="36" t="s">
        <v>139</v>
      </c>
      <c r="GQ43" s="36" t="s">
        <v>139</v>
      </c>
      <c r="GR43" s="36" t="s">
        <v>139</v>
      </c>
      <c r="GS43" s="36" t="s">
        <v>139</v>
      </c>
      <c r="GT43" s="36" t="s">
        <v>139</v>
      </c>
      <c r="GU43" s="36" t="s">
        <v>139</v>
      </c>
      <c r="GV43" s="36" t="s">
        <v>139</v>
      </c>
      <c r="GW43" s="36" t="s">
        <v>139</v>
      </c>
      <c r="GX43" s="36" t="s">
        <v>139</v>
      </c>
      <c r="GY43" s="36" t="s">
        <v>139</v>
      </c>
      <c r="GZ43" s="36" t="s">
        <v>139</v>
      </c>
      <c r="HA43" s="36" t="s">
        <v>139</v>
      </c>
      <c r="HB43" s="36" t="s">
        <v>139</v>
      </c>
      <c r="HC43" s="36" t="s">
        <v>139</v>
      </c>
      <c r="HD43" s="36" t="s">
        <v>139</v>
      </c>
      <c r="HE43" s="36" t="s">
        <v>139</v>
      </c>
      <c r="HF43" s="36" t="s">
        <v>139</v>
      </c>
      <c r="HG43" s="36" t="s">
        <v>139</v>
      </c>
      <c r="HH43" s="36" t="s">
        <v>139</v>
      </c>
      <c r="HI43" s="36" t="s">
        <v>139</v>
      </c>
      <c r="HJ43" s="36" t="s">
        <v>139</v>
      </c>
      <c r="HK43" s="36" t="s">
        <v>139</v>
      </c>
      <c r="HL43" s="36" t="s">
        <v>139</v>
      </c>
      <c r="HM43" s="36" t="s">
        <v>139</v>
      </c>
      <c r="HN43" s="36" t="s">
        <v>139</v>
      </c>
      <c r="HO43" s="36" t="s">
        <v>139</v>
      </c>
      <c r="HP43" s="36" t="s">
        <v>139</v>
      </c>
      <c r="HQ43" s="36" t="s">
        <v>139</v>
      </c>
      <c r="HR43" s="36" t="s">
        <v>139</v>
      </c>
      <c r="HS43" s="36" t="s">
        <v>139</v>
      </c>
      <c r="HT43" s="36" t="s">
        <v>139</v>
      </c>
      <c r="HU43" s="36" t="s">
        <v>139</v>
      </c>
      <c r="HV43" s="36" t="s">
        <v>139</v>
      </c>
      <c r="HW43" s="36" t="s">
        <v>139</v>
      </c>
      <c r="HX43" s="36" t="s">
        <v>139</v>
      </c>
      <c r="HY43" s="36" t="s">
        <v>139</v>
      </c>
      <c r="HZ43" s="36" t="s">
        <v>139</v>
      </c>
      <c r="IA43" s="36" t="s">
        <v>139</v>
      </c>
      <c r="IB43" s="36" t="s">
        <v>139</v>
      </c>
      <c r="IC43" s="36" t="s">
        <v>139</v>
      </c>
      <c r="ID43" s="36" t="s">
        <v>139</v>
      </c>
      <c r="IE43" s="36" t="s">
        <v>139</v>
      </c>
      <c r="IF43" s="36" t="s">
        <v>139</v>
      </c>
      <c r="IG43" s="36" t="s">
        <v>139</v>
      </c>
      <c r="IH43" s="36" t="s">
        <v>139</v>
      </c>
      <c r="II43" s="36" t="s">
        <v>139</v>
      </c>
      <c r="IJ43" s="36" t="s">
        <v>139</v>
      </c>
      <c r="IK43" s="36" t="s">
        <v>139</v>
      </c>
      <c r="IL43" s="36" t="s">
        <v>139</v>
      </c>
      <c r="IM43" s="36" t="s">
        <v>139</v>
      </c>
      <c r="IN43" s="36" t="s">
        <v>139</v>
      </c>
      <c r="IO43" s="36" t="s">
        <v>139</v>
      </c>
      <c r="IP43" s="36" t="s">
        <v>139</v>
      </c>
      <c r="IQ43" s="36" t="s">
        <v>139</v>
      </c>
      <c r="IR43" s="36" t="s">
        <v>139</v>
      </c>
      <c r="IS43" s="36" t="s">
        <v>139</v>
      </c>
      <c r="IT43" s="36" t="s">
        <v>139</v>
      </c>
      <c r="IU43" s="36" t="s">
        <v>139</v>
      </c>
      <c r="IV43" s="36" t="s">
        <v>139</v>
      </c>
      <c r="IW43" s="36" t="s">
        <v>139</v>
      </c>
      <c r="IX43" s="36" t="s">
        <v>139</v>
      </c>
      <c r="IY43" s="36" t="s">
        <v>139</v>
      </c>
      <c r="IZ43" s="36" t="s">
        <v>139</v>
      </c>
      <c r="JA43" s="36" t="s">
        <v>139</v>
      </c>
      <c r="JB43" s="36" t="s">
        <v>139</v>
      </c>
      <c r="JC43" s="36" t="s">
        <v>139</v>
      </c>
      <c r="JD43" s="36" t="s">
        <v>139</v>
      </c>
      <c r="JE43" s="36" t="s">
        <v>139</v>
      </c>
      <c r="JF43" s="36" t="s">
        <v>139</v>
      </c>
      <c r="JG43" s="36" t="s">
        <v>139</v>
      </c>
      <c r="JH43" s="36" t="s">
        <v>139</v>
      </c>
      <c r="JI43" s="36" t="s">
        <v>139</v>
      </c>
      <c r="JJ43" s="36" t="s">
        <v>139</v>
      </c>
      <c r="JK43" s="36" t="s">
        <v>139</v>
      </c>
      <c r="JL43" s="36" t="s">
        <v>139</v>
      </c>
      <c r="JM43" s="36" t="s">
        <v>139</v>
      </c>
      <c r="JN43" s="36" t="s">
        <v>139</v>
      </c>
      <c r="JO43" s="36" t="s">
        <v>139</v>
      </c>
      <c r="JP43" s="36" t="s">
        <v>139</v>
      </c>
      <c r="JQ43" s="36" t="s">
        <v>139</v>
      </c>
      <c r="JR43" s="36" t="s">
        <v>139</v>
      </c>
      <c r="JS43" s="36" t="s">
        <v>139</v>
      </c>
      <c r="JT43" s="36" t="s">
        <v>139</v>
      </c>
      <c r="JU43" s="36" t="s">
        <v>139</v>
      </c>
      <c r="JV43" s="36" t="s">
        <v>139</v>
      </c>
      <c r="JW43" s="36" t="s">
        <v>139</v>
      </c>
      <c r="JX43" s="36" t="s">
        <v>139</v>
      </c>
      <c r="JY43" s="36" t="s">
        <v>139</v>
      </c>
      <c r="JZ43" s="36" t="s">
        <v>139</v>
      </c>
      <c r="KA43" s="36" t="s">
        <v>139</v>
      </c>
      <c r="KB43" s="36" t="s">
        <v>139</v>
      </c>
      <c r="KC43" s="36" t="s">
        <v>139</v>
      </c>
      <c r="KD43" s="36" t="s">
        <v>139</v>
      </c>
      <c r="KE43" s="36" t="s">
        <v>139</v>
      </c>
      <c r="KF43" s="36" t="s">
        <v>139</v>
      </c>
      <c r="KG43" s="36" t="s">
        <v>139</v>
      </c>
      <c r="KH43" s="36" t="s">
        <v>139</v>
      </c>
      <c r="KI43" s="36" t="s">
        <v>139</v>
      </c>
      <c r="KJ43" s="36" t="s">
        <v>139</v>
      </c>
      <c r="KK43" s="36" t="s">
        <v>139</v>
      </c>
      <c r="KL43" s="36" t="s">
        <v>139</v>
      </c>
      <c r="KM43" s="36" t="s">
        <v>139</v>
      </c>
      <c r="KN43" s="36" t="s">
        <v>139</v>
      </c>
      <c r="KO43" s="36" t="s">
        <v>139</v>
      </c>
      <c r="KP43" s="36" t="s">
        <v>139</v>
      </c>
      <c r="KQ43" s="36" t="s">
        <v>139</v>
      </c>
      <c r="KR43" s="36" t="s">
        <v>139</v>
      </c>
      <c r="KS43" s="36" t="s">
        <v>139</v>
      </c>
      <c r="KT43" s="36" t="s">
        <v>139</v>
      </c>
      <c r="KU43" s="36" t="s">
        <v>139</v>
      </c>
      <c r="KV43" s="36" t="s">
        <v>139</v>
      </c>
      <c r="KW43" s="36" t="s">
        <v>139</v>
      </c>
      <c r="KX43" s="36" t="s">
        <v>139</v>
      </c>
      <c r="KY43" s="36" t="s">
        <v>139</v>
      </c>
      <c r="KZ43" s="36" t="s">
        <v>139</v>
      </c>
      <c r="LA43" s="36" t="s">
        <v>139</v>
      </c>
      <c r="LB43" s="36" t="s">
        <v>139</v>
      </c>
      <c r="LC43" s="36" t="s">
        <v>139</v>
      </c>
      <c r="LD43" s="36" t="s">
        <v>139</v>
      </c>
      <c r="LE43" s="36" t="s">
        <v>139</v>
      </c>
      <c r="LF43" s="36" t="s">
        <v>139</v>
      </c>
      <c r="LG43" s="36" t="s">
        <v>139</v>
      </c>
      <c r="LH43" s="36" t="s">
        <v>139</v>
      </c>
      <c r="LI43" s="36" t="s">
        <v>139</v>
      </c>
      <c r="LJ43" s="36" t="s">
        <v>139</v>
      </c>
      <c r="LK43" s="36" t="s">
        <v>139</v>
      </c>
      <c r="LL43" s="36" t="s">
        <v>139</v>
      </c>
      <c r="LM43" s="36" t="s">
        <v>139</v>
      </c>
      <c r="LN43" s="36" t="s">
        <v>139</v>
      </c>
      <c r="LO43" s="36" t="s">
        <v>139</v>
      </c>
      <c r="LP43" s="36" t="s">
        <v>139</v>
      </c>
      <c r="LQ43" s="36" t="s">
        <v>139</v>
      </c>
      <c r="LR43" s="36" t="s">
        <v>139</v>
      </c>
      <c r="LS43" s="36" t="s">
        <v>139</v>
      </c>
      <c r="LT43" s="36" t="s">
        <v>139</v>
      </c>
      <c r="LU43" s="36" t="s">
        <v>139</v>
      </c>
      <c r="LV43" s="36" t="s">
        <v>139</v>
      </c>
      <c r="LW43" s="36" t="s">
        <v>139</v>
      </c>
      <c r="LX43" s="36" t="s">
        <v>139</v>
      </c>
      <c r="LY43" s="36" t="s">
        <v>139</v>
      </c>
      <c r="LZ43" s="36" t="s">
        <v>139</v>
      </c>
      <c r="MA43" s="36" t="s">
        <v>139</v>
      </c>
      <c r="MB43" s="36" t="s">
        <v>139</v>
      </c>
      <c r="MC43" s="36" t="s">
        <v>139</v>
      </c>
      <c r="MD43" s="36" t="s">
        <v>139</v>
      </c>
      <c r="ME43" s="36" t="s">
        <v>139</v>
      </c>
      <c r="MF43" s="36" t="s">
        <v>139</v>
      </c>
      <c r="MG43" s="36" t="s">
        <v>139</v>
      </c>
      <c r="MH43" s="36" t="s">
        <v>139</v>
      </c>
      <c r="MI43" s="36" t="s">
        <v>139</v>
      </c>
      <c r="MJ43" s="36" t="s">
        <v>139</v>
      </c>
      <c r="MK43" s="36" t="s">
        <v>139</v>
      </c>
      <c r="ML43" s="36" t="s">
        <v>139</v>
      </c>
      <c r="MM43" s="36" t="s">
        <v>139</v>
      </c>
      <c r="MN43" s="36" t="s">
        <v>139</v>
      </c>
      <c r="MO43" s="36" t="s">
        <v>139</v>
      </c>
      <c r="MP43" s="36" t="s">
        <v>139</v>
      </c>
      <c r="MQ43" s="36" t="s">
        <v>139</v>
      </c>
      <c r="MR43" s="36" t="s">
        <v>139</v>
      </c>
      <c r="MS43" s="36" t="s">
        <v>139</v>
      </c>
      <c r="MT43" s="36" t="s">
        <v>139</v>
      </c>
      <c r="MU43" s="36" t="s">
        <v>139</v>
      </c>
      <c r="MV43" s="36" t="s">
        <v>139</v>
      </c>
      <c r="MW43" s="36" t="s">
        <v>139</v>
      </c>
      <c r="MX43" s="36" t="s">
        <v>139</v>
      </c>
      <c r="MY43" s="36" t="s">
        <v>139</v>
      </c>
      <c r="MZ43" s="36" t="s">
        <v>139</v>
      </c>
      <c r="NA43" s="36" t="s">
        <v>139</v>
      </c>
      <c r="NB43" s="36" t="s">
        <v>139</v>
      </c>
      <c r="NC43" s="36" t="s">
        <v>139</v>
      </c>
      <c r="ND43" s="36" t="s">
        <v>139</v>
      </c>
      <c r="NE43" s="36" t="s">
        <v>139</v>
      </c>
      <c r="NF43" s="36" t="s">
        <v>139</v>
      </c>
      <c r="NG43" s="36" t="s">
        <v>139</v>
      </c>
      <c r="NH43" s="36" t="s">
        <v>139</v>
      </c>
      <c r="NI43" s="36" t="s">
        <v>139</v>
      </c>
      <c r="NJ43" s="36" t="s">
        <v>139</v>
      </c>
      <c r="NK43" s="36" t="s">
        <v>139</v>
      </c>
      <c r="NL43" s="36" t="s">
        <v>139</v>
      </c>
      <c r="NM43" s="36" t="s">
        <v>139</v>
      </c>
      <c r="NN43" s="36" t="s">
        <v>139</v>
      </c>
      <c r="NO43" s="36" t="s">
        <v>139</v>
      </c>
      <c r="NP43" s="36" t="s">
        <v>139</v>
      </c>
      <c r="NQ43" s="36" t="s">
        <v>139</v>
      </c>
      <c r="NR43" s="36" t="s">
        <v>139</v>
      </c>
      <c r="NS43" s="36" t="s">
        <v>139</v>
      </c>
      <c r="NT43" s="36" t="s">
        <v>139</v>
      </c>
      <c r="NU43" s="36" t="s">
        <v>139</v>
      </c>
      <c r="NV43" s="36" t="s">
        <v>139</v>
      </c>
      <c r="NW43" s="36" t="s">
        <v>139</v>
      </c>
      <c r="NX43" s="36" t="s">
        <v>139</v>
      </c>
      <c r="NY43" s="36" t="s">
        <v>139</v>
      </c>
      <c r="NZ43" s="36" t="s">
        <v>139</v>
      </c>
      <c r="OA43" s="36" t="s">
        <v>139</v>
      </c>
      <c r="OB43" s="36" t="s">
        <v>139</v>
      </c>
      <c r="OC43" s="36" t="s">
        <v>139</v>
      </c>
      <c r="OD43" s="36" t="s">
        <v>139</v>
      </c>
      <c r="OE43" s="36" t="s">
        <v>139</v>
      </c>
      <c r="OF43" s="36" t="s">
        <v>139</v>
      </c>
      <c r="OG43" s="36" t="s">
        <v>139</v>
      </c>
      <c r="OH43" s="36" t="s">
        <v>139</v>
      </c>
      <c r="OI43" s="36" t="s">
        <v>139</v>
      </c>
      <c r="OJ43" s="36" t="s">
        <v>139</v>
      </c>
      <c r="OK43" s="36" t="s">
        <v>139</v>
      </c>
      <c r="OL43" s="36" t="s">
        <v>139</v>
      </c>
      <c r="OM43" s="36" t="s">
        <v>139</v>
      </c>
      <c r="ON43" s="36" t="s">
        <v>139</v>
      </c>
      <c r="OO43" s="36" t="s">
        <v>139</v>
      </c>
      <c r="OP43" s="36" t="s">
        <v>139</v>
      </c>
      <c r="OQ43" s="36" t="s">
        <v>139</v>
      </c>
      <c r="OR43" s="36" t="s">
        <v>139</v>
      </c>
      <c r="OS43" s="36" t="s">
        <v>139</v>
      </c>
      <c r="OT43" s="36" t="s">
        <v>139</v>
      </c>
      <c r="OU43" s="36" t="s">
        <v>139</v>
      </c>
      <c r="OV43" s="36" t="s">
        <v>139</v>
      </c>
      <c r="OW43" s="36" t="s">
        <v>139</v>
      </c>
      <c r="OX43" s="36" t="s">
        <v>139</v>
      </c>
      <c r="OY43" s="36" t="s">
        <v>139</v>
      </c>
      <c r="OZ43" s="36" t="s">
        <v>139</v>
      </c>
      <c r="PA43" s="36" t="s">
        <v>139</v>
      </c>
      <c r="PB43" s="36" t="s">
        <v>139</v>
      </c>
      <c r="PC43" s="36" t="s">
        <v>139</v>
      </c>
      <c r="PD43" s="36" t="s">
        <v>139</v>
      </c>
      <c r="PE43" s="36" t="s">
        <v>139</v>
      </c>
      <c r="PF43" s="36" t="s">
        <v>139</v>
      </c>
      <c r="PG43" s="36" t="s">
        <v>139</v>
      </c>
      <c r="PH43" s="36" t="s">
        <v>139</v>
      </c>
      <c r="PI43" s="36" t="s">
        <v>139</v>
      </c>
      <c r="PJ43" s="36" t="s">
        <v>139</v>
      </c>
      <c r="PK43" s="36" t="s">
        <v>139</v>
      </c>
      <c r="PL43" s="36" t="s">
        <v>139</v>
      </c>
      <c r="PM43" s="36" t="s">
        <v>139</v>
      </c>
      <c r="PN43" s="36" t="s">
        <v>139</v>
      </c>
      <c r="PO43" s="74">
        <f>COUNTIFS($C$27:$PN$27,("&lt;"&amp;$B$3),$C$27:$PN$27,("&gt;="&amp;$B$2),$C43:$PN43,TabAsistencias[[#Headers],[1]])</f>
        <v>30</v>
      </c>
      <c r="PP43" s="74">
        <f>COUNTIFS($C$27:$PN$27,("&lt;"&amp;$B$3),$C$27:$PN$27,("&gt;="&amp;$B$2),$C43:$PN43,TabAsistencias[[#Headers],[E]])</f>
        <v>0</v>
      </c>
      <c r="PQ43" s="74">
        <f>COUNTIFS($C$27:$PN$27,("&lt;"&amp;$B$3),$C$27:$PN$27,("&gt;="&amp;$B$2),$C43:$PN43,TabAsistencias[[#Headers],[DE]])</f>
        <v>0</v>
      </c>
      <c r="PR43" s="74">
        <f>COUNTIFS($C$27:$PN$27,("&lt;"&amp;$B$3),$C$27:$PN$27,("&gt;="&amp;$B$2),$C43:$PN43,TabAsistencias[[#Headers],[V]])</f>
        <v>0</v>
      </c>
      <c r="PS43" s="74">
        <f>COUNTIFS($C$27:$PN$27,("&lt;"&amp;$B$3),$C$27:$PN$27,("&gt;="&amp;$B$2),$C43:$PN43,TabAsistencias[[#Headers],[DO]])</f>
        <v>0</v>
      </c>
      <c r="PT43" s="74">
        <f>COUNTIFS($C$27:$PN$27,("&lt;"&amp;$B$3),$C$27:$PN$27,("&gt;="&amp;$B$2),$C43:$PN43,TabAsistencias[[#Headers],[P]])</f>
        <v>0</v>
      </c>
      <c r="PU43" s="74">
        <f>COUNTIFS($C$27:$PN$27,("&lt;"&amp;$B$3),$C$27:$PN$27,("&gt;="&amp;$B$2),$C43:$PN43,TabAsistencias[[#Headers],[F]])</f>
        <v>0</v>
      </c>
      <c r="PV43" s="74">
        <f>COUNTIFS($C$27:$PN$27,("&lt;"&amp;$B$3),$C$27:$PN$27,("&gt;="&amp;$B$2),$C43:$PN43,TabAsistencias[[#Headers],[R]])</f>
        <v>0</v>
      </c>
      <c r="PW43" s="74">
        <f>COUNTIFS($C$27:$PN$27,("&lt;"&amp;$B$3),$C$27:$PN$27,("&gt;="&amp;$B$2),$C43:$PN43,TabAsistencias[[#Headers],[PP]])</f>
        <v>0</v>
      </c>
      <c r="PX43" s="74">
        <f>COUNTIFS($C$27:$PN$27,("&lt;"&amp;$B$3),$C$27:$PN$27,("&gt;="&amp;$B$2),$C43:$PN43,TabAsistencias[[#Headers],[0]])</f>
        <v>0</v>
      </c>
      <c r="PY43" s="74">
        <f>COUNTIFS($C$27:$PN$27,("&lt;"&amp;$B$3),$C$27:$PN$27,("&gt;="&amp;$B$2),$C43:$PN43,TabAsistencias[[#Headers],[IG]])</f>
        <v>0</v>
      </c>
      <c r="PZ43" s="74">
        <f>COUNTIFS($C$27:$PN$27,("&lt;"&amp;$B$3),$C$27:$PN$27,("&gt;="&amp;$B$2),$C43:$PN43,TabAsistencias[[#Headers],[NA]])</f>
        <v>0</v>
      </c>
      <c r="QA43" s="74">
        <f>COUNTIFS($C$27:$PN$27,("&lt;"&amp;$B$3),$C$27:$PN$27,("&gt;="&amp;$B$2),$C43:$PN43,TabAsistencias[[#Headers],[DF]])</f>
        <v>0</v>
      </c>
      <c r="QB43" s="74">
        <f>COUNTIFS($C$27:$PN$27,("&lt;"&amp;$B$3),$C$27:$PN$27,("&gt;="&amp;$B$2),$C43:$PN43,TabAsistencias[[#Headers],[3]])</f>
        <v>0</v>
      </c>
      <c r="QC43" s="74">
        <f>COUNTIFS($C$27:$PN$27,("&lt;"&amp;$B$3),$C$27:$PN$27,("&gt;="&amp;$B$2),$C43:$PN43,TabAsistencias[[#Headers],[CP]])</f>
        <v>0</v>
      </c>
      <c r="QD43" s="74">
        <f>COUNTIFS($C$27:$PN$27,("&lt;"&amp;$B$3),$C$27:$PN$27,("&gt;="&amp;$B$2),$C43:$PN43,TabAsistencias[[#Headers],[I]])</f>
        <v>0</v>
      </c>
      <c r="QE43" s="74">
        <f>COUNTIFS($C$27:$PN$27,("&lt;"&amp;$B$3),$C$27:$PN$27,("&gt;="&amp;$B$2),$C43:$PN43,TabAsistencias[[#Headers],[T/2]])</f>
        <v>0</v>
      </c>
      <c r="QF43" s="74">
        <f>COUNTIFS($C$27:$PN$27,("&lt;"&amp;$B$3),$C$27:$PN$27,("&gt;="&amp;$B$2),$C43:$PN43,TabAsistencias[[#Headers],[ME]])</f>
        <v>0</v>
      </c>
      <c r="QG43" s="74">
        <f>COUNTIFS($C$27:$PN$27,("&lt;"&amp;$B$3),$C$27:$PN$27,("&gt;="&amp;$B$2),$C43:$PN43,TabAsistencias[[#Headers],[DP]])</f>
        <v>0</v>
      </c>
      <c r="QH43" s="74">
        <f>COUNTIFS($C$27:$PN$27,("&lt;"&amp;$B$3),$C$27:$PN$27,("&gt;="&amp;$B$2),$C43:$PN43,TabAsistencias[[#Headers],[B]])</f>
        <v>0</v>
      </c>
      <c r="QI43" s="74">
        <f>(TabAsistencias[[#This Row],[1]]*'Tablas de informacion'!$C$124)+(TabAsistencias[[#This Row],[E]]*'Tablas de informacion'!$C$125)+(TabAsistencias[[#This Row],[DE]]*'Tablas de informacion'!C$126)+(TabAsistencias[[#This Row],[V]]*'Tablas de informacion'!C$127)+(TabAsistencias[[#This Row],[DO]]*'Tablas de informacion'!C$128)+(TabAsistencias[[#This Row],[P]]*'Tablas de informacion'!C$129)+(TabAsistencias[[#This Row],[F]]*'Tablas de informacion'!C$130)+(TabAsistencias[[#This Row],[R]]*'Tablas de informacion'!C$131)+(TabAsistencias[[#This Row],[PP]]*'Tablas de informacion'!C$132)+(TabAsistencias[[#This Row],[0]]*'Tablas de informacion'!C$133)+(TabAsistencias[[#This Row],[IG]]*'Tablas de informacion'!C$134)+(TabAsistencias[[#This Row],[NA]]*'Tablas de informacion'!C$135)+(TabAsistencias[[#This Row],[DF]]*'Tablas de informacion'!C$136)+(TabAsistencias[[#This Row],[3]]*'Tablas de informacion'!C$137)+(TabAsistencias[[#This Row],[CP]]*'Tablas de informacion'!C$138)+(TabAsistencias[[#This Row],[I]]*'Tablas de informacion'!C$139)+(TabAsistencias[[#This Row],[T/2]]*'Tablas de informacion'!C$140)+(TabAsistencias[[#This Row],[ME]]*'Tablas de informacion'!C$141)+(TabAsistencias[[#This Row],[DP]]*'Tablas de informacion'!C$142)+(TabAsistencias[[#This Row],[B]]*'Tablas de informacion'!C$143)-INT(TabAsistencias[[#This Row],[R]]/3)</f>
        <v>30</v>
      </c>
      <c r="QJ43" s="74">
        <f>COUNTIFS($C$27:$PN$27,("&lt;"&amp;$B$3),$C$27:$PN$27,("&gt;="&amp;$B$2),$C$28:$PN$28,1,$C43:$PN43,TabAsistencias[[#Headers],[1]])+
COUNTIFS($C$27:$PN$27,("&lt;"&amp;$B$3),$C$27:$PN$27,("&gt;="&amp;$B$2),$C$28:$PN$28,1,$C43:$PN43,TabAsistencias[[#Headers],[DO]])+
COUNTIFS($C$27:$PN$27,("&lt;"&amp;$B$3),$C$27:$PN$27,("&gt;="&amp;$B$2),$C$28:$PN$28,1,$C43:$PN43,TabAsistencias[[#Headers],[R]])+
COUNTIFS($C$27:$PN$27,("&lt;"&amp;$B$3),$C$27:$PN$27,("&gt;="&amp;$B$2),$C$28:$PN$28,1,$C43:$PN43,TabAsistencias[[#Headers],[NA]])+
COUNTIFS($C$27:$PN$27,("&lt;"&amp;$B$3),$C$27:$PN$27,("&gt;="&amp;$B$2),$C$28:$PN$28,1,$C43:$PN43,TabAsistencias[[#Headers],[DF]])+
COUNTIFS($C$27:$PN$27,("&lt;"&amp;$B$3),$C$27:$PN$27,("&gt;="&amp;$B$2),$C$28:$PN$28,1,$C43:$PN43,TabAsistencias[[#Headers],[3]])+
COUNTIFS($C$27:$PN$27,("&lt;"&amp;$B$3),$C$27:$PN$27,("&gt;="&amp;$B$2),$C$28:$PN$28,1,$C43:$PN43,TabAsistencias[[#Headers],[CP]])+
COUNTIFS($C$27:$PN$27,("&lt;"&amp;$B$3),$C$27:$PN$27,("&gt;="&amp;$B$2),$C$28:$PN$28,1,$C43:$PN43,TabAsistencias[[#Headers],[T/2]])</f>
        <v>4</v>
      </c>
      <c r="QK43" s="315" cm="1">
        <f t="array" ref="QK43">IFERROR(VLOOKUP(
DATEDIF((VLOOKUP(TabAsistencias[[#This Row],[ID]],TabEmpleados[],COLUMN(TabEmpleados[Fecha de ingreso]),FALSE)),Asistencias!$B$3,"Y"),
TabFactorIntegracion[],COLUMN(TabFactorIntegracion[Días vacacionales
establecidos por ley]),FALSE),0)
-
COUNTIF($AH43:$PN43,TabAsistencias[[#Headers],[V]])</f>
        <v>12</v>
      </c>
      <c r="QL43" s="319">
        <f>SUM(TabAsistencias[[#This Row],[''1]],TabAsistencias[[#This Row],[''DE]],TabAsistencias[[#This Row],[''DO]],TabAsistencias[[#This Row],[''R]],TabAsistencias[[#This Row],[''NA]],TabAsistencias[[#This Row],[''DF]],TabAsistencias[[#This Row],[''3]],TabAsistencias[[#This Row],[''CP]],TabAsistencias[[#This Row],[''T/2]],TabAsistencias[[#This Row],[''DP]])</f>
        <v>73</v>
      </c>
      <c r="QM43" s="314">
        <f>COUNTIFS($C$27:$PN$27,("&lt;"&amp;$B$5),$C$27:$PN$27,("&gt;="&amp;$B$4),$C43:$PN43,TabAsistencias[[#Headers],[1]])</f>
        <v>73</v>
      </c>
      <c r="QN43" s="314">
        <f>COUNTIFS($C$27:$PN$27,("&lt;"&amp;$B$5),$C$27:$PN$27,("&gt;="&amp;$B$4),$C43:$PN43,TabAsistencias[[#Headers],[DE]])</f>
        <v>0</v>
      </c>
      <c r="QO43" s="314">
        <f>COUNTIFS($C$27:$PN$27,("&lt;"&amp;$B$5),$C$27:$PN$27,("&gt;="&amp;$B$4),$C43:$PN43,TabAsistencias[[#Headers],[V]])</f>
        <v>0</v>
      </c>
      <c r="QP43" s="314">
        <f>COUNTIFS($C$27:$PN$27,("&lt;"&amp;$B$5),$C$27:$PN$27,("&gt;="&amp;$B$4),$C43:$PN43,TabAsistencias[[#Headers],[DO]])</f>
        <v>0</v>
      </c>
      <c r="QQ43" s="314">
        <f>COUNTIFS($C$27:$PN$27,("&lt;"&amp;$B$5),$C$27:$PN$27,("&gt;="&amp;$B$4),$C43:$PN43,TabAsistencias[[#Headers],[P]])</f>
        <v>0</v>
      </c>
      <c r="QR43" s="314">
        <f>COUNTIFS($C$27:$PN$27,("&lt;"&amp;$B$5),$C$27:$PN$27,("&gt;="&amp;$B$4),$C43:$PN43,TabAsistencias[[#Headers],[F]])</f>
        <v>0</v>
      </c>
      <c r="QS43" s="314">
        <f>COUNTIFS($C$27:$PN$27,("&lt;"&amp;$B$5),$C$27:$PN$27,("&gt;="&amp;$B$4),$C43:$PN43,TabAsistencias[[#Headers],[R]])</f>
        <v>0</v>
      </c>
      <c r="QT43" s="314">
        <f>COUNTIFS($C$27:$PN$27,("&lt;"&amp;$B$5),$C$27:$PN$27,("&gt;="&amp;$B$4),$C43:$PN43,TabAsistencias[[#Headers],[PP]])</f>
        <v>0</v>
      </c>
      <c r="QU43" s="314">
        <f>COUNTIFS($C$27:$PN$27,("&lt;"&amp;$B$5),$C$27:$PN$27,("&gt;="&amp;$B$4),$C43:$PN43,TabAsistencias[[#Headers],[0]])</f>
        <v>0</v>
      </c>
      <c r="QV43" s="314">
        <f>COUNTIFS($C$27:$PN$27,("&lt;"&amp;$B$5),$C$27:$PN$27,("&gt;="&amp;$B$4),$C43:$PN43,TabAsistencias[[#Headers],[IG]])</f>
        <v>0</v>
      </c>
      <c r="QW43" s="314">
        <f>COUNTIFS($C$27:$PN$27,("&lt;"&amp;$B$5),$C$27:$PN$27,("&gt;="&amp;$B$4),$C43:$PN43,TabAsistencias[[#Headers],[NA]])</f>
        <v>0</v>
      </c>
      <c r="QX43" s="314">
        <f>COUNTIFS($C$27:$PN$27,("&lt;"&amp;$B$5),$C$27:$PN$27,("&gt;="&amp;$B$4),$C43:$PN43,TabAsistencias[[#Headers],[DF]])</f>
        <v>0</v>
      </c>
      <c r="QY43" s="314">
        <f>COUNTIFS($C$27:$PN$27,("&lt;"&amp;$B$5),$C$27:$PN$27,("&gt;="&amp;$B$4),$C43:$PN43,TabAsistencias[[#Headers],[3]])</f>
        <v>0</v>
      </c>
      <c r="QZ43" s="314">
        <f>COUNTIFS($C$27:$PN$27,("&lt;"&amp;$B$5),$C$27:$PN$27,("&gt;="&amp;$B$4),$C43:$PN43,TabAsistencias[[#Headers],[CP]])</f>
        <v>0</v>
      </c>
      <c r="RA43" s="314">
        <f>COUNTIFS($C$27:$PN$27,("&lt;"&amp;$B$5),$C$27:$PN$27,("&gt;="&amp;$B$4),$C43:$PN43,TabAsistencias[[#Headers],[I]])</f>
        <v>0</v>
      </c>
      <c r="RB43" s="314">
        <f>COUNTIFS($C$27:$PN$27,("&lt;"&amp;$B$5),$C$27:$PN$27,("&gt;="&amp;$B$4),$C43:$PN43,TabAsistencias[[#Headers],[T/2]])</f>
        <v>0</v>
      </c>
      <c r="RC43" s="314">
        <f>COUNTIFS($C$27:$PN$27,("&lt;"&amp;$B$5),$C$27:$PN$27,("&gt;="&amp;$B$4),$C43:$PN43,TabAsistencias[[#Headers],[ME]])</f>
        <v>0</v>
      </c>
      <c r="RD43" s="314">
        <f>COUNTIFS($C$27:$PN$27,("&lt;"&amp;$B$5),$C$27:$PN$27,("&gt;="&amp;$B$4),$C43:$PN43,TabAsistencias[[#Headers],[DP]])</f>
        <v>0</v>
      </c>
      <c r="RE43" s="314">
        <f>COUNTIFS($C$27:$PN$27,("&lt;"&amp;$B$5),$C$27:$PN$27,("&gt;="&amp;$B$4),$C43:$PN43,TabAsistencias[[#Headers],[B]])</f>
        <v>0</v>
      </c>
      <c r="RF43" s="314">
        <f>COUNTIFS($C$27:$PN$27,("&lt;"&amp;$B$5),$C$27:$PN$27,("&gt;="&amp;$B$4),$C$28:$PN$28,1,$C43:$PN43,TabAsistencias[[#Headers],[1]])+
COUNTIFS($C$27:$PN$27,("&lt;"&amp;$B$5),$C$27:$PN$27,("&gt;="&amp;$B$4),$C$28:$PN$28,1,$C43:$PN43,TabAsistencias[[#Headers],[DO]])+
COUNTIFS($C$27:$PN$27,("&lt;"&amp;$B$5),$C$27:$PN$27,("&gt;="&amp;$B$4),$C$28:$PN$28,1,$C43:$PN43,TabAsistencias[[#Headers],[R]])+
COUNTIFS($C$27:$PN$27,("&lt;"&amp;$B$5),$C$27:$PN$27,("&gt;="&amp;$B$4),$C$28:$PN$28,1,$C43:$PN43,TabAsistencias[[#Headers],[NA]])+
COUNTIFS($C$27:$PN$27,("&lt;"&amp;$B$5),$C$27:$PN$27,("&gt;="&amp;$B$4),$C$28:$PN$28,1,$C43:$PN43,TabAsistencias[[#Headers],[DF]])+
COUNTIFS($C$27:$PN$27,("&lt;"&amp;$B$5),$C$27:$PN$27,("&gt;="&amp;$B$4),$C$28:$PN$28,1,$C43:$PN43,TabAsistencias[[#Headers],[3]])+
COUNTIFS($C$27:$PN$27,("&lt;"&amp;$B$5),$C$27:$PN$27,("&gt;="&amp;$B$4),$C$28:$PN$28,1,$C43:$PN43,TabAsistencias[[#Headers],[CP]])+
COUNTIFS($C$27:$PN$27,("&lt;"&amp;$B$5),$C$27:$PN$27,("&gt;="&amp;$B$4),$C$28:$PN$28,1,$C43:$PN43,TabAsistencias[[#Headers],[T/2]])</f>
        <v>11</v>
      </c>
      <c r="RG43" s="320" cm="1">
        <f t="array" ref="RG43">IFERROR(VLOOKUP(
DATEDIF((VLOOKUP(TabAsistencias[[#This Row],[ID]],TabEmpleados[],COLUMN(TabEmpleados[Fecha de alta NSS]),FALSE)),Asistencias!$B$3,"Y"),
TabFactorIntegracion[],COLUMN(TabFactorIntegracion[Días vacacionales
establecidos por ley]),FALSE),0)
-
COUNTIF($AH43:$PN43,TabAsistencias[[#Headers],[V]])</f>
        <v>12</v>
      </c>
    </row>
    <row r="44" spans="1:475" x14ac:dyDescent="0.25">
      <c r="A44" s="92">
        <f t="shared" si="434"/>
        <v>14</v>
      </c>
      <c r="B44" s="30" t="str" cm="1">
        <f t="array" ref="B44">VLOOKUP(TabAsistencias[[#This Row],[ID]],TabEmpleados[],COLUMN(TabEmpleados[Nombre]),FALSE)</f>
        <v>MIGUEL MIGUEL CAROLINA</v>
      </c>
      <c r="C44" s="36" t="s">
        <v>139</v>
      </c>
      <c r="D44" s="36" t="s">
        <v>139</v>
      </c>
      <c r="E44" s="36" t="s">
        <v>139</v>
      </c>
      <c r="F44" s="36" t="s">
        <v>139</v>
      </c>
      <c r="G44" s="36" t="s">
        <v>139</v>
      </c>
      <c r="H44" s="36" t="s">
        <v>139</v>
      </c>
      <c r="I44" s="36" t="s">
        <v>139</v>
      </c>
      <c r="J44" s="36" t="s">
        <v>139</v>
      </c>
      <c r="K44" s="36" t="s">
        <v>139</v>
      </c>
      <c r="L44" s="36" t="s">
        <v>139</v>
      </c>
      <c r="M44" s="36" t="s">
        <v>139</v>
      </c>
      <c r="N44" s="36" t="s">
        <v>139</v>
      </c>
      <c r="O44" s="36" t="s">
        <v>139</v>
      </c>
      <c r="P44" s="36" t="s">
        <v>139</v>
      </c>
      <c r="Q44" s="36" t="s">
        <v>139</v>
      </c>
      <c r="R44" s="36" t="s">
        <v>139</v>
      </c>
      <c r="S44" s="36" t="s">
        <v>139</v>
      </c>
      <c r="T44" s="36" t="s">
        <v>139</v>
      </c>
      <c r="U44" s="36" t="s">
        <v>139</v>
      </c>
      <c r="V44" s="36" t="s">
        <v>139</v>
      </c>
      <c r="W44" s="36" t="s">
        <v>139</v>
      </c>
      <c r="X44" s="36" t="s">
        <v>139</v>
      </c>
      <c r="Y44" s="36" t="s">
        <v>139</v>
      </c>
      <c r="Z44" s="36" t="s">
        <v>139</v>
      </c>
      <c r="AA44" s="36" t="s">
        <v>139</v>
      </c>
      <c r="AB44" s="36" t="s">
        <v>139</v>
      </c>
      <c r="AC44" s="36" t="s">
        <v>139</v>
      </c>
      <c r="AD44" s="36" t="s">
        <v>139</v>
      </c>
      <c r="AE44" s="36" t="s">
        <v>139</v>
      </c>
      <c r="AF44" s="36" t="s">
        <v>139</v>
      </c>
      <c r="AG44" s="36" t="s">
        <v>139</v>
      </c>
      <c r="AH44" s="36" t="s">
        <v>139</v>
      </c>
      <c r="AI44" s="36" t="s">
        <v>139</v>
      </c>
      <c r="AJ44" s="36" t="s">
        <v>139</v>
      </c>
      <c r="AK44" s="36" t="s">
        <v>139</v>
      </c>
      <c r="AL44" s="36" t="s">
        <v>139</v>
      </c>
      <c r="AM44" s="36" t="s">
        <v>139</v>
      </c>
      <c r="AN44" s="36" t="s">
        <v>139</v>
      </c>
      <c r="AO44" s="36" t="s">
        <v>139</v>
      </c>
      <c r="AP44" s="36" t="s">
        <v>139</v>
      </c>
      <c r="AQ44" s="36" t="s">
        <v>139</v>
      </c>
      <c r="AR44" s="36" t="s">
        <v>139</v>
      </c>
      <c r="AS44" s="36" t="s">
        <v>139</v>
      </c>
      <c r="AT44" s="36" t="s">
        <v>139</v>
      </c>
      <c r="AU44" s="36" t="s">
        <v>139</v>
      </c>
      <c r="AV44" s="36" t="s">
        <v>139</v>
      </c>
      <c r="AW44" s="36" t="s">
        <v>139</v>
      </c>
      <c r="AX44" s="36" t="s">
        <v>139</v>
      </c>
      <c r="AY44" s="36" t="s">
        <v>139</v>
      </c>
      <c r="AZ44" s="36" t="s">
        <v>139</v>
      </c>
      <c r="BA44" s="36" t="s">
        <v>139</v>
      </c>
      <c r="BB44" s="36" t="s">
        <v>139</v>
      </c>
      <c r="BC44" s="36" t="s">
        <v>139</v>
      </c>
      <c r="BD44" s="36" t="s">
        <v>139</v>
      </c>
      <c r="BE44" s="36" t="s">
        <v>139</v>
      </c>
      <c r="BF44" s="36" t="s">
        <v>139</v>
      </c>
      <c r="BG44" s="36" t="s">
        <v>139</v>
      </c>
      <c r="BH44" s="36" t="s">
        <v>139</v>
      </c>
      <c r="BI44" s="36" t="s">
        <v>139</v>
      </c>
      <c r="BJ44" s="36" t="s">
        <v>139</v>
      </c>
      <c r="BK44" s="36" t="s">
        <v>139</v>
      </c>
      <c r="BL44" s="36" t="s">
        <v>139</v>
      </c>
      <c r="BM44" s="36" t="s">
        <v>139</v>
      </c>
      <c r="BN44" s="36" t="s">
        <v>139</v>
      </c>
      <c r="BO44" s="36" t="s">
        <v>139</v>
      </c>
      <c r="BP44" s="36" t="s">
        <v>139</v>
      </c>
      <c r="BQ44" s="36" t="s">
        <v>139</v>
      </c>
      <c r="BR44" s="36" t="s">
        <v>139</v>
      </c>
      <c r="BS44" s="36" t="s">
        <v>139</v>
      </c>
      <c r="BT44" s="36" t="s">
        <v>139</v>
      </c>
      <c r="BU44" s="36" t="s">
        <v>139</v>
      </c>
      <c r="BV44" s="36" t="s">
        <v>139</v>
      </c>
      <c r="BW44" s="36" t="s">
        <v>139</v>
      </c>
      <c r="BX44" s="36" t="s">
        <v>139</v>
      </c>
      <c r="BY44" s="36" t="s">
        <v>139</v>
      </c>
      <c r="BZ44" s="36" t="s">
        <v>139</v>
      </c>
      <c r="CA44" s="36" t="s">
        <v>139</v>
      </c>
      <c r="CB44" s="36" t="s">
        <v>139</v>
      </c>
      <c r="CC44" s="36" t="s">
        <v>139</v>
      </c>
      <c r="CD44" s="36" t="s">
        <v>139</v>
      </c>
      <c r="CE44" s="36" t="s">
        <v>139</v>
      </c>
      <c r="CF44" s="36" t="s">
        <v>139</v>
      </c>
      <c r="CG44" s="36" t="s">
        <v>139</v>
      </c>
      <c r="CH44" s="36" t="s">
        <v>139</v>
      </c>
      <c r="CI44" s="36" t="s">
        <v>139</v>
      </c>
      <c r="CJ44" s="36" t="s">
        <v>139</v>
      </c>
      <c r="CK44" s="36" t="s">
        <v>139</v>
      </c>
      <c r="CL44" s="36" t="s">
        <v>139</v>
      </c>
      <c r="CM44" s="36" t="s">
        <v>139</v>
      </c>
      <c r="CN44" s="36" t="s">
        <v>139</v>
      </c>
      <c r="CO44" s="36" t="s">
        <v>139</v>
      </c>
      <c r="CP44" s="36" t="s">
        <v>139</v>
      </c>
      <c r="CQ44" s="36" t="s">
        <v>139</v>
      </c>
      <c r="CR44" s="36" t="s">
        <v>139</v>
      </c>
      <c r="CS44" s="36" t="s">
        <v>139</v>
      </c>
      <c r="CT44" s="36" t="s">
        <v>139</v>
      </c>
      <c r="CU44" s="36" t="s">
        <v>139</v>
      </c>
      <c r="CV44" s="36" t="s">
        <v>139</v>
      </c>
      <c r="CW44" s="36" t="s">
        <v>139</v>
      </c>
      <c r="CX44" s="36" t="s">
        <v>139</v>
      </c>
      <c r="CY44" s="36" t="s">
        <v>139</v>
      </c>
      <c r="CZ44" s="36" t="s">
        <v>139</v>
      </c>
      <c r="DA44" s="36" t="s">
        <v>139</v>
      </c>
      <c r="DB44" s="36" t="s">
        <v>139</v>
      </c>
      <c r="DC44" s="36" t="s">
        <v>139</v>
      </c>
      <c r="DD44" s="36" t="s">
        <v>139</v>
      </c>
      <c r="DE44" s="36" t="s">
        <v>139</v>
      </c>
      <c r="DF44" s="36" t="s">
        <v>139</v>
      </c>
      <c r="DG44" s="36" t="s">
        <v>139</v>
      </c>
      <c r="DH44" s="36" t="s">
        <v>139</v>
      </c>
      <c r="DI44" s="36" t="s">
        <v>139</v>
      </c>
      <c r="DJ44" s="36" t="s">
        <v>139</v>
      </c>
      <c r="DK44" s="36" t="s">
        <v>139</v>
      </c>
      <c r="DL44" s="36" t="s">
        <v>139</v>
      </c>
      <c r="DM44" s="36" t="s">
        <v>139</v>
      </c>
      <c r="DN44" s="36" t="s">
        <v>139</v>
      </c>
      <c r="DO44" s="36" t="s">
        <v>139</v>
      </c>
      <c r="DP44" s="36" t="s">
        <v>139</v>
      </c>
      <c r="DQ44" s="36" t="s">
        <v>139</v>
      </c>
      <c r="DR44" s="36" t="s">
        <v>139</v>
      </c>
      <c r="DS44" s="36" t="s">
        <v>139</v>
      </c>
      <c r="DT44" s="36" t="s">
        <v>139</v>
      </c>
      <c r="DU44" s="36" t="s">
        <v>139</v>
      </c>
      <c r="DV44" s="36" t="s">
        <v>139</v>
      </c>
      <c r="DW44" s="36" t="s">
        <v>139</v>
      </c>
      <c r="DX44" s="36" t="s">
        <v>139</v>
      </c>
      <c r="DY44" s="36" t="s">
        <v>139</v>
      </c>
      <c r="DZ44" s="36" t="s">
        <v>139</v>
      </c>
      <c r="EA44" s="36" t="s">
        <v>139</v>
      </c>
      <c r="EB44" s="36" t="s">
        <v>139</v>
      </c>
      <c r="EC44" s="36" t="s">
        <v>139</v>
      </c>
      <c r="ED44" s="36" t="s">
        <v>139</v>
      </c>
      <c r="EE44" s="36" t="s">
        <v>139</v>
      </c>
      <c r="EF44" s="36" t="s">
        <v>139</v>
      </c>
      <c r="EG44" s="36" t="s">
        <v>139</v>
      </c>
      <c r="EH44" s="36" t="s">
        <v>139</v>
      </c>
      <c r="EI44" s="36" t="s">
        <v>139</v>
      </c>
      <c r="EJ44" s="36" t="s">
        <v>139</v>
      </c>
      <c r="EK44" s="36" t="s">
        <v>139</v>
      </c>
      <c r="EL44" s="36" t="s">
        <v>139</v>
      </c>
      <c r="EM44" s="36" t="s">
        <v>139</v>
      </c>
      <c r="EN44" s="36" t="s">
        <v>139</v>
      </c>
      <c r="EO44" s="36" t="s">
        <v>139</v>
      </c>
      <c r="EP44" s="36" t="s">
        <v>139</v>
      </c>
      <c r="EQ44" s="36" t="s">
        <v>139</v>
      </c>
      <c r="ER44" s="36" t="s">
        <v>139</v>
      </c>
      <c r="ES44" s="36" t="s">
        <v>139</v>
      </c>
      <c r="ET44" s="36" t="s">
        <v>139</v>
      </c>
      <c r="EU44" s="36" t="s">
        <v>139</v>
      </c>
      <c r="EV44" s="36" t="s">
        <v>139</v>
      </c>
      <c r="EW44" s="36" t="s">
        <v>139</v>
      </c>
      <c r="EX44" s="36" t="s">
        <v>139</v>
      </c>
      <c r="EY44" s="36" t="s">
        <v>139</v>
      </c>
      <c r="EZ44" s="36" t="s">
        <v>139</v>
      </c>
      <c r="FA44" s="36" t="s">
        <v>139</v>
      </c>
      <c r="FB44" s="36" t="s">
        <v>139</v>
      </c>
      <c r="FC44" s="36" t="s">
        <v>139</v>
      </c>
      <c r="FD44" s="36" t="s">
        <v>139</v>
      </c>
      <c r="FE44" s="36" t="s">
        <v>139</v>
      </c>
      <c r="FF44" s="36" t="s">
        <v>139</v>
      </c>
      <c r="FG44" s="36" t="s">
        <v>139</v>
      </c>
      <c r="FH44" s="36" t="s">
        <v>139</v>
      </c>
      <c r="FI44" s="36" t="s">
        <v>139</v>
      </c>
      <c r="FJ44" s="36" t="s">
        <v>139</v>
      </c>
      <c r="FK44" s="36" t="s">
        <v>139</v>
      </c>
      <c r="FL44" s="36" t="s">
        <v>139</v>
      </c>
      <c r="FM44" s="36" t="s">
        <v>139</v>
      </c>
      <c r="FN44" s="36" t="s">
        <v>139</v>
      </c>
      <c r="FO44" s="36" t="s">
        <v>139</v>
      </c>
      <c r="FP44" s="36" t="s">
        <v>139</v>
      </c>
      <c r="FQ44" s="36" t="s">
        <v>139</v>
      </c>
      <c r="FR44" s="36" t="s">
        <v>139</v>
      </c>
      <c r="FS44" s="36" t="s">
        <v>139</v>
      </c>
      <c r="FT44" s="36" t="s">
        <v>139</v>
      </c>
      <c r="FU44" s="36" t="s">
        <v>139</v>
      </c>
      <c r="FV44" s="36" t="s">
        <v>139</v>
      </c>
      <c r="FW44" s="36" t="s">
        <v>139</v>
      </c>
      <c r="FX44" s="36" t="s">
        <v>139</v>
      </c>
      <c r="FY44" s="36" t="s">
        <v>139</v>
      </c>
      <c r="FZ44" s="36" t="s">
        <v>139</v>
      </c>
      <c r="GA44" s="36" t="s">
        <v>139</v>
      </c>
      <c r="GB44" s="36" t="s">
        <v>139</v>
      </c>
      <c r="GC44" s="36" t="s">
        <v>139</v>
      </c>
      <c r="GD44" s="36" t="s">
        <v>139</v>
      </c>
      <c r="GE44" s="36" t="s">
        <v>139</v>
      </c>
      <c r="GF44" s="36" t="s">
        <v>139</v>
      </c>
      <c r="GG44" s="36" t="s">
        <v>139</v>
      </c>
      <c r="GH44" s="36" t="s">
        <v>139</v>
      </c>
      <c r="GI44" s="36" t="s">
        <v>139</v>
      </c>
      <c r="GJ44" s="36" t="s">
        <v>139</v>
      </c>
      <c r="GK44" s="36" t="s">
        <v>139</v>
      </c>
      <c r="GL44" s="36" t="s">
        <v>139</v>
      </c>
      <c r="GM44" s="36" t="s">
        <v>139</v>
      </c>
      <c r="GN44" s="36" t="s">
        <v>139</v>
      </c>
      <c r="GO44" s="36" t="s">
        <v>139</v>
      </c>
      <c r="GP44" s="36" t="s">
        <v>139</v>
      </c>
      <c r="GQ44" s="36" t="s">
        <v>139</v>
      </c>
      <c r="GR44" s="36" t="s">
        <v>139</v>
      </c>
      <c r="GS44" s="36" t="s">
        <v>139</v>
      </c>
      <c r="GT44" s="36" t="s">
        <v>139</v>
      </c>
      <c r="GU44" s="36" t="s">
        <v>139</v>
      </c>
      <c r="GV44" s="36" t="s">
        <v>139</v>
      </c>
      <c r="GW44" s="36" t="s">
        <v>139</v>
      </c>
      <c r="GX44" s="36" t="s">
        <v>139</v>
      </c>
      <c r="GY44" s="36" t="s">
        <v>139</v>
      </c>
      <c r="GZ44" s="36" t="s">
        <v>139</v>
      </c>
      <c r="HA44" s="36" t="s">
        <v>139</v>
      </c>
      <c r="HB44" s="36" t="s">
        <v>139</v>
      </c>
      <c r="HC44" s="36" t="s">
        <v>139</v>
      </c>
      <c r="HD44" s="36" t="s">
        <v>139</v>
      </c>
      <c r="HE44" s="36" t="s">
        <v>139</v>
      </c>
      <c r="HF44" s="36" t="s">
        <v>139</v>
      </c>
      <c r="HG44" s="36" t="s">
        <v>139</v>
      </c>
      <c r="HH44" s="36" t="s">
        <v>139</v>
      </c>
      <c r="HI44" s="36" t="s">
        <v>139</v>
      </c>
      <c r="HJ44" s="36" t="s">
        <v>139</v>
      </c>
      <c r="HK44" s="36" t="s">
        <v>139</v>
      </c>
      <c r="HL44" s="36" t="s">
        <v>139</v>
      </c>
      <c r="HM44" s="36" t="s">
        <v>139</v>
      </c>
      <c r="HN44" s="36" t="s">
        <v>139</v>
      </c>
      <c r="HO44" s="36" t="s">
        <v>139</v>
      </c>
      <c r="HP44" s="36" t="s">
        <v>139</v>
      </c>
      <c r="HQ44" s="36" t="s">
        <v>139</v>
      </c>
      <c r="HR44" s="36" t="s">
        <v>139</v>
      </c>
      <c r="HS44" s="36" t="s">
        <v>139</v>
      </c>
      <c r="HT44" s="36" t="s">
        <v>139</v>
      </c>
      <c r="HU44" s="36" t="s">
        <v>139</v>
      </c>
      <c r="HV44" s="36" t="s">
        <v>139</v>
      </c>
      <c r="HW44" s="36" t="s">
        <v>139</v>
      </c>
      <c r="HX44" s="36" t="s">
        <v>139</v>
      </c>
      <c r="HY44" s="36" t="s">
        <v>139</v>
      </c>
      <c r="HZ44" s="36" t="s">
        <v>139</v>
      </c>
      <c r="IA44" s="36" t="s">
        <v>139</v>
      </c>
      <c r="IB44" s="36" t="s">
        <v>139</v>
      </c>
      <c r="IC44" s="36" t="s">
        <v>139</v>
      </c>
      <c r="ID44" s="36" t="s">
        <v>139</v>
      </c>
      <c r="IE44" s="36" t="s">
        <v>139</v>
      </c>
      <c r="IF44" s="36" t="s">
        <v>139</v>
      </c>
      <c r="IG44" s="36" t="s">
        <v>139</v>
      </c>
      <c r="IH44" s="36" t="s">
        <v>139</v>
      </c>
      <c r="II44" s="36" t="s">
        <v>139</v>
      </c>
      <c r="IJ44" s="36" t="s">
        <v>139</v>
      </c>
      <c r="IK44" s="36" t="s">
        <v>139</v>
      </c>
      <c r="IL44" s="36" t="s">
        <v>139</v>
      </c>
      <c r="IM44" s="36" t="s">
        <v>139</v>
      </c>
      <c r="IN44" s="36" t="s">
        <v>139</v>
      </c>
      <c r="IO44" s="36" t="s">
        <v>139</v>
      </c>
      <c r="IP44" s="36" t="s">
        <v>139</v>
      </c>
      <c r="IQ44" s="36" t="s">
        <v>139</v>
      </c>
      <c r="IR44" s="36" t="s">
        <v>139</v>
      </c>
      <c r="IS44" s="36" t="s">
        <v>139</v>
      </c>
      <c r="IT44" s="36" t="s">
        <v>139</v>
      </c>
      <c r="IU44" s="36" t="s">
        <v>139</v>
      </c>
      <c r="IV44" s="36" t="s">
        <v>139</v>
      </c>
      <c r="IW44" s="36" t="s">
        <v>139</v>
      </c>
      <c r="IX44" s="36" t="s">
        <v>139</v>
      </c>
      <c r="IY44" s="36" t="s">
        <v>139</v>
      </c>
      <c r="IZ44" s="36" t="s">
        <v>139</v>
      </c>
      <c r="JA44" s="36" t="s">
        <v>139</v>
      </c>
      <c r="JB44" s="36" t="s">
        <v>139</v>
      </c>
      <c r="JC44" s="36" t="s">
        <v>139</v>
      </c>
      <c r="JD44" s="36" t="s">
        <v>139</v>
      </c>
      <c r="JE44" s="36" t="s">
        <v>139</v>
      </c>
      <c r="JF44" s="36" t="s">
        <v>139</v>
      </c>
      <c r="JG44" s="36" t="s">
        <v>139</v>
      </c>
      <c r="JH44" s="36" t="s">
        <v>139</v>
      </c>
      <c r="JI44" s="36" t="s">
        <v>139</v>
      </c>
      <c r="JJ44" s="36" t="s">
        <v>139</v>
      </c>
      <c r="JK44" s="36" t="s">
        <v>139</v>
      </c>
      <c r="JL44" s="36" t="s">
        <v>139</v>
      </c>
      <c r="JM44" s="36" t="s">
        <v>139</v>
      </c>
      <c r="JN44" s="36" t="s">
        <v>139</v>
      </c>
      <c r="JO44" s="36" t="s">
        <v>139</v>
      </c>
      <c r="JP44" s="36" t="s">
        <v>139</v>
      </c>
      <c r="JQ44" s="36" t="s">
        <v>139</v>
      </c>
      <c r="JR44" s="36" t="s">
        <v>139</v>
      </c>
      <c r="JS44" s="36" t="s">
        <v>139</v>
      </c>
      <c r="JT44" s="36" t="s">
        <v>139</v>
      </c>
      <c r="JU44" s="36" t="s">
        <v>139</v>
      </c>
      <c r="JV44" s="36" t="s">
        <v>139</v>
      </c>
      <c r="JW44" s="36" t="s">
        <v>139</v>
      </c>
      <c r="JX44" s="36" t="s">
        <v>139</v>
      </c>
      <c r="JY44" s="36" t="s">
        <v>139</v>
      </c>
      <c r="JZ44" s="36" t="s">
        <v>139</v>
      </c>
      <c r="KA44" s="36" t="s">
        <v>139</v>
      </c>
      <c r="KB44" s="36" t="s">
        <v>139</v>
      </c>
      <c r="KC44" s="36" t="s">
        <v>139</v>
      </c>
      <c r="KD44" s="36" t="s">
        <v>139</v>
      </c>
      <c r="KE44" s="36" t="s">
        <v>139</v>
      </c>
      <c r="KF44" s="36" t="s">
        <v>139</v>
      </c>
      <c r="KG44" s="36" t="s">
        <v>139</v>
      </c>
      <c r="KH44" s="36" t="s">
        <v>139</v>
      </c>
      <c r="KI44" s="36" t="s">
        <v>139</v>
      </c>
      <c r="KJ44" s="36" t="s">
        <v>139</v>
      </c>
      <c r="KK44" s="36" t="s">
        <v>139</v>
      </c>
      <c r="KL44" s="36" t="s">
        <v>139</v>
      </c>
      <c r="KM44" s="36" t="s">
        <v>139</v>
      </c>
      <c r="KN44" s="36" t="s">
        <v>139</v>
      </c>
      <c r="KO44" s="36" t="s">
        <v>139</v>
      </c>
      <c r="KP44" s="36" t="s">
        <v>139</v>
      </c>
      <c r="KQ44" s="36" t="s">
        <v>139</v>
      </c>
      <c r="KR44" s="36" t="s">
        <v>139</v>
      </c>
      <c r="KS44" s="36" t="s">
        <v>139</v>
      </c>
      <c r="KT44" s="36" t="s">
        <v>139</v>
      </c>
      <c r="KU44" s="36" t="s">
        <v>139</v>
      </c>
      <c r="KV44" s="36" t="s">
        <v>139</v>
      </c>
      <c r="KW44" s="36" t="s">
        <v>139</v>
      </c>
      <c r="KX44" s="36" t="s">
        <v>139</v>
      </c>
      <c r="KY44" s="36" t="s">
        <v>139</v>
      </c>
      <c r="KZ44" s="36" t="s">
        <v>139</v>
      </c>
      <c r="LA44" s="36" t="s">
        <v>139</v>
      </c>
      <c r="LB44" s="36" t="s">
        <v>139</v>
      </c>
      <c r="LC44" s="36" t="s">
        <v>139</v>
      </c>
      <c r="LD44" s="36" t="s">
        <v>139</v>
      </c>
      <c r="LE44" s="36" t="s">
        <v>139</v>
      </c>
      <c r="LF44" s="36" t="s">
        <v>139</v>
      </c>
      <c r="LG44" s="36" t="s">
        <v>139</v>
      </c>
      <c r="LH44" s="36" t="s">
        <v>139</v>
      </c>
      <c r="LI44" s="36" t="s">
        <v>139</v>
      </c>
      <c r="LJ44" s="36" t="s">
        <v>139</v>
      </c>
      <c r="LK44" s="36" t="s">
        <v>139</v>
      </c>
      <c r="LL44" s="36" t="s">
        <v>139</v>
      </c>
      <c r="LM44" s="36" t="s">
        <v>139</v>
      </c>
      <c r="LN44" s="36" t="s">
        <v>139</v>
      </c>
      <c r="LO44" s="36" t="s">
        <v>139</v>
      </c>
      <c r="LP44" s="36" t="s">
        <v>139</v>
      </c>
      <c r="LQ44" s="36" t="s">
        <v>139</v>
      </c>
      <c r="LR44" s="36" t="s">
        <v>139</v>
      </c>
      <c r="LS44" s="36" t="s">
        <v>139</v>
      </c>
      <c r="LT44" s="36" t="s">
        <v>139</v>
      </c>
      <c r="LU44" s="36" t="s">
        <v>139</v>
      </c>
      <c r="LV44" s="36" t="s">
        <v>139</v>
      </c>
      <c r="LW44" s="36" t="s">
        <v>139</v>
      </c>
      <c r="LX44" s="36" t="s">
        <v>139</v>
      </c>
      <c r="LY44" s="36" t="s">
        <v>139</v>
      </c>
      <c r="LZ44" s="36" t="s">
        <v>139</v>
      </c>
      <c r="MA44" s="36" t="s">
        <v>139</v>
      </c>
      <c r="MB44" s="36" t="s">
        <v>139</v>
      </c>
      <c r="MC44" s="36" t="s">
        <v>139</v>
      </c>
      <c r="MD44" s="36" t="s">
        <v>139</v>
      </c>
      <c r="ME44" s="36" t="s">
        <v>139</v>
      </c>
      <c r="MF44" s="36" t="s">
        <v>139</v>
      </c>
      <c r="MG44" s="36" t="s">
        <v>139</v>
      </c>
      <c r="MH44" s="36" t="s">
        <v>139</v>
      </c>
      <c r="MI44" s="36" t="s">
        <v>139</v>
      </c>
      <c r="MJ44" s="36" t="s">
        <v>139</v>
      </c>
      <c r="MK44" s="36" t="s">
        <v>139</v>
      </c>
      <c r="ML44" s="36" t="s">
        <v>139</v>
      </c>
      <c r="MM44" s="36" t="s">
        <v>139</v>
      </c>
      <c r="MN44" s="36" t="s">
        <v>139</v>
      </c>
      <c r="MO44" s="36" t="s">
        <v>139</v>
      </c>
      <c r="MP44" s="36" t="s">
        <v>139</v>
      </c>
      <c r="MQ44" s="36" t="s">
        <v>139</v>
      </c>
      <c r="MR44" s="36" t="s">
        <v>139</v>
      </c>
      <c r="MS44" s="36" t="s">
        <v>139</v>
      </c>
      <c r="MT44" s="36" t="s">
        <v>139</v>
      </c>
      <c r="MU44" s="36" t="s">
        <v>139</v>
      </c>
      <c r="MV44" s="36" t="s">
        <v>139</v>
      </c>
      <c r="MW44" s="36" t="s">
        <v>139</v>
      </c>
      <c r="MX44" s="36" t="s">
        <v>139</v>
      </c>
      <c r="MY44" s="36" t="s">
        <v>139</v>
      </c>
      <c r="MZ44" s="36" t="s">
        <v>139</v>
      </c>
      <c r="NA44" s="36" t="s">
        <v>139</v>
      </c>
      <c r="NB44" s="36" t="s">
        <v>139</v>
      </c>
      <c r="NC44" s="36" t="s">
        <v>139</v>
      </c>
      <c r="ND44" s="36" t="s">
        <v>139</v>
      </c>
      <c r="NE44" s="36" t="s">
        <v>139</v>
      </c>
      <c r="NF44" s="36" t="s">
        <v>139</v>
      </c>
      <c r="NG44" s="36" t="s">
        <v>139</v>
      </c>
      <c r="NH44" s="36" t="s">
        <v>139</v>
      </c>
      <c r="NI44" s="36" t="s">
        <v>139</v>
      </c>
      <c r="NJ44" s="36" t="s">
        <v>139</v>
      </c>
      <c r="NK44" s="36" t="s">
        <v>139</v>
      </c>
      <c r="NL44" s="36" t="s">
        <v>139</v>
      </c>
      <c r="NM44" s="36" t="s">
        <v>139</v>
      </c>
      <c r="NN44" s="36" t="s">
        <v>139</v>
      </c>
      <c r="NO44" s="36" t="s">
        <v>139</v>
      </c>
      <c r="NP44" s="36" t="s">
        <v>139</v>
      </c>
      <c r="NQ44" s="36" t="s">
        <v>139</v>
      </c>
      <c r="NR44" s="36" t="s">
        <v>139</v>
      </c>
      <c r="NS44" s="36" t="s">
        <v>139</v>
      </c>
      <c r="NT44" s="36" t="s">
        <v>139</v>
      </c>
      <c r="NU44" s="36" t="s">
        <v>139</v>
      </c>
      <c r="NV44" s="36" t="s">
        <v>139</v>
      </c>
      <c r="NW44" s="36" t="s">
        <v>139</v>
      </c>
      <c r="NX44" s="36" t="s">
        <v>139</v>
      </c>
      <c r="NY44" s="36" t="s">
        <v>139</v>
      </c>
      <c r="NZ44" s="36" t="s">
        <v>139</v>
      </c>
      <c r="OA44" s="36" t="s">
        <v>139</v>
      </c>
      <c r="OB44" s="36" t="s">
        <v>139</v>
      </c>
      <c r="OC44" s="36" t="s">
        <v>139</v>
      </c>
      <c r="OD44" s="36" t="s">
        <v>139</v>
      </c>
      <c r="OE44" s="36" t="s">
        <v>139</v>
      </c>
      <c r="OF44" s="36" t="s">
        <v>139</v>
      </c>
      <c r="OG44" s="36" t="s">
        <v>139</v>
      </c>
      <c r="OH44" s="36" t="s">
        <v>139</v>
      </c>
      <c r="OI44" s="36" t="s">
        <v>139</v>
      </c>
      <c r="OJ44" s="36" t="s">
        <v>139</v>
      </c>
      <c r="OK44" s="36" t="s">
        <v>139</v>
      </c>
      <c r="OL44" s="36" t="s">
        <v>139</v>
      </c>
      <c r="OM44" s="36" t="s">
        <v>139</v>
      </c>
      <c r="ON44" s="36" t="s">
        <v>139</v>
      </c>
      <c r="OO44" s="36" t="s">
        <v>139</v>
      </c>
      <c r="OP44" s="36" t="s">
        <v>139</v>
      </c>
      <c r="OQ44" s="36" t="s">
        <v>139</v>
      </c>
      <c r="OR44" s="36" t="s">
        <v>139</v>
      </c>
      <c r="OS44" s="36" t="s">
        <v>139</v>
      </c>
      <c r="OT44" s="36" t="s">
        <v>139</v>
      </c>
      <c r="OU44" s="36" t="s">
        <v>139</v>
      </c>
      <c r="OV44" s="36" t="s">
        <v>139</v>
      </c>
      <c r="OW44" s="36" t="s">
        <v>139</v>
      </c>
      <c r="OX44" s="36" t="s">
        <v>139</v>
      </c>
      <c r="OY44" s="36" t="s">
        <v>139</v>
      </c>
      <c r="OZ44" s="36" t="s">
        <v>139</v>
      </c>
      <c r="PA44" s="36" t="s">
        <v>139</v>
      </c>
      <c r="PB44" s="36" t="s">
        <v>139</v>
      </c>
      <c r="PC44" s="36" t="s">
        <v>139</v>
      </c>
      <c r="PD44" s="36" t="s">
        <v>139</v>
      </c>
      <c r="PE44" s="36" t="s">
        <v>139</v>
      </c>
      <c r="PF44" s="36" t="s">
        <v>139</v>
      </c>
      <c r="PG44" s="36" t="s">
        <v>139</v>
      </c>
      <c r="PH44" s="36" t="s">
        <v>139</v>
      </c>
      <c r="PI44" s="36" t="s">
        <v>139</v>
      </c>
      <c r="PJ44" s="36" t="s">
        <v>139</v>
      </c>
      <c r="PK44" s="36" t="s">
        <v>139</v>
      </c>
      <c r="PL44" s="36" t="s">
        <v>139</v>
      </c>
      <c r="PM44" s="36" t="s">
        <v>139</v>
      </c>
      <c r="PN44" s="36" t="s">
        <v>139</v>
      </c>
      <c r="PO44" s="74">
        <f>COUNTIFS($C$27:$PN$27,("&lt;"&amp;$B$3),$C$27:$PN$27,("&gt;="&amp;$B$2),$C44:$PN44,TabAsistencias[[#Headers],[1]])</f>
        <v>30</v>
      </c>
      <c r="PP44" s="74">
        <f>COUNTIFS($C$27:$PN$27,("&lt;"&amp;$B$3),$C$27:$PN$27,("&gt;="&amp;$B$2),$C44:$PN44,TabAsistencias[[#Headers],[E]])</f>
        <v>0</v>
      </c>
      <c r="PQ44" s="74">
        <f>COUNTIFS($C$27:$PN$27,("&lt;"&amp;$B$3),$C$27:$PN$27,("&gt;="&amp;$B$2),$C44:$PN44,TabAsistencias[[#Headers],[DE]])</f>
        <v>0</v>
      </c>
      <c r="PR44" s="74">
        <f>COUNTIFS($C$27:$PN$27,("&lt;"&amp;$B$3),$C$27:$PN$27,("&gt;="&amp;$B$2),$C44:$PN44,TabAsistencias[[#Headers],[V]])</f>
        <v>0</v>
      </c>
      <c r="PS44" s="74">
        <f>COUNTIFS($C$27:$PN$27,("&lt;"&amp;$B$3),$C$27:$PN$27,("&gt;="&amp;$B$2),$C44:$PN44,TabAsistencias[[#Headers],[DO]])</f>
        <v>0</v>
      </c>
      <c r="PT44" s="74">
        <f>COUNTIFS($C$27:$PN$27,("&lt;"&amp;$B$3),$C$27:$PN$27,("&gt;="&amp;$B$2),$C44:$PN44,TabAsistencias[[#Headers],[P]])</f>
        <v>0</v>
      </c>
      <c r="PU44" s="74">
        <f>COUNTIFS($C$27:$PN$27,("&lt;"&amp;$B$3),$C$27:$PN$27,("&gt;="&amp;$B$2),$C44:$PN44,TabAsistencias[[#Headers],[F]])</f>
        <v>0</v>
      </c>
      <c r="PV44" s="74">
        <f>COUNTIFS($C$27:$PN$27,("&lt;"&amp;$B$3),$C$27:$PN$27,("&gt;="&amp;$B$2),$C44:$PN44,TabAsistencias[[#Headers],[R]])</f>
        <v>0</v>
      </c>
      <c r="PW44" s="74">
        <f>COUNTIFS($C$27:$PN$27,("&lt;"&amp;$B$3),$C$27:$PN$27,("&gt;="&amp;$B$2),$C44:$PN44,TabAsistencias[[#Headers],[PP]])</f>
        <v>0</v>
      </c>
      <c r="PX44" s="74">
        <f>COUNTIFS($C$27:$PN$27,("&lt;"&amp;$B$3),$C$27:$PN$27,("&gt;="&amp;$B$2),$C44:$PN44,TabAsistencias[[#Headers],[0]])</f>
        <v>0</v>
      </c>
      <c r="PY44" s="74">
        <f>COUNTIFS($C$27:$PN$27,("&lt;"&amp;$B$3),$C$27:$PN$27,("&gt;="&amp;$B$2),$C44:$PN44,TabAsistencias[[#Headers],[IG]])</f>
        <v>0</v>
      </c>
      <c r="PZ44" s="74">
        <f>COUNTIFS($C$27:$PN$27,("&lt;"&amp;$B$3),$C$27:$PN$27,("&gt;="&amp;$B$2),$C44:$PN44,TabAsistencias[[#Headers],[NA]])</f>
        <v>0</v>
      </c>
      <c r="QA44" s="74">
        <f>COUNTIFS($C$27:$PN$27,("&lt;"&amp;$B$3),$C$27:$PN$27,("&gt;="&amp;$B$2),$C44:$PN44,TabAsistencias[[#Headers],[DF]])</f>
        <v>0</v>
      </c>
      <c r="QB44" s="74">
        <f>COUNTIFS($C$27:$PN$27,("&lt;"&amp;$B$3),$C$27:$PN$27,("&gt;="&amp;$B$2),$C44:$PN44,TabAsistencias[[#Headers],[3]])</f>
        <v>0</v>
      </c>
      <c r="QC44" s="74">
        <f>COUNTIFS($C$27:$PN$27,("&lt;"&amp;$B$3),$C$27:$PN$27,("&gt;="&amp;$B$2),$C44:$PN44,TabAsistencias[[#Headers],[CP]])</f>
        <v>0</v>
      </c>
      <c r="QD44" s="74">
        <f>COUNTIFS($C$27:$PN$27,("&lt;"&amp;$B$3),$C$27:$PN$27,("&gt;="&amp;$B$2),$C44:$PN44,TabAsistencias[[#Headers],[I]])</f>
        <v>0</v>
      </c>
      <c r="QE44" s="74">
        <f>COUNTIFS($C$27:$PN$27,("&lt;"&amp;$B$3),$C$27:$PN$27,("&gt;="&amp;$B$2),$C44:$PN44,TabAsistencias[[#Headers],[T/2]])</f>
        <v>0</v>
      </c>
      <c r="QF44" s="74">
        <f>COUNTIFS($C$27:$PN$27,("&lt;"&amp;$B$3),$C$27:$PN$27,("&gt;="&amp;$B$2),$C44:$PN44,TabAsistencias[[#Headers],[ME]])</f>
        <v>0</v>
      </c>
      <c r="QG44" s="74">
        <f>COUNTIFS($C$27:$PN$27,("&lt;"&amp;$B$3),$C$27:$PN$27,("&gt;="&amp;$B$2),$C44:$PN44,TabAsistencias[[#Headers],[DP]])</f>
        <v>0</v>
      </c>
      <c r="QH44" s="74">
        <f>COUNTIFS($C$27:$PN$27,("&lt;"&amp;$B$3),$C$27:$PN$27,("&gt;="&amp;$B$2),$C44:$PN44,TabAsistencias[[#Headers],[B]])</f>
        <v>0</v>
      </c>
      <c r="QI44" s="74">
        <f>(TabAsistencias[[#This Row],[1]]*'Tablas de informacion'!$C$124)+(TabAsistencias[[#This Row],[E]]*'Tablas de informacion'!$C$125)+(TabAsistencias[[#This Row],[DE]]*'Tablas de informacion'!C$126)+(TabAsistencias[[#This Row],[V]]*'Tablas de informacion'!C$127)+(TabAsistencias[[#This Row],[DO]]*'Tablas de informacion'!C$128)+(TabAsistencias[[#This Row],[P]]*'Tablas de informacion'!C$129)+(TabAsistencias[[#This Row],[F]]*'Tablas de informacion'!C$130)+(TabAsistencias[[#This Row],[R]]*'Tablas de informacion'!C$131)+(TabAsistencias[[#This Row],[PP]]*'Tablas de informacion'!C$132)+(TabAsistencias[[#This Row],[0]]*'Tablas de informacion'!C$133)+(TabAsistencias[[#This Row],[IG]]*'Tablas de informacion'!C$134)+(TabAsistencias[[#This Row],[NA]]*'Tablas de informacion'!C$135)+(TabAsistencias[[#This Row],[DF]]*'Tablas de informacion'!C$136)+(TabAsistencias[[#This Row],[3]]*'Tablas de informacion'!C$137)+(TabAsistencias[[#This Row],[CP]]*'Tablas de informacion'!C$138)+(TabAsistencias[[#This Row],[I]]*'Tablas de informacion'!C$139)+(TabAsistencias[[#This Row],[T/2]]*'Tablas de informacion'!C$140)+(TabAsistencias[[#This Row],[ME]]*'Tablas de informacion'!C$141)+(TabAsistencias[[#This Row],[DP]]*'Tablas de informacion'!C$142)+(TabAsistencias[[#This Row],[B]]*'Tablas de informacion'!C$143)-INT(TabAsistencias[[#This Row],[R]]/3)</f>
        <v>30</v>
      </c>
      <c r="QJ44" s="74">
        <f>COUNTIFS($C$27:$PN$27,("&lt;"&amp;$B$3),$C$27:$PN$27,("&gt;="&amp;$B$2),$C$28:$PN$28,1,$C44:$PN44,TabAsistencias[[#Headers],[1]])+
COUNTIFS($C$27:$PN$27,("&lt;"&amp;$B$3),$C$27:$PN$27,("&gt;="&amp;$B$2),$C$28:$PN$28,1,$C44:$PN44,TabAsistencias[[#Headers],[DO]])+
COUNTIFS($C$27:$PN$27,("&lt;"&amp;$B$3),$C$27:$PN$27,("&gt;="&amp;$B$2),$C$28:$PN$28,1,$C44:$PN44,TabAsistencias[[#Headers],[R]])+
COUNTIFS($C$27:$PN$27,("&lt;"&amp;$B$3),$C$27:$PN$27,("&gt;="&amp;$B$2),$C$28:$PN$28,1,$C44:$PN44,TabAsistencias[[#Headers],[NA]])+
COUNTIFS($C$27:$PN$27,("&lt;"&amp;$B$3),$C$27:$PN$27,("&gt;="&amp;$B$2),$C$28:$PN$28,1,$C44:$PN44,TabAsistencias[[#Headers],[DF]])+
COUNTIFS($C$27:$PN$27,("&lt;"&amp;$B$3),$C$27:$PN$27,("&gt;="&amp;$B$2),$C$28:$PN$28,1,$C44:$PN44,TabAsistencias[[#Headers],[3]])+
COUNTIFS($C$27:$PN$27,("&lt;"&amp;$B$3),$C$27:$PN$27,("&gt;="&amp;$B$2),$C$28:$PN$28,1,$C44:$PN44,TabAsistencias[[#Headers],[CP]])+
COUNTIFS($C$27:$PN$27,("&lt;"&amp;$B$3),$C$27:$PN$27,("&gt;="&amp;$B$2),$C$28:$PN$28,1,$C44:$PN44,TabAsistencias[[#Headers],[T/2]])</f>
        <v>4</v>
      </c>
      <c r="QK44" s="315" cm="1">
        <f t="array" ref="QK44">IFERROR(VLOOKUP(
DATEDIF((VLOOKUP(TabAsistencias[[#This Row],[ID]],TabEmpleados[],COLUMN(TabEmpleados[Fecha de ingreso]),FALSE)),Asistencias!$B$3,"Y"),
TabFactorIntegracion[],COLUMN(TabFactorIntegracion[Días vacacionales
establecidos por ley]),FALSE),0)
-
COUNTIF($AH44:$PN44,TabAsistencias[[#Headers],[V]])</f>
        <v>12</v>
      </c>
      <c r="QL44" s="319">
        <f>SUM(TabAsistencias[[#This Row],[''1]],TabAsistencias[[#This Row],[''DE]],TabAsistencias[[#This Row],[''DO]],TabAsistencias[[#This Row],[''R]],TabAsistencias[[#This Row],[''NA]],TabAsistencias[[#This Row],[''DF]],TabAsistencias[[#This Row],[''3]],TabAsistencias[[#This Row],[''CP]],TabAsistencias[[#This Row],[''T/2]],TabAsistencias[[#This Row],[''DP]])</f>
        <v>73</v>
      </c>
      <c r="QM44" s="314">
        <f>COUNTIFS($C$27:$PN$27,("&lt;"&amp;$B$5),$C$27:$PN$27,("&gt;="&amp;$B$4),$C44:$PN44,TabAsistencias[[#Headers],[1]])</f>
        <v>73</v>
      </c>
      <c r="QN44" s="314">
        <f>COUNTIFS($C$27:$PN$27,("&lt;"&amp;$B$5),$C$27:$PN$27,("&gt;="&amp;$B$4),$C44:$PN44,TabAsistencias[[#Headers],[DE]])</f>
        <v>0</v>
      </c>
      <c r="QO44" s="314">
        <f>COUNTIFS($C$27:$PN$27,("&lt;"&amp;$B$5),$C$27:$PN$27,("&gt;="&amp;$B$4),$C44:$PN44,TabAsistencias[[#Headers],[V]])</f>
        <v>0</v>
      </c>
      <c r="QP44" s="314">
        <f>COUNTIFS($C$27:$PN$27,("&lt;"&amp;$B$5),$C$27:$PN$27,("&gt;="&amp;$B$4),$C44:$PN44,TabAsistencias[[#Headers],[DO]])</f>
        <v>0</v>
      </c>
      <c r="QQ44" s="314">
        <f>COUNTIFS($C$27:$PN$27,("&lt;"&amp;$B$5),$C$27:$PN$27,("&gt;="&amp;$B$4),$C44:$PN44,TabAsistencias[[#Headers],[P]])</f>
        <v>0</v>
      </c>
      <c r="QR44" s="314">
        <f>COUNTIFS($C$27:$PN$27,("&lt;"&amp;$B$5),$C$27:$PN$27,("&gt;="&amp;$B$4),$C44:$PN44,TabAsistencias[[#Headers],[F]])</f>
        <v>0</v>
      </c>
      <c r="QS44" s="314">
        <f>COUNTIFS($C$27:$PN$27,("&lt;"&amp;$B$5),$C$27:$PN$27,("&gt;="&amp;$B$4),$C44:$PN44,TabAsistencias[[#Headers],[R]])</f>
        <v>0</v>
      </c>
      <c r="QT44" s="314">
        <f>COUNTIFS($C$27:$PN$27,("&lt;"&amp;$B$5),$C$27:$PN$27,("&gt;="&amp;$B$4),$C44:$PN44,TabAsistencias[[#Headers],[PP]])</f>
        <v>0</v>
      </c>
      <c r="QU44" s="314">
        <f>COUNTIFS($C$27:$PN$27,("&lt;"&amp;$B$5),$C$27:$PN$27,("&gt;="&amp;$B$4),$C44:$PN44,TabAsistencias[[#Headers],[0]])</f>
        <v>0</v>
      </c>
      <c r="QV44" s="314">
        <f>COUNTIFS($C$27:$PN$27,("&lt;"&amp;$B$5),$C$27:$PN$27,("&gt;="&amp;$B$4),$C44:$PN44,TabAsistencias[[#Headers],[IG]])</f>
        <v>0</v>
      </c>
      <c r="QW44" s="314">
        <f>COUNTIFS($C$27:$PN$27,("&lt;"&amp;$B$5),$C$27:$PN$27,("&gt;="&amp;$B$4),$C44:$PN44,TabAsistencias[[#Headers],[NA]])</f>
        <v>0</v>
      </c>
      <c r="QX44" s="314">
        <f>COUNTIFS($C$27:$PN$27,("&lt;"&amp;$B$5),$C$27:$PN$27,("&gt;="&amp;$B$4),$C44:$PN44,TabAsistencias[[#Headers],[DF]])</f>
        <v>0</v>
      </c>
      <c r="QY44" s="314">
        <f>COUNTIFS($C$27:$PN$27,("&lt;"&amp;$B$5),$C$27:$PN$27,("&gt;="&amp;$B$4),$C44:$PN44,TabAsistencias[[#Headers],[3]])</f>
        <v>0</v>
      </c>
      <c r="QZ44" s="314">
        <f>COUNTIFS($C$27:$PN$27,("&lt;"&amp;$B$5),$C$27:$PN$27,("&gt;="&amp;$B$4),$C44:$PN44,TabAsistencias[[#Headers],[CP]])</f>
        <v>0</v>
      </c>
      <c r="RA44" s="314">
        <f>COUNTIFS($C$27:$PN$27,("&lt;"&amp;$B$5),$C$27:$PN$27,("&gt;="&amp;$B$4),$C44:$PN44,TabAsistencias[[#Headers],[I]])</f>
        <v>0</v>
      </c>
      <c r="RB44" s="314">
        <f>COUNTIFS($C$27:$PN$27,("&lt;"&amp;$B$5),$C$27:$PN$27,("&gt;="&amp;$B$4),$C44:$PN44,TabAsistencias[[#Headers],[T/2]])</f>
        <v>0</v>
      </c>
      <c r="RC44" s="314">
        <f>COUNTIFS($C$27:$PN$27,("&lt;"&amp;$B$5),$C$27:$PN$27,("&gt;="&amp;$B$4),$C44:$PN44,TabAsistencias[[#Headers],[ME]])</f>
        <v>0</v>
      </c>
      <c r="RD44" s="314">
        <f>COUNTIFS($C$27:$PN$27,("&lt;"&amp;$B$5),$C$27:$PN$27,("&gt;="&amp;$B$4),$C44:$PN44,TabAsistencias[[#Headers],[DP]])</f>
        <v>0</v>
      </c>
      <c r="RE44" s="314">
        <f>COUNTIFS($C$27:$PN$27,("&lt;"&amp;$B$5),$C$27:$PN$27,("&gt;="&amp;$B$4),$C44:$PN44,TabAsistencias[[#Headers],[B]])</f>
        <v>0</v>
      </c>
      <c r="RF44" s="314">
        <f>COUNTIFS($C$27:$PN$27,("&lt;"&amp;$B$5),$C$27:$PN$27,("&gt;="&amp;$B$4),$C$28:$PN$28,1,$C44:$PN44,TabAsistencias[[#Headers],[1]])+
COUNTIFS($C$27:$PN$27,("&lt;"&amp;$B$5),$C$27:$PN$27,("&gt;="&amp;$B$4),$C$28:$PN$28,1,$C44:$PN44,TabAsistencias[[#Headers],[DO]])+
COUNTIFS($C$27:$PN$27,("&lt;"&amp;$B$5),$C$27:$PN$27,("&gt;="&amp;$B$4),$C$28:$PN$28,1,$C44:$PN44,TabAsistencias[[#Headers],[R]])+
COUNTIFS($C$27:$PN$27,("&lt;"&amp;$B$5),$C$27:$PN$27,("&gt;="&amp;$B$4),$C$28:$PN$28,1,$C44:$PN44,TabAsistencias[[#Headers],[NA]])+
COUNTIFS($C$27:$PN$27,("&lt;"&amp;$B$5),$C$27:$PN$27,("&gt;="&amp;$B$4),$C$28:$PN$28,1,$C44:$PN44,TabAsistencias[[#Headers],[DF]])+
COUNTIFS($C$27:$PN$27,("&lt;"&amp;$B$5),$C$27:$PN$27,("&gt;="&amp;$B$4),$C$28:$PN$28,1,$C44:$PN44,TabAsistencias[[#Headers],[3]])+
COUNTIFS($C$27:$PN$27,("&lt;"&amp;$B$5),$C$27:$PN$27,("&gt;="&amp;$B$4),$C$28:$PN$28,1,$C44:$PN44,TabAsistencias[[#Headers],[CP]])+
COUNTIFS($C$27:$PN$27,("&lt;"&amp;$B$5),$C$27:$PN$27,("&gt;="&amp;$B$4),$C$28:$PN$28,1,$C44:$PN44,TabAsistencias[[#Headers],[T/2]])</f>
        <v>11</v>
      </c>
      <c r="RG44" s="320" cm="1">
        <f t="array" ref="RG44">IFERROR(VLOOKUP(
DATEDIF((VLOOKUP(TabAsistencias[[#This Row],[ID]],TabEmpleados[],COLUMN(TabEmpleados[Fecha de alta NSS]),FALSE)),Asistencias!$B$3,"Y"),
TabFactorIntegracion[],COLUMN(TabFactorIntegracion[Días vacacionales
establecidos por ley]),FALSE),0)
-
COUNTIF($AH44:$PN44,TabAsistencias[[#Headers],[V]])</f>
        <v>12</v>
      </c>
    </row>
    <row r="45" spans="1:475" x14ac:dyDescent="0.25">
      <c r="A45" s="92">
        <f t="shared" si="434"/>
        <v>15</v>
      </c>
      <c r="B45" s="30" t="str" cm="1">
        <f t="array" ref="B45">VLOOKUP(TabAsistencias[[#This Row],[ID]],TabEmpleados[],COLUMN(TabEmpleados[Nombre]),FALSE)</f>
        <v>HERNANDEZ MARTINEZ NORMA ITZEL</v>
      </c>
      <c r="C45" s="36" t="s">
        <v>139</v>
      </c>
      <c r="D45" s="36" t="s">
        <v>139</v>
      </c>
      <c r="E45" s="36" t="s">
        <v>139</v>
      </c>
      <c r="F45" s="36" t="s">
        <v>139</v>
      </c>
      <c r="G45" s="36" t="s">
        <v>139</v>
      </c>
      <c r="H45" s="36" t="s">
        <v>139</v>
      </c>
      <c r="I45" s="36" t="s">
        <v>139</v>
      </c>
      <c r="J45" s="36" t="s">
        <v>139</v>
      </c>
      <c r="K45" s="36" t="s">
        <v>139</v>
      </c>
      <c r="L45" s="36" t="s">
        <v>139</v>
      </c>
      <c r="M45" s="36" t="s">
        <v>139</v>
      </c>
      <c r="N45" s="36" t="s">
        <v>139</v>
      </c>
      <c r="O45" s="36" t="s">
        <v>139</v>
      </c>
      <c r="P45" s="36" t="s">
        <v>139</v>
      </c>
      <c r="Q45" s="36" t="s">
        <v>139</v>
      </c>
      <c r="R45" s="36" t="s">
        <v>139</v>
      </c>
      <c r="S45" s="36" t="s">
        <v>139</v>
      </c>
      <c r="T45" s="36" t="s">
        <v>139</v>
      </c>
      <c r="U45" s="36" t="s">
        <v>139</v>
      </c>
      <c r="V45" s="36" t="s">
        <v>139</v>
      </c>
      <c r="W45" s="36" t="s">
        <v>139</v>
      </c>
      <c r="X45" s="36" t="s">
        <v>139</v>
      </c>
      <c r="Y45" s="36" t="s">
        <v>139</v>
      </c>
      <c r="Z45" s="36" t="s">
        <v>139</v>
      </c>
      <c r="AA45" s="36" t="s">
        <v>139</v>
      </c>
      <c r="AB45" s="36" t="s">
        <v>139</v>
      </c>
      <c r="AC45" s="36" t="s">
        <v>139</v>
      </c>
      <c r="AD45" s="36" t="s">
        <v>139</v>
      </c>
      <c r="AE45" s="36" t="s">
        <v>139</v>
      </c>
      <c r="AF45" s="36" t="s">
        <v>139</v>
      </c>
      <c r="AG45" s="36" t="s">
        <v>139</v>
      </c>
      <c r="AH45" s="36" t="s">
        <v>139</v>
      </c>
      <c r="AI45" s="36" t="s">
        <v>139</v>
      </c>
      <c r="AJ45" s="36" t="s">
        <v>139</v>
      </c>
      <c r="AK45" s="36" t="s">
        <v>139</v>
      </c>
      <c r="AL45" s="36" t="s">
        <v>139</v>
      </c>
      <c r="AM45" s="36" t="s">
        <v>139</v>
      </c>
      <c r="AN45" s="36" t="s">
        <v>139</v>
      </c>
      <c r="AO45" s="36" t="s">
        <v>139</v>
      </c>
      <c r="AP45" s="36" t="s">
        <v>139</v>
      </c>
      <c r="AQ45" s="36" t="s">
        <v>139</v>
      </c>
      <c r="AR45" s="36" t="s">
        <v>139</v>
      </c>
      <c r="AS45" s="36" t="s">
        <v>139</v>
      </c>
      <c r="AT45" s="36" t="s">
        <v>139</v>
      </c>
      <c r="AU45" s="36" t="s">
        <v>139</v>
      </c>
      <c r="AV45" s="36" t="s">
        <v>139</v>
      </c>
      <c r="AW45" s="36" t="s">
        <v>139</v>
      </c>
      <c r="AX45" s="36" t="s">
        <v>139</v>
      </c>
      <c r="AY45" s="36" t="s">
        <v>139</v>
      </c>
      <c r="AZ45" s="36" t="s">
        <v>139</v>
      </c>
      <c r="BA45" s="36" t="s">
        <v>139</v>
      </c>
      <c r="BB45" s="36" t="s">
        <v>139</v>
      </c>
      <c r="BC45" s="36" t="s">
        <v>139</v>
      </c>
      <c r="BD45" s="36" t="s">
        <v>139</v>
      </c>
      <c r="BE45" s="36" t="s">
        <v>139</v>
      </c>
      <c r="BF45" s="36" t="s">
        <v>139</v>
      </c>
      <c r="BG45" s="36" t="s">
        <v>139</v>
      </c>
      <c r="BH45" s="36" t="s">
        <v>139</v>
      </c>
      <c r="BI45" s="36" t="s">
        <v>139</v>
      </c>
      <c r="BJ45" s="36" t="s">
        <v>139</v>
      </c>
      <c r="BK45" s="36" t="s">
        <v>139</v>
      </c>
      <c r="BL45" s="36" t="s">
        <v>139</v>
      </c>
      <c r="BM45" s="36" t="s">
        <v>139</v>
      </c>
      <c r="BN45" s="36" t="s">
        <v>139</v>
      </c>
      <c r="BO45" s="36" t="s">
        <v>139</v>
      </c>
      <c r="BP45" s="36" t="s">
        <v>139</v>
      </c>
      <c r="BQ45" s="36" t="s">
        <v>139</v>
      </c>
      <c r="BR45" s="36" t="s">
        <v>139</v>
      </c>
      <c r="BS45" s="36" t="s">
        <v>139</v>
      </c>
      <c r="BT45" s="36" t="s">
        <v>139</v>
      </c>
      <c r="BU45" s="36" t="s">
        <v>139</v>
      </c>
      <c r="BV45" s="36" t="s">
        <v>139</v>
      </c>
      <c r="BW45" s="36" t="s">
        <v>139</v>
      </c>
      <c r="BX45" s="36" t="s">
        <v>139</v>
      </c>
      <c r="BY45" s="36" t="s">
        <v>139</v>
      </c>
      <c r="BZ45" s="36" t="s">
        <v>139</v>
      </c>
      <c r="CA45" s="36" t="s">
        <v>139</v>
      </c>
      <c r="CB45" s="36" t="s">
        <v>139</v>
      </c>
      <c r="CC45" s="36" t="s">
        <v>139</v>
      </c>
      <c r="CD45" s="36" t="s">
        <v>139</v>
      </c>
      <c r="CE45" s="36" t="s">
        <v>139</v>
      </c>
      <c r="CF45" s="36" t="s">
        <v>139</v>
      </c>
      <c r="CG45" s="36" t="s">
        <v>139</v>
      </c>
      <c r="CH45" s="36" t="s">
        <v>139</v>
      </c>
      <c r="CI45" s="36" t="s">
        <v>139</v>
      </c>
      <c r="CJ45" s="36" t="s">
        <v>139</v>
      </c>
      <c r="CK45" s="36" t="s">
        <v>139</v>
      </c>
      <c r="CL45" s="36" t="s">
        <v>139</v>
      </c>
      <c r="CM45" s="36" t="s">
        <v>139</v>
      </c>
      <c r="CN45" s="36" t="s">
        <v>139</v>
      </c>
      <c r="CO45" s="36" t="s">
        <v>139</v>
      </c>
      <c r="CP45" s="36" t="s">
        <v>139</v>
      </c>
      <c r="CQ45" s="36" t="s">
        <v>139</v>
      </c>
      <c r="CR45" s="36" t="s">
        <v>139</v>
      </c>
      <c r="CS45" s="36" t="s">
        <v>139</v>
      </c>
      <c r="CT45" s="36" t="s">
        <v>139</v>
      </c>
      <c r="CU45" s="36" t="s">
        <v>139</v>
      </c>
      <c r="CV45" s="36" t="s">
        <v>139</v>
      </c>
      <c r="CW45" s="36" t="s">
        <v>139</v>
      </c>
      <c r="CX45" s="36" t="s">
        <v>139</v>
      </c>
      <c r="CY45" s="36" t="s">
        <v>139</v>
      </c>
      <c r="CZ45" s="36" t="s">
        <v>139</v>
      </c>
      <c r="DA45" s="36" t="s">
        <v>139</v>
      </c>
      <c r="DB45" s="36" t="s">
        <v>139</v>
      </c>
      <c r="DC45" s="36" t="s">
        <v>139</v>
      </c>
      <c r="DD45" s="36" t="s">
        <v>139</v>
      </c>
      <c r="DE45" s="36" t="s">
        <v>139</v>
      </c>
      <c r="DF45" s="36" t="s">
        <v>139</v>
      </c>
      <c r="DG45" s="36" t="s">
        <v>139</v>
      </c>
      <c r="DH45" s="36" t="s">
        <v>139</v>
      </c>
      <c r="DI45" s="36" t="s">
        <v>139</v>
      </c>
      <c r="DJ45" s="36" t="s">
        <v>139</v>
      </c>
      <c r="DK45" s="36" t="s">
        <v>139</v>
      </c>
      <c r="DL45" s="36" t="s">
        <v>139</v>
      </c>
      <c r="DM45" s="36" t="s">
        <v>139</v>
      </c>
      <c r="DN45" s="36" t="s">
        <v>139</v>
      </c>
      <c r="DO45" s="36" t="s">
        <v>139</v>
      </c>
      <c r="DP45" s="36" t="s">
        <v>139</v>
      </c>
      <c r="DQ45" s="36" t="s">
        <v>139</v>
      </c>
      <c r="DR45" s="36" t="s">
        <v>139</v>
      </c>
      <c r="DS45" s="36" t="s">
        <v>139</v>
      </c>
      <c r="DT45" s="36" t="s">
        <v>139</v>
      </c>
      <c r="DU45" s="36" t="s">
        <v>139</v>
      </c>
      <c r="DV45" s="36" t="s">
        <v>139</v>
      </c>
      <c r="DW45" s="36" t="s">
        <v>139</v>
      </c>
      <c r="DX45" s="36" t="s">
        <v>139</v>
      </c>
      <c r="DY45" s="36" t="s">
        <v>139</v>
      </c>
      <c r="DZ45" s="36" t="s">
        <v>139</v>
      </c>
      <c r="EA45" s="36" t="s">
        <v>139</v>
      </c>
      <c r="EB45" s="36" t="s">
        <v>139</v>
      </c>
      <c r="EC45" s="36" t="s">
        <v>139</v>
      </c>
      <c r="ED45" s="36" t="s">
        <v>139</v>
      </c>
      <c r="EE45" s="36" t="s">
        <v>139</v>
      </c>
      <c r="EF45" s="36" t="s">
        <v>139</v>
      </c>
      <c r="EG45" s="36" t="s">
        <v>139</v>
      </c>
      <c r="EH45" s="36" t="s">
        <v>139</v>
      </c>
      <c r="EI45" s="36" t="s">
        <v>139</v>
      </c>
      <c r="EJ45" s="36" t="s">
        <v>139</v>
      </c>
      <c r="EK45" s="36" t="s">
        <v>139</v>
      </c>
      <c r="EL45" s="36" t="s">
        <v>139</v>
      </c>
      <c r="EM45" s="36" t="s">
        <v>139</v>
      </c>
      <c r="EN45" s="36" t="s">
        <v>139</v>
      </c>
      <c r="EO45" s="36" t="s">
        <v>139</v>
      </c>
      <c r="EP45" s="36" t="s">
        <v>139</v>
      </c>
      <c r="EQ45" s="36" t="s">
        <v>139</v>
      </c>
      <c r="ER45" s="36" t="s">
        <v>139</v>
      </c>
      <c r="ES45" s="36" t="s">
        <v>139</v>
      </c>
      <c r="ET45" s="36" t="s">
        <v>139</v>
      </c>
      <c r="EU45" s="36" t="s">
        <v>139</v>
      </c>
      <c r="EV45" s="36" t="s">
        <v>139</v>
      </c>
      <c r="EW45" s="36" t="s">
        <v>139</v>
      </c>
      <c r="EX45" s="36" t="s">
        <v>139</v>
      </c>
      <c r="EY45" s="36" t="s">
        <v>139</v>
      </c>
      <c r="EZ45" s="36" t="s">
        <v>139</v>
      </c>
      <c r="FA45" s="36" t="s">
        <v>139</v>
      </c>
      <c r="FB45" s="36" t="s">
        <v>139</v>
      </c>
      <c r="FC45" s="36" t="s">
        <v>139</v>
      </c>
      <c r="FD45" s="36" t="s">
        <v>139</v>
      </c>
      <c r="FE45" s="36" t="s">
        <v>139</v>
      </c>
      <c r="FF45" s="36" t="s">
        <v>139</v>
      </c>
      <c r="FG45" s="36" t="s">
        <v>139</v>
      </c>
      <c r="FH45" s="36" t="s">
        <v>139</v>
      </c>
      <c r="FI45" s="36" t="s">
        <v>139</v>
      </c>
      <c r="FJ45" s="36" t="s">
        <v>139</v>
      </c>
      <c r="FK45" s="36" t="s">
        <v>139</v>
      </c>
      <c r="FL45" s="36" t="s">
        <v>139</v>
      </c>
      <c r="FM45" s="36" t="s">
        <v>139</v>
      </c>
      <c r="FN45" s="36" t="s">
        <v>139</v>
      </c>
      <c r="FO45" s="36" t="s">
        <v>139</v>
      </c>
      <c r="FP45" s="36" t="s">
        <v>139</v>
      </c>
      <c r="FQ45" s="36" t="s">
        <v>139</v>
      </c>
      <c r="FR45" s="36" t="s">
        <v>139</v>
      </c>
      <c r="FS45" s="36" t="s">
        <v>139</v>
      </c>
      <c r="FT45" s="36" t="s">
        <v>139</v>
      </c>
      <c r="FU45" s="36" t="s">
        <v>139</v>
      </c>
      <c r="FV45" s="36" t="s">
        <v>139</v>
      </c>
      <c r="FW45" s="36" t="s">
        <v>139</v>
      </c>
      <c r="FX45" s="36" t="s">
        <v>139</v>
      </c>
      <c r="FY45" s="36" t="s">
        <v>139</v>
      </c>
      <c r="FZ45" s="36" t="s">
        <v>139</v>
      </c>
      <c r="GA45" s="36" t="s">
        <v>139</v>
      </c>
      <c r="GB45" s="36" t="s">
        <v>139</v>
      </c>
      <c r="GC45" s="36" t="s">
        <v>139</v>
      </c>
      <c r="GD45" s="36" t="s">
        <v>139</v>
      </c>
      <c r="GE45" s="36" t="s">
        <v>139</v>
      </c>
      <c r="GF45" s="36" t="s">
        <v>139</v>
      </c>
      <c r="GG45" s="36" t="s">
        <v>139</v>
      </c>
      <c r="GH45" s="36" t="s">
        <v>139</v>
      </c>
      <c r="GI45" s="36" t="s">
        <v>139</v>
      </c>
      <c r="GJ45" s="36" t="s">
        <v>139</v>
      </c>
      <c r="GK45" s="36" t="s">
        <v>139</v>
      </c>
      <c r="GL45" s="36" t="s">
        <v>139</v>
      </c>
      <c r="GM45" s="36" t="s">
        <v>139</v>
      </c>
      <c r="GN45" s="36" t="s">
        <v>139</v>
      </c>
      <c r="GO45" s="36" t="s">
        <v>139</v>
      </c>
      <c r="GP45" s="36" t="s">
        <v>139</v>
      </c>
      <c r="GQ45" s="36" t="s">
        <v>139</v>
      </c>
      <c r="GR45" s="36" t="s">
        <v>139</v>
      </c>
      <c r="GS45" s="36" t="s">
        <v>139</v>
      </c>
      <c r="GT45" s="36" t="s">
        <v>139</v>
      </c>
      <c r="GU45" s="36" t="s">
        <v>139</v>
      </c>
      <c r="GV45" s="36" t="s">
        <v>139</v>
      </c>
      <c r="GW45" s="36" t="s">
        <v>139</v>
      </c>
      <c r="GX45" s="36" t="s">
        <v>139</v>
      </c>
      <c r="GY45" s="36" t="s">
        <v>139</v>
      </c>
      <c r="GZ45" s="36" t="s">
        <v>139</v>
      </c>
      <c r="HA45" s="36" t="s">
        <v>139</v>
      </c>
      <c r="HB45" s="36" t="s">
        <v>139</v>
      </c>
      <c r="HC45" s="36" t="s">
        <v>139</v>
      </c>
      <c r="HD45" s="36" t="s">
        <v>139</v>
      </c>
      <c r="HE45" s="36" t="s">
        <v>139</v>
      </c>
      <c r="HF45" s="36" t="s">
        <v>139</v>
      </c>
      <c r="HG45" s="36" t="s">
        <v>139</v>
      </c>
      <c r="HH45" s="36" t="s">
        <v>139</v>
      </c>
      <c r="HI45" s="36" t="s">
        <v>139</v>
      </c>
      <c r="HJ45" s="36" t="s">
        <v>139</v>
      </c>
      <c r="HK45" s="36" t="s">
        <v>139</v>
      </c>
      <c r="HL45" s="36" t="s">
        <v>139</v>
      </c>
      <c r="HM45" s="36" t="s">
        <v>139</v>
      </c>
      <c r="HN45" s="36" t="s">
        <v>139</v>
      </c>
      <c r="HO45" s="36" t="s">
        <v>139</v>
      </c>
      <c r="HP45" s="36" t="s">
        <v>139</v>
      </c>
      <c r="HQ45" s="36" t="s">
        <v>139</v>
      </c>
      <c r="HR45" s="36" t="s">
        <v>139</v>
      </c>
      <c r="HS45" s="36" t="s">
        <v>139</v>
      </c>
      <c r="HT45" s="36" t="s">
        <v>139</v>
      </c>
      <c r="HU45" s="36" t="s">
        <v>139</v>
      </c>
      <c r="HV45" s="36" t="s">
        <v>139</v>
      </c>
      <c r="HW45" s="36" t="s">
        <v>139</v>
      </c>
      <c r="HX45" s="36" t="s">
        <v>139</v>
      </c>
      <c r="HY45" s="36" t="s">
        <v>139</v>
      </c>
      <c r="HZ45" s="36" t="s">
        <v>139</v>
      </c>
      <c r="IA45" s="36" t="s">
        <v>139</v>
      </c>
      <c r="IB45" s="36" t="s">
        <v>139</v>
      </c>
      <c r="IC45" s="36" t="s">
        <v>139</v>
      </c>
      <c r="ID45" s="36" t="s">
        <v>139</v>
      </c>
      <c r="IE45" s="36" t="s">
        <v>139</v>
      </c>
      <c r="IF45" s="36" t="s">
        <v>139</v>
      </c>
      <c r="IG45" s="36" t="s">
        <v>139</v>
      </c>
      <c r="IH45" s="36" t="s">
        <v>139</v>
      </c>
      <c r="II45" s="36" t="s">
        <v>139</v>
      </c>
      <c r="IJ45" s="36" t="s">
        <v>139</v>
      </c>
      <c r="IK45" s="36" t="s">
        <v>139</v>
      </c>
      <c r="IL45" s="36" t="s">
        <v>139</v>
      </c>
      <c r="IM45" s="36" t="s">
        <v>139</v>
      </c>
      <c r="IN45" s="36" t="s">
        <v>139</v>
      </c>
      <c r="IO45" s="36" t="s">
        <v>139</v>
      </c>
      <c r="IP45" s="36" t="s">
        <v>139</v>
      </c>
      <c r="IQ45" s="36" t="s">
        <v>139</v>
      </c>
      <c r="IR45" s="36" t="s">
        <v>139</v>
      </c>
      <c r="IS45" s="36" t="s">
        <v>139</v>
      </c>
      <c r="IT45" s="36" t="s">
        <v>139</v>
      </c>
      <c r="IU45" s="36" t="s">
        <v>139</v>
      </c>
      <c r="IV45" s="36" t="s">
        <v>139</v>
      </c>
      <c r="IW45" s="36" t="s">
        <v>139</v>
      </c>
      <c r="IX45" s="36" t="s">
        <v>139</v>
      </c>
      <c r="IY45" s="36" t="s">
        <v>139</v>
      </c>
      <c r="IZ45" s="36" t="s">
        <v>139</v>
      </c>
      <c r="JA45" s="36" t="s">
        <v>139</v>
      </c>
      <c r="JB45" s="36" t="s">
        <v>139</v>
      </c>
      <c r="JC45" s="36" t="s">
        <v>139</v>
      </c>
      <c r="JD45" s="36" t="s">
        <v>139</v>
      </c>
      <c r="JE45" s="36" t="s">
        <v>139</v>
      </c>
      <c r="JF45" s="36" t="s">
        <v>139</v>
      </c>
      <c r="JG45" s="36" t="s">
        <v>139</v>
      </c>
      <c r="JH45" s="36" t="s">
        <v>139</v>
      </c>
      <c r="JI45" s="36" t="s">
        <v>139</v>
      </c>
      <c r="JJ45" s="36" t="s">
        <v>139</v>
      </c>
      <c r="JK45" s="36" t="s">
        <v>139</v>
      </c>
      <c r="JL45" s="36" t="s">
        <v>139</v>
      </c>
      <c r="JM45" s="36" t="s">
        <v>139</v>
      </c>
      <c r="JN45" s="36" t="s">
        <v>139</v>
      </c>
      <c r="JO45" s="36" t="s">
        <v>139</v>
      </c>
      <c r="JP45" s="36" t="s">
        <v>139</v>
      </c>
      <c r="JQ45" s="36" t="s">
        <v>139</v>
      </c>
      <c r="JR45" s="36" t="s">
        <v>139</v>
      </c>
      <c r="JS45" s="36" t="s">
        <v>139</v>
      </c>
      <c r="JT45" s="36" t="s">
        <v>139</v>
      </c>
      <c r="JU45" s="36" t="s">
        <v>139</v>
      </c>
      <c r="JV45" s="36" t="s">
        <v>139</v>
      </c>
      <c r="JW45" s="36" t="s">
        <v>139</v>
      </c>
      <c r="JX45" s="36" t="s">
        <v>139</v>
      </c>
      <c r="JY45" s="36" t="s">
        <v>139</v>
      </c>
      <c r="JZ45" s="36" t="s">
        <v>139</v>
      </c>
      <c r="KA45" s="36" t="s">
        <v>139</v>
      </c>
      <c r="KB45" s="36" t="s">
        <v>139</v>
      </c>
      <c r="KC45" s="36" t="s">
        <v>139</v>
      </c>
      <c r="KD45" s="36" t="s">
        <v>139</v>
      </c>
      <c r="KE45" s="36" t="s">
        <v>139</v>
      </c>
      <c r="KF45" s="36" t="s">
        <v>139</v>
      </c>
      <c r="KG45" s="36" t="s">
        <v>139</v>
      </c>
      <c r="KH45" s="36" t="s">
        <v>139</v>
      </c>
      <c r="KI45" s="36" t="s">
        <v>139</v>
      </c>
      <c r="KJ45" s="36" t="s">
        <v>139</v>
      </c>
      <c r="KK45" s="36" t="s">
        <v>139</v>
      </c>
      <c r="KL45" s="36" t="s">
        <v>139</v>
      </c>
      <c r="KM45" s="36" t="s">
        <v>139</v>
      </c>
      <c r="KN45" s="36" t="s">
        <v>139</v>
      </c>
      <c r="KO45" s="36" t="s">
        <v>139</v>
      </c>
      <c r="KP45" s="36" t="s">
        <v>139</v>
      </c>
      <c r="KQ45" s="36" t="s">
        <v>139</v>
      </c>
      <c r="KR45" s="36" t="s">
        <v>139</v>
      </c>
      <c r="KS45" s="36" t="s">
        <v>139</v>
      </c>
      <c r="KT45" s="36" t="s">
        <v>139</v>
      </c>
      <c r="KU45" s="36" t="s">
        <v>139</v>
      </c>
      <c r="KV45" s="36" t="s">
        <v>139</v>
      </c>
      <c r="KW45" s="36" t="s">
        <v>139</v>
      </c>
      <c r="KX45" s="36" t="s">
        <v>139</v>
      </c>
      <c r="KY45" s="36" t="s">
        <v>139</v>
      </c>
      <c r="KZ45" s="36" t="s">
        <v>139</v>
      </c>
      <c r="LA45" s="36" t="s">
        <v>139</v>
      </c>
      <c r="LB45" s="36" t="s">
        <v>139</v>
      </c>
      <c r="LC45" s="36" t="s">
        <v>139</v>
      </c>
      <c r="LD45" s="36" t="s">
        <v>139</v>
      </c>
      <c r="LE45" s="36" t="s">
        <v>139</v>
      </c>
      <c r="LF45" s="36" t="s">
        <v>139</v>
      </c>
      <c r="LG45" s="36" t="s">
        <v>139</v>
      </c>
      <c r="LH45" s="36" t="s">
        <v>139</v>
      </c>
      <c r="LI45" s="36" t="s">
        <v>139</v>
      </c>
      <c r="LJ45" s="36" t="s">
        <v>139</v>
      </c>
      <c r="LK45" s="36" t="s">
        <v>139</v>
      </c>
      <c r="LL45" s="36" t="s">
        <v>139</v>
      </c>
      <c r="LM45" s="36" t="s">
        <v>139</v>
      </c>
      <c r="LN45" s="36" t="s">
        <v>139</v>
      </c>
      <c r="LO45" s="36" t="s">
        <v>139</v>
      </c>
      <c r="LP45" s="36" t="s">
        <v>139</v>
      </c>
      <c r="LQ45" s="36" t="s">
        <v>139</v>
      </c>
      <c r="LR45" s="36" t="s">
        <v>139</v>
      </c>
      <c r="LS45" s="36" t="s">
        <v>139</v>
      </c>
      <c r="LT45" s="36" t="s">
        <v>139</v>
      </c>
      <c r="LU45" s="36" t="s">
        <v>139</v>
      </c>
      <c r="LV45" s="36" t="s">
        <v>139</v>
      </c>
      <c r="LW45" s="36" t="s">
        <v>139</v>
      </c>
      <c r="LX45" s="36" t="s">
        <v>139</v>
      </c>
      <c r="LY45" s="36" t="s">
        <v>139</v>
      </c>
      <c r="LZ45" s="36" t="s">
        <v>139</v>
      </c>
      <c r="MA45" s="36" t="s">
        <v>139</v>
      </c>
      <c r="MB45" s="36" t="s">
        <v>139</v>
      </c>
      <c r="MC45" s="36" t="s">
        <v>139</v>
      </c>
      <c r="MD45" s="36" t="s">
        <v>139</v>
      </c>
      <c r="ME45" s="36" t="s">
        <v>139</v>
      </c>
      <c r="MF45" s="36" t="s">
        <v>139</v>
      </c>
      <c r="MG45" s="36" t="s">
        <v>139</v>
      </c>
      <c r="MH45" s="36" t="s">
        <v>139</v>
      </c>
      <c r="MI45" s="36" t="s">
        <v>139</v>
      </c>
      <c r="MJ45" s="36" t="s">
        <v>139</v>
      </c>
      <c r="MK45" s="36" t="s">
        <v>139</v>
      </c>
      <c r="ML45" s="36" t="s">
        <v>139</v>
      </c>
      <c r="MM45" s="36" t="s">
        <v>139</v>
      </c>
      <c r="MN45" s="36" t="s">
        <v>139</v>
      </c>
      <c r="MO45" s="36" t="s">
        <v>139</v>
      </c>
      <c r="MP45" s="36" t="s">
        <v>139</v>
      </c>
      <c r="MQ45" s="36" t="s">
        <v>139</v>
      </c>
      <c r="MR45" s="36" t="s">
        <v>139</v>
      </c>
      <c r="MS45" s="36" t="s">
        <v>139</v>
      </c>
      <c r="MT45" s="36" t="s">
        <v>139</v>
      </c>
      <c r="MU45" s="36" t="s">
        <v>139</v>
      </c>
      <c r="MV45" s="36" t="s">
        <v>139</v>
      </c>
      <c r="MW45" s="36" t="s">
        <v>139</v>
      </c>
      <c r="MX45" s="36" t="s">
        <v>139</v>
      </c>
      <c r="MY45" s="36" t="s">
        <v>139</v>
      </c>
      <c r="MZ45" s="36" t="s">
        <v>139</v>
      </c>
      <c r="NA45" s="36" t="s">
        <v>139</v>
      </c>
      <c r="NB45" s="36" t="s">
        <v>139</v>
      </c>
      <c r="NC45" s="36" t="s">
        <v>139</v>
      </c>
      <c r="ND45" s="36" t="s">
        <v>139</v>
      </c>
      <c r="NE45" s="36" t="s">
        <v>139</v>
      </c>
      <c r="NF45" s="36" t="s">
        <v>139</v>
      </c>
      <c r="NG45" s="36" t="s">
        <v>139</v>
      </c>
      <c r="NH45" s="36" t="s">
        <v>139</v>
      </c>
      <c r="NI45" s="36" t="s">
        <v>139</v>
      </c>
      <c r="NJ45" s="36" t="s">
        <v>139</v>
      </c>
      <c r="NK45" s="36" t="s">
        <v>139</v>
      </c>
      <c r="NL45" s="36" t="s">
        <v>139</v>
      </c>
      <c r="NM45" s="36" t="s">
        <v>139</v>
      </c>
      <c r="NN45" s="36" t="s">
        <v>139</v>
      </c>
      <c r="NO45" s="36" t="s">
        <v>139</v>
      </c>
      <c r="NP45" s="36" t="s">
        <v>139</v>
      </c>
      <c r="NQ45" s="36" t="s">
        <v>139</v>
      </c>
      <c r="NR45" s="36" t="s">
        <v>139</v>
      </c>
      <c r="NS45" s="36" t="s">
        <v>139</v>
      </c>
      <c r="NT45" s="36" t="s">
        <v>139</v>
      </c>
      <c r="NU45" s="36" t="s">
        <v>139</v>
      </c>
      <c r="NV45" s="36" t="s">
        <v>139</v>
      </c>
      <c r="NW45" s="36" t="s">
        <v>139</v>
      </c>
      <c r="NX45" s="36" t="s">
        <v>139</v>
      </c>
      <c r="NY45" s="36" t="s">
        <v>139</v>
      </c>
      <c r="NZ45" s="36" t="s">
        <v>139</v>
      </c>
      <c r="OA45" s="36" t="s">
        <v>139</v>
      </c>
      <c r="OB45" s="36" t="s">
        <v>139</v>
      </c>
      <c r="OC45" s="36" t="s">
        <v>139</v>
      </c>
      <c r="OD45" s="36" t="s">
        <v>139</v>
      </c>
      <c r="OE45" s="36" t="s">
        <v>139</v>
      </c>
      <c r="OF45" s="36" t="s">
        <v>139</v>
      </c>
      <c r="OG45" s="36" t="s">
        <v>139</v>
      </c>
      <c r="OH45" s="36" t="s">
        <v>139</v>
      </c>
      <c r="OI45" s="36" t="s">
        <v>139</v>
      </c>
      <c r="OJ45" s="36" t="s">
        <v>139</v>
      </c>
      <c r="OK45" s="36" t="s">
        <v>139</v>
      </c>
      <c r="OL45" s="36" t="s">
        <v>139</v>
      </c>
      <c r="OM45" s="36" t="s">
        <v>139</v>
      </c>
      <c r="ON45" s="36" t="s">
        <v>139</v>
      </c>
      <c r="OO45" s="36" t="s">
        <v>139</v>
      </c>
      <c r="OP45" s="36" t="s">
        <v>139</v>
      </c>
      <c r="OQ45" s="36" t="s">
        <v>139</v>
      </c>
      <c r="OR45" s="36" t="s">
        <v>139</v>
      </c>
      <c r="OS45" s="36" t="s">
        <v>139</v>
      </c>
      <c r="OT45" s="36" t="s">
        <v>139</v>
      </c>
      <c r="OU45" s="36" t="s">
        <v>139</v>
      </c>
      <c r="OV45" s="36" t="s">
        <v>139</v>
      </c>
      <c r="OW45" s="36" t="s">
        <v>139</v>
      </c>
      <c r="OX45" s="36" t="s">
        <v>139</v>
      </c>
      <c r="OY45" s="36" t="s">
        <v>139</v>
      </c>
      <c r="OZ45" s="36" t="s">
        <v>139</v>
      </c>
      <c r="PA45" s="36" t="s">
        <v>139</v>
      </c>
      <c r="PB45" s="36" t="s">
        <v>139</v>
      </c>
      <c r="PC45" s="36" t="s">
        <v>139</v>
      </c>
      <c r="PD45" s="36" t="s">
        <v>139</v>
      </c>
      <c r="PE45" s="36" t="s">
        <v>139</v>
      </c>
      <c r="PF45" s="36" t="s">
        <v>139</v>
      </c>
      <c r="PG45" s="36" t="s">
        <v>139</v>
      </c>
      <c r="PH45" s="36" t="s">
        <v>139</v>
      </c>
      <c r="PI45" s="36" t="s">
        <v>139</v>
      </c>
      <c r="PJ45" s="36" t="s">
        <v>139</v>
      </c>
      <c r="PK45" s="36" t="s">
        <v>139</v>
      </c>
      <c r="PL45" s="36" t="s">
        <v>139</v>
      </c>
      <c r="PM45" s="36" t="s">
        <v>139</v>
      </c>
      <c r="PN45" s="36" t="s">
        <v>139</v>
      </c>
      <c r="PO45" s="74">
        <f>COUNTIFS($C$27:$PN$27,("&lt;"&amp;$B$3),$C$27:$PN$27,("&gt;="&amp;$B$2),$C45:$PN45,TabAsistencias[[#Headers],[1]])</f>
        <v>30</v>
      </c>
      <c r="PP45" s="74">
        <f>COUNTIFS($C$27:$PN$27,("&lt;"&amp;$B$3),$C$27:$PN$27,("&gt;="&amp;$B$2),$C45:$PN45,TabAsistencias[[#Headers],[E]])</f>
        <v>0</v>
      </c>
      <c r="PQ45" s="74">
        <f>COUNTIFS($C$27:$PN$27,("&lt;"&amp;$B$3),$C$27:$PN$27,("&gt;="&amp;$B$2),$C45:$PN45,TabAsistencias[[#Headers],[DE]])</f>
        <v>0</v>
      </c>
      <c r="PR45" s="74">
        <f>COUNTIFS($C$27:$PN$27,("&lt;"&amp;$B$3),$C$27:$PN$27,("&gt;="&amp;$B$2),$C45:$PN45,TabAsistencias[[#Headers],[V]])</f>
        <v>0</v>
      </c>
      <c r="PS45" s="74">
        <f>COUNTIFS($C$27:$PN$27,("&lt;"&amp;$B$3),$C$27:$PN$27,("&gt;="&amp;$B$2),$C45:$PN45,TabAsistencias[[#Headers],[DO]])</f>
        <v>0</v>
      </c>
      <c r="PT45" s="74">
        <f>COUNTIFS($C$27:$PN$27,("&lt;"&amp;$B$3),$C$27:$PN$27,("&gt;="&amp;$B$2),$C45:$PN45,TabAsistencias[[#Headers],[P]])</f>
        <v>0</v>
      </c>
      <c r="PU45" s="74">
        <f>COUNTIFS($C$27:$PN$27,("&lt;"&amp;$B$3),$C$27:$PN$27,("&gt;="&amp;$B$2),$C45:$PN45,TabAsistencias[[#Headers],[F]])</f>
        <v>0</v>
      </c>
      <c r="PV45" s="74">
        <f>COUNTIFS($C$27:$PN$27,("&lt;"&amp;$B$3),$C$27:$PN$27,("&gt;="&amp;$B$2),$C45:$PN45,TabAsistencias[[#Headers],[R]])</f>
        <v>0</v>
      </c>
      <c r="PW45" s="74">
        <f>COUNTIFS($C$27:$PN$27,("&lt;"&amp;$B$3),$C$27:$PN$27,("&gt;="&amp;$B$2),$C45:$PN45,TabAsistencias[[#Headers],[PP]])</f>
        <v>0</v>
      </c>
      <c r="PX45" s="74">
        <f>COUNTIFS($C$27:$PN$27,("&lt;"&amp;$B$3),$C$27:$PN$27,("&gt;="&amp;$B$2),$C45:$PN45,TabAsistencias[[#Headers],[0]])</f>
        <v>0</v>
      </c>
      <c r="PY45" s="74">
        <f>COUNTIFS($C$27:$PN$27,("&lt;"&amp;$B$3),$C$27:$PN$27,("&gt;="&amp;$B$2),$C45:$PN45,TabAsistencias[[#Headers],[IG]])</f>
        <v>0</v>
      </c>
      <c r="PZ45" s="74">
        <f>COUNTIFS($C$27:$PN$27,("&lt;"&amp;$B$3),$C$27:$PN$27,("&gt;="&amp;$B$2),$C45:$PN45,TabAsistencias[[#Headers],[NA]])</f>
        <v>0</v>
      </c>
      <c r="QA45" s="74">
        <f>COUNTIFS($C$27:$PN$27,("&lt;"&amp;$B$3),$C$27:$PN$27,("&gt;="&amp;$B$2),$C45:$PN45,TabAsistencias[[#Headers],[DF]])</f>
        <v>0</v>
      </c>
      <c r="QB45" s="74">
        <f>COUNTIFS($C$27:$PN$27,("&lt;"&amp;$B$3),$C$27:$PN$27,("&gt;="&amp;$B$2),$C45:$PN45,TabAsistencias[[#Headers],[3]])</f>
        <v>0</v>
      </c>
      <c r="QC45" s="74">
        <f>COUNTIFS($C$27:$PN$27,("&lt;"&amp;$B$3),$C$27:$PN$27,("&gt;="&amp;$B$2),$C45:$PN45,TabAsistencias[[#Headers],[CP]])</f>
        <v>0</v>
      </c>
      <c r="QD45" s="74">
        <f>COUNTIFS($C$27:$PN$27,("&lt;"&amp;$B$3),$C$27:$PN$27,("&gt;="&amp;$B$2),$C45:$PN45,TabAsistencias[[#Headers],[I]])</f>
        <v>0</v>
      </c>
      <c r="QE45" s="74">
        <f>COUNTIFS($C$27:$PN$27,("&lt;"&amp;$B$3),$C$27:$PN$27,("&gt;="&amp;$B$2),$C45:$PN45,TabAsistencias[[#Headers],[T/2]])</f>
        <v>0</v>
      </c>
      <c r="QF45" s="74">
        <f>COUNTIFS($C$27:$PN$27,("&lt;"&amp;$B$3),$C$27:$PN$27,("&gt;="&amp;$B$2),$C45:$PN45,TabAsistencias[[#Headers],[ME]])</f>
        <v>0</v>
      </c>
      <c r="QG45" s="74">
        <f>COUNTIFS($C$27:$PN$27,("&lt;"&amp;$B$3),$C$27:$PN$27,("&gt;="&amp;$B$2),$C45:$PN45,TabAsistencias[[#Headers],[DP]])</f>
        <v>0</v>
      </c>
      <c r="QH45" s="74">
        <f>COUNTIFS($C$27:$PN$27,("&lt;"&amp;$B$3),$C$27:$PN$27,("&gt;="&amp;$B$2),$C45:$PN45,TabAsistencias[[#Headers],[B]])</f>
        <v>0</v>
      </c>
      <c r="QI45" s="74">
        <f>(TabAsistencias[[#This Row],[1]]*'Tablas de informacion'!$C$124)+(TabAsistencias[[#This Row],[E]]*'Tablas de informacion'!$C$125)+(TabAsistencias[[#This Row],[DE]]*'Tablas de informacion'!C$126)+(TabAsistencias[[#This Row],[V]]*'Tablas de informacion'!C$127)+(TabAsistencias[[#This Row],[DO]]*'Tablas de informacion'!C$128)+(TabAsistencias[[#This Row],[P]]*'Tablas de informacion'!C$129)+(TabAsistencias[[#This Row],[F]]*'Tablas de informacion'!C$130)+(TabAsistencias[[#This Row],[R]]*'Tablas de informacion'!C$131)+(TabAsistencias[[#This Row],[PP]]*'Tablas de informacion'!C$132)+(TabAsistencias[[#This Row],[0]]*'Tablas de informacion'!C$133)+(TabAsistencias[[#This Row],[IG]]*'Tablas de informacion'!C$134)+(TabAsistencias[[#This Row],[NA]]*'Tablas de informacion'!C$135)+(TabAsistencias[[#This Row],[DF]]*'Tablas de informacion'!C$136)+(TabAsistencias[[#This Row],[3]]*'Tablas de informacion'!C$137)+(TabAsistencias[[#This Row],[CP]]*'Tablas de informacion'!C$138)+(TabAsistencias[[#This Row],[I]]*'Tablas de informacion'!C$139)+(TabAsistencias[[#This Row],[T/2]]*'Tablas de informacion'!C$140)+(TabAsistencias[[#This Row],[ME]]*'Tablas de informacion'!C$141)+(TabAsistencias[[#This Row],[DP]]*'Tablas de informacion'!C$142)+(TabAsistencias[[#This Row],[B]]*'Tablas de informacion'!C$143)-INT(TabAsistencias[[#This Row],[R]]/3)</f>
        <v>30</v>
      </c>
      <c r="QJ45" s="74">
        <f>COUNTIFS($C$27:$PN$27,("&lt;"&amp;$B$3),$C$27:$PN$27,("&gt;="&amp;$B$2),$C$28:$PN$28,1,$C45:$PN45,TabAsistencias[[#Headers],[1]])+
COUNTIFS($C$27:$PN$27,("&lt;"&amp;$B$3),$C$27:$PN$27,("&gt;="&amp;$B$2),$C$28:$PN$28,1,$C45:$PN45,TabAsistencias[[#Headers],[DO]])+
COUNTIFS($C$27:$PN$27,("&lt;"&amp;$B$3),$C$27:$PN$27,("&gt;="&amp;$B$2),$C$28:$PN$28,1,$C45:$PN45,TabAsistencias[[#Headers],[R]])+
COUNTIFS($C$27:$PN$27,("&lt;"&amp;$B$3),$C$27:$PN$27,("&gt;="&amp;$B$2),$C$28:$PN$28,1,$C45:$PN45,TabAsistencias[[#Headers],[NA]])+
COUNTIFS($C$27:$PN$27,("&lt;"&amp;$B$3),$C$27:$PN$27,("&gt;="&amp;$B$2),$C$28:$PN$28,1,$C45:$PN45,TabAsistencias[[#Headers],[DF]])+
COUNTIFS($C$27:$PN$27,("&lt;"&amp;$B$3),$C$27:$PN$27,("&gt;="&amp;$B$2),$C$28:$PN$28,1,$C45:$PN45,TabAsistencias[[#Headers],[3]])+
COUNTIFS($C$27:$PN$27,("&lt;"&amp;$B$3),$C$27:$PN$27,("&gt;="&amp;$B$2),$C$28:$PN$28,1,$C45:$PN45,TabAsistencias[[#Headers],[CP]])+
COUNTIFS($C$27:$PN$27,("&lt;"&amp;$B$3),$C$27:$PN$27,("&gt;="&amp;$B$2),$C$28:$PN$28,1,$C45:$PN45,TabAsistencias[[#Headers],[T/2]])</f>
        <v>4</v>
      </c>
      <c r="QK45" s="315" cm="1">
        <f t="array" ref="QK45">IFERROR(VLOOKUP(
DATEDIF((VLOOKUP(TabAsistencias[[#This Row],[ID]],TabEmpleados[],COLUMN(TabEmpleados[Fecha de ingreso]),FALSE)),Asistencias!$B$3,"Y"),
TabFactorIntegracion[],COLUMN(TabFactorIntegracion[Días vacacionales
establecidos por ley]),FALSE),0)
-
COUNTIF($AH45:$PN45,TabAsistencias[[#Headers],[V]])</f>
        <v>12</v>
      </c>
      <c r="QL45" s="319">
        <f>SUM(TabAsistencias[[#This Row],[''1]],TabAsistencias[[#This Row],[''DE]],TabAsistencias[[#This Row],[''DO]],TabAsistencias[[#This Row],[''R]],TabAsistencias[[#This Row],[''NA]],TabAsistencias[[#This Row],[''DF]],TabAsistencias[[#This Row],[''3]],TabAsistencias[[#This Row],[''CP]],TabAsistencias[[#This Row],[''T/2]],TabAsistencias[[#This Row],[''DP]])</f>
        <v>73</v>
      </c>
      <c r="QM45" s="314">
        <f>COUNTIFS($C$27:$PN$27,("&lt;"&amp;$B$5),$C$27:$PN$27,("&gt;="&amp;$B$4),$C45:$PN45,TabAsistencias[[#Headers],[1]])</f>
        <v>73</v>
      </c>
      <c r="QN45" s="314">
        <f>COUNTIFS($C$27:$PN$27,("&lt;"&amp;$B$5),$C$27:$PN$27,("&gt;="&amp;$B$4),$C45:$PN45,TabAsistencias[[#Headers],[DE]])</f>
        <v>0</v>
      </c>
      <c r="QO45" s="314">
        <f>COUNTIFS($C$27:$PN$27,("&lt;"&amp;$B$5),$C$27:$PN$27,("&gt;="&amp;$B$4),$C45:$PN45,TabAsistencias[[#Headers],[V]])</f>
        <v>0</v>
      </c>
      <c r="QP45" s="314">
        <f>COUNTIFS($C$27:$PN$27,("&lt;"&amp;$B$5),$C$27:$PN$27,("&gt;="&amp;$B$4),$C45:$PN45,TabAsistencias[[#Headers],[DO]])</f>
        <v>0</v>
      </c>
      <c r="QQ45" s="314">
        <f>COUNTIFS($C$27:$PN$27,("&lt;"&amp;$B$5),$C$27:$PN$27,("&gt;="&amp;$B$4),$C45:$PN45,TabAsistencias[[#Headers],[P]])</f>
        <v>0</v>
      </c>
      <c r="QR45" s="314">
        <f>COUNTIFS($C$27:$PN$27,("&lt;"&amp;$B$5),$C$27:$PN$27,("&gt;="&amp;$B$4),$C45:$PN45,TabAsistencias[[#Headers],[F]])</f>
        <v>0</v>
      </c>
      <c r="QS45" s="314">
        <f>COUNTIFS($C$27:$PN$27,("&lt;"&amp;$B$5),$C$27:$PN$27,("&gt;="&amp;$B$4),$C45:$PN45,TabAsistencias[[#Headers],[R]])</f>
        <v>0</v>
      </c>
      <c r="QT45" s="314">
        <f>COUNTIFS($C$27:$PN$27,("&lt;"&amp;$B$5),$C$27:$PN$27,("&gt;="&amp;$B$4),$C45:$PN45,TabAsistencias[[#Headers],[PP]])</f>
        <v>0</v>
      </c>
      <c r="QU45" s="314">
        <f>COUNTIFS($C$27:$PN$27,("&lt;"&amp;$B$5),$C$27:$PN$27,("&gt;="&amp;$B$4),$C45:$PN45,TabAsistencias[[#Headers],[0]])</f>
        <v>0</v>
      </c>
      <c r="QV45" s="314">
        <f>COUNTIFS($C$27:$PN$27,("&lt;"&amp;$B$5),$C$27:$PN$27,("&gt;="&amp;$B$4),$C45:$PN45,TabAsistencias[[#Headers],[IG]])</f>
        <v>0</v>
      </c>
      <c r="QW45" s="314">
        <f>COUNTIFS($C$27:$PN$27,("&lt;"&amp;$B$5),$C$27:$PN$27,("&gt;="&amp;$B$4),$C45:$PN45,TabAsistencias[[#Headers],[NA]])</f>
        <v>0</v>
      </c>
      <c r="QX45" s="314">
        <f>COUNTIFS($C$27:$PN$27,("&lt;"&amp;$B$5),$C$27:$PN$27,("&gt;="&amp;$B$4),$C45:$PN45,TabAsistencias[[#Headers],[DF]])</f>
        <v>0</v>
      </c>
      <c r="QY45" s="314">
        <f>COUNTIFS($C$27:$PN$27,("&lt;"&amp;$B$5),$C$27:$PN$27,("&gt;="&amp;$B$4),$C45:$PN45,TabAsistencias[[#Headers],[3]])</f>
        <v>0</v>
      </c>
      <c r="QZ45" s="314">
        <f>COUNTIFS($C$27:$PN$27,("&lt;"&amp;$B$5),$C$27:$PN$27,("&gt;="&amp;$B$4),$C45:$PN45,TabAsistencias[[#Headers],[CP]])</f>
        <v>0</v>
      </c>
      <c r="RA45" s="314">
        <f>COUNTIFS($C$27:$PN$27,("&lt;"&amp;$B$5),$C$27:$PN$27,("&gt;="&amp;$B$4),$C45:$PN45,TabAsistencias[[#Headers],[I]])</f>
        <v>0</v>
      </c>
      <c r="RB45" s="314">
        <f>COUNTIFS($C$27:$PN$27,("&lt;"&amp;$B$5),$C$27:$PN$27,("&gt;="&amp;$B$4),$C45:$PN45,TabAsistencias[[#Headers],[T/2]])</f>
        <v>0</v>
      </c>
      <c r="RC45" s="314">
        <f>COUNTIFS($C$27:$PN$27,("&lt;"&amp;$B$5),$C$27:$PN$27,("&gt;="&amp;$B$4),$C45:$PN45,TabAsistencias[[#Headers],[ME]])</f>
        <v>0</v>
      </c>
      <c r="RD45" s="314">
        <f>COUNTIFS($C$27:$PN$27,("&lt;"&amp;$B$5),$C$27:$PN$27,("&gt;="&amp;$B$4),$C45:$PN45,TabAsistencias[[#Headers],[DP]])</f>
        <v>0</v>
      </c>
      <c r="RE45" s="314">
        <f>COUNTIFS($C$27:$PN$27,("&lt;"&amp;$B$5),$C$27:$PN$27,("&gt;="&amp;$B$4),$C45:$PN45,TabAsistencias[[#Headers],[B]])</f>
        <v>0</v>
      </c>
      <c r="RF45" s="314">
        <f>COUNTIFS($C$27:$PN$27,("&lt;"&amp;$B$5),$C$27:$PN$27,("&gt;="&amp;$B$4),$C$28:$PN$28,1,$C45:$PN45,TabAsistencias[[#Headers],[1]])+
COUNTIFS($C$27:$PN$27,("&lt;"&amp;$B$5),$C$27:$PN$27,("&gt;="&amp;$B$4),$C$28:$PN$28,1,$C45:$PN45,TabAsistencias[[#Headers],[DO]])+
COUNTIFS($C$27:$PN$27,("&lt;"&amp;$B$5),$C$27:$PN$27,("&gt;="&amp;$B$4),$C$28:$PN$28,1,$C45:$PN45,TabAsistencias[[#Headers],[R]])+
COUNTIFS($C$27:$PN$27,("&lt;"&amp;$B$5),$C$27:$PN$27,("&gt;="&amp;$B$4),$C$28:$PN$28,1,$C45:$PN45,TabAsistencias[[#Headers],[NA]])+
COUNTIFS($C$27:$PN$27,("&lt;"&amp;$B$5),$C$27:$PN$27,("&gt;="&amp;$B$4),$C$28:$PN$28,1,$C45:$PN45,TabAsistencias[[#Headers],[DF]])+
COUNTIFS($C$27:$PN$27,("&lt;"&amp;$B$5),$C$27:$PN$27,("&gt;="&amp;$B$4),$C$28:$PN$28,1,$C45:$PN45,TabAsistencias[[#Headers],[3]])+
COUNTIFS($C$27:$PN$27,("&lt;"&amp;$B$5),$C$27:$PN$27,("&gt;="&amp;$B$4),$C$28:$PN$28,1,$C45:$PN45,TabAsistencias[[#Headers],[CP]])+
COUNTIFS($C$27:$PN$27,("&lt;"&amp;$B$5),$C$27:$PN$27,("&gt;="&amp;$B$4),$C$28:$PN$28,1,$C45:$PN45,TabAsistencias[[#Headers],[T/2]])</f>
        <v>11</v>
      </c>
      <c r="RG45" s="320" cm="1">
        <f t="array" ref="RG45">IFERROR(VLOOKUP(
DATEDIF((VLOOKUP(TabAsistencias[[#This Row],[ID]],TabEmpleados[],COLUMN(TabEmpleados[Fecha de alta NSS]),FALSE)),Asistencias!$B$3,"Y"),
TabFactorIntegracion[],COLUMN(TabFactorIntegracion[Días vacacionales
establecidos por ley]),FALSE),0)
-
COUNTIF($AH45:$PN45,TabAsistencias[[#Headers],[V]])</f>
        <v>12</v>
      </c>
    </row>
    <row r="46" spans="1:475" x14ac:dyDescent="0.25">
      <c r="A46" s="92">
        <f t="shared" si="434"/>
        <v>16</v>
      </c>
      <c r="B46" s="30" t="str" cm="1">
        <f t="array" ref="B46">VLOOKUP(TabAsistencias[[#This Row],[ID]],TabEmpleados[],COLUMN(TabEmpleados[Nombre]),FALSE)</f>
        <v>HERNANDEZ HERNANDEZ MODESTA</v>
      </c>
      <c r="C46" s="36" t="s">
        <v>139</v>
      </c>
      <c r="D46" s="36" t="s">
        <v>139</v>
      </c>
      <c r="E46" s="36" t="s">
        <v>139</v>
      </c>
      <c r="F46" s="36" t="s">
        <v>139</v>
      </c>
      <c r="G46" s="36" t="s">
        <v>139</v>
      </c>
      <c r="H46" s="36" t="s">
        <v>139</v>
      </c>
      <c r="I46" s="36" t="s">
        <v>139</v>
      </c>
      <c r="J46" s="36" t="s">
        <v>139</v>
      </c>
      <c r="K46" s="36" t="s">
        <v>139</v>
      </c>
      <c r="L46" s="36" t="s">
        <v>139</v>
      </c>
      <c r="M46" s="36" t="s">
        <v>139</v>
      </c>
      <c r="N46" s="36" t="s">
        <v>139</v>
      </c>
      <c r="O46" s="36" t="s">
        <v>139</v>
      </c>
      <c r="P46" s="36" t="s">
        <v>139</v>
      </c>
      <c r="Q46" s="36" t="s">
        <v>139</v>
      </c>
      <c r="R46" s="36" t="s">
        <v>139</v>
      </c>
      <c r="S46" s="36" t="s">
        <v>139</v>
      </c>
      <c r="T46" s="36" t="s">
        <v>139</v>
      </c>
      <c r="U46" s="36" t="s">
        <v>139</v>
      </c>
      <c r="V46" s="36" t="s">
        <v>139</v>
      </c>
      <c r="W46" s="36" t="s">
        <v>139</v>
      </c>
      <c r="X46" s="36" t="s">
        <v>139</v>
      </c>
      <c r="Y46" s="36" t="s">
        <v>139</v>
      </c>
      <c r="Z46" s="36" t="s">
        <v>139</v>
      </c>
      <c r="AA46" s="36" t="s">
        <v>139</v>
      </c>
      <c r="AB46" s="36" t="s">
        <v>139</v>
      </c>
      <c r="AC46" s="36" t="s">
        <v>139</v>
      </c>
      <c r="AD46" s="36" t="s">
        <v>139</v>
      </c>
      <c r="AE46" s="36" t="s">
        <v>139</v>
      </c>
      <c r="AF46" s="36" t="s">
        <v>139</v>
      </c>
      <c r="AG46" s="36" t="s">
        <v>139</v>
      </c>
      <c r="AH46" s="36" t="s">
        <v>139</v>
      </c>
      <c r="AI46" s="36" t="s">
        <v>139</v>
      </c>
      <c r="AJ46" s="36" t="s">
        <v>139</v>
      </c>
      <c r="AK46" s="36" t="s">
        <v>139</v>
      </c>
      <c r="AL46" s="36" t="s">
        <v>139</v>
      </c>
      <c r="AM46" s="36" t="s">
        <v>139</v>
      </c>
      <c r="AN46" s="36" t="s">
        <v>139</v>
      </c>
      <c r="AO46" s="36" t="s">
        <v>139</v>
      </c>
      <c r="AP46" s="36" t="s">
        <v>139</v>
      </c>
      <c r="AQ46" s="36" t="s">
        <v>139</v>
      </c>
      <c r="AR46" s="36" t="s">
        <v>139</v>
      </c>
      <c r="AS46" s="36" t="s">
        <v>139</v>
      </c>
      <c r="AT46" s="36" t="s">
        <v>139</v>
      </c>
      <c r="AU46" s="36" t="s">
        <v>139</v>
      </c>
      <c r="AV46" s="36" t="s">
        <v>139</v>
      </c>
      <c r="AW46" s="36" t="s">
        <v>139</v>
      </c>
      <c r="AX46" s="36" t="s">
        <v>139</v>
      </c>
      <c r="AY46" s="36" t="s">
        <v>139</v>
      </c>
      <c r="AZ46" s="36" t="s">
        <v>139</v>
      </c>
      <c r="BA46" s="36" t="s">
        <v>139</v>
      </c>
      <c r="BB46" s="36" t="s">
        <v>139</v>
      </c>
      <c r="BC46" s="36" t="s">
        <v>139</v>
      </c>
      <c r="BD46" s="36" t="s">
        <v>139</v>
      </c>
      <c r="BE46" s="36" t="s">
        <v>139</v>
      </c>
      <c r="BF46" s="36" t="s">
        <v>139</v>
      </c>
      <c r="BG46" s="36" t="s">
        <v>139</v>
      </c>
      <c r="BH46" s="36" t="s">
        <v>139</v>
      </c>
      <c r="BI46" s="36" t="s">
        <v>139</v>
      </c>
      <c r="BJ46" s="36" t="s">
        <v>139</v>
      </c>
      <c r="BK46" s="36" t="s">
        <v>139</v>
      </c>
      <c r="BL46" s="36" t="s">
        <v>139</v>
      </c>
      <c r="BM46" s="36" t="s">
        <v>139</v>
      </c>
      <c r="BN46" s="36" t="s">
        <v>139</v>
      </c>
      <c r="BO46" s="36" t="s">
        <v>139</v>
      </c>
      <c r="BP46" s="36" t="s">
        <v>139</v>
      </c>
      <c r="BQ46" s="36" t="s">
        <v>139</v>
      </c>
      <c r="BR46" s="36" t="s">
        <v>139</v>
      </c>
      <c r="BS46" s="36" t="s">
        <v>139</v>
      </c>
      <c r="BT46" s="36" t="s">
        <v>139</v>
      </c>
      <c r="BU46" s="36" t="s">
        <v>139</v>
      </c>
      <c r="BV46" s="36" t="s">
        <v>139</v>
      </c>
      <c r="BW46" s="36" t="s">
        <v>139</v>
      </c>
      <c r="BX46" s="36" t="s">
        <v>139</v>
      </c>
      <c r="BY46" s="36" t="s">
        <v>139</v>
      </c>
      <c r="BZ46" s="36" t="s">
        <v>139</v>
      </c>
      <c r="CA46" s="36" t="s">
        <v>139</v>
      </c>
      <c r="CB46" s="36" t="s">
        <v>139</v>
      </c>
      <c r="CC46" s="36" t="s">
        <v>139</v>
      </c>
      <c r="CD46" s="36" t="s">
        <v>139</v>
      </c>
      <c r="CE46" s="36" t="s">
        <v>139</v>
      </c>
      <c r="CF46" s="36" t="s">
        <v>139</v>
      </c>
      <c r="CG46" s="36" t="s">
        <v>139</v>
      </c>
      <c r="CH46" s="36" t="s">
        <v>139</v>
      </c>
      <c r="CI46" s="36" t="s">
        <v>139</v>
      </c>
      <c r="CJ46" s="36" t="s">
        <v>139</v>
      </c>
      <c r="CK46" s="36" t="s">
        <v>139</v>
      </c>
      <c r="CL46" s="36" t="s">
        <v>139</v>
      </c>
      <c r="CM46" s="36" t="s">
        <v>139</v>
      </c>
      <c r="CN46" s="36" t="s">
        <v>139</v>
      </c>
      <c r="CO46" s="36" t="s">
        <v>139</v>
      </c>
      <c r="CP46" s="36" t="s">
        <v>139</v>
      </c>
      <c r="CQ46" s="36" t="s">
        <v>139</v>
      </c>
      <c r="CR46" s="36" t="s">
        <v>139</v>
      </c>
      <c r="CS46" s="36" t="s">
        <v>139</v>
      </c>
      <c r="CT46" s="36" t="s">
        <v>139</v>
      </c>
      <c r="CU46" s="36" t="s">
        <v>139</v>
      </c>
      <c r="CV46" s="36" t="s">
        <v>139</v>
      </c>
      <c r="CW46" s="36" t="s">
        <v>139</v>
      </c>
      <c r="CX46" s="36" t="s">
        <v>139</v>
      </c>
      <c r="CY46" s="36" t="s">
        <v>139</v>
      </c>
      <c r="CZ46" s="36" t="s">
        <v>139</v>
      </c>
      <c r="DA46" s="36" t="s">
        <v>139</v>
      </c>
      <c r="DB46" s="36" t="s">
        <v>139</v>
      </c>
      <c r="DC46" s="36" t="s">
        <v>139</v>
      </c>
      <c r="DD46" s="36" t="s">
        <v>139</v>
      </c>
      <c r="DE46" s="36" t="s">
        <v>139</v>
      </c>
      <c r="DF46" s="36" t="s">
        <v>139</v>
      </c>
      <c r="DG46" s="36" t="s">
        <v>139</v>
      </c>
      <c r="DH46" s="36" t="s">
        <v>139</v>
      </c>
      <c r="DI46" s="36" t="s">
        <v>139</v>
      </c>
      <c r="DJ46" s="36" t="s">
        <v>139</v>
      </c>
      <c r="DK46" s="36" t="s">
        <v>139</v>
      </c>
      <c r="DL46" s="36" t="s">
        <v>139</v>
      </c>
      <c r="DM46" s="36" t="s">
        <v>139</v>
      </c>
      <c r="DN46" s="36" t="s">
        <v>139</v>
      </c>
      <c r="DO46" s="36" t="s">
        <v>139</v>
      </c>
      <c r="DP46" s="36" t="s">
        <v>139</v>
      </c>
      <c r="DQ46" s="36" t="s">
        <v>139</v>
      </c>
      <c r="DR46" s="36" t="s">
        <v>139</v>
      </c>
      <c r="DS46" s="36" t="s">
        <v>139</v>
      </c>
      <c r="DT46" s="36" t="s">
        <v>139</v>
      </c>
      <c r="DU46" s="36" t="s">
        <v>139</v>
      </c>
      <c r="DV46" s="36" t="s">
        <v>139</v>
      </c>
      <c r="DW46" s="36" t="s">
        <v>139</v>
      </c>
      <c r="DX46" s="36" t="s">
        <v>139</v>
      </c>
      <c r="DY46" s="36" t="s">
        <v>139</v>
      </c>
      <c r="DZ46" s="36" t="s">
        <v>139</v>
      </c>
      <c r="EA46" s="36" t="s">
        <v>139</v>
      </c>
      <c r="EB46" s="36" t="s">
        <v>139</v>
      </c>
      <c r="EC46" s="36" t="s">
        <v>139</v>
      </c>
      <c r="ED46" s="36" t="s">
        <v>139</v>
      </c>
      <c r="EE46" s="36" t="s">
        <v>139</v>
      </c>
      <c r="EF46" s="36" t="s">
        <v>139</v>
      </c>
      <c r="EG46" s="36" t="s">
        <v>139</v>
      </c>
      <c r="EH46" s="36" t="s">
        <v>139</v>
      </c>
      <c r="EI46" s="36" t="s">
        <v>139</v>
      </c>
      <c r="EJ46" s="36" t="s">
        <v>139</v>
      </c>
      <c r="EK46" s="36" t="s">
        <v>139</v>
      </c>
      <c r="EL46" s="36" t="s">
        <v>139</v>
      </c>
      <c r="EM46" s="36" t="s">
        <v>139</v>
      </c>
      <c r="EN46" s="36" t="s">
        <v>139</v>
      </c>
      <c r="EO46" s="36" t="s">
        <v>139</v>
      </c>
      <c r="EP46" s="36" t="s">
        <v>139</v>
      </c>
      <c r="EQ46" s="36" t="s">
        <v>139</v>
      </c>
      <c r="ER46" s="36" t="s">
        <v>139</v>
      </c>
      <c r="ES46" s="36" t="s">
        <v>139</v>
      </c>
      <c r="ET46" s="36" t="s">
        <v>139</v>
      </c>
      <c r="EU46" s="36" t="s">
        <v>139</v>
      </c>
      <c r="EV46" s="36" t="s">
        <v>139</v>
      </c>
      <c r="EW46" s="36" t="s">
        <v>139</v>
      </c>
      <c r="EX46" s="36" t="s">
        <v>139</v>
      </c>
      <c r="EY46" s="36" t="s">
        <v>139</v>
      </c>
      <c r="EZ46" s="36" t="s">
        <v>139</v>
      </c>
      <c r="FA46" s="36" t="s">
        <v>139</v>
      </c>
      <c r="FB46" s="36" t="s">
        <v>139</v>
      </c>
      <c r="FC46" s="36" t="s">
        <v>139</v>
      </c>
      <c r="FD46" s="36" t="s">
        <v>139</v>
      </c>
      <c r="FE46" s="36" t="s">
        <v>139</v>
      </c>
      <c r="FF46" s="36" t="s">
        <v>139</v>
      </c>
      <c r="FG46" s="36" t="s">
        <v>139</v>
      </c>
      <c r="FH46" s="36" t="s">
        <v>139</v>
      </c>
      <c r="FI46" s="36" t="s">
        <v>139</v>
      </c>
      <c r="FJ46" s="36" t="s">
        <v>139</v>
      </c>
      <c r="FK46" s="36" t="s">
        <v>139</v>
      </c>
      <c r="FL46" s="36" t="s">
        <v>139</v>
      </c>
      <c r="FM46" s="36" t="s">
        <v>139</v>
      </c>
      <c r="FN46" s="36" t="s">
        <v>139</v>
      </c>
      <c r="FO46" s="36" t="s">
        <v>139</v>
      </c>
      <c r="FP46" s="36" t="s">
        <v>139</v>
      </c>
      <c r="FQ46" s="36" t="s">
        <v>139</v>
      </c>
      <c r="FR46" s="36" t="s">
        <v>139</v>
      </c>
      <c r="FS46" s="36" t="s">
        <v>139</v>
      </c>
      <c r="FT46" s="36" t="s">
        <v>139</v>
      </c>
      <c r="FU46" s="36" t="s">
        <v>139</v>
      </c>
      <c r="FV46" s="36" t="s">
        <v>139</v>
      </c>
      <c r="FW46" s="36" t="s">
        <v>139</v>
      </c>
      <c r="FX46" s="36" t="s">
        <v>139</v>
      </c>
      <c r="FY46" s="36" t="s">
        <v>139</v>
      </c>
      <c r="FZ46" s="36" t="s">
        <v>139</v>
      </c>
      <c r="GA46" s="36" t="s">
        <v>139</v>
      </c>
      <c r="GB46" s="36" t="s">
        <v>139</v>
      </c>
      <c r="GC46" s="36" t="s">
        <v>139</v>
      </c>
      <c r="GD46" s="36" t="s">
        <v>139</v>
      </c>
      <c r="GE46" s="36" t="s">
        <v>139</v>
      </c>
      <c r="GF46" s="36" t="s">
        <v>139</v>
      </c>
      <c r="GG46" s="36" t="s">
        <v>139</v>
      </c>
      <c r="GH46" s="36" t="s">
        <v>139</v>
      </c>
      <c r="GI46" s="36" t="s">
        <v>139</v>
      </c>
      <c r="GJ46" s="36" t="s">
        <v>139</v>
      </c>
      <c r="GK46" s="36" t="s">
        <v>139</v>
      </c>
      <c r="GL46" s="36" t="s">
        <v>139</v>
      </c>
      <c r="GM46" s="36" t="s">
        <v>139</v>
      </c>
      <c r="GN46" s="36" t="s">
        <v>139</v>
      </c>
      <c r="GO46" s="36" t="s">
        <v>139</v>
      </c>
      <c r="GP46" s="36" t="s">
        <v>139</v>
      </c>
      <c r="GQ46" s="36" t="s">
        <v>139</v>
      </c>
      <c r="GR46" s="36" t="s">
        <v>139</v>
      </c>
      <c r="GS46" s="36" t="s">
        <v>139</v>
      </c>
      <c r="GT46" s="36" t="s">
        <v>139</v>
      </c>
      <c r="GU46" s="36" t="s">
        <v>139</v>
      </c>
      <c r="GV46" s="36" t="s">
        <v>139</v>
      </c>
      <c r="GW46" s="36" t="s">
        <v>139</v>
      </c>
      <c r="GX46" s="36" t="s">
        <v>139</v>
      </c>
      <c r="GY46" s="36" t="s">
        <v>139</v>
      </c>
      <c r="GZ46" s="36" t="s">
        <v>139</v>
      </c>
      <c r="HA46" s="36" t="s">
        <v>139</v>
      </c>
      <c r="HB46" s="36" t="s">
        <v>139</v>
      </c>
      <c r="HC46" s="36" t="s">
        <v>139</v>
      </c>
      <c r="HD46" s="36" t="s">
        <v>139</v>
      </c>
      <c r="HE46" s="36" t="s">
        <v>139</v>
      </c>
      <c r="HF46" s="36" t="s">
        <v>139</v>
      </c>
      <c r="HG46" s="36" t="s">
        <v>139</v>
      </c>
      <c r="HH46" s="36" t="s">
        <v>139</v>
      </c>
      <c r="HI46" s="36" t="s">
        <v>139</v>
      </c>
      <c r="HJ46" s="36" t="s">
        <v>139</v>
      </c>
      <c r="HK46" s="36" t="s">
        <v>139</v>
      </c>
      <c r="HL46" s="36" t="s">
        <v>139</v>
      </c>
      <c r="HM46" s="36" t="s">
        <v>139</v>
      </c>
      <c r="HN46" s="36" t="s">
        <v>139</v>
      </c>
      <c r="HO46" s="36" t="s">
        <v>139</v>
      </c>
      <c r="HP46" s="36" t="s">
        <v>139</v>
      </c>
      <c r="HQ46" s="36" t="s">
        <v>139</v>
      </c>
      <c r="HR46" s="36" t="s">
        <v>139</v>
      </c>
      <c r="HS46" s="36" t="s">
        <v>139</v>
      </c>
      <c r="HT46" s="36" t="s">
        <v>139</v>
      </c>
      <c r="HU46" s="36" t="s">
        <v>139</v>
      </c>
      <c r="HV46" s="36" t="s">
        <v>139</v>
      </c>
      <c r="HW46" s="36" t="s">
        <v>139</v>
      </c>
      <c r="HX46" s="36" t="s">
        <v>139</v>
      </c>
      <c r="HY46" s="36" t="s">
        <v>139</v>
      </c>
      <c r="HZ46" s="36" t="s">
        <v>139</v>
      </c>
      <c r="IA46" s="36" t="s">
        <v>139</v>
      </c>
      <c r="IB46" s="36" t="s">
        <v>139</v>
      </c>
      <c r="IC46" s="36" t="s">
        <v>139</v>
      </c>
      <c r="ID46" s="36" t="s">
        <v>139</v>
      </c>
      <c r="IE46" s="36" t="s">
        <v>139</v>
      </c>
      <c r="IF46" s="36" t="s">
        <v>139</v>
      </c>
      <c r="IG46" s="36" t="s">
        <v>139</v>
      </c>
      <c r="IH46" s="36" t="s">
        <v>139</v>
      </c>
      <c r="II46" s="36" t="s">
        <v>139</v>
      </c>
      <c r="IJ46" s="36" t="s">
        <v>139</v>
      </c>
      <c r="IK46" s="36" t="s">
        <v>139</v>
      </c>
      <c r="IL46" s="36" t="s">
        <v>139</v>
      </c>
      <c r="IM46" s="36" t="s">
        <v>139</v>
      </c>
      <c r="IN46" s="36" t="s">
        <v>139</v>
      </c>
      <c r="IO46" s="36" t="s">
        <v>139</v>
      </c>
      <c r="IP46" s="36" t="s">
        <v>139</v>
      </c>
      <c r="IQ46" s="36" t="s">
        <v>139</v>
      </c>
      <c r="IR46" s="36" t="s">
        <v>139</v>
      </c>
      <c r="IS46" s="36" t="s">
        <v>139</v>
      </c>
      <c r="IT46" s="36" t="s">
        <v>139</v>
      </c>
      <c r="IU46" s="36" t="s">
        <v>139</v>
      </c>
      <c r="IV46" s="36" t="s">
        <v>139</v>
      </c>
      <c r="IW46" s="36" t="s">
        <v>139</v>
      </c>
      <c r="IX46" s="36" t="s">
        <v>139</v>
      </c>
      <c r="IY46" s="36" t="s">
        <v>139</v>
      </c>
      <c r="IZ46" s="36" t="s">
        <v>139</v>
      </c>
      <c r="JA46" s="36" t="s">
        <v>139</v>
      </c>
      <c r="JB46" s="36" t="s">
        <v>139</v>
      </c>
      <c r="JC46" s="36" t="s">
        <v>139</v>
      </c>
      <c r="JD46" s="36" t="s">
        <v>139</v>
      </c>
      <c r="JE46" s="36" t="s">
        <v>139</v>
      </c>
      <c r="JF46" s="36" t="s">
        <v>139</v>
      </c>
      <c r="JG46" s="36" t="s">
        <v>139</v>
      </c>
      <c r="JH46" s="36" t="s">
        <v>139</v>
      </c>
      <c r="JI46" s="36" t="s">
        <v>139</v>
      </c>
      <c r="JJ46" s="36" t="s">
        <v>139</v>
      </c>
      <c r="JK46" s="36" t="s">
        <v>139</v>
      </c>
      <c r="JL46" s="36" t="s">
        <v>139</v>
      </c>
      <c r="JM46" s="36" t="s">
        <v>139</v>
      </c>
      <c r="JN46" s="36" t="s">
        <v>139</v>
      </c>
      <c r="JO46" s="36" t="s">
        <v>139</v>
      </c>
      <c r="JP46" s="36" t="s">
        <v>139</v>
      </c>
      <c r="JQ46" s="36" t="s">
        <v>139</v>
      </c>
      <c r="JR46" s="36" t="s">
        <v>139</v>
      </c>
      <c r="JS46" s="36" t="s">
        <v>139</v>
      </c>
      <c r="JT46" s="36" t="s">
        <v>139</v>
      </c>
      <c r="JU46" s="36" t="s">
        <v>139</v>
      </c>
      <c r="JV46" s="36" t="s">
        <v>139</v>
      </c>
      <c r="JW46" s="36" t="s">
        <v>139</v>
      </c>
      <c r="JX46" s="36" t="s">
        <v>139</v>
      </c>
      <c r="JY46" s="36" t="s">
        <v>139</v>
      </c>
      <c r="JZ46" s="36" t="s">
        <v>139</v>
      </c>
      <c r="KA46" s="36" t="s">
        <v>139</v>
      </c>
      <c r="KB46" s="36" t="s">
        <v>139</v>
      </c>
      <c r="KC46" s="36" t="s">
        <v>139</v>
      </c>
      <c r="KD46" s="36" t="s">
        <v>139</v>
      </c>
      <c r="KE46" s="36" t="s">
        <v>139</v>
      </c>
      <c r="KF46" s="36" t="s">
        <v>139</v>
      </c>
      <c r="KG46" s="36" t="s">
        <v>139</v>
      </c>
      <c r="KH46" s="36" t="s">
        <v>139</v>
      </c>
      <c r="KI46" s="36" t="s">
        <v>139</v>
      </c>
      <c r="KJ46" s="36" t="s">
        <v>139</v>
      </c>
      <c r="KK46" s="36" t="s">
        <v>139</v>
      </c>
      <c r="KL46" s="36" t="s">
        <v>139</v>
      </c>
      <c r="KM46" s="36" t="s">
        <v>139</v>
      </c>
      <c r="KN46" s="36" t="s">
        <v>139</v>
      </c>
      <c r="KO46" s="36" t="s">
        <v>139</v>
      </c>
      <c r="KP46" s="36" t="s">
        <v>139</v>
      </c>
      <c r="KQ46" s="36" t="s">
        <v>139</v>
      </c>
      <c r="KR46" s="36" t="s">
        <v>139</v>
      </c>
      <c r="KS46" s="36" t="s">
        <v>139</v>
      </c>
      <c r="KT46" s="36" t="s">
        <v>139</v>
      </c>
      <c r="KU46" s="36" t="s">
        <v>139</v>
      </c>
      <c r="KV46" s="36" t="s">
        <v>139</v>
      </c>
      <c r="KW46" s="36" t="s">
        <v>139</v>
      </c>
      <c r="KX46" s="36" t="s">
        <v>139</v>
      </c>
      <c r="KY46" s="36" t="s">
        <v>139</v>
      </c>
      <c r="KZ46" s="36" t="s">
        <v>139</v>
      </c>
      <c r="LA46" s="36" t="s">
        <v>139</v>
      </c>
      <c r="LB46" s="36" t="s">
        <v>139</v>
      </c>
      <c r="LC46" s="36" t="s">
        <v>139</v>
      </c>
      <c r="LD46" s="36" t="s">
        <v>139</v>
      </c>
      <c r="LE46" s="36" t="s">
        <v>139</v>
      </c>
      <c r="LF46" s="36" t="s">
        <v>139</v>
      </c>
      <c r="LG46" s="36" t="s">
        <v>139</v>
      </c>
      <c r="LH46" s="36" t="s">
        <v>139</v>
      </c>
      <c r="LI46" s="36" t="s">
        <v>139</v>
      </c>
      <c r="LJ46" s="36" t="s">
        <v>139</v>
      </c>
      <c r="LK46" s="36" t="s">
        <v>139</v>
      </c>
      <c r="LL46" s="36" t="s">
        <v>139</v>
      </c>
      <c r="LM46" s="36" t="s">
        <v>139</v>
      </c>
      <c r="LN46" s="36" t="s">
        <v>139</v>
      </c>
      <c r="LO46" s="36" t="s">
        <v>139</v>
      </c>
      <c r="LP46" s="36" t="s">
        <v>139</v>
      </c>
      <c r="LQ46" s="36" t="s">
        <v>139</v>
      </c>
      <c r="LR46" s="36" t="s">
        <v>139</v>
      </c>
      <c r="LS46" s="36" t="s">
        <v>139</v>
      </c>
      <c r="LT46" s="36" t="s">
        <v>139</v>
      </c>
      <c r="LU46" s="36" t="s">
        <v>139</v>
      </c>
      <c r="LV46" s="36" t="s">
        <v>139</v>
      </c>
      <c r="LW46" s="36" t="s">
        <v>139</v>
      </c>
      <c r="LX46" s="36" t="s">
        <v>139</v>
      </c>
      <c r="LY46" s="36" t="s">
        <v>139</v>
      </c>
      <c r="LZ46" s="36" t="s">
        <v>139</v>
      </c>
      <c r="MA46" s="36" t="s">
        <v>139</v>
      </c>
      <c r="MB46" s="36" t="s">
        <v>139</v>
      </c>
      <c r="MC46" s="36" t="s">
        <v>139</v>
      </c>
      <c r="MD46" s="36" t="s">
        <v>139</v>
      </c>
      <c r="ME46" s="36" t="s">
        <v>139</v>
      </c>
      <c r="MF46" s="36" t="s">
        <v>139</v>
      </c>
      <c r="MG46" s="36" t="s">
        <v>139</v>
      </c>
      <c r="MH46" s="36" t="s">
        <v>139</v>
      </c>
      <c r="MI46" s="36" t="s">
        <v>139</v>
      </c>
      <c r="MJ46" s="36" t="s">
        <v>139</v>
      </c>
      <c r="MK46" s="36" t="s">
        <v>139</v>
      </c>
      <c r="ML46" s="36" t="s">
        <v>139</v>
      </c>
      <c r="MM46" s="36" t="s">
        <v>139</v>
      </c>
      <c r="MN46" s="36" t="s">
        <v>139</v>
      </c>
      <c r="MO46" s="36" t="s">
        <v>139</v>
      </c>
      <c r="MP46" s="36" t="s">
        <v>139</v>
      </c>
      <c r="MQ46" s="36" t="s">
        <v>139</v>
      </c>
      <c r="MR46" s="36" t="s">
        <v>139</v>
      </c>
      <c r="MS46" s="36" t="s">
        <v>139</v>
      </c>
      <c r="MT46" s="36" t="s">
        <v>139</v>
      </c>
      <c r="MU46" s="36" t="s">
        <v>139</v>
      </c>
      <c r="MV46" s="36" t="s">
        <v>139</v>
      </c>
      <c r="MW46" s="36" t="s">
        <v>139</v>
      </c>
      <c r="MX46" s="36" t="s">
        <v>139</v>
      </c>
      <c r="MY46" s="36" t="s">
        <v>139</v>
      </c>
      <c r="MZ46" s="36" t="s">
        <v>139</v>
      </c>
      <c r="NA46" s="36" t="s">
        <v>139</v>
      </c>
      <c r="NB46" s="36" t="s">
        <v>139</v>
      </c>
      <c r="NC46" s="36" t="s">
        <v>139</v>
      </c>
      <c r="ND46" s="36" t="s">
        <v>139</v>
      </c>
      <c r="NE46" s="36" t="s">
        <v>139</v>
      </c>
      <c r="NF46" s="36" t="s">
        <v>139</v>
      </c>
      <c r="NG46" s="36" t="s">
        <v>139</v>
      </c>
      <c r="NH46" s="36" t="s">
        <v>139</v>
      </c>
      <c r="NI46" s="36" t="s">
        <v>139</v>
      </c>
      <c r="NJ46" s="36" t="s">
        <v>139</v>
      </c>
      <c r="NK46" s="36" t="s">
        <v>139</v>
      </c>
      <c r="NL46" s="36" t="s">
        <v>139</v>
      </c>
      <c r="NM46" s="36" t="s">
        <v>139</v>
      </c>
      <c r="NN46" s="36" t="s">
        <v>139</v>
      </c>
      <c r="NO46" s="36" t="s">
        <v>139</v>
      </c>
      <c r="NP46" s="36" t="s">
        <v>139</v>
      </c>
      <c r="NQ46" s="36" t="s">
        <v>139</v>
      </c>
      <c r="NR46" s="36" t="s">
        <v>139</v>
      </c>
      <c r="NS46" s="36" t="s">
        <v>139</v>
      </c>
      <c r="NT46" s="36" t="s">
        <v>139</v>
      </c>
      <c r="NU46" s="36" t="s">
        <v>139</v>
      </c>
      <c r="NV46" s="36" t="s">
        <v>139</v>
      </c>
      <c r="NW46" s="36" t="s">
        <v>139</v>
      </c>
      <c r="NX46" s="36" t="s">
        <v>139</v>
      </c>
      <c r="NY46" s="36" t="s">
        <v>139</v>
      </c>
      <c r="NZ46" s="36" t="s">
        <v>139</v>
      </c>
      <c r="OA46" s="36" t="s">
        <v>139</v>
      </c>
      <c r="OB46" s="36" t="s">
        <v>139</v>
      </c>
      <c r="OC46" s="36" t="s">
        <v>139</v>
      </c>
      <c r="OD46" s="36" t="s">
        <v>139</v>
      </c>
      <c r="OE46" s="36" t="s">
        <v>139</v>
      </c>
      <c r="OF46" s="36" t="s">
        <v>139</v>
      </c>
      <c r="OG46" s="36" t="s">
        <v>139</v>
      </c>
      <c r="OH46" s="36" t="s">
        <v>139</v>
      </c>
      <c r="OI46" s="36" t="s">
        <v>139</v>
      </c>
      <c r="OJ46" s="36" t="s">
        <v>139</v>
      </c>
      <c r="OK46" s="36" t="s">
        <v>139</v>
      </c>
      <c r="OL46" s="36" t="s">
        <v>139</v>
      </c>
      <c r="OM46" s="36" t="s">
        <v>139</v>
      </c>
      <c r="ON46" s="36" t="s">
        <v>139</v>
      </c>
      <c r="OO46" s="36" t="s">
        <v>139</v>
      </c>
      <c r="OP46" s="36" t="s">
        <v>139</v>
      </c>
      <c r="OQ46" s="36" t="s">
        <v>139</v>
      </c>
      <c r="OR46" s="36" t="s">
        <v>139</v>
      </c>
      <c r="OS46" s="36" t="s">
        <v>139</v>
      </c>
      <c r="OT46" s="36" t="s">
        <v>139</v>
      </c>
      <c r="OU46" s="36" t="s">
        <v>139</v>
      </c>
      <c r="OV46" s="36" t="s">
        <v>139</v>
      </c>
      <c r="OW46" s="36" t="s">
        <v>139</v>
      </c>
      <c r="OX46" s="36" t="s">
        <v>139</v>
      </c>
      <c r="OY46" s="36" t="s">
        <v>139</v>
      </c>
      <c r="OZ46" s="36" t="s">
        <v>139</v>
      </c>
      <c r="PA46" s="36" t="s">
        <v>139</v>
      </c>
      <c r="PB46" s="36" t="s">
        <v>139</v>
      </c>
      <c r="PC46" s="36" t="s">
        <v>139</v>
      </c>
      <c r="PD46" s="36" t="s">
        <v>139</v>
      </c>
      <c r="PE46" s="36" t="s">
        <v>139</v>
      </c>
      <c r="PF46" s="36" t="s">
        <v>139</v>
      </c>
      <c r="PG46" s="36" t="s">
        <v>139</v>
      </c>
      <c r="PH46" s="36" t="s">
        <v>139</v>
      </c>
      <c r="PI46" s="36" t="s">
        <v>139</v>
      </c>
      <c r="PJ46" s="36" t="s">
        <v>139</v>
      </c>
      <c r="PK46" s="36" t="s">
        <v>139</v>
      </c>
      <c r="PL46" s="36" t="s">
        <v>139</v>
      </c>
      <c r="PM46" s="36" t="s">
        <v>139</v>
      </c>
      <c r="PN46" s="36" t="s">
        <v>139</v>
      </c>
      <c r="PO46" s="74">
        <f>COUNTIFS($C$27:$PN$27,("&lt;"&amp;$B$3),$C$27:$PN$27,("&gt;="&amp;$B$2),$C46:$PN46,TabAsistencias[[#Headers],[1]])</f>
        <v>30</v>
      </c>
      <c r="PP46" s="74">
        <f>COUNTIFS($C$27:$PN$27,("&lt;"&amp;$B$3),$C$27:$PN$27,("&gt;="&amp;$B$2),$C46:$PN46,TabAsistencias[[#Headers],[E]])</f>
        <v>0</v>
      </c>
      <c r="PQ46" s="74">
        <f>COUNTIFS($C$27:$PN$27,("&lt;"&amp;$B$3),$C$27:$PN$27,("&gt;="&amp;$B$2),$C46:$PN46,TabAsistencias[[#Headers],[DE]])</f>
        <v>0</v>
      </c>
      <c r="PR46" s="74">
        <f>COUNTIFS($C$27:$PN$27,("&lt;"&amp;$B$3),$C$27:$PN$27,("&gt;="&amp;$B$2),$C46:$PN46,TabAsistencias[[#Headers],[V]])</f>
        <v>0</v>
      </c>
      <c r="PS46" s="74">
        <f>COUNTIFS($C$27:$PN$27,("&lt;"&amp;$B$3),$C$27:$PN$27,("&gt;="&amp;$B$2),$C46:$PN46,TabAsistencias[[#Headers],[DO]])</f>
        <v>0</v>
      </c>
      <c r="PT46" s="74">
        <f>COUNTIFS($C$27:$PN$27,("&lt;"&amp;$B$3),$C$27:$PN$27,("&gt;="&amp;$B$2),$C46:$PN46,TabAsistencias[[#Headers],[P]])</f>
        <v>0</v>
      </c>
      <c r="PU46" s="74">
        <f>COUNTIFS($C$27:$PN$27,("&lt;"&amp;$B$3),$C$27:$PN$27,("&gt;="&amp;$B$2),$C46:$PN46,TabAsistencias[[#Headers],[F]])</f>
        <v>0</v>
      </c>
      <c r="PV46" s="74">
        <f>COUNTIFS($C$27:$PN$27,("&lt;"&amp;$B$3),$C$27:$PN$27,("&gt;="&amp;$B$2),$C46:$PN46,TabAsistencias[[#Headers],[R]])</f>
        <v>0</v>
      </c>
      <c r="PW46" s="74">
        <f>COUNTIFS($C$27:$PN$27,("&lt;"&amp;$B$3),$C$27:$PN$27,("&gt;="&amp;$B$2),$C46:$PN46,TabAsistencias[[#Headers],[PP]])</f>
        <v>0</v>
      </c>
      <c r="PX46" s="74">
        <f>COUNTIFS($C$27:$PN$27,("&lt;"&amp;$B$3),$C$27:$PN$27,("&gt;="&amp;$B$2),$C46:$PN46,TabAsistencias[[#Headers],[0]])</f>
        <v>0</v>
      </c>
      <c r="PY46" s="74">
        <f>COUNTIFS($C$27:$PN$27,("&lt;"&amp;$B$3),$C$27:$PN$27,("&gt;="&amp;$B$2),$C46:$PN46,TabAsistencias[[#Headers],[IG]])</f>
        <v>0</v>
      </c>
      <c r="PZ46" s="74">
        <f>COUNTIFS($C$27:$PN$27,("&lt;"&amp;$B$3),$C$27:$PN$27,("&gt;="&amp;$B$2),$C46:$PN46,TabAsistencias[[#Headers],[NA]])</f>
        <v>0</v>
      </c>
      <c r="QA46" s="74">
        <f>COUNTIFS($C$27:$PN$27,("&lt;"&amp;$B$3),$C$27:$PN$27,("&gt;="&amp;$B$2),$C46:$PN46,TabAsistencias[[#Headers],[DF]])</f>
        <v>0</v>
      </c>
      <c r="QB46" s="74">
        <f>COUNTIFS($C$27:$PN$27,("&lt;"&amp;$B$3),$C$27:$PN$27,("&gt;="&amp;$B$2),$C46:$PN46,TabAsistencias[[#Headers],[3]])</f>
        <v>0</v>
      </c>
      <c r="QC46" s="74">
        <f>COUNTIFS($C$27:$PN$27,("&lt;"&amp;$B$3),$C$27:$PN$27,("&gt;="&amp;$B$2),$C46:$PN46,TabAsistencias[[#Headers],[CP]])</f>
        <v>0</v>
      </c>
      <c r="QD46" s="74">
        <f>COUNTIFS($C$27:$PN$27,("&lt;"&amp;$B$3),$C$27:$PN$27,("&gt;="&amp;$B$2),$C46:$PN46,TabAsistencias[[#Headers],[I]])</f>
        <v>0</v>
      </c>
      <c r="QE46" s="74">
        <f>COUNTIFS($C$27:$PN$27,("&lt;"&amp;$B$3),$C$27:$PN$27,("&gt;="&amp;$B$2),$C46:$PN46,TabAsistencias[[#Headers],[T/2]])</f>
        <v>0</v>
      </c>
      <c r="QF46" s="74">
        <f>COUNTIFS($C$27:$PN$27,("&lt;"&amp;$B$3),$C$27:$PN$27,("&gt;="&amp;$B$2),$C46:$PN46,TabAsistencias[[#Headers],[ME]])</f>
        <v>0</v>
      </c>
      <c r="QG46" s="74">
        <f>COUNTIFS($C$27:$PN$27,("&lt;"&amp;$B$3),$C$27:$PN$27,("&gt;="&amp;$B$2),$C46:$PN46,TabAsistencias[[#Headers],[DP]])</f>
        <v>0</v>
      </c>
      <c r="QH46" s="74">
        <f>COUNTIFS($C$27:$PN$27,("&lt;"&amp;$B$3),$C$27:$PN$27,("&gt;="&amp;$B$2),$C46:$PN46,TabAsistencias[[#Headers],[B]])</f>
        <v>0</v>
      </c>
      <c r="QI46" s="74">
        <f>(TabAsistencias[[#This Row],[1]]*'Tablas de informacion'!$C$124)+(TabAsistencias[[#This Row],[E]]*'Tablas de informacion'!$C$125)+(TabAsistencias[[#This Row],[DE]]*'Tablas de informacion'!C$126)+(TabAsistencias[[#This Row],[V]]*'Tablas de informacion'!C$127)+(TabAsistencias[[#This Row],[DO]]*'Tablas de informacion'!C$128)+(TabAsistencias[[#This Row],[P]]*'Tablas de informacion'!C$129)+(TabAsistencias[[#This Row],[F]]*'Tablas de informacion'!C$130)+(TabAsistencias[[#This Row],[R]]*'Tablas de informacion'!C$131)+(TabAsistencias[[#This Row],[PP]]*'Tablas de informacion'!C$132)+(TabAsistencias[[#This Row],[0]]*'Tablas de informacion'!C$133)+(TabAsistencias[[#This Row],[IG]]*'Tablas de informacion'!C$134)+(TabAsistencias[[#This Row],[NA]]*'Tablas de informacion'!C$135)+(TabAsistencias[[#This Row],[DF]]*'Tablas de informacion'!C$136)+(TabAsistencias[[#This Row],[3]]*'Tablas de informacion'!C$137)+(TabAsistencias[[#This Row],[CP]]*'Tablas de informacion'!C$138)+(TabAsistencias[[#This Row],[I]]*'Tablas de informacion'!C$139)+(TabAsistencias[[#This Row],[T/2]]*'Tablas de informacion'!C$140)+(TabAsistencias[[#This Row],[ME]]*'Tablas de informacion'!C$141)+(TabAsistencias[[#This Row],[DP]]*'Tablas de informacion'!C$142)+(TabAsistencias[[#This Row],[B]]*'Tablas de informacion'!C$143)-INT(TabAsistencias[[#This Row],[R]]/3)</f>
        <v>30</v>
      </c>
      <c r="QJ46" s="74">
        <f>COUNTIFS($C$27:$PN$27,("&lt;"&amp;$B$3),$C$27:$PN$27,("&gt;="&amp;$B$2),$C$28:$PN$28,1,$C46:$PN46,TabAsistencias[[#Headers],[1]])+
COUNTIFS($C$27:$PN$27,("&lt;"&amp;$B$3),$C$27:$PN$27,("&gt;="&amp;$B$2),$C$28:$PN$28,1,$C46:$PN46,TabAsistencias[[#Headers],[DO]])+
COUNTIFS($C$27:$PN$27,("&lt;"&amp;$B$3),$C$27:$PN$27,("&gt;="&amp;$B$2),$C$28:$PN$28,1,$C46:$PN46,TabAsistencias[[#Headers],[R]])+
COUNTIFS($C$27:$PN$27,("&lt;"&amp;$B$3),$C$27:$PN$27,("&gt;="&amp;$B$2),$C$28:$PN$28,1,$C46:$PN46,TabAsistencias[[#Headers],[NA]])+
COUNTIFS($C$27:$PN$27,("&lt;"&amp;$B$3),$C$27:$PN$27,("&gt;="&amp;$B$2),$C$28:$PN$28,1,$C46:$PN46,TabAsistencias[[#Headers],[DF]])+
COUNTIFS($C$27:$PN$27,("&lt;"&amp;$B$3),$C$27:$PN$27,("&gt;="&amp;$B$2),$C$28:$PN$28,1,$C46:$PN46,TabAsistencias[[#Headers],[3]])+
COUNTIFS($C$27:$PN$27,("&lt;"&amp;$B$3),$C$27:$PN$27,("&gt;="&amp;$B$2),$C$28:$PN$28,1,$C46:$PN46,TabAsistencias[[#Headers],[CP]])+
COUNTIFS($C$27:$PN$27,("&lt;"&amp;$B$3),$C$27:$PN$27,("&gt;="&amp;$B$2),$C$28:$PN$28,1,$C46:$PN46,TabAsistencias[[#Headers],[T/2]])</f>
        <v>4</v>
      </c>
      <c r="QK46" s="315" cm="1">
        <f t="array" ref="QK46">IFERROR(VLOOKUP(
DATEDIF((VLOOKUP(TabAsistencias[[#This Row],[ID]],TabEmpleados[],COLUMN(TabEmpleados[Fecha de ingreso]),FALSE)),Asistencias!$B$3,"Y"),
TabFactorIntegracion[],COLUMN(TabFactorIntegracion[Días vacacionales
establecidos por ley]),FALSE),0)
-
COUNTIF($AH46:$PN46,TabAsistencias[[#Headers],[V]])</f>
        <v>12</v>
      </c>
      <c r="QL46" s="319">
        <f>SUM(TabAsistencias[[#This Row],[''1]],TabAsistencias[[#This Row],[''DE]],TabAsistencias[[#This Row],[''DO]],TabAsistencias[[#This Row],[''R]],TabAsistencias[[#This Row],[''NA]],TabAsistencias[[#This Row],[''DF]],TabAsistencias[[#This Row],[''3]],TabAsistencias[[#This Row],[''CP]],TabAsistencias[[#This Row],[''T/2]],TabAsistencias[[#This Row],[''DP]])</f>
        <v>73</v>
      </c>
      <c r="QM46" s="314">
        <f>COUNTIFS($C$27:$PN$27,("&lt;"&amp;$B$5),$C$27:$PN$27,("&gt;="&amp;$B$4),$C46:$PN46,TabAsistencias[[#Headers],[1]])</f>
        <v>73</v>
      </c>
      <c r="QN46" s="314">
        <f>COUNTIFS($C$27:$PN$27,("&lt;"&amp;$B$5),$C$27:$PN$27,("&gt;="&amp;$B$4),$C46:$PN46,TabAsistencias[[#Headers],[DE]])</f>
        <v>0</v>
      </c>
      <c r="QO46" s="314">
        <f>COUNTIFS($C$27:$PN$27,("&lt;"&amp;$B$5),$C$27:$PN$27,("&gt;="&amp;$B$4),$C46:$PN46,TabAsistencias[[#Headers],[V]])</f>
        <v>0</v>
      </c>
      <c r="QP46" s="314">
        <f>COUNTIFS($C$27:$PN$27,("&lt;"&amp;$B$5),$C$27:$PN$27,("&gt;="&amp;$B$4),$C46:$PN46,TabAsistencias[[#Headers],[DO]])</f>
        <v>0</v>
      </c>
      <c r="QQ46" s="314">
        <f>COUNTIFS($C$27:$PN$27,("&lt;"&amp;$B$5),$C$27:$PN$27,("&gt;="&amp;$B$4),$C46:$PN46,TabAsistencias[[#Headers],[P]])</f>
        <v>0</v>
      </c>
      <c r="QR46" s="314">
        <f>COUNTIFS($C$27:$PN$27,("&lt;"&amp;$B$5),$C$27:$PN$27,("&gt;="&amp;$B$4),$C46:$PN46,TabAsistencias[[#Headers],[F]])</f>
        <v>0</v>
      </c>
      <c r="QS46" s="314">
        <f>COUNTIFS($C$27:$PN$27,("&lt;"&amp;$B$5),$C$27:$PN$27,("&gt;="&amp;$B$4),$C46:$PN46,TabAsistencias[[#Headers],[R]])</f>
        <v>0</v>
      </c>
      <c r="QT46" s="314">
        <f>COUNTIFS($C$27:$PN$27,("&lt;"&amp;$B$5),$C$27:$PN$27,("&gt;="&amp;$B$4),$C46:$PN46,TabAsistencias[[#Headers],[PP]])</f>
        <v>0</v>
      </c>
      <c r="QU46" s="314">
        <f>COUNTIFS($C$27:$PN$27,("&lt;"&amp;$B$5),$C$27:$PN$27,("&gt;="&amp;$B$4),$C46:$PN46,TabAsistencias[[#Headers],[0]])</f>
        <v>0</v>
      </c>
      <c r="QV46" s="314">
        <f>COUNTIFS($C$27:$PN$27,("&lt;"&amp;$B$5),$C$27:$PN$27,("&gt;="&amp;$B$4),$C46:$PN46,TabAsistencias[[#Headers],[IG]])</f>
        <v>0</v>
      </c>
      <c r="QW46" s="314">
        <f>COUNTIFS($C$27:$PN$27,("&lt;"&amp;$B$5),$C$27:$PN$27,("&gt;="&amp;$B$4),$C46:$PN46,TabAsistencias[[#Headers],[NA]])</f>
        <v>0</v>
      </c>
      <c r="QX46" s="314">
        <f>COUNTIFS($C$27:$PN$27,("&lt;"&amp;$B$5),$C$27:$PN$27,("&gt;="&amp;$B$4),$C46:$PN46,TabAsistencias[[#Headers],[DF]])</f>
        <v>0</v>
      </c>
      <c r="QY46" s="314">
        <f>COUNTIFS($C$27:$PN$27,("&lt;"&amp;$B$5),$C$27:$PN$27,("&gt;="&amp;$B$4),$C46:$PN46,TabAsistencias[[#Headers],[3]])</f>
        <v>0</v>
      </c>
      <c r="QZ46" s="314">
        <f>COUNTIFS($C$27:$PN$27,("&lt;"&amp;$B$5),$C$27:$PN$27,("&gt;="&amp;$B$4),$C46:$PN46,TabAsistencias[[#Headers],[CP]])</f>
        <v>0</v>
      </c>
      <c r="RA46" s="314">
        <f>COUNTIFS($C$27:$PN$27,("&lt;"&amp;$B$5),$C$27:$PN$27,("&gt;="&amp;$B$4),$C46:$PN46,TabAsistencias[[#Headers],[I]])</f>
        <v>0</v>
      </c>
      <c r="RB46" s="314">
        <f>COUNTIFS($C$27:$PN$27,("&lt;"&amp;$B$5),$C$27:$PN$27,("&gt;="&amp;$B$4),$C46:$PN46,TabAsistencias[[#Headers],[T/2]])</f>
        <v>0</v>
      </c>
      <c r="RC46" s="314">
        <f>COUNTIFS($C$27:$PN$27,("&lt;"&amp;$B$5),$C$27:$PN$27,("&gt;="&amp;$B$4),$C46:$PN46,TabAsistencias[[#Headers],[ME]])</f>
        <v>0</v>
      </c>
      <c r="RD46" s="314">
        <f>COUNTIFS($C$27:$PN$27,("&lt;"&amp;$B$5),$C$27:$PN$27,("&gt;="&amp;$B$4),$C46:$PN46,TabAsistencias[[#Headers],[DP]])</f>
        <v>0</v>
      </c>
      <c r="RE46" s="314">
        <f>COUNTIFS($C$27:$PN$27,("&lt;"&amp;$B$5),$C$27:$PN$27,("&gt;="&amp;$B$4),$C46:$PN46,TabAsistencias[[#Headers],[B]])</f>
        <v>0</v>
      </c>
      <c r="RF46" s="314">
        <f>COUNTIFS($C$27:$PN$27,("&lt;"&amp;$B$5),$C$27:$PN$27,("&gt;="&amp;$B$4),$C$28:$PN$28,1,$C46:$PN46,TabAsistencias[[#Headers],[1]])+
COUNTIFS($C$27:$PN$27,("&lt;"&amp;$B$5),$C$27:$PN$27,("&gt;="&amp;$B$4),$C$28:$PN$28,1,$C46:$PN46,TabAsistencias[[#Headers],[DO]])+
COUNTIFS($C$27:$PN$27,("&lt;"&amp;$B$5),$C$27:$PN$27,("&gt;="&amp;$B$4),$C$28:$PN$28,1,$C46:$PN46,TabAsistencias[[#Headers],[R]])+
COUNTIFS($C$27:$PN$27,("&lt;"&amp;$B$5),$C$27:$PN$27,("&gt;="&amp;$B$4),$C$28:$PN$28,1,$C46:$PN46,TabAsistencias[[#Headers],[NA]])+
COUNTIFS($C$27:$PN$27,("&lt;"&amp;$B$5),$C$27:$PN$27,("&gt;="&amp;$B$4),$C$28:$PN$28,1,$C46:$PN46,TabAsistencias[[#Headers],[DF]])+
COUNTIFS($C$27:$PN$27,("&lt;"&amp;$B$5),$C$27:$PN$27,("&gt;="&amp;$B$4),$C$28:$PN$28,1,$C46:$PN46,TabAsistencias[[#Headers],[3]])+
COUNTIFS($C$27:$PN$27,("&lt;"&amp;$B$5),$C$27:$PN$27,("&gt;="&amp;$B$4),$C$28:$PN$28,1,$C46:$PN46,TabAsistencias[[#Headers],[CP]])+
COUNTIFS($C$27:$PN$27,("&lt;"&amp;$B$5),$C$27:$PN$27,("&gt;="&amp;$B$4),$C$28:$PN$28,1,$C46:$PN46,TabAsistencias[[#Headers],[T/2]])</f>
        <v>11</v>
      </c>
      <c r="RG46" s="320" cm="1">
        <f t="array" ref="RG46">IFERROR(VLOOKUP(
DATEDIF((VLOOKUP(TabAsistencias[[#This Row],[ID]],TabEmpleados[],COLUMN(TabEmpleados[Fecha de alta NSS]),FALSE)),Asistencias!$B$3,"Y"),
TabFactorIntegracion[],COLUMN(TabFactorIntegracion[Días vacacionales
establecidos por ley]),FALSE),0)
-
COUNTIF($AH46:$PN46,TabAsistencias[[#Headers],[V]])</f>
        <v>12</v>
      </c>
    </row>
    <row r="47" spans="1:475" x14ac:dyDescent="0.25">
      <c r="A47" s="92">
        <f t="shared" si="434"/>
        <v>17</v>
      </c>
      <c r="B47" s="30" t="str" cm="1">
        <f t="array" ref="B47">VLOOKUP(TabAsistencias[[#This Row],[ID]],TabEmpleados[],COLUMN(TabEmpleados[Nombre]),FALSE)</f>
        <v>ANTONIO ENRIQUEZ GERMAN</v>
      </c>
      <c r="C47" s="36" t="s">
        <v>139</v>
      </c>
      <c r="D47" s="36" t="s">
        <v>139</v>
      </c>
      <c r="E47" s="36" t="s">
        <v>139</v>
      </c>
      <c r="F47" s="36" t="s">
        <v>139</v>
      </c>
      <c r="G47" s="36" t="s">
        <v>139</v>
      </c>
      <c r="H47" s="36" t="s">
        <v>139</v>
      </c>
      <c r="I47" s="36" t="s">
        <v>139</v>
      </c>
      <c r="J47" s="36" t="s">
        <v>139</v>
      </c>
      <c r="K47" s="36" t="s">
        <v>139</v>
      </c>
      <c r="L47" s="36" t="s">
        <v>139</v>
      </c>
      <c r="M47" s="36" t="s">
        <v>139</v>
      </c>
      <c r="N47" s="36" t="s">
        <v>139</v>
      </c>
      <c r="O47" s="36" t="s">
        <v>139</v>
      </c>
      <c r="P47" s="36" t="s">
        <v>139</v>
      </c>
      <c r="Q47" s="36" t="s">
        <v>139</v>
      </c>
      <c r="R47" s="36" t="s">
        <v>139</v>
      </c>
      <c r="S47" s="36" t="s">
        <v>139</v>
      </c>
      <c r="T47" s="36" t="s">
        <v>139</v>
      </c>
      <c r="U47" s="36" t="s">
        <v>139</v>
      </c>
      <c r="V47" s="36" t="s">
        <v>139</v>
      </c>
      <c r="W47" s="36" t="s">
        <v>139</v>
      </c>
      <c r="X47" s="36" t="s">
        <v>139</v>
      </c>
      <c r="Y47" s="36" t="s">
        <v>139</v>
      </c>
      <c r="Z47" s="36" t="s">
        <v>139</v>
      </c>
      <c r="AA47" s="36" t="s">
        <v>139</v>
      </c>
      <c r="AB47" s="36" t="s">
        <v>139</v>
      </c>
      <c r="AC47" s="36" t="s">
        <v>139</v>
      </c>
      <c r="AD47" s="36" t="s">
        <v>139</v>
      </c>
      <c r="AE47" s="36" t="s">
        <v>139</v>
      </c>
      <c r="AF47" s="36" t="s">
        <v>139</v>
      </c>
      <c r="AG47" s="36" t="s">
        <v>139</v>
      </c>
      <c r="AH47" s="36" t="s">
        <v>139</v>
      </c>
      <c r="AI47" s="36" t="s">
        <v>139</v>
      </c>
      <c r="AJ47" s="36" t="s">
        <v>139</v>
      </c>
      <c r="AK47" s="36" t="s">
        <v>139</v>
      </c>
      <c r="AL47" s="36" t="s">
        <v>139</v>
      </c>
      <c r="AM47" s="36" t="s">
        <v>139</v>
      </c>
      <c r="AN47" s="36" t="s">
        <v>139</v>
      </c>
      <c r="AO47" s="36" t="s">
        <v>139</v>
      </c>
      <c r="AP47" s="36" t="s">
        <v>139</v>
      </c>
      <c r="AQ47" s="36" t="s">
        <v>139</v>
      </c>
      <c r="AR47" s="36" t="s">
        <v>139</v>
      </c>
      <c r="AS47" s="36" t="s">
        <v>139</v>
      </c>
      <c r="AT47" s="36" t="s">
        <v>139</v>
      </c>
      <c r="AU47" s="36" t="s">
        <v>139</v>
      </c>
      <c r="AV47" s="36" t="s">
        <v>139</v>
      </c>
      <c r="AW47" s="36" t="s">
        <v>139</v>
      </c>
      <c r="AX47" s="36" t="s">
        <v>139</v>
      </c>
      <c r="AY47" s="36" t="s">
        <v>139</v>
      </c>
      <c r="AZ47" s="36" t="s">
        <v>139</v>
      </c>
      <c r="BA47" s="36" t="s">
        <v>139</v>
      </c>
      <c r="BB47" s="36" t="s">
        <v>139</v>
      </c>
      <c r="BC47" s="36" t="s">
        <v>139</v>
      </c>
      <c r="BD47" s="36" t="s">
        <v>139</v>
      </c>
      <c r="BE47" s="36" t="s">
        <v>139</v>
      </c>
      <c r="BF47" s="36" t="s">
        <v>139</v>
      </c>
      <c r="BG47" s="36" t="s">
        <v>139</v>
      </c>
      <c r="BH47" s="36" t="s">
        <v>139</v>
      </c>
      <c r="BI47" s="36" t="s">
        <v>139</v>
      </c>
      <c r="BJ47" s="36" t="s">
        <v>139</v>
      </c>
      <c r="BK47" s="36" t="s">
        <v>139</v>
      </c>
      <c r="BL47" s="36" t="s">
        <v>139</v>
      </c>
      <c r="BM47" s="36" t="s">
        <v>139</v>
      </c>
      <c r="BN47" s="36" t="s">
        <v>139</v>
      </c>
      <c r="BO47" s="36" t="s">
        <v>139</v>
      </c>
      <c r="BP47" s="36" t="s">
        <v>139</v>
      </c>
      <c r="BQ47" s="36" t="s">
        <v>139</v>
      </c>
      <c r="BR47" s="36" t="s">
        <v>139</v>
      </c>
      <c r="BS47" s="36" t="s">
        <v>139</v>
      </c>
      <c r="BT47" s="36" t="s">
        <v>139</v>
      </c>
      <c r="BU47" s="36" t="s">
        <v>139</v>
      </c>
      <c r="BV47" s="36" t="s">
        <v>139</v>
      </c>
      <c r="BW47" s="36" t="s">
        <v>139</v>
      </c>
      <c r="BX47" s="36" t="s">
        <v>139</v>
      </c>
      <c r="BY47" s="36" t="s">
        <v>139</v>
      </c>
      <c r="BZ47" s="36" t="s">
        <v>139</v>
      </c>
      <c r="CA47" s="36" t="s">
        <v>139</v>
      </c>
      <c r="CB47" s="36" t="s">
        <v>139</v>
      </c>
      <c r="CC47" s="36" t="s">
        <v>139</v>
      </c>
      <c r="CD47" s="36" t="s">
        <v>139</v>
      </c>
      <c r="CE47" s="36" t="s">
        <v>139</v>
      </c>
      <c r="CF47" s="36" t="s">
        <v>139</v>
      </c>
      <c r="CG47" s="36" t="s">
        <v>139</v>
      </c>
      <c r="CH47" s="36" t="s">
        <v>139</v>
      </c>
      <c r="CI47" s="36" t="s">
        <v>139</v>
      </c>
      <c r="CJ47" s="36" t="s">
        <v>139</v>
      </c>
      <c r="CK47" s="36" t="s">
        <v>139</v>
      </c>
      <c r="CL47" s="36" t="s">
        <v>139</v>
      </c>
      <c r="CM47" s="36" t="s">
        <v>139</v>
      </c>
      <c r="CN47" s="36" t="s">
        <v>139</v>
      </c>
      <c r="CO47" s="36" t="s">
        <v>139</v>
      </c>
      <c r="CP47" s="36" t="s">
        <v>139</v>
      </c>
      <c r="CQ47" s="36" t="s">
        <v>139</v>
      </c>
      <c r="CR47" s="36" t="s">
        <v>139</v>
      </c>
      <c r="CS47" s="36" t="s">
        <v>139</v>
      </c>
      <c r="CT47" s="36" t="s">
        <v>139</v>
      </c>
      <c r="CU47" s="36" t="s">
        <v>139</v>
      </c>
      <c r="CV47" s="36" t="s">
        <v>139</v>
      </c>
      <c r="CW47" s="36" t="s">
        <v>139</v>
      </c>
      <c r="CX47" s="36" t="s">
        <v>139</v>
      </c>
      <c r="CY47" s="36" t="s">
        <v>139</v>
      </c>
      <c r="CZ47" s="36" t="s">
        <v>139</v>
      </c>
      <c r="DA47" s="36" t="s">
        <v>139</v>
      </c>
      <c r="DB47" s="36" t="s">
        <v>139</v>
      </c>
      <c r="DC47" s="36" t="s">
        <v>139</v>
      </c>
      <c r="DD47" s="36" t="s">
        <v>139</v>
      </c>
      <c r="DE47" s="36" t="s">
        <v>139</v>
      </c>
      <c r="DF47" s="36" t="s">
        <v>139</v>
      </c>
      <c r="DG47" s="36" t="s">
        <v>139</v>
      </c>
      <c r="DH47" s="36" t="s">
        <v>139</v>
      </c>
      <c r="DI47" s="36" t="s">
        <v>139</v>
      </c>
      <c r="DJ47" s="36" t="s">
        <v>139</v>
      </c>
      <c r="DK47" s="36" t="s">
        <v>139</v>
      </c>
      <c r="DL47" s="36" t="s">
        <v>139</v>
      </c>
      <c r="DM47" s="36" t="s">
        <v>139</v>
      </c>
      <c r="DN47" s="36" t="s">
        <v>139</v>
      </c>
      <c r="DO47" s="36" t="s">
        <v>139</v>
      </c>
      <c r="DP47" s="36" t="s">
        <v>139</v>
      </c>
      <c r="DQ47" s="36" t="s">
        <v>139</v>
      </c>
      <c r="DR47" s="36" t="s">
        <v>139</v>
      </c>
      <c r="DS47" s="36" t="s">
        <v>139</v>
      </c>
      <c r="DT47" s="36" t="s">
        <v>139</v>
      </c>
      <c r="DU47" s="36" t="s">
        <v>139</v>
      </c>
      <c r="DV47" s="36" t="s">
        <v>139</v>
      </c>
      <c r="DW47" s="36" t="s">
        <v>139</v>
      </c>
      <c r="DX47" s="36" t="s">
        <v>139</v>
      </c>
      <c r="DY47" s="36" t="s">
        <v>139</v>
      </c>
      <c r="DZ47" s="36" t="s">
        <v>139</v>
      </c>
      <c r="EA47" s="36" t="s">
        <v>139</v>
      </c>
      <c r="EB47" s="36" t="s">
        <v>139</v>
      </c>
      <c r="EC47" s="36" t="s">
        <v>139</v>
      </c>
      <c r="ED47" s="36" t="s">
        <v>139</v>
      </c>
      <c r="EE47" s="36" t="s">
        <v>139</v>
      </c>
      <c r="EF47" s="36" t="s">
        <v>139</v>
      </c>
      <c r="EG47" s="36" t="s">
        <v>139</v>
      </c>
      <c r="EH47" s="36" t="s">
        <v>139</v>
      </c>
      <c r="EI47" s="36" t="s">
        <v>139</v>
      </c>
      <c r="EJ47" s="36" t="s">
        <v>139</v>
      </c>
      <c r="EK47" s="36" t="s">
        <v>139</v>
      </c>
      <c r="EL47" s="36" t="s">
        <v>139</v>
      </c>
      <c r="EM47" s="36" t="s">
        <v>139</v>
      </c>
      <c r="EN47" s="36" t="s">
        <v>139</v>
      </c>
      <c r="EO47" s="36" t="s">
        <v>139</v>
      </c>
      <c r="EP47" s="36" t="s">
        <v>139</v>
      </c>
      <c r="EQ47" s="36" t="s">
        <v>139</v>
      </c>
      <c r="ER47" s="36" t="s">
        <v>139</v>
      </c>
      <c r="ES47" s="36" t="s">
        <v>139</v>
      </c>
      <c r="ET47" s="36" t="s">
        <v>139</v>
      </c>
      <c r="EU47" s="36" t="s">
        <v>139</v>
      </c>
      <c r="EV47" s="36" t="s">
        <v>139</v>
      </c>
      <c r="EW47" s="36" t="s">
        <v>139</v>
      </c>
      <c r="EX47" s="36" t="s">
        <v>139</v>
      </c>
      <c r="EY47" s="36" t="s">
        <v>139</v>
      </c>
      <c r="EZ47" s="36" t="s">
        <v>139</v>
      </c>
      <c r="FA47" s="36" t="s">
        <v>139</v>
      </c>
      <c r="FB47" s="36" t="s">
        <v>139</v>
      </c>
      <c r="FC47" s="36" t="s">
        <v>139</v>
      </c>
      <c r="FD47" s="36" t="s">
        <v>139</v>
      </c>
      <c r="FE47" s="36" t="s">
        <v>139</v>
      </c>
      <c r="FF47" s="36" t="s">
        <v>139</v>
      </c>
      <c r="FG47" s="36" t="s">
        <v>139</v>
      </c>
      <c r="FH47" s="36" t="s">
        <v>139</v>
      </c>
      <c r="FI47" s="36" t="s">
        <v>139</v>
      </c>
      <c r="FJ47" s="36" t="s">
        <v>139</v>
      </c>
      <c r="FK47" s="36" t="s">
        <v>139</v>
      </c>
      <c r="FL47" s="36" t="s">
        <v>139</v>
      </c>
      <c r="FM47" s="36" t="s">
        <v>139</v>
      </c>
      <c r="FN47" s="36" t="s">
        <v>139</v>
      </c>
      <c r="FO47" s="36" t="s">
        <v>139</v>
      </c>
      <c r="FP47" s="36" t="s">
        <v>139</v>
      </c>
      <c r="FQ47" s="36" t="s">
        <v>139</v>
      </c>
      <c r="FR47" s="36" t="s">
        <v>139</v>
      </c>
      <c r="FS47" s="36" t="s">
        <v>139</v>
      </c>
      <c r="FT47" s="36" t="s">
        <v>139</v>
      </c>
      <c r="FU47" s="36" t="s">
        <v>139</v>
      </c>
      <c r="FV47" s="36" t="s">
        <v>139</v>
      </c>
      <c r="FW47" s="36" t="s">
        <v>139</v>
      </c>
      <c r="FX47" s="36" t="s">
        <v>139</v>
      </c>
      <c r="FY47" s="36" t="s">
        <v>139</v>
      </c>
      <c r="FZ47" s="36" t="s">
        <v>139</v>
      </c>
      <c r="GA47" s="36" t="s">
        <v>139</v>
      </c>
      <c r="GB47" s="36" t="s">
        <v>139</v>
      </c>
      <c r="GC47" s="36" t="s">
        <v>139</v>
      </c>
      <c r="GD47" s="36" t="s">
        <v>139</v>
      </c>
      <c r="GE47" s="36" t="s">
        <v>139</v>
      </c>
      <c r="GF47" s="36" t="s">
        <v>139</v>
      </c>
      <c r="GG47" s="36" t="s">
        <v>139</v>
      </c>
      <c r="GH47" s="36" t="s">
        <v>139</v>
      </c>
      <c r="GI47" s="36" t="s">
        <v>139</v>
      </c>
      <c r="GJ47" s="36" t="s">
        <v>139</v>
      </c>
      <c r="GK47" s="36" t="s">
        <v>139</v>
      </c>
      <c r="GL47" s="36" t="s">
        <v>139</v>
      </c>
      <c r="GM47" s="36" t="s">
        <v>139</v>
      </c>
      <c r="GN47" s="36" t="s">
        <v>139</v>
      </c>
      <c r="GO47" s="36" t="s">
        <v>139</v>
      </c>
      <c r="GP47" s="36" t="s">
        <v>139</v>
      </c>
      <c r="GQ47" s="36" t="s">
        <v>139</v>
      </c>
      <c r="GR47" s="36" t="s">
        <v>139</v>
      </c>
      <c r="GS47" s="36" t="s">
        <v>139</v>
      </c>
      <c r="GT47" s="36" t="s">
        <v>139</v>
      </c>
      <c r="GU47" s="36" t="s">
        <v>139</v>
      </c>
      <c r="GV47" s="36" t="s">
        <v>139</v>
      </c>
      <c r="GW47" s="36" t="s">
        <v>139</v>
      </c>
      <c r="GX47" s="36" t="s">
        <v>139</v>
      </c>
      <c r="GY47" s="36" t="s">
        <v>139</v>
      </c>
      <c r="GZ47" s="36" t="s">
        <v>139</v>
      </c>
      <c r="HA47" s="36" t="s">
        <v>139</v>
      </c>
      <c r="HB47" s="36" t="s">
        <v>139</v>
      </c>
      <c r="HC47" s="36" t="s">
        <v>139</v>
      </c>
      <c r="HD47" s="36" t="s">
        <v>139</v>
      </c>
      <c r="HE47" s="36" t="s">
        <v>139</v>
      </c>
      <c r="HF47" s="36" t="s">
        <v>139</v>
      </c>
      <c r="HG47" s="36" t="s">
        <v>139</v>
      </c>
      <c r="HH47" s="36" t="s">
        <v>139</v>
      </c>
      <c r="HI47" s="36" t="s">
        <v>139</v>
      </c>
      <c r="HJ47" s="36" t="s">
        <v>139</v>
      </c>
      <c r="HK47" s="36" t="s">
        <v>139</v>
      </c>
      <c r="HL47" s="36" t="s">
        <v>139</v>
      </c>
      <c r="HM47" s="36" t="s">
        <v>139</v>
      </c>
      <c r="HN47" s="36" t="s">
        <v>139</v>
      </c>
      <c r="HO47" s="36" t="s">
        <v>139</v>
      </c>
      <c r="HP47" s="36" t="s">
        <v>139</v>
      </c>
      <c r="HQ47" s="36" t="s">
        <v>139</v>
      </c>
      <c r="HR47" s="36" t="s">
        <v>139</v>
      </c>
      <c r="HS47" s="36" t="s">
        <v>139</v>
      </c>
      <c r="HT47" s="36" t="s">
        <v>139</v>
      </c>
      <c r="HU47" s="36" t="s">
        <v>139</v>
      </c>
      <c r="HV47" s="36" t="s">
        <v>139</v>
      </c>
      <c r="HW47" s="36" t="s">
        <v>139</v>
      </c>
      <c r="HX47" s="36" t="s">
        <v>139</v>
      </c>
      <c r="HY47" s="36" t="s">
        <v>139</v>
      </c>
      <c r="HZ47" s="36" t="s">
        <v>139</v>
      </c>
      <c r="IA47" s="36" t="s">
        <v>139</v>
      </c>
      <c r="IB47" s="36" t="s">
        <v>139</v>
      </c>
      <c r="IC47" s="36" t="s">
        <v>139</v>
      </c>
      <c r="ID47" s="36" t="s">
        <v>139</v>
      </c>
      <c r="IE47" s="36" t="s">
        <v>139</v>
      </c>
      <c r="IF47" s="36" t="s">
        <v>139</v>
      </c>
      <c r="IG47" s="36" t="s">
        <v>139</v>
      </c>
      <c r="IH47" s="36" t="s">
        <v>139</v>
      </c>
      <c r="II47" s="36" t="s">
        <v>139</v>
      </c>
      <c r="IJ47" s="36" t="s">
        <v>139</v>
      </c>
      <c r="IK47" s="36" t="s">
        <v>139</v>
      </c>
      <c r="IL47" s="36" t="s">
        <v>139</v>
      </c>
      <c r="IM47" s="36" t="s">
        <v>139</v>
      </c>
      <c r="IN47" s="36" t="s">
        <v>139</v>
      </c>
      <c r="IO47" s="36" t="s">
        <v>139</v>
      </c>
      <c r="IP47" s="36" t="s">
        <v>139</v>
      </c>
      <c r="IQ47" s="36" t="s">
        <v>139</v>
      </c>
      <c r="IR47" s="36" t="s">
        <v>139</v>
      </c>
      <c r="IS47" s="36" t="s">
        <v>139</v>
      </c>
      <c r="IT47" s="36" t="s">
        <v>139</v>
      </c>
      <c r="IU47" s="36" t="s">
        <v>139</v>
      </c>
      <c r="IV47" s="36" t="s">
        <v>139</v>
      </c>
      <c r="IW47" s="36" t="s">
        <v>139</v>
      </c>
      <c r="IX47" s="36" t="s">
        <v>139</v>
      </c>
      <c r="IY47" s="36" t="s">
        <v>139</v>
      </c>
      <c r="IZ47" s="36" t="s">
        <v>139</v>
      </c>
      <c r="JA47" s="36" t="s">
        <v>139</v>
      </c>
      <c r="JB47" s="36" t="s">
        <v>139</v>
      </c>
      <c r="JC47" s="36" t="s">
        <v>139</v>
      </c>
      <c r="JD47" s="36" t="s">
        <v>139</v>
      </c>
      <c r="JE47" s="36" t="s">
        <v>139</v>
      </c>
      <c r="JF47" s="36" t="s">
        <v>139</v>
      </c>
      <c r="JG47" s="36" t="s">
        <v>139</v>
      </c>
      <c r="JH47" s="36" t="s">
        <v>139</v>
      </c>
      <c r="JI47" s="36" t="s">
        <v>139</v>
      </c>
      <c r="JJ47" s="36" t="s">
        <v>139</v>
      </c>
      <c r="JK47" s="36" t="s">
        <v>139</v>
      </c>
      <c r="JL47" s="36" t="s">
        <v>139</v>
      </c>
      <c r="JM47" s="36" t="s">
        <v>139</v>
      </c>
      <c r="JN47" s="36" t="s">
        <v>139</v>
      </c>
      <c r="JO47" s="36" t="s">
        <v>139</v>
      </c>
      <c r="JP47" s="36" t="s">
        <v>139</v>
      </c>
      <c r="JQ47" s="36" t="s">
        <v>139</v>
      </c>
      <c r="JR47" s="36" t="s">
        <v>139</v>
      </c>
      <c r="JS47" s="36" t="s">
        <v>139</v>
      </c>
      <c r="JT47" s="36" t="s">
        <v>139</v>
      </c>
      <c r="JU47" s="36" t="s">
        <v>139</v>
      </c>
      <c r="JV47" s="36" t="s">
        <v>139</v>
      </c>
      <c r="JW47" s="36" t="s">
        <v>139</v>
      </c>
      <c r="JX47" s="36" t="s">
        <v>139</v>
      </c>
      <c r="JY47" s="36" t="s">
        <v>139</v>
      </c>
      <c r="JZ47" s="36" t="s">
        <v>139</v>
      </c>
      <c r="KA47" s="36" t="s">
        <v>139</v>
      </c>
      <c r="KB47" s="36" t="s">
        <v>139</v>
      </c>
      <c r="KC47" s="36" t="s">
        <v>139</v>
      </c>
      <c r="KD47" s="36" t="s">
        <v>139</v>
      </c>
      <c r="KE47" s="36" t="s">
        <v>139</v>
      </c>
      <c r="KF47" s="36" t="s">
        <v>139</v>
      </c>
      <c r="KG47" s="36" t="s">
        <v>139</v>
      </c>
      <c r="KH47" s="36" t="s">
        <v>139</v>
      </c>
      <c r="KI47" s="36" t="s">
        <v>139</v>
      </c>
      <c r="KJ47" s="36" t="s">
        <v>139</v>
      </c>
      <c r="KK47" s="36" t="s">
        <v>139</v>
      </c>
      <c r="KL47" s="36" t="s">
        <v>139</v>
      </c>
      <c r="KM47" s="36" t="s">
        <v>139</v>
      </c>
      <c r="KN47" s="36" t="s">
        <v>139</v>
      </c>
      <c r="KO47" s="36" t="s">
        <v>139</v>
      </c>
      <c r="KP47" s="36" t="s">
        <v>139</v>
      </c>
      <c r="KQ47" s="36" t="s">
        <v>139</v>
      </c>
      <c r="KR47" s="36" t="s">
        <v>139</v>
      </c>
      <c r="KS47" s="36" t="s">
        <v>139</v>
      </c>
      <c r="KT47" s="36" t="s">
        <v>139</v>
      </c>
      <c r="KU47" s="36" t="s">
        <v>139</v>
      </c>
      <c r="KV47" s="36" t="s">
        <v>139</v>
      </c>
      <c r="KW47" s="36" t="s">
        <v>139</v>
      </c>
      <c r="KX47" s="36" t="s">
        <v>139</v>
      </c>
      <c r="KY47" s="36" t="s">
        <v>139</v>
      </c>
      <c r="KZ47" s="36" t="s">
        <v>139</v>
      </c>
      <c r="LA47" s="36" t="s">
        <v>139</v>
      </c>
      <c r="LB47" s="36" t="s">
        <v>139</v>
      </c>
      <c r="LC47" s="36" t="s">
        <v>139</v>
      </c>
      <c r="LD47" s="36" t="s">
        <v>139</v>
      </c>
      <c r="LE47" s="36" t="s">
        <v>139</v>
      </c>
      <c r="LF47" s="36" t="s">
        <v>139</v>
      </c>
      <c r="LG47" s="36" t="s">
        <v>139</v>
      </c>
      <c r="LH47" s="36" t="s">
        <v>139</v>
      </c>
      <c r="LI47" s="36" t="s">
        <v>139</v>
      </c>
      <c r="LJ47" s="36" t="s">
        <v>139</v>
      </c>
      <c r="LK47" s="36" t="s">
        <v>139</v>
      </c>
      <c r="LL47" s="36" t="s">
        <v>139</v>
      </c>
      <c r="LM47" s="36" t="s">
        <v>139</v>
      </c>
      <c r="LN47" s="36" t="s">
        <v>139</v>
      </c>
      <c r="LO47" s="36" t="s">
        <v>139</v>
      </c>
      <c r="LP47" s="36" t="s">
        <v>139</v>
      </c>
      <c r="LQ47" s="36" t="s">
        <v>139</v>
      </c>
      <c r="LR47" s="36" t="s">
        <v>139</v>
      </c>
      <c r="LS47" s="36" t="s">
        <v>139</v>
      </c>
      <c r="LT47" s="36" t="s">
        <v>139</v>
      </c>
      <c r="LU47" s="36" t="s">
        <v>139</v>
      </c>
      <c r="LV47" s="36" t="s">
        <v>139</v>
      </c>
      <c r="LW47" s="36" t="s">
        <v>139</v>
      </c>
      <c r="LX47" s="36" t="s">
        <v>139</v>
      </c>
      <c r="LY47" s="36" t="s">
        <v>139</v>
      </c>
      <c r="LZ47" s="36" t="s">
        <v>139</v>
      </c>
      <c r="MA47" s="36" t="s">
        <v>139</v>
      </c>
      <c r="MB47" s="36" t="s">
        <v>139</v>
      </c>
      <c r="MC47" s="36" t="s">
        <v>139</v>
      </c>
      <c r="MD47" s="36" t="s">
        <v>139</v>
      </c>
      <c r="ME47" s="36" t="s">
        <v>139</v>
      </c>
      <c r="MF47" s="36" t="s">
        <v>139</v>
      </c>
      <c r="MG47" s="36" t="s">
        <v>139</v>
      </c>
      <c r="MH47" s="36" t="s">
        <v>139</v>
      </c>
      <c r="MI47" s="36" t="s">
        <v>139</v>
      </c>
      <c r="MJ47" s="36" t="s">
        <v>139</v>
      </c>
      <c r="MK47" s="36" t="s">
        <v>139</v>
      </c>
      <c r="ML47" s="36" t="s">
        <v>139</v>
      </c>
      <c r="MM47" s="36" t="s">
        <v>139</v>
      </c>
      <c r="MN47" s="36" t="s">
        <v>139</v>
      </c>
      <c r="MO47" s="36" t="s">
        <v>139</v>
      </c>
      <c r="MP47" s="36" t="s">
        <v>139</v>
      </c>
      <c r="MQ47" s="36" t="s">
        <v>139</v>
      </c>
      <c r="MR47" s="36" t="s">
        <v>139</v>
      </c>
      <c r="MS47" s="36" t="s">
        <v>139</v>
      </c>
      <c r="MT47" s="36" t="s">
        <v>139</v>
      </c>
      <c r="MU47" s="36" t="s">
        <v>139</v>
      </c>
      <c r="MV47" s="36" t="s">
        <v>139</v>
      </c>
      <c r="MW47" s="36" t="s">
        <v>139</v>
      </c>
      <c r="MX47" s="36" t="s">
        <v>139</v>
      </c>
      <c r="MY47" s="36" t="s">
        <v>139</v>
      </c>
      <c r="MZ47" s="36" t="s">
        <v>139</v>
      </c>
      <c r="NA47" s="36" t="s">
        <v>139</v>
      </c>
      <c r="NB47" s="36" t="s">
        <v>139</v>
      </c>
      <c r="NC47" s="36" t="s">
        <v>139</v>
      </c>
      <c r="ND47" s="36" t="s">
        <v>139</v>
      </c>
      <c r="NE47" s="36" t="s">
        <v>139</v>
      </c>
      <c r="NF47" s="36" t="s">
        <v>139</v>
      </c>
      <c r="NG47" s="36" t="s">
        <v>139</v>
      </c>
      <c r="NH47" s="36" t="s">
        <v>139</v>
      </c>
      <c r="NI47" s="36" t="s">
        <v>139</v>
      </c>
      <c r="NJ47" s="36" t="s">
        <v>139</v>
      </c>
      <c r="NK47" s="36" t="s">
        <v>139</v>
      </c>
      <c r="NL47" s="36" t="s">
        <v>139</v>
      </c>
      <c r="NM47" s="36" t="s">
        <v>139</v>
      </c>
      <c r="NN47" s="36" t="s">
        <v>139</v>
      </c>
      <c r="NO47" s="36" t="s">
        <v>139</v>
      </c>
      <c r="NP47" s="36" t="s">
        <v>139</v>
      </c>
      <c r="NQ47" s="36" t="s">
        <v>139</v>
      </c>
      <c r="NR47" s="36" t="s">
        <v>139</v>
      </c>
      <c r="NS47" s="36" t="s">
        <v>139</v>
      </c>
      <c r="NT47" s="36" t="s">
        <v>139</v>
      </c>
      <c r="NU47" s="36" t="s">
        <v>139</v>
      </c>
      <c r="NV47" s="36" t="s">
        <v>139</v>
      </c>
      <c r="NW47" s="36" t="s">
        <v>139</v>
      </c>
      <c r="NX47" s="36" t="s">
        <v>139</v>
      </c>
      <c r="NY47" s="36" t="s">
        <v>139</v>
      </c>
      <c r="NZ47" s="36" t="s">
        <v>139</v>
      </c>
      <c r="OA47" s="36" t="s">
        <v>139</v>
      </c>
      <c r="OB47" s="36" t="s">
        <v>139</v>
      </c>
      <c r="OC47" s="36" t="s">
        <v>139</v>
      </c>
      <c r="OD47" s="36" t="s">
        <v>139</v>
      </c>
      <c r="OE47" s="36" t="s">
        <v>139</v>
      </c>
      <c r="OF47" s="36" t="s">
        <v>139</v>
      </c>
      <c r="OG47" s="36" t="s">
        <v>139</v>
      </c>
      <c r="OH47" s="36" t="s">
        <v>139</v>
      </c>
      <c r="OI47" s="36" t="s">
        <v>139</v>
      </c>
      <c r="OJ47" s="36" t="s">
        <v>139</v>
      </c>
      <c r="OK47" s="36" t="s">
        <v>139</v>
      </c>
      <c r="OL47" s="36" t="s">
        <v>139</v>
      </c>
      <c r="OM47" s="36" t="s">
        <v>139</v>
      </c>
      <c r="ON47" s="36" t="s">
        <v>139</v>
      </c>
      <c r="OO47" s="36" t="s">
        <v>139</v>
      </c>
      <c r="OP47" s="36" t="s">
        <v>139</v>
      </c>
      <c r="OQ47" s="36" t="s">
        <v>139</v>
      </c>
      <c r="OR47" s="36" t="s">
        <v>139</v>
      </c>
      <c r="OS47" s="36" t="s">
        <v>139</v>
      </c>
      <c r="OT47" s="36" t="s">
        <v>139</v>
      </c>
      <c r="OU47" s="36" t="s">
        <v>139</v>
      </c>
      <c r="OV47" s="36" t="s">
        <v>139</v>
      </c>
      <c r="OW47" s="36" t="s">
        <v>139</v>
      </c>
      <c r="OX47" s="36" t="s">
        <v>139</v>
      </c>
      <c r="OY47" s="36" t="s">
        <v>139</v>
      </c>
      <c r="OZ47" s="36" t="s">
        <v>139</v>
      </c>
      <c r="PA47" s="36" t="s">
        <v>139</v>
      </c>
      <c r="PB47" s="36" t="s">
        <v>139</v>
      </c>
      <c r="PC47" s="36" t="s">
        <v>139</v>
      </c>
      <c r="PD47" s="36" t="s">
        <v>139</v>
      </c>
      <c r="PE47" s="36" t="s">
        <v>139</v>
      </c>
      <c r="PF47" s="36" t="s">
        <v>139</v>
      </c>
      <c r="PG47" s="36" t="s">
        <v>139</v>
      </c>
      <c r="PH47" s="36" t="s">
        <v>139</v>
      </c>
      <c r="PI47" s="36" t="s">
        <v>139</v>
      </c>
      <c r="PJ47" s="36" t="s">
        <v>139</v>
      </c>
      <c r="PK47" s="36" t="s">
        <v>139</v>
      </c>
      <c r="PL47" s="36" t="s">
        <v>139</v>
      </c>
      <c r="PM47" s="36" t="s">
        <v>139</v>
      </c>
      <c r="PN47" s="36" t="s">
        <v>139</v>
      </c>
      <c r="PO47" s="74">
        <f>COUNTIFS($C$27:$PN$27,("&lt;"&amp;$B$3),$C$27:$PN$27,("&gt;="&amp;$B$2),$C47:$PN47,TabAsistencias[[#Headers],[1]])</f>
        <v>30</v>
      </c>
      <c r="PP47" s="74">
        <f>COUNTIFS($C$27:$PN$27,("&lt;"&amp;$B$3),$C$27:$PN$27,("&gt;="&amp;$B$2),$C47:$PN47,TabAsistencias[[#Headers],[E]])</f>
        <v>0</v>
      </c>
      <c r="PQ47" s="74">
        <f>COUNTIFS($C$27:$PN$27,("&lt;"&amp;$B$3),$C$27:$PN$27,("&gt;="&amp;$B$2),$C47:$PN47,TabAsistencias[[#Headers],[DE]])</f>
        <v>0</v>
      </c>
      <c r="PR47" s="74">
        <f>COUNTIFS($C$27:$PN$27,("&lt;"&amp;$B$3),$C$27:$PN$27,("&gt;="&amp;$B$2),$C47:$PN47,TabAsistencias[[#Headers],[V]])</f>
        <v>0</v>
      </c>
      <c r="PS47" s="74">
        <f>COUNTIFS($C$27:$PN$27,("&lt;"&amp;$B$3),$C$27:$PN$27,("&gt;="&amp;$B$2),$C47:$PN47,TabAsistencias[[#Headers],[DO]])</f>
        <v>0</v>
      </c>
      <c r="PT47" s="74">
        <f>COUNTIFS($C$27:$PN$27,("&lt;"&amp;$B$3),$C$27:$PN$27,("&gt;="&amp;$B$2),$C47:$PN47,TabAsistencias[[#Headers],[P]])</f>
        <v>0</v>
      </c>
      <c r="PU47" s="74">
        <f>COUNTIFS($C$27:$PN$27,("&lt;"&amp;$B$3),$C$27:$PN$27,("&gt;="&amp;$B$2),$C47:$PN47,TabAsistencias[[#Headers],[F]])</f>
        <v>0</v>
      </c>
      <c r="PV47" s="74">
        <f>COUNTIFS($C$27:$PN$27,("&lt;"&amp;$B$3),$C$27:$PN$27,("&gt;="&amp;$B$2),$C47:$PN47,TabAsistencias[[#Headers],[R]])</f>
        <v>0</v>
      </c>
      <c r="PW47" s="74">
        <f>COUNTIFS($C$27:$PN$27,("&lt;"&amp;$B$3),$C$27:$PN$27,("&gt;="&amp;$B$2),$C47:$PN47,TabAsistencias[[#Headers],[PP]])</f>
        <v>0</v>
      </c>
      <c r="PX47" s="74">
        <f>COUNTIFS($C$27:$PN$27,("&lt;"&amp;$B$3),$C$27:$PN$27,("&gt;="&amp;$B$2),$C47:$PN47,TabAsistencias[[#Headers],[0]])</f>
        <v>0</v>
      </c>
      <c r="PY47" s="74">
        <f>COUNTIFS($C$27:$PN$27,("&lt;"&amp;$B$3),$C$27:$PN$27,("&gt;="&amp;$B$2),$C47:$PN47,TabAsistencias[[#Headers],[IG]])</f>
        <v>0</v>
      </c>
      <c r="PZ47" s="74">
        <f>COUNTIFS($C$27:$PN$27,("&lt;"&amp;$B$3),$C$27:$PN$27,("&gt;="&amp;$B$2),$C47:$PN47,TabAsistencias[[#Headers],[NA]])</f>
        <v>0</v>
      </c>
      <c r="QA47" s="74">
        <f>COUNTIFS($C$27:$PN$27,("&lt;"&amp;$B$3),$C$27:$PN$27,("&gt;="&amp;$B$2),$C47:$PN47,TabAsistencias[[#Headers],[DF]])</f>
        <v>0</v>
      </c>
      <c r="QB47" s="74">
        <f>COUNTIFS($C$27:$PN$27,("&lt;"&amp;$B$3),$C$27:$PN$27,("&gt;="&amp;$B$2),$C47:$PN47,TabAsistencias[[#Headers],[3]])</f>
        <v>0</v>
      </c>
      <c r="QC47" s="74">
        <f>COUNTIFS($C$27:$PN$27,("&lt;"&amp;$B$3),$C$27:$PN$27,("&gt;="&amp;$B$2),$C47:$PN47,TabAsistencias[[#Headers],[CP]])</f>
        <v>0</v>
      </c>
      <c r="QD47" s="74">
        <f>COUNTIFS($C$27:$PN$27,("&lt;"&amp;$B$3),$C$27:$PN$27,("&gt;="&amp;$B$2),$C47:$PN47,TabAsistencias[[#Headers],[I]])</f>
        <v>0</v>
      </c>
      <c r="QE47" s="74">
        <f>COUNTIFS($C$27:$PN$27,("&lt;"&amp;$B$3),$C$27:$PN$27,("&gt;="&amp;$B$2),$C47:$PN47,TabAsistencias[[#Headers],[T/2]])</f>
        <v>0</v>
      </c>
      <c r="QF47" s="74">
        <f>COUNTIFS($C$27:$PN$27,("&lt;"&amp;$B$3),$C$27:$PN$27,("&gt;="&amp;$B$2),$C47:$PN47,TabAsistencias[[#Headers],[ME]])</f>
        <v>0</v>
      </c>
      <c r="QG47" s="74">
        <f>COUNTIFS($C$27:$PN$27,("&lt;"&amp;$B$3),$C$27:$PN$27,("&gt;="&amp;$B$2),$C47:$PN47,TabAsistencias[[#Headers],[DP]])</f>
        <v>0</v>
      </c>
      <c r="QH47" s="74">
        <f>COUNTIFS($C$27:$PN$27,("&lt;"&amp;$B$3),$C$27:$PN$27,("&gt;="&amp;$B$2),$C47:$PN47,TabAsistencias[[#Headers],[B]])</f>
        <v>0</v>
      </c>
      <c r="QI47" s="74">
        <f>(TabAsistencias[[#This Row],[1]]*'Tablas de informacion'!$C$124)+(TabAsistencias[[#This Row],[E]]*'Tablas de informacion'!$C$125)+(TabAsistencias[[#This Row],[DE]]*'Tablas de informacion'!C$126)+(TabAsistencias[[#This Row],[V]]*'Tablas de informacion'!C$127)+(TabAsistencias[[#This Row],[DO]]*'Tablas de informacion'!C$128)+(TabAsistencias[[#This Row],[P]]*'Tablas de informacion'!C$129)+(TabAsistencias[[#This Row],[F]]*'Tablas de informacion'!C$130)+(TabAsistencias[[#This Row],[R]]*'Tablas de informacion'!C$131)+(TabAsistencias[[#This Row],[PP]]*'Tablas de informacion'!C$132)+(TabAsistencias[[#This Row],[0]]*'Tablas de informacion'!C$133)+(TabAsistencias[[#This Row],[IG]]*'Tablas de informacion'!C$134)+(TabAsistencias[[#This Row],[NA]]*'Tablas de informacion'!C$135)+(TabAsistencias[[#This Row],[DF]]*'Tablas de informacion'!C$136)+(TabAsistencias[[#This Row],[3]]*'Tablas de informacion'!C$137)+(TabAsistencias[[#This Row],[CP]]*'Tablas de informacion'!C$138)+(TabAsistencias[[#This Row],[I]]*'Tablas de informacion'!C$139)+(TabAsistencias[[#This Row],[T/2]]*'Tablas de informacion'!C$140)+(TabAsistencias[[#This Row],[ME]]*'Tablas de informacion'!C$141)+(TabAsistencias[[#This Row],[DP]]*'Tablas de informacion'!C$142)+(TabAsistencias[[#This Row],[B]]*'Tablas de informacion'!C$143)-INT(TabAsistencias[[#This Row],[R]]/3)</f>
        <v>30</v>
      </c>
      <c r="QJ47" s="74">
        <f>COUNTIFS($C$27:$PN$27,("&lt;"&amp;$B$3),$C$27:$PN$27,("&gt;="&amp;$B$2),$C$28:$PN$28,1,$C47:$PN47,TabAsistencias[[#Headers],[1]])+
COUNTIFS($C$27:$PN$27,("&lt;"&amp;$B$3),$C$27:$PN$27,("&gt;="&amp;$B$2),$C$28:$PN$28,1,$C47:$PN47,TabAsistencias[[#Headers],[DO]])+
COUNTIFS($C$27:$PN$27,("&lt;"&amp;$B$3),$C$27:$PN$27,("&gt;="&amp;$B$2),$C$28:$PN$28,1,$C47:$PN47,TabAsistencias[[#Headers],[R]])+
COUNTIFS($C$27:$PN$27,("&lt;"&amp;$B$3),$C$27:$PN$27,("&gt;="&amp;$B$2),$C$28:$PN$28,1,$C47:$PN47,TabAsistencias[[#Headers],[NA]])+
COUNTIFS($C$27:$PN$27,("&lt;"&amp;$B$3),$C$27:$PN$27,("&gt;="&amp;$B$2),$C$28:$PN$28,1,$C47:$PN47,TabAsistencias[[#Headers],[DF]])+
COUNTIFS($C$27:$PN$27,("&lt;"&amp;$B$3),$C$27:$PN$27,("&gt;="&amp;$B$2),$C$28:$PN$28,1,$C47:$PN47,TabAsistencias[[#Headers],[3]])+
COUNTIFS($C$27:$PN$27,("&lt;"&amp;$B$3),$C$27:$PN$27,("&gt;="&amp;$B$2),$C$28:$PN$28,1,$C47:$PN47,TabAsistencias[[#Headers],[CP]])+
COUNTIFS($C$27:$PN$27,("&lt;"&amp;$B$3),$C$27:$PN$27,("&gt;="&amp;$B$2),$C$28:$PN$28,1,$C47:$PN47,TabAsistencias[[#Headers],[T/2]])</f>
        <v>4</v>
      </c>
      <c r="QK47" s="315" cm="1">
        <f t="array" ref="QK47">IFERROR(VLOOKUP(
DATEDIF((VLOOKUP(TabAsistencias[[#This Row],[ID]],TabEmpleados[],COLUMN(TabEmpleados[Fecha de ingreso]),FALSE)),Asistencias!$B$3,"Y"),
TabFactorIntegracion[],COLUMN(TabFactorIntegracion[Días vacacionales
establecidos por ley]),FALSE),0)
-
COUNTIF($AH47:$PN47,TabAsistencias[[#Headers],[V]])</f>
        <v>20</v>
      </c>
      <c r="QL47" s="319">
        <f>SUM(TabAsistencias[[#This Row],[''1]],TabAsistencias[[#This Row],[''DE]],TabAsistencias[[#This Row],[''DO]],TabAsistencias[[#This Row],[''R]],TabAsistencias[[#This Row],[''NA]],TabAsistencias[[#This Row],[''DF]],TabAsistencias[[#This Row],[''3]],TabAsistencias[[#This Row],[''CP]],TabAsistencias[[#This Row],[''T/2]],TabAsistencias[[#This Row],[''DP]])</f>
        <v>73</v>
      </c>
      <c r="QM47" s="314">
        <f>COUNTIFS($C$27:$PN$27,("&lt;"&amp;$B$5),$C$27:$PN$27,("&gt;="&amp;$B$4),$C47:$PN47,TabAsistencias[[#Headers],[1]])</f>
        <v>73</v>
      </c>
      <c r="QN47" s="314">
        <f>COUNTIFS($C$27:$PN$27,("&lt;"&amp;$B$5),$C$27:$PN$27,("&gt;="&amp;$B$4),$C47:$PN47,TabAsistencias[[#Headers],[DE]])</f>
        <v>0</v>
      </c>
      <c r="QO47" s="314">
        <f>COUNTIFS($C$27:$PN$27,("&lt;"&amp;$B$5),$C$27:$PN$27,("&gt;="&amp;$B$4),$C47:$PN47,TabAsistencias[[#Headers],[V]])</f>
        <v>0</v>
      </c>
      <c r="QP47" s="314">
        <f>COUNTIFS($C$27:$PN$27,("&lt;"&amp;$B$5),$C$27:$PN$27,("&gt;="&amp;$B$4),$C47:$PN47,TabAsistencias[[#Headers],[DO]])</f>
        <v>0</v>
      </c>
      <c r="QQ47" s="314">
        <f>COUNTIFS($C$27:$PN$27,("&lt;"&amp;$B$5),$C$27:$PN$27,("&gt;="&amp;$B$4),$C47:$PN47,TabAsistencias[[#Headers],[P]])</f>
        <v>0</v>
      </c>
      <c r="QR47" s="314">
        <f>COUNTIFS($C$27:$PN$27,("&lt;"&amp;$B$5),$C$27:$PN$27,("&gt;="&amp;$B$4),$C47:$PN47,TabAsistencias[[#Headers],[F]])</f>
        <v>0</v>
      </c>
      <c r="QS47" s="314">
        <f>COUNTIFS($C$27:$PN$27,("&lt;"&amp;$B$5),$C$27:$PN$27,("&gt;="&amp;$B$4),$C47:$PN47,TabAsistencias[[#Headers],[R]])</f>
        <v>0</v>
      </c>
      <c r="QT47" s="314">
        <f>COUNTIFS($C$27:$PN$27,("&lt;"&amp;$B$5),$C$27:$PN$27,("&gt;="&amp;$B$4),$C47:$PN47,TabAsistencias[[#Headers],[PP]])</f>
        <v>0</v>
      </c>
      <c r="QU47" s="314">
        <f>COUNTIFS($C$27:$PN$27,("&lt;"&amp;$B$5),$C$27:$PN$27,("&gt;="&amp;$B$4),$C47:$PN47,TabAsistencias[[#Headers],[0]])</f>
        <v>0</v>
      </c>
      <c r="QV47" s="314">
        <f>COUNTIFS($C$27:$PN$27,("&lt;"&amp;$B$5),$C$27:$PN$27,("&gt;="&amp;$B$4),$C47:$PN47,TabAsistencias[[#Headers],[IG]])</f>
        <v>0</v>
      </c>
      <c r="QW47" s="314">
        <f>COUNTIFS($C$27:$PN$27,("&lt;"&amp;$B$5),$C$27:$PN$27,("&gt;="&amp;$B$4),$C47:$PN47,TabAsistencias[[#Headers],[NA]])</f>
        <v>0</v>
      </c>
      <c r="QX47" s="314">
        <f>COUNTIFS($C$27:$PN$27,("&lt;"&amp;$B$5),$C$27:$PN$27,("&gt;="&amp;$B$4),$C47:$PN47,TabAsistencias[[#Headers],[DF]])</f>
        <v>0</v>
      </c>
      <c r="QY47" s="314">
        <f>COUNTIFS($C$27:$PN$27,("&lt;"&amp;$B$5),$C$27:$PN$27,("&gt;="&amp;$B$4),$C47:$PN47,TabAsistencias[[#Headers],[3]])</f>
        <v>0</v>
      </c>
      <c r="QZ47" s="314">
        <f>COUNTIFS($C$27:$PN$27,("&lt;"&amp;$B$5),$C$27:$PN$27,("&gt;="&amp;$B$4),$C47:$PN47,TabAsistencias[[#Headers],[CP]])</f>
        <v>0</v>
      </c>
      <c r="RA47" s="314">
        <f>COUNTIFS($C$27:$PN$27,("&lt;"&amp;$B$5),$C$27:$PN$27,("&gt;="&amp;$B$4),$C47:$PN47,TabAsistencias[[#Headers],[I]])</f>
        <v>0</v>
      </c>
      <c r="RB47" s="314">
        <f>COUNTIFS($C$27:$PN$27,("&lt;"&amp;$B$5),$C$27:$PN$27,("&gt;="&amp;$B$4),$C47:$PN47,TabAsistencias[[#Headers],[T/2]])</f>
        <v>0</v>
      </c>
      <c r="RC47" s="314">
        <f>COUNTIFS($C$27:$PN$27,("&lt;"&amp;$B$5),$C$27:$PN$27,("&gt;="&amp;$B$4),$C47:$PN47,TabAsistencias[[#Headers],[ME]])</f>
        <v>0</v>
      </c>
      <c r="RD47" s="314">
        <f>COUNTIFS($C$27:$PN$27,("&lt;"&amp;$B$5),$C$27:$PN$27,("&gt;="&amp;$B$4),$C47:$PN47,TabAsistencias[[#Headers],[DP]])</f>
        <v>0</v>
      </c>
      <c r="RE47" s="314">
        <f>COUNTIFS($C$27:$PN$27,("&lt;"&amp;$B$5),$C$27:$PN$27,("&gt;="&amp;$B$4),$C47:$PN47,TabAsistencias[[#Headers],[B]])</f>
        <v>0</v>
      </c>
      <c r="RF47" s="314">
        <f>COUNTIFS($C$27:$PN$27,("&lt;"&amp;$B$5),$C$27:$PN$27,("&gt;="&amp;$B$4),$C$28:$PN$28,1,$C47:$PN47,TabAsistencias[[#Headers],[1]])+
COUNTIFS($C$27:$PN$27,("&lt;"&amp;$B$5),$C$27:$PN$27,("&gt;="&amp;$B$4),$C$28:$PN$28,1,$C47:$PN47,TabAsistencias[[#Headers],[DO]])+
COUNTIFS($C$27:$PN$27,("&lt;"&amp;$B$5),$C$27:$PN$27,("&gt;="&amp;$B$4),$C$28:$PN$28,1,$C47:$PN47,TabAsistencias[[#Headers],[R]])+
COUNTIFS($C$27:$PN$27,("&lt;"&amp;$B$5),$C$27:$PN$27,("&gt;="&amp;$B$4),$C$28:$PN$28,1,$C47:$PN47,TabAsistencias[[#Headers],[NA]])+
COUNTIFS($C$27:$PN$27,("&lt;"&amp;$B$5),$C$27:$PN$27,("&gt;="&amp;$B$4),$C$28:$PN$28,1,$C47:$PN47,TabAsistencias[[#Headers],[DF]])+
COUNTIFS($C$27:$PN$27,("&lt;"&amp;$B$5),$C$27:$PN$27,("&gt;="&amp;$B$4),$C$28:$PN$28,1,$C47:$PN47,TabAsistencias[[#Headers],[3]])+
COUNTIFS($C$27:$PN$27,("&lt;"&amp;$B$5),$C$27:$PN$27,("&gt;="&amp;$B$4),$C$28:$PN$28,1,$C47:$PN47,TabAsistencias[[#Headers],[CP]])+
COUNTIFS($C$27:$PN$27,("&lt;"&amp;$B$5),$C$27:$PN$27,("&gt;="&amp;$B$4),$C$28:$PN$28,1,$C47:$PN47,TabAsistencias[[#Headers],[T/2]])</f>
        <v>11</v>
      </c>
      <c r="RG47" s="320" cm="1">
        <f t="array" ref="RG47">IFERROR(VLOOKUP(
DATEDIF((VLOOKUP(TabAsistencias[[#This Row],[ID]],TabEmpleados[],COLUMN(TabEmpleados[Fecha de alta NSS]),FALSE)),Asistencias!$B$3,"Y"),
TabFactorIntegracion[],COLUMN(TabFactorIntegracion[Días vacacionales
establecidos por ley]),FALSE),0)
-
COUNTIF($AH47:$PN47,TabAsistencias[[#Headers],[V]])</f>
        <v>20</v>
      </c>
    </row>
    <row r="48" spans="1:475" x14ac:dyDescent="0.25">
      <c r="A48" s="92">
        <f t="shared" si="434"/>
        <v>18</v>
      </c>
      <c r="B48" s="30" t="str" cm="1">
        <f t="array" ref="B48">VLOOKUP(TabAsistencias[[#This Row],[ID]],TabEmpleados[],COLUMN(TabEmpleados[Nombre]),FALSE)</f>
        <v>RAMIREZ SANTIAGO IRVIN DANIEL</v>
      </c>
      <c r="C48" s="36" t="s">
        <v>139</v>
      </c>
      <c r="D48" s="36" t="s">
        <v>139</v>
      </c>
      <c r="E48" s="36" t="s">
        <v>139</v>
      </c>
      <c r="F48" s="36" t="s">
        <v>139</v>
      </c>
      <c r="G48" s="36" t="s">
        <v>139</v>
      </c>
      <c r="H48" s="36" t="s">
        <v>139</v>
      </c>
      <c r="I48" s="36" t="s">
        <v>139</v>
      </c>
      <c r="J48" s="36" t="s">
        <v>139</v>
      </c>
      <c r="K48" s="36" t="s">
        <v>139</v>
      </c>
      <c r="L48" s="36" t="s">
        <v>139</v>
      </c>
      <c r="M48" s="36" t="s">
        <v>139</v>
      </c>
      <c r="N48" s="36" t="s">
        <v>139</v>
      </c>
      <c r="O48" s="36" t="s">
        <v>139</v>
      </c>
      <c r="P48" s="36" t="s">
        <v>139</v>
      </c>
      <c r="Q48" s="36" t="s">
        <v>139</v>
      </c>
      <c r="R48" s="36" t="s">
        <v>139</v>
      </c>
      <c r="S48" s="36" t="s">
        <v>139</v>
      </c>
      <c r="T48" s="36" t="s">
        <v>139</v>
      </c>
      <c r="U48" s="36" t="s">
        <v>139</v>
      </c>
      <c r="V48" s="36" t="s">
        <v>139</v>
      </c>
      <c r="W48" s="36" t="s">
        <v>139</v>
      </c>
      <c r="X48" s="36" t="s">
        <v>139</v>
      </c>
      <c r="Y48" s="36" t="s">
        <v>139</v>
      </c>
      <c r="Z48" s="36" t="s">
        <v>139</v>
      </c>
      <c r="AA48" s="36" t="s">
        <v>139</v>
      </c>
      <c r="AB48" s="36" t="s">
        <v>139</v>
      </c>
      <c r="AC48" s="36" t="s">
        <v>139</v>
      </c>
      <c r="AD48" s="36" t="s">
        <v>139</v>
      </c>
      <c r="AE48" s="36" t="s">
        <v>139</v>
      </c>
      <c r="AF48" s="36" t="s">
        <v>139</v>
      </c>
      <c r="AG48" s="36" t="s">
        <v>139</v>
      </c>
      <c r="AH48" s="36" t="s">
        <v>139</v>
      </c>
      <c r="AI48" s="36" t="s">
        <v>139</v>
      </c>
      <c r="AJ48" s="36" t="s">
        <v>139</v>
      </c>
      <c r="AK48" s="36" t="s">
        <v>139</v>
      </c>
      <c r="AL48" s="36" t="s">
        <v>139</v>
      </c>
      <c r="AM48" s="36" t="s">
        <v>139</v>
      </c>
      <c r="AN48" s="36" t="s">
        <v>139</v>
      </c>
      <c r="AO48" s="36" t="s">
        <v>139</v>
      </c>
      <c r="AP48" s="36" t="s">
        <v>139</v>
      </c>
      <c r="AQ48" s="36" t="s">
        <v>139</v>
      </c>
      <c r="AR48" s="36" t="s">
        <v>139</v>
      </c>
      <c r="AS48" s="36" t="s">
        <v>139</v>
      </c>
      <c r="AT48" s="36" t="s">
        <v>139</v>
      </c>
      <c r="AU48" s="36" t="s">
        <v>139</v>
      </c>
      <c r="AV48" s="36" t="s">
        <v>139</v>
      </c>
      <c r="AW48" s="36" t="s">
        <v>139</v>
      </c>
      <c r="AX48" s="36" t="s">
        <v>139</v>
      </c>
      <c r="AY48" s="36" t="s">
        <v>139</v>
      </c>
      <c r="AZ48" s="36" t="s">
        <v>139</v>
      </c>
      <c r="BA48" s="36" t="s">
        <v>139</v>
      </c>
      <c r="BB48" s="36" t="s">
        <v>139</v>
      </c>
      <c r="BC48" s="36" t="s">
        <v>139</v>
      </c>
      <c r="BD48" s="36" t="s">
        <v>139</v>
      </c>
      <c r="BE48" s="36" t="s">
        <v>139</v>
      </c>
      <c r="BF48" s="36" t="s">
        <v>139</v>
      </c>
      <c r="BG48" s="36" t="s">
        <v>139</v>
      </c>
      <c r="BH48" s="36" t="s">
        <v>139</v>
      </c>
      <c r="BI48" s="36" t="s">
        <v>139</v>
      </c>
      <c r="BJ48" s="36" t="s">
        <v>139</v>
      </c>
      <c r="BK48" s="36" t="s">
        <v>139</v>
      </c>
      <c r="BL48" s="36" t="s">
        <v>139</v>
      </c>
      <c r="BM48" s="36" t="s">
        <v>139</v>
      </c>
      <c r="BN48" s="36" t="s">
        <v>139</v>
      </c>
      <c r="BO48" s="36" t="s">
        <v>139</v>
      </c>
      <c r="BP48" s="36" t="s">
        <v>139</v>
      </c>
      <c r="BQ48" s="36" t="s">
        <v>139</v>
      </c>
      <c r="BR48" s="36" t="s">
        <v>139</v>
      </c>
      <c r="BS48" s="36" t="s">
        <v>139</v>
      </c>
      <c r="BT48" s="36" t="s">
        <v>139</v>
      </c>
      <c r="BU48" s="36" t="s">
        <v>139</v>
      </c>
      <c r="BV48" s="36" t="s">
        <v>139</v>
      </c>
      <c r="BW48" s="36" t="s">
        <v>139</v>
      </c>
      <c r="BX48" s="36" t="s">
        <v>139</v>
      </c>
      <c r="BY48" s="36" t="s">
        <v>139</v>
      </c>
      <c r="BZ48" s="36" t="s">
        <v>139</v>
      </c>
      <c r="CA48" s="36" t="s">
        <v>139</v>
      </c>
      <c r="CB48" s="36" t="s">
        <v>139</v>
      </c>
      <c r="CC48" s="36" t="s">
        <v>139</v>
      </c>
      <c r="CD48" s="36" t="s">
        <v>139</v>
      </c>
      <c r="CE48" s="36" t="s">
        <v>139</v>
      </c>
      <c r="CF48" s="36" t="s">
        <v>139</v>
      </c>
      <c r="CG48" s="36" t="s">
        <v>139</v>
      </c>
      <c r="CH48" s="36" t="s">
        <v>139</v>
      </c>
      <c r="CI48" s="36" t="s">
        <v>139</v>
      </c>
      <c r="CJ48" s="36" t="s">
        <v>139</v>
      </c>
      <c r="CK48" s="36" t="s">
        <v>139</v>
      </c>
      <c r="CL48" s="36" t="s">
        <v>139</v>
      </c>
      <c r="CM48" s="36" t="s">
        <v>139</v>
      </c>
      <c r="CN48" s="36" t="s">
        <v>139</v>
      </c>
      <c r="CO48" s="36" t="s">
        <v>139</v>
      </c>
      <c r="CP48" s="36" t="s">
        <v>139</v>
      </c>
      <c r="CQ48" s="36" t="s">
        <v>139</v>
      </c>
      <c r="CR48" s="36" t="s">
        <v>139</v>
      </c>
      <c r="CS48" s="36" t="s">
        <v>139</v>
      </c>
      <c r="CT48" s="36" t="s">
        <v>139</v>
      </c>
      <c r="CU48" s="36" t="s">
        <v>139</v>
      </c>
      <c r="CV48" s="36" t="s">
        <v>139</v>
      </c>
      <c r="CW48" s="36" t="s">
        <v>139</v>
      </c>
      <c r="CX48" s="36" t="s">
        <v>139</v>
      </c>
      <c r="CY48" s="36" t="s">
        <v>139</v>
      </c>
      <c r="CZ48" s="36" t="s">
        <v>139</v>
      </c>
      <c r="DA48" s="36" t="s">
        <v>139</v>
      </c>
      <c r="DB48" s="36" t="s">
        <v>139</v>
      </c>
      <c r="DC48" s="36" t="s">
        <v>139</v>
      </c>
      <c r="DD48" s="36" t="s">
        <v>139</v>
      </c>
      <c r="DE48" s="36" t="s">
        <v>139</v>
      </c>
      <c r="DF48" s="36" t="s">
        <v>139</v>
      </c>
      <c r="DG48" s="36" t="s">
        <v>139</v>
      </c>
      <c r="DH48" s="36" t="s">
        <v>139</v>
      </c>
      <c r="DI48" s="36" t="s">
        <v>139</v>
      </c>
      <c r="DJ48" s="36" t="s">
        <v>139</v>
      </c>
      <c r="DK48" s="36" t="s">
        <v>139</v>
      </c>
      <c r="DL48" s="36" t="s">
        <v>139</v>
      </c>
      <c r="DM48" s="36" t="s">
        <v>139</v>
      </c>
      <c r="DN48" s="36" t="s">
        <v>139</v>
      </c>
      <c r="DO48" s="36" t="s">
        <v>139</v>
      </c>
      <c r="DP48" s="36" t="s">
        <v>139</v>
      </c>
      <c r="DQ48" s="36" t="s">
        <v>139</v>
      </c>
      <c r="DR48" s="36" t="s">
        <v>139</v>
      </c>
      <c r="DS48" s="36" t="s">
        <v>139</v>
      </c>
      <c r="DT48" s="36" t="s">
        <v>139</v>
      </c>
      <c r="DU48" s="36" t="s">
        <v>139</v>
      </c>
      <c r="DV48" s="36" t="s">
        <v>139</v>
      </c>
      <c r="DW48" s="36" t="s">
        <v>139</v>
      </c>
      <c r="DX48" s="36" t="s">
        <v>139</v>
      </c>
      <c r="DY48" s="36" t="s">
        <v>139</v>
      </c>
      <c r="DZ48" s="36" t="s">
        <v>139</v>
      </c>
      <c r="EA48" s="36" t="s">
        <v>139</v>
      </c>
      <c r="EB48" s="36" t="s">
        <v>139</v>
      </c>
      <c r="EC48" s="36" t="s">
        <v>139</v>
      </c>
      <c r="ED48" s="36" t="s">
        <v>139</v>
      </c>
      <c r="EE48" s="36" t="s">
        <v>139</v>
      </c>
      <c r="EF48" s="36" t="s">
        <v>139</v>
      </c>
      <c r="EG48" s="36" t="s">
        <v>139</v>
      </c>
      <c r="EH48" s="36" t="s">
        <v>139</v>
      </c>
      <c r="EI48" s="36" t="s">
        <v>139</v>
      </c>
      <c r="EJ48" s="36" t="s">
        <v>139</v>
      </c>
      <c r="EK48" s="36" t="s">
        <v>139</v>
      </c>
      <c r="EL48" s="36" t="s">
        <v>139</v>
      </c>
      <c r="EM48" s="36" t="s">
        <v>139</v>
      </c>
      <c r="EN48" s="36" t="s">
        <v>139</v>
      </c>
      <c r="EO48" s="36" t="s">
        <v>139</v>
      </c>
      <c r="EP48" s="36" t="s">
        <v>139</v>
      </c>
      <c r="EQ48" s="36" t="s">
        <v>139</v>
      </c>
      <c r="ER48" s="36" t="s">
        <v>139</v>
      </c>
      <c r="ES48" s="36" t="s">
        <v>139</v>
      </c>
      <c r="ET48" s="36" t="s">
        <v>139</v>
      </c>
      <c r="EU48" s="36" t="s">
        <v>139</v>
      </c>
      <c r="EV48" s="36" t="s">
        <v>139</v>
      </c>
      <c r="EW48" s="36" t="s">
        <v>139</v>
      </c>
      <c r="EX48" s="36" t="s">
        <v>139</v>
      </c>
      <c r="EY48" s="36" t="s">
        <v>139</v>
      </c>
      <c r="EZ48" s="36" t="s">
        <v>139</v>
      </c>
      <c r="FA48" s="36" t="s">
        <v>139</v>
      </c>
      <c r="FB48" s="36" t="s">
        <v>139</v>
      </c>
      <c r="FC48" s="36" t="s">
        <v>139</v>
      </c>
      <c r="FD48" s="36" t="s">
        <v>139</v>
      </c>
      <c r="FE48" s="36" t="s">
        <v>139</v>
      </c>
      <c r="FF48" s="36" t="s">
        <v>139</v>
      </c>
      <c r="FG48" s="36" t="s">
        <v>139</v>
      </c>
      <c r="FH48" s="36" t="s">
        <v>139</v>
      </c>
      <c r="FI48" s="36" t="s">
        <v>139</v>
      </c>
      <c r="FJ48" s="36" t="s">
        <v>139</v>
      </c>
      <c r="FK48" s="36" t="s">
        <v>139</v>
      </c>
      <c r="FL48" s="36" t="s">
        <v>139</v>
      </c>
      <c r="FM48" s="36" t="s">
        <v>139</v>
      </c>
      <c r="FN48" s="36" t="s">
        <v>139</v>
      </c>
      <c r="FO48" s="36" t="s">
        <v>139</v>
      </c>
      <c r="FP48" s="36" t="s">
        <v>139</v>
      </c>
      <c r="FQ48" s="36" t="s">
        <v>139</v>
      </c>
      <c r="FR48" s="36" t="s">
        <v>139</v>
      </c>
      <c r="FS48" s="36" t="s">
        <v>139</v>
      </c>
      <c r="FT48" s="36" t="s">
        <v>139</v>
      </c>
      <c r="FU48" s="36" t="s">
        <v>139</v>
      </c>
      <c r="FV48" s="36" t="s">
        <v>139</v>
      </c>
      <c r="FW48" s="36" t="s">
        <v>139</v>
      </c>
      <c r="FX48" s="36" t="s">
        <v>139</v>
      </c>
      <c r="FY48" s="36" t="s">
        <v>139</v>
      </c>
      <c r="FZ48" s="36" t="s">
        <v>139</v>
      </c>
      <c r="GA48" s="36" t="s">
        <v>139</v>
      </c>
      <c r="GB48" s="36" t="s">
        <v>139</v>
      </c>
      <c r="GC48" s="36" t="s">
        <v>139</v>
      </c>
      <c r="GD48" s="36" t="s">
        <v>139</v>
      </c>
      <c r="GE48" s="36" t="s">
        <v>139</v>
      </c>
      <c r="GF48" s="36" t="s">
        <v>139</v>
      </c>
      <c r="GG48" s="36" t="s">
        <v>139</v>
      </c>
      <c r="GH48" s="36" t="s">
        <v>139</v>
      </c>
      <c r="GI48" s="36" t="s">
        <v>139</v>
      </c>
      <c r="GJ48" s="36" t="s">
        <v>139</v>
      </c>
      <c r="GK48" s="36" t="s">
        <v>139</v>
      </c>
      <c r="GL48" s="36" t="s">
        <v>139</v>
      </c>
      <c r="GM48" s="36" t="s">
        <v>139</v>
      </c>
      <c r="GN48" s="36" t="s">
        <v>139</v>
      </c>
      <c r="GO48" s="36" t="s">
        <v>139</v>
      </c>
      <c r="GP48" s="36" t="s">
        <v>139</v>
      </c>
      <c r="GQ48" s="36" t="s">
        <v>139</v>
      </c>
      <c r="GR48" s="36" t="s">
        <v>139</v>
      </c>
      <c r="GS48" s="36" t="s">
        <v>139</v>
      </c>
      <c r="GT48" s="36" t="s">
        <v>139</v>
      </c>
      <c r="GU48" s="36" t="s">
        <v>139</v>
      </c>
      <c r="GV48" s="36" t="s">
        <v>139</v>
      </c>
      <c r="GW48" s="36" t="s">
        <v>139</v>
      </c>
      <c r="GX48" s="36" t="s">
        <v>139</v>
      </c>
      <c r="GY48" s="36" t="s">
        <v>139</v>
      </c>
      <c r="GZ48" s="36" t="s">
        <v>139</v>
      </c>
      <c r="HA48" s="36" t="s">
        <v>139</v>
      </c>
      <c r="HB48" s="36" t="s">
        <v>139</v>
      </c>
      <c r="HC48" s="36" t="s">
        <v>139</v>
      </c>
      <c r="HD48" s="36" t="s">
        <v>139</v>
      </c>
      <c r="HE48" s="36" t="s">
        <v>139</v>
      </c>
      <c r="HF48" s="36" t="s">
        <v>139</v>
      </c>
      <c r="HG48" s="36" t="s">
        <v>139</v>
      </c>
      <c r="HH48" s="36" t="s">
        <v>139</v>
      </c>
      <c r="HI48" s="36" t="s">
        <v>139</v>
      </c>
      <c r="HJ48" s="36" t="s">
        <v>139</v>
      </c>
      <c r="HK48" s="36" t="s">
        <v>139</v>
      </c>
      <c r="HL48" s="36" t="s">
        <v>139</v>
      </c>
      <c r="HM48" s="36" t="s">
        <v>139</v>
      </c>
      <c r="HN48" s="36" t="s">
        <v>139</v>
      </c>
      <c r="HO48" s="36" t="s">
        <v>139</v>
      </c>
      <c r="HP48" s="36" t="s">
        <v>139</v>
      </c>
      <c r="HQ48" s="36" t="s">
        <v>139</v>
      </c>
      <c r="HR48" s="36" t="s">
        <v>139</v>
      </c>
      <c r="HS48" s="36" t="s">
        <v>139</v>
      </c>
      <c r="HT48" s="36" t="s">
        <v>139</v>
      </c>
      <c r="HU48" s="36" t="s">
        <v>139</v>
      </c>
      <c r="HV48" s="36" t="s">
        <v>139</v>
      </c>
      <c r="HW48" s="36" t="s">
        <v>139</v>
      </c>
      <c r="HX48" s="36" t="s">
        <v>139</v>
      </c>
      <c r="HY48" s="36" t="s">
        <v>139</v>
      </c>
      <c r="HZ48" s="36" t="s">
        <v>139</v>
      </c>
      <c r="IA48" s="36" t="s">
        <v>139</v>
      </c>
      <c r="IB48" s="36" t="s">
        <v>139</v>
      </c>
      <c r="IC48" s="36" t="s">
        <v>139</v>
      </c>
      <c r="ID48" s="36" t="s">
        <v>139</v>
      </c>
      <c r="IE48" s="36" t="s">
        <v>139</v>
      </c>
      <c r="IF48" s="36" t="s">
        <v>139</v>
      </c>
      <c r="IG48" s="36" t="s">
        <v>139</v>
      </c>
      <c r="IH48" s="36" t="s">
        <v>139</v>
      </c>
      <c r="II48" s="36" t="s">
        <v>139</v>
      </c>
      <c r="IJ48" s="36" t="s">
        <v>139</v>
      </c>
      <c r="IK48" s="36" t="s">
        <v>139</v>
      </c>
      <c r="IL48" s="36" t="s">
        <v>139</v>
      </c>
      <c r="IM48" s="36" t="s">
        <v>139</v>
      </c>
      <c r="IN48" s="36" t="s">
        <v>139</v>
      </c>
      <c r="IO48" s="36" t="s">
        <v>139</v>
      </c>
      <c r="IP48" s="36" t="s">
        <v>139</v>
      </c>
      <c r="IQ48" s="36" t="s">
        <v>139</v>
      </c>
      <c r="IR48" s="36" t="s">
        <v>139</v>
      </c>
      <c r="IS48" s="36" t="s">
        <v>139</v>
      </c>
      <c r="IT48" s="36" t="s">
        <v>139</v>
      </c>
      <c r="IU48" s="36" t="s">
        <v>139</v>
      </c>
      <c r="IV48" s="36" t="s">
        <v>139</v>
      </c>
      <c r="IW48" s="36" t="s">
        <v>139</v>
      </c>
      <c r="IX48" s="36" t="s">
        <v>139</v>
      </c>
      <c r="IY48" s="36" t="s">
        <v>139</v>
      </c>
      <c r="IZ48" s="36" t="s">
        <v>139</v>
      </c>
      <c r="JA48" s="36" t="s">
        <v>139</v>
      </c>
      <c r="JB48" s="36" t="s">
        <v>139</v>
      </c>
      <c r="JC48" s="36" t="s">
        <v>139</v>
      </c>
      <c r="JD48" s="36" t="s">
        <v>139</v>
      </c>
      <c r="JE48" s="36" t="s">
        <v>139</v>
      </c>
      <c r="JF48" s="36" t="s">
        <v>139</v>
      </c>
      <c r="JG48" s="36" t="s">
        <v>139</v>
      </c>
      <c r="JH48" s="36" t="s">
        <v>139</v>
      </c>
      <c r="JI48" s="36" t="s">
        <v>139</v>
      </c>
      <c r="JJ48" s="36" t="s">
        <v>139</v>
      </c>
      <c r="JK48" s="36" t="s">
        <v>139</v>
      </c>
      <c r="JL48" s="36" t="s">
        <v>139</v>
      </c>
      <c r="JM48" s="36" t="s">
        <v>139</v>
      </c>
      <c r="JN48" s="36" t="s">
        <v>139</v>
      </c>
      <c r="JO48" s="36" t="s">
        <v>139</v>
      </c>
      <c r="JP48" s="36" t="s">
        <v>139</v>
      </c>
      <c r="JQ48" s="36" t="s">
        <v>139</v>
      </c>
      <c r="JR48" s="36" t="s">
        <v>139</v>
      </c>
      <c r="JS48" s="36" t="s">
        <v>139</v>
      </c>
      <c r="JT48" s="36" t="s">
        <v>139</v>
      </c>
      <c r="JU48" s="36" t="s">
        <v>139</v>
      </c>
      <c r="JV48" s="36" t="s">
        <v>139</v>
      </c>
      <c r="JW48" s="36" t="s">
        <v>139</v>
      </c>
      <c r="JX48" s="36" t="s">
        <v>139</v>
      </c>
      <c r="JY48" s="36" t="s">
        <v>139</v>
      </c>
      <c r="JZ48" s="36" t="s">
        <v>139</v>
      </c>
      <c r="KA48" s="36" t="s">
        <v>139</v>
      </c>
      <c r="KB48" s="36" t="s">
        <v>139</v>
      </c>
      <c r="KC48" s="36" t="s">
        <v>139</v>
      </c>
      <c r="KD48" s="36" t="s">
        <v>139</v>
      </c>
      <c r="KE48" s="36" t="s">
        <v>139</v>
      </c>
      <c r="KF48" s="36" t="s">
        <v>139</v>
      </c>
      <c r="KG48" s="36" t="s">
        <v>139</v>
      </c>
      <c r="KH48" s="36" t="s">
        <v>139</v>
      </c>
      <c r="KI48" s="36" t="s">
        <v>139</v>
      </c>
      <c r="KJ48" s="36" t="s">
        <v>139</v>
      </c>
      <c r="KK48" s="36" t="s">
        <v>139</v>
      </c>
      <c r="KL48" s="36" t="s">
        <v>139</v>
      </c>
      <c r="KM48" s="36" t="s">
        <v>139</v>
      </c>
      <c r="KN48" s="36" t="s">
        <v>139</v>
      </c>
      <c r="KO48" s="36" t="s">
        <v>139</v>
      </c>
      <c r="KP48" s="36" t="s">
        <v>139</v>
      </c>
      <c r="KQ48" s="36" t="s">
        <v>139</v>
      </c>
      <c r="KR48" s="36" t="s">
        <v>139</v>
      </c>
      <c r="KS48" s="36" t="s">
        <v>139</v>
      </c>
      <c r="KT48" s="36" t="s">
        <v>139</v>
      </c>
      <c r="KU48" s="36" t="s">
        <v>139</v>
      </c>
      <c r="KV48" s="36" t="s">
        <v>139</v>
      </c>
      <c r="KW48" s="36" t="s">
        <v>139</v>
      </c>
      <c r="KX48" s="36" t="s">
        <v>139</v>
      </c>
      <c r="KY48" s="36" t="s">
        <v>139</v>
      </c>
      <c r="KZ48" s="36" t="s">
        <v>139</v>
      </c>
      <c r="LA48" s="36" t="s">
        <v>139</v>
      </c>
      <c r="LB48" s="36" t="s">
        <v>139</v>
      </c>
      <c r="LC48" s="36" t="s">
        <v>139</v>
      </c>
      <c r="LD48" s="36" t="s">
        <v>139</v>
      </c>
      <c r="LE48" s="36" t="s">
        <v>139</v>
      </c>
      <c r="LF48" s="36" t="s">
        <v>139</v>
      </c>
      <c r="LG48" s="36" t="s">
        <v>139</v>
      </c>
      <c r="LH48" s="36" t="s">
        <v>139</v>
      </c>
      <c r="LI48" s="36" t="s">
        <v>139</v>
      </c>
      <c r="LJ48" s="36" t="s">
        <v>139</v>
      </c>
      <c r="LK48" s="36" t="s">
        <v>139</v>
      </c>
      <c r="LL48" s="36" t="s">
        <v>139</v>
      </c>
      <c r="LM48" s="36" t="s">
        <v>139</v>
      </c>
      <c r="LN48" s="36" t="s">
        <v>139</v>
      </c>
      <c r="LO48" s="36" t="s">
        <v>139</v>
      </c>
      <c r="LP48" s="36" t="s">
        <v>139</v>
      </c>
      <c r="LQ48" s="36" t="s">
        <v>139</v>
      </c>
      <c r="LR48" s="36" t="s">
        <v>139</v>
      </c>
      <c r="LS48" s="36" t="s">
        <v>139</v>
      </c>
      <c r="LT48" s="36" t="s">
        <v>139</v>
      </c>
      <c r="LU48" s="36" t="s">
        <v>139</v>
      </c>
      <c r="LV48" s="36" t="s">
        <v>139</v>
      </c>
      <c r="LW48" s="36" t="s">
        <v>139</v>
      </c>
      <c r="LX48" s="36" t="s">
        <v>139</v>
      </c>
      <c r="LY48" s="36" t="s">
        <v>139</v>
      </c>
      <c r="LZ48" s="36" t="s">
        <v>139</v>
      </c>
      <c r="MA48" s="36" t="s">
        <v>139</v>
      </c>
      <c r="MB48" s="36" t="s">
        <v>139</v>
      </c>
      <c r="MC48" s="36" t="s">
        <v>139</v>
      </c>
      <c r="MD48" s="36" t="s">
        <v>139</v>
      </c>
      <c r="ME48" s="36" t="s">
        <v>139</v>
      </c>
      <c r="MF48" s="36" t="s">
        <v>139</v>
      </c>
      <c r="MG48" s="36" t="s">
        <v>139</v>
      </c>
      <c r="MH48" s="36" t="s">
        <v>139</v>
      </c>
      <c r="MI48" s="36" t="s">
        <v>139</v>
      </c>
      <c r="MJ48" s="36" t="s">
        <v>139</v>
      </c>
      <c r="MK48" s="36" t="s">
        <v>139</v>
      </c>
      <c r="ML48" s="36" t="s">
        <v>139</v>
      </c>
      <c r="MM48" s="36" t="s">
        <v>139</v>
      </c>
      <c r="MN48" s="36" t="s">
        <v>139</v>
      </c>
      <c r="MO48" s="36" t="s">
        <v>139</v>
      </c>
      <c r="MP48" s="36" t="s">
        <v>139</v>
      </c>
      <c r="MQ48" s="36" t="s">
        <v>139</v>
      </c>
      <c r="MR48" s="36" t="s">
        <v>139</v>
      </c>
      <c r="MS48" s="36" t="s">
        <v>139</v>
      </c>
      <c r="MT48" s="36" t="s">
        <v>139</v>
      </c>
      <c r="MU48" s="36" t="s">
        <v>139</v>
      </c>
      <c r="MV48" s="36" t="s">
        <v>139</v>
      </c>
      <c r="MW48" s="36" t="s">
        <v>139</v>
      </c>
      <c r="MX48" s="36" t="s">
        <v>139</v>
      </c>
      <c r="MY48" s="36" t="s">
        <v>139</v>
      </c>
      <c r="MZ48" s="36" t="s">
        <v>139</v>
      </c>
      <c r="NA48" s="36" t="s">
        <v>139</v>
      </c>
      <c r="NB48" s="36" t="s">
        <v>139</v>
      </c>
      <c r="NC48" s="36" t="s">
        <v>139</v>
      </c>
      <c r="ND48" s="36" t="s">
        <v>139</v>
      </c>
      <c r="NE48" s="36" t="s">
        <v>139</v>
      </c>
      <c r="NF48" s="36" t="s">
        <v>139</v>
      </c>
      <c r="NG48" s="36" t="s">
        <v>139</v>
      </c>
      <c r="NH48" s="36" t="s">
        <v>139</v>
      </c>
      <c r="NI48" s="36" t="s">
        <v>139</v>
      </c>
      <c r="NJ48" s="36" t="s">
        <v>139</v>
      </c>
      <c r="NK48" s="36" t="s">
        <v>139</v>
      </c>
      <c r="NL48" s="36" t="s">
        <v>139</v>
      </c>
      <c r="NM48" s="36" t="s">
        <v>139</v>
      </c>
      <c r="NN48" s="36" t="s">
        <v>139</v>
      </c>
      <c r="NO48" s="36" t="s">
        <v>139</v>
      </c>
      <c r="NP48" s="36" t="s">
        <v>139</v>
      </c>
      <c r="NQ48" s="36" t="s">
        <v>139</v>
      </c>
      <c r="NR48" s="36" t="s">
        <v>139</v>
      </c>
      <c r="NS48" s="36" t="s">
        <v>139</v>
      </c>
      <c r="NT48" s="36" t="s">
        <v>139</v>
      </c>
      <c r="NU48" s="36" t="s">
        <v>139</v>
      </c>
      <c r="NV48" s="36" t="s">
        <v>139</v>
      </c>
      <c r="NW48" s="36" t="s">
        <v>139</v>
      </c>
      <c r="NX48" s="36" t="s">
        <v>139</v>
      </c>
      <c r="NY48" s="36" t="s">
        <v>139</v>
      </c>
      <c r="NZ48" s="36" t="s">
        <v>139</v>
      </c>
      <c r="OA48" s="36" t="s">
        <v>139</v>
      </c>
      <c r="OB48" s="36" t="s">
        <v>139</v>
      </c>
      <c r="OC48" s="36" t="s">
        <v>139</v>
      </c>
      <c r="OD48" s="36" t="s">
        <v>139</v>
      </c>
      <c r="OE48" s="36" t="s">
        <v>139</v>
      </c>
      <c r="OF48" s="36" t="s">
        <v>139</v>
      </c>
      <c r="OG48" s="36" t="s">
        <v>139</v>
      </c>
      <c r="OH48" s="36" t="s">
        <v>139</v>
      </c>
      <c r="OI48" s="36" t="s">
        <v>139</v>
      </c>
      <c r="OJ48" s="36" t="s">
        <v>139</v>
      </c>
      <c r="OK48" s="36" t="s">
        <v>139</v>
      </c>
      <c r="OL48" s="36" t="s">
        <v>139</v>
      </c>
      <c r="OM48" s="36" t="s">
        <v>139</v>
      </c>
      <c r="ON48" s="36" t="s">
        <v>139</v>
      </c>
      <c r="OO48" s="36" t="s">
        <v>139</v>
      </c>
      <c r="OP48" s="36" t="s">
        <v>139</v>
      </c>
      <c r="OQ48" s="36" t="s">
        <v>139</v>
      </c>
      <c r="OR48" s="36" t="s">
        <v>139</v>
      </c>
      <c r="OS48" s="36" t="s">
        <v>139</v>
      </c>
      <c r="OT48" s="36" t="s">
        <v>139</v>
      </c>
      <c r="OU48" s="36" t="s">
        <v>139</v>
      </c>
      <c r="OV48" s="36" t="s">
        <v>139</v>
      </c>
      <c r="OW48" s="36" t="s">
        <v>139</v>
      </c>
      <c r="OX48" s="36" t="s">
        <v>139</v>
      </c>
      <c r="OY48" s="36" t="s">
        <v>139</v>
      </c>
      <c r="OZ48" s="36" t="s">
        <v>139</v>
      </c>
      <c r="PA48" s="36" t="s">
        <v>139</v>
      </c>
      <c r="PB48" s="36" t="s">
        <v>139</v>
      </c>
      <c r="PC48" s="36" t="s">
        <v>139</v>
      </c>
      <c r="PD48" s="36" t="s">
        <v>139</v>
      </c>
      <c r="PE48" s="36" t="s">
        <v>139</v>
      </c>
      <c r="PF48" s="36" t="s">
        <v>139</v>
      </c>
      <c r="PG48" s="36" t="s">
        <v>139</v>
      </c>
      <c r="PH48" s="36" t="s">
        <v>139</v>
      </c>
      <c r="PI48" s="36" t="s">
        <v>139</v>
      </c>
      <c r="PJ48" s="36" t="s">
        <v>139</v>
      </c>
      <c r="PK48" s="36" t="s">
        <v>139</v>
      </c>
      <c r="PL48" s="36" t="s">
        <v>139</v>
      </c>
      <c r="PM48" s="36" t="s">
        <v>139</v>
      </c>
      <c r="PN48" s="36" t="s">
        <v>139</v>
      </c>
      <c r="PO48" s="74">
        <f>COUNTIFS($C$27:$PN$27,("&lt;"&amp;$B$3),$C$27:$PN$27,("&gt;="&amp;$B$2),$C48:$PN48,TabAsistencias[[#Headers],[1]])</f>
        <v>30</v>
      </c>
      <c r="PP48" s="74">
        <f>COUNTIFS($C$27:$PN$27,("&lt;"&amp;$B$3),$C$27:$PN$27,("&gt;="&amp;$B$2),$C48:$PN48,TabAsistencias[[#Headers],[E]])</f>
        <v>0</v>
      </c>
      <c r="PQ48" s="74">
        <f>COUNTIFS($C$27:$PN$27,("&lt;"&amp;$B$3),$C$27:$PN$27,("&gt;="&amp;$B$2),$C48:$PN48,TabAsistencias[[#Headers],[DE]])</f>
        <v>0</v>
      </c>
      <c r="PR48" s="74">
        <f>COUNTIFS($C$27:$PN$27,("&lt;"&amp;$B$3),$C$27:$PN$27,("&gt;="&amp;$B$2),$C48:$PN48,TabAsistencias[[#Headers],[V]])</f>
        <v>0</v>
      </c>
      <c r="PS48" s="74">
        <f>COUNTIFS($C$27:$PN$27,("&lt;"&amp;$B$3),$C$27:$PN$27,("&gt;="&amp;$B$2),$C48:$PN48,TabAsistencias[[#Headers],[DO]])</f>
        <v>0</v>
      </c>
      <c r="PT48" s="74">
        <f>COUNTIFS($C$27:$PN$27,("&lt;"&amp;$B$3),$C$27:$PN$27,("&gt;="&amp;$B$2),$C48:$PN48,TabAsistencias[[#Headers],[P]])</f>
        <v>0</v>
      </c>
      <c r="PU48" s="74">
        <f>COUNTIFS($C$27:$PN$27,("&lt;"&amp;$B$3),$C$27:$PN$27,("&gt;="&amp;$B$2),$C48:$PN48,TabAsistencias[[#Headers],[F]])</f>
        <v>0</v>
      </c>
      <c r="PV48" s="74">
        <f>COUNTIFS($C$27:$PN$27,("&lt;"&amp;$B$3),$C$27:$PN$27,("&gt;="&amp;$B$2),$C48:$PN48,TabAsistencias[[#Headers],[R]])</f>
        <v>0</v>
      </c>
      <c r="PW48" s="74">
        <f>COUNTIFS($C$27:$PN$27,("&lt;"&amp;$B$3),$C$27:$PN$27,("&gt;="&amp;$B$2),$C48:$PN48,TabAsistencias[[#Headers],[PP]])</f>
        <v>0</v>
      </c>
      <c r="PX48" s="74">
        <f>COUNTIFS($C$27:$PN$27,("&lt;"&amp;$B$3),$C$27:$PN$27,("&gt;="&amp;$B$2),$C48:$PN48,TabAsistencias[[#Headers],[0]])</f>
        <v>0</v>
      </c>
      <c r="PY48" s="74">
        <f>COUNTIFS($C$27:$PN$27,("&lt;"&amp;$B$3),$C$27:$PN$27,("&gt;="&amp;$B$2),$C48:$PN48,TabAsistencias[[#Headers],[IG]])</f>
        <v>0</v>
      </c>
      <c r="PZ48" s="74">
        <f>COUNTIFS($C$27:$PN$27,("&lt;"&amp;$B$3),$C$27:$PN$27,("&gt;="&amp;$B$2),$C48:$PN48,TabAsistencias[[#Headers],[NA]])</f>
        <v>0</v>
      </c>
      <c r="QA48" s="74">
        <f>COUNTIFS($C$27:$PN$27,("&lt;"&amp;$B$3),$C$27:$PN$27,("&gt;="&amp;$B$2),$C48:$PN48,TabAsistencias[[#Headers],[DF]])</f>
        <v>0</v>
      </c>
      <c r="QB48" s="74">
        <f>COUNTIFS($C$27:$PN$27,("&lt;"&amp;$B$3),$C$27:$PN$27,("&gt;="&amp;$B$2),$C48:$PN48,TabAsistencias[[#Headers],[3]])</f>
        <v>0</v>
      </c>
      <c r="QC48" s="74">
        <f>COUNTIFS($C$27:$PN$27,("&lt;"&amp;$B$3),$C$27:$PN$27,("&gt;="&amp;$B$2),$C48:$PN48,TabAsistencias[[#Headers],[CP]])</f>
        <v>0</v>
      </c>
      <c r="QD48" s="74">
        <f>COUNTIFS($C$27:$PN$27,("&lt;"&amp;$B$3),$C$27:$PN$27,("&gt;="&amp;$B$2),$C48:$PN48,TabAsistencias[[#Headers],[I]])</f>
        <v>0</v>
      </c>
      <c r="QE48" s="74">
        <f>COUNTIFS($C$27:$PN$27,("&lt;"&amp;$B$3),$C$27:$PN$27,("&gt;="&amp;$B$2),$C48:$PN48,TabAsistencias[[#Headers],[T/2]])</f>
        <v>0</v>
      </c>
      <c r="QF48" s="74">
        <f>COUNTIFS($C$27:$PN$27,("&lt;"&amp;$B$3),$C$27:$PN$27,("&gt;="&amp;$B$2),$C48:$PN48,TabAsistencias[[#Headers],[ME]])</f>
        <v>0</v>
      </c>
      <c r="QG48" s="74">
        <f>COUNTIFS($C$27:$PN$27,("&lt;"&amp;$B$3),$C$27:$PN$27,("&gt;="&amp;$B$2),$C48:$PN48,TabAsistencias[[#Headers],[DP]])</f>
        <v>0</v>
      </c>
      <c r="QH48" s="74">
        <f>COUNTIFS($C$27:$PN$27,("&lt;"&amp;$B$3),$C$27:$PN$27,("&gt;="&amp;$B$2),$C48:$PN48,TabAsistencias[[#Headers],[B]])</f>
        <v>0</v>
      </c>
      <c r="QI48" s="74">
        <f>(TabAsistencias[[#This Row],[1]]*'Tablas de informacion'!$C$124)+(TabAsistencias[[#This Row],[E]]*'Tablas de informacion'!$C$125)+(TabAsistencias[[#This Row],[DE]]*'Tablas de informacion'!C$126)+(TabAsistencias[[#This Row],[V]]*'Tablas de informacion'!C$127)+(TabAsistencias[[#This Row],[DO]]*'Tablas de informacion'!C$128)+(TabAsistencias[[#This Row],[P]]*'Tablas de informacion'!C$129)+(TabAsistencias[[#This Row],[F]]*'Tablas de informacion'!C$130)+(TabAsistencias[[#This Row],[R]]*'Tablas de informacion'!C$131)+(TabAsistencias[[#This Row],[PP]]*'Tablas de informacion'!C$132)+(TabAsistencias[[#This Row],[0]]*'Tablas de informacion'!C$133)+(TabAsistencias[[#This Row],[IG]]*'Tablas de informacion'!C$134)+(TabAsistencias[[#This Row],[NA]]*'Tablas de informacion'!C$135)+(TabAsistencias[[#This Row],[DF]]*'Tablas de informacion'!C$136)+(TabAsistencias[[#This Row],[3]]*'Tablas de informacion'!C$137)+(TabAsistencias[[#This Row],[CP]]*'Tablas de informacion'!C$138)+(TabAsistencias[[#This Row],[I]]*'Tablas de informacion'!C$139)+(TabAsistencias[[#This Row],[T/2]]*'Tablas de informacion'!C$140)+(TabAsistencias[[#This Row],[ME]]*'Tablas de informacion'!C$141)+(TabAsistencias[[#This Row],[DP]]*'Tablas de informacion'!C$142)+(TabAsistencias[[#This Row],[B]]*'Tablas de informacion'!C$143)-INT(TabAsistencias[[#This Row],[R]]/3)</f>
        <v>30</v>
      </c>
      <c r="QJ48" s="74">
        <f>COUNTIFS($C$27:$PN$27,("&lt;"&amp;$B$3),$C$27:$PN$27,("&gt;="&amp;$B$2),$C$28:$PN$28,1,$C48:$PN48,TabAsistencias[[#Headers],[1]])+
COUNTIFS($C$27:$PN$27,("&lt;"&amp;$B$3),$C$27:$PN$27,("&gt;="&amp;$B$2),$C$28:$PN$28,1,$C48:$PN48,TabAsistencias[[#Headers],[DO]])+
COUNTIFS($C$27:$PN$27,("&lt;"&amp;$B$3),$C$27:$PN$27,("&gt;="&amp;$B$2),$C$28:$PN$28,1,$C48:$PN48,TabAsistencias[[#Headers],[R]])+
COUNTIFS($C$27:$PN$27,("&lt;"&amp;$B$3),$C$27:$PN$27,("&gt;="&amp;$B$2),$C$28:$PN$28,1,$C48:$PN48,TabAsistencias[[#Headers],[NA]])+
COUNTIFS($C$27:$PN$27,("&lt;"&amp;$B$3),$C$27:$PN$27,("&gt;="&amp;$B$2),$C$28:$PN$28,1,$C48:$PN48,TabAsistencias[[#Headers],[DF]])+
COUNTIFS($C$27:$PN$27,("&lt;"&amp;$B$3),$C$27:$PN$27,("&gt;="&amp;$B$2),$C$28:$PN$28,1,$C48:$PN48,TabAsistencias[[#Headers],[3]])+
COUNTIFS($C$27:$PN$27,("&lt;"&amp;$B$3),$C$27:$PN$27,("&gt;="&amp;$B$2),$C$28:$PN$28,1,$C48:$PN48,TabAsistencias[[#Headers],[CP]])+
COUNTIFS($C$27:$PN$27,("&lt;"&amp;$B$3),$C$27:$PN$27,("&gt;="&amp;$B$2),$C$28:$PN$28,1,$C48:$PN48,TabAsistencias[[#Headers],[T/2]])</f>
        <v>4</v>
      </c>
      <c r="QK48" s="315" cm="1">
        <f t="array" ref="QK48">IFERROR(VLOOKUP(
DATEDIF((VLOOKUP(TabAsistencias[[#This Row],[ID]],TabEmpleados[],COLUMN(TabEmpleados[Fecha de ingreso]),FALSE)),Asistencias!$B$3,"Y"),
TabFactorIntegracion[],COLUMN(TabFactorIntegracion[Días vacacionales
establecidos por ley]),FALSE),0)
-
COUNTIF($AH48:$PN48,TabAsistencias[[#Headers],[V]])</f>
        <v>12</v>
      </c>
      <c r="QL48" s="319">
        <f>SUM(TabAsistencias[[#This Row],[''1]],TabAsistencias[[#This Row],[''DE]],TabAsistencias[[#This Row],[''DO]],TabAsistencias[[#This Row],[''R]],TabAsistencias[[#This Row],[''NA]],TabAsistencias[[#This Row],[''DF]],TabAsistencias[[#This Row],[''3]],TabAsistencias[[#This Row],[''CP]],TabAsistencias[[#This Row],[''T/2]],TabAsistencias[[#This Row],[''DP]])</f>
        <v>73</v>
      </c>
      <c r="QM48" s="314">
        <f>COUNTIFS($C$27:$PN$27,("&lt;"&amp;$B$5),$C$27:$PN$27,("&gt;="&amp;$B$4),$C48:$PN48,TabAsistencias[[#Headers],[1]])</f>
        <v>73</v>
      </c>
      <c r="QN48" s="314">
        <f>COUNTIFS($C$27:$PN$27,("&lt;"&amp;$B$5),$C$27:$PN$27,("&gt;="&amp;$B$4),$C48:$PN48,TabAsistencias[[#Headers],[DE]])</f>
        <v>0</v>
      </c>
      <c r="QO48" s="314">
        <f>COUNTIFS($C$27:$PN$27,("&lt;"&amp;$B$5),$C$27:$PN$27,("&gt;="&amp;$B$4),$C48:$PN48,TabAsistencias[[#Headers],[V]])</f>
        <v>0</v>
      </c>
      <c r="QP48" s="314">
        <f>COUNTIFS($C$27:$PN$27,("&lt;"&amp;$B$5),$C$27:$PN$27,("&gt;="&amp;$B$4),$C48:$PN48,TabAsistencias[[#Headers],[DO]])</f>
        <v>0</v>
      </c>
      <c r="QQ48" s="314">
        <f>COUNTIFS($C$27:$PN$27,("&lt;"&amp;$B$5),$C$27:$PN$27,("&gt;="&amp;$B$4),$C48:$PN48,TabAsistencias[[#Headers],[P]])</f>
        <v>0</v>
      </c>
      <c r="QR48" s="314">
        <f>COUNTIFS($C$27:$PN$27,("&lt;"&amp;$B$5),$C$27:$PN$27,("&gt;="&amp;$B$4),$C48:$PN48,TabAsistencias[[#Headers],[F]])</f>
        <v>0</v>
      </c>
      <c r="QS48" s="314">
        <f>COUNTIFS($C$27:$PN$27,("&lt;"&amp;$B$5),$C$27:$PN$27,("&gt;="&amp;$B$4),$C48:$PN48,TabAsistencias[[#Headers],[R]])</f>
        <v>0</v>
      </c>
      <c r="QT48" s="314">
        <f>COUNTIFS($C$27:$PN$27,("&lt;"&amp;$B$5),$C$27:$PN$27,("&gt;="&amp;$B$4),$C48:$PN48,TabAsistencias[[#Headers],[PP]])</f>
        <v>0</v>
      </c>
      <c r="QU48" s="314">
        <f>COUNTIFS($C$27:$PN$27,("&lt;"&amp;$B$5),$C$27:$PN$27,("&gt;="&amp;$B$4),$C48:$PN48,TabAsistencias[[#Headers],[0]])</f>
        <v>0</v>
      </c>
      <c r="QV48" s="314">
        <f>COUNTIFS($C$27:$PN$27,("&lt;"&amp;$B$5),$C$27:$PN$27,("&gt;="&amp;$B$4),$C48:$PN48,TabAsistencias[[#Headers],[IG]])</f>
        <v>0</v>
      </c>
      <c r="QW48" s="314">
        <f>COUNTIFS($C$27:$PN$27,("&lt;"&amp;$B$5),$C$27:$PN$27,("&gt;="&amp;$B$4),$C48:$PN48,TabAsistencias[[#Headers],[NA]])</f>
        <v>0</v>
      </c>
      <c r="QX48" s="314">
        <f>COUNTIFS($C$27:$PN$27,("&lt;"&amp;$B$5),$C$27:$PN$27,("&gt;="&amp;$B$4),$C48:$PN48,TabAsistencias[[#Headers],[DF]])</f>
        <v>0</v>
      </c>
      <c r="QY48" s="314">
        <f>COUNTIFS($C$27:$PN$27,("&lt;"&amp;$B$5),$C$27:$PN$27,("&gt;="&amp;$B$4),$C48:$PN48,TabAsistencias[[#Headers],[3]])</f>
        <v>0</v>
      </c>
      <c r="QZ48" s="314">
        <f>COUNTIFS($C$27:$PN$27,("&lt;"&amp;$B$5),$C$27:$PN$27,("&gt;="&amp;$B$4),$C48:$PN48,TabAsistencias[[#Headers],[CP]])</f>
        <v>0</v>
      </c>
      <c r="RA48" s="314">
        <f>COUNTIFS($C$27:$PN$27,("&lt;"&amp;$B$5),$C$27:$PN$27,("&gt;="&amp;$B$4),$C48:$PN48,TabAsistencias[[#Headers],[I]])</f>
        <v>0</v>
      </c>
      <c r="RB48" s="314">
        <f>COUNTIFS($C$27:$PN$27,("&lt;"&amp;$B$5),$C$27:$PN$27,("&gt;="&amp;$B$4),$C48:$PN48,TabAsistencias[[#Headers],[T/2]])</f>
        <v>0</v>
      </c>
      <c r="RC48" s="314">
        <f>COUNTIFS($C$27:$PN$27,("&lt;"&amp;$B$5),$C$27:$PN$27,("&gt;="&amp;$B$4),$C48:$PN48,TabAsistencias[[#Headers],[ME]])</f>
        <v>0</v>
      </c>
      <c r="RD48" s="314">
        <f>COUNTIFS($C$27:$PN$27,("&lt;"&amp;$B$5),$C$27:$PN$27,("&gt;="&amp;$B$4),$C48:$PN48,TabAsistencias[[#Headers],[DP]])</f>
        <v>0</v>
      </c>
      <c r="RE48" s="314">
        <f>COUNTIFS($C$27:$PN$27,("&lt;"&amp;$B$5),$C$27:$PN$27,("&gt;="&amp;$B$4),$C48:$PN48,TabAsistencias[[#Headers],[B]])</f>
        <v>0</v>
      </c>
      <c r="RF48" s="314">
        <f>COUNTIFS($C$27:$PN$27,("&lt;"&amp;$B$5),$C$27:$PN$27,("&gt;="&amp;$B$4),$C$28:$PN$28,1,$C48:$PN48,TabAsistencias[[#Headers],[1]])+
COUNTIFS($C$27:$PN$27,("&lt;"&amp;$B$5),$C$27:$PN$27,("&gt;="&amp;$B$4),$C$28:$PN$28,1,$C48:$PN48,TabAsistencias[[#Headers],[DO]])+
COUNTIFS($C$27:$PN$27,("&lt;"&amp;$B$5),$C$27:$PN$27,("&gt;="&amp;$B$4),$C$28:$PN$28,1,$C48:$PN48,TabAsistencias[[#Headers],[R]])+
COUNTIFS($C$27:$PN$27,("&lt;"&amp;$B$5),$C$27:$PN$27,("&gt;="&amp;$B$4),$C$28:$PN$28,1,$C48:$PN48,TabAsistencias[[#Headers],[NA]])+
COUNTIFS($C$27:$PN$27,("&lt;"&amp;$B$5),$C$27:$PN$27,("&gt;="&amp;$B$4),$C$28:$PN$28,1,$C48:$PN48,TabAsistencias[[#Headers],[DF]])+
COUNTIFS($C$27:$PN$27,("&lt;"&amp;$B$5),$C$27:$PN$27,("&gt;="&amp;$B$4),$C$28:$PN$28,1,$C48:$PN48,TabAsistencias[[#Headers],[3]])+
COUNTIFS($C$27:$PN$27,("&lt;"&amp;$B$5),$C$27:$PN$27,("&gt;="&amp;$B$4),$C$28:$PN$28,1,$C48:$PN48,TabAsistencias[[#Headers],[CP]])+
COUNTIFS($C$27:$PN$27,("&lt;"&amp;$B$5),$C$27:$PN$27,("&gt;="&amp;$B$4),$C$28:$PN$28,1,$C48:$PN48,TabAsistencias[[#Headers],[T/2]])</f>
        <v>11</v>
      </c>
      <c r="RG48" s="320" cm="1">
        <f t="array" ref="RG48">IFERROR(VLOOKUP(
DATEDIF((VLOOKUP(TabAsistencias[[#This Row],[ID]],TabEmpleados[],COLUMN(TabEmpleados[Fecha de alta NSS]),FALSE)),Asistencias!$B$3,"Y"),
TabFactorIntegracion[],COLUMN(TabFactorIntegracion[Días vacacionales
establecidos por ley]),FALSE),0)
-
COUNTIF($AH48:$PN48,TabAsistencias[[#Headers],[V]])</f>
        <v>12</v>
      </c>
    </row>
    <row r="49" spans="1:475" x14ac:dyDescent="0.25">
      <c r="A49" s="92">
        <f t="shared" si="434"/>
        <v>19</v>
      </c>
      <c r="B49" s="30" t="str" cm="1">
        <f t="array" ref="B49">VLOOKUP(TabAsistencias[[#This Row],[ID]],TabEmpleados[],COLUMN(TabEmpleados[Nombre]),FALSE)</f>
        <v>SOSA ALCÁNTARA JOSUE</v>
      </c>
      <c r="C49" s="36" t="s">
        <v>139</v>
      </c>
      <c r="D49" s="36" t="s">
        <v>139</v>
      </c>
      <c r="E49" s="36" t="s">
        <v>139</v>
      </c>
      <c r="F49" s="36" t="s">
        <v>139</v>
      </c>
      <c r="G49" s="36" t="s">
        <v>139</v>
      </c>
      <c r="H49" s="36" t="s">
        <v>139</v>
      </c>
      <c r="I49" s="36" t="s">
        <v>139</v>
      </c>
      <c r="J49" s="36" t="s">
        <v>139</v>
      </c>
      <c r="K49" s="36" t="s">
        <v>139</v>
      </c>
      <c r="L49" s="36" t="s">
        <v>139</v>
      </c>
      <c r="M49" s="36" t="s">
        <v>139</v>
      </c>
      <c r="N49" s="36" t="s">
        <v>139</v>
      </c>
      <c r="O49" s="36" t="s">
        <v>139</v>
      </c>
      <c r="P49" s="36" t="s">
        <v>139</v>
      </c>
      <c r="Q49" s="36" t="s">
        <v>139</v>
      </c>
      <c r="R49" s="36" t="s">
        <v>139</v>
      </c>
      <c r="S49" s="36" t="s">
        <v>139</v>
      </c>
      <c r="T49" s="36" t="s">
        <v>139</v>
      </c>
      <c r="U49" s="36" t="s">
        <v>139</v>
      </c>
      <c r="V49" s="36" t="s">
        <v>139</v>
      </c>
      <c r="W49" s="36" t="s">
        <v>139</v>
      </c>
      <c r="X49" s="36" t="s">
        <v>139</v>
      </c>
      <c r="Y49" s="36" t="s">
        <v>139</v>
      </c>
      <c r="Z49" s="36" t="s">
        <v>139</v>
      </c>
      <c r="AA49" s="36" t="s">
        <v>139</v>
      </c>
      <c r="AB49" s="36" t="s">
        <v>139</v>
      </c>
      <c r="AC49" s="36" t="s">
        <v>139</v>
      </c>
      <c r="AD49" s="36" t="s">
        <v>139</v>
      </c>
      <c r="AE49" s="36" t="s">
        <v>139</v>
      </c>
      <c r="AF49" s="36" t="s">
        <v>139</v>
      </c>
      <c r="AG49" s="36" t="s">
        <v>139</v>
      </c>
      <c r="AH49" s="36" t="s">
        <v>139</v>
      </c>
      <c r="AI49" s="36" t="s">
        <v>139</v>
      </c>
      <c r="AJ49" s="36" t="s">
        <v>139</v>
      </c>
      <c r="AK49" s="36" t="s">
        <v>139</v>
      </c>
      <c r="AL49" s="36" t="s">
        <v>139</v>
      </c>
      <c r="AM49" s="36" t="s">
        <v>139</v>
      </c>
      <c r="AN49" s="36" t="s">
        <v>139</v>
      </c>
      <c r="AO49" s="36" t="s">
        <v>139</v>
      </c>
      <c r="AP49" s="36" t="s">
        <v>139</v>
      </c>
      <c r="AQ49" s="36" t="s">
        <v>139</v>
      </c>
      <c r="AR49" s="36" t="s">
        <v>139</v>
      </c>
      <c r="AS49" s="36" t="s">
        <v>139</v>
      </c>
      <c r="AT49" s="36" t="s">
        <v>139</v>
      </c>
      <c r="AU49" s="36" t="s">
        <v>139</v>
      </c>
      <c r="AV49" s="36" t="s">
        <v>139</v>
      </c>
      <c r="AW49" s="36" t="s">
        <v>139</v>
      </c>
      <c r="AX49" s="36" t="s">
        <v>139</v>
      </c>
      <c r="AY49" s="36" t="s">
        <v>139</v>
      </c>
      <c r="AZ49" s="36" t="s">
        <v>139</v>
      </c>
      <c r="BA49" s="36" t="s">
        <v>139</v>
      </c>
      <c r="BB49" s="36" t="s">
        <v>139</v>
      </c>
      <c r="BC49" s="36" t="s">
        <v>139</v>
      </c>
      <c r="BD49" s="36" t="s">
        <v>139</v>
      </c>
      <c r="BE49" s="36" t="s">
        <v>139</v>
      </c>
      <c r="BF49" s="36" t="s">
        <v>139</v>
      </c>
      <c r="BG49" s="36" t="s">
        <v>139</v>
      </c>
      <c r="BH49" s="36" t="s">
        <v>139</v>
      </c>
      <c r="BI49" s="36" t="s">
        <v>139</v>
      </c>
      <c r="BJ49" s="36" t="s">
        <v>139</v>
      </c>
      <c r="BK49" s="36" t="s">
        <v>139</v>
      </c>
      <c r="BL49" s="36" t="s">
        <v>139</v>
      </c>
      <c r="BM49" s="36" t="s">
        <v>139</v>
      </c>
      <c r="BN49" s="36" t="s">
        <v>139</v>
      </c>
      <c r="BO49" s="36" t="s">
        <v>139</v>
      </c>
      <c r="BP49" s="36" t="s">
        <v>139</v>
      </c>
      <c r="BQ49" s="36" t="s">
        <v>139</v>
      </c>
      <c r="BR49" s="36" t="s">
        <v>139</v>
      </c>
      <c r="BS49" s="36" t="s">
        <v>139</v>
      </c>
      <c r="BT49" s="36" t="s">
        <v>139</v>
      </c>
      <c r="BU49" s="36" t="s">
        <v>139</v>
      </c>
      <c r="BV49" s="36" t="s">
        <v>139</v>
      </c>
      <c r="BW49" s="36" t="s">
        <v>139</v>
      </c>
      <c r="BX49" s="36" t="s">
        <v>139</v>
      </c>
      <c r="BY49" s="36" t="s">
        <v>139</v>
      </c>
      <c r="BZ49" s="36" t="s">
        <v>139</v>
      </c>
      <c r="CA49" s="36" t="s">
        <v>139</v>
      </c>
      <c r="CB49" s="36" t="s">
        <v>139</v>
      </c>
      <c r="CC49" s="36" t="s">
        <v>139</v>
      </c>
      <c r="CD49" s="36" t="s">
        <v>139</v>
      </c>
      <c r="CE49" s="36" t="s">
        <v>139</v>
      </c>
      <c r="CF49" s="36" t="s">
        <v>139</v>
      </c>
      <c r="CG49" s="36" t="s">
        <v>139</v>
      </c>
      <c r="CH49" s="36" t="s">
        <v>139</v>
      </c>
      <c r="CI49" s="36" t="s">
        <v>139</v>
      </c>
      <c r="CJ49" s="36" t="s">
        <v>139</v>
      </c>
      <c r="CK49" s="36" t="s">
        <v>139</v>
      </c>
      <c r="CL49" s="36" t="s">
        <v>139</v>
      </c>
      <c r="CM49" s="36" t="s">
        <v>139</v>
      </c>
      <c r="CN49" s="36" t="s">
        <v>139</v>
      </c>
      <c r="CO49" s="36" t="s">
        <v>139</v>
      </c>
      <c r="CP49" s="36" t="s">
        <v>139</v>
      </c>
      <c r="CQ49" s="36" t="s">
        <v>139</v>
      </c>
      <c r="CR49" s="36" t="s">
        <v>139</v>
      </c>
      <c r="CS49" s="36" t="s">
        <v>139</v>
      </c>
      <c r="CT49" s="36" t="s">
        <v>139</v>
      </c>
      <c r="CU49" s="36" t="s">
        <v>139</v>
      </c>
      <c r="CV49" s="36" t="s">
        <v>139</v>
      </c>
      <c r="CW49" s="36" t="s">
        <v>139</v>
      </c>
      <c r="CX49" s="36" t="s">
        <v>139</v>
      </c>
      <c r="CY49" s="36" t="s">
        <v>139</v>
      </c>
      <c r="CZ49" s="36" t="s">
        <v>139</v>
      </c>
      <c r="DA49" s="36" t="s">
        <v>139</v>
      </c>
      <c r="DB49" s="36" t="s">
        <v>139</v>
      </c>
      <c r="DC49" s="36" t="s">
        <v>139</v>
      </c>
      <c r="DD49" s="36" t="s">
        <v>139</v>
      </c>
      <c r="DE49" s="36" t="s">
        <v>139</v>
      </c>
      <c r="DF49" s="36" t="s">
        <v>139</v>
      </c>
      <c r="DG49" s="36" t="s">
        <v>139</v>
      </c>
      <c r="DH49" s="36" t="s">
        <v>139</v>
      </c>
      <c r="DI49" s="36" t="s">
        <v>139</v>
      </c>
      <c r="DJ49" s="36" t="s">
        <v>139</v>
      </c>
      <c r="DK49" s="36" t="s">
        <v>139</v>
      </c>
      <c r="DL49" s="36" t="s">
        <v>139</v>
      </c>
      <c r="DM49" s="36" t="s">
        <v>139</v>
      </c>
      <c r="DN49" s="36" t="s">
        <v>139</v>
      </c>
      <c r="DO49" s="36" t="s">
        <v>139</v>
      </c>
      <c r="DP49" s="36" t="s">
        <v>139</v>
      </c>
      <c r="DQ49" s="36" t="s">
        <v>139</v>
      </c>
      <c r="DR49" s="36" t="s">
        <v>139</v>
      </c>
      <c r="DS49" s="36" t="s">
        <v>139</v>
      </c>
      <c r="DT49" s="36" t="s">
        <v>139</v>
      </c>
      <c r="DU49" s="36" t="s">
        <v>139</v>
      </c>
      <c r="DV49" s="36" t="s">
        <v>139</v>
      </c>
      <c r="DW49" s="36" t="s">
        <v>139</v>
      </c>
      <c r="DX49" s="36" t="s">
        <v>139</v>
      </c>
      <c r="DY49" s="36" t="s">
        <v>139</v>
      </c>
      <c r="DZ49" s="36" t="s">
        <v>139</v>
      </c>
      <c r="EA49" s="36" t="s">
        <v>139</v>
      </c>
      <c r="EB49" s="36" t="s">
        <v>139</v>
      </c>
      <c r="EC49" s="36" t="s">
        <v>139</v>
      </c>
      <c r="ED49" s="36" t="s">
        <v>139</v>
      </c>
      <c r="EE49" s="36" t="s">
        <v>139</v>
      </c>
      <c r="EF49" s="36" t="s">
        <v>139</v>
      </c>
      <c r="EG49" s="36" t="s">
        <v>139</v>
      </c>
      <c r="EH49" s="36" t="s">
        <v>139</v>
      </c>
      <c r="EI49" s="36" t="s">
        <v>139</v>
      </c>
      <c r="EJ49" s="36" t="s">
        <v>139</v>
      </c>
      <c r="EK49" s="36" t="s">
        <v>139</v>
      </c>
      <c r="EL49" s="36" t="s">
        <v>139</v>
      </c>
      <c r="EM49" s="36" t="s">
        <v>139</v>
      </c>
      <c r="EN49" s="36" t="s">
        <v>139</v>
      </c>
      <c r="EO49" s="36" t="s">
        <v>139</v>
      </c>
      <c r="EP49" s="36" t="s">
        <v>139</v>
      </c>
      <c r="EQ49" s="36" t="s">
        <v>139</v>
      </c>
      <c r="ER49" s="36" t="s">
        <v>139</v>
      </c>
      <c r="ES49" s="36" t="s">
        <v>139</v>
      </c>
      <c r="ET49" s="36" t="s">
        <v>139</v>
      </c>
      <c r="EU49" s="36" t="s">
        <v>139</v>
      </c>
      <c r="EV49" s="36" t="s">
        <v>139</v>
      </c>
      <c r="EW49" s="36" t="s">
        <v>139</v>
      </c>
      <c r="EX49" s="36" t="s">
        <v>139</v>
      </c>
      <c r="EY49" s="36" t="s">
        <v>139</v>
      </c>
      <c r="EZ49" s="36" t="s">
        <v>139</v>
      </c>
      <c r="FA49" s="36" t="s">
        <v>139</v>
      </c>
      <c r="FB49" s="36" t="s">
        <v>139</v>
      </c>
      <c r="FC49" s="36" t="s">
        <v>139</v>
      </c>
      <c r="FD49" s="36" t="s">
        <v>139</v>
      </c>
      <c r="FE49" s="36" t="s">
        <v>139</v>
      </c>
      <c r="FF49" s="36" t="s">
        <v>139</v>
      </c>
      <c r="FG49" s="36" t="s">
        <v>139</v>
      </c>
      <c r="FH49" s="36" t="s">
        <v>139</v>
      </c>
      <c r="FI49" s="36" t="s">
        <v>139</v>
      </c>
      <c r="FJ49" s="36" t="s">
        <v>139</v>
      </c>
      <c r="FK49" s="36" t="s">
        <v>139</v>
      </c>
      <c r="FL49" s="36" t="s">
        <v>139</v>
      </c>
      <c r="FM49" s="36" t="s">
        <v>139</v>
      </c>
      <c r="FN49" s="36" t="s">
        <v>139</v>
      </c>
      <c r="FO49" s="36" t="s">
        <v>139</v>
      </c>
      <c r="FP49" s="36" t="s">
        <v>139</v>
      </c>
      <c r="FQ49" s="36" t="s">
        <v>139</v>
      </c>
      <c r="FR49" s="36" t="s">
        <v>139</v>
      </c>
      <c r="FS49" s="36" t="s">
        <v>139</v>
      </c>
      <c r="FT49" s="36" t="s">
        <v>139</v>
      </c>
      <c r="FU49" s="36" t="s">
        <v>139</v>
      </c>
      <c r="FV49" s="36" t="s">
        <v>139</v>
      </c>
      <c r="FW49" s="36" t="s">
        <v>139</v>
      </c>
      <c r="FX49" s="36" t="s">
        <v>139</v>
      </c>
      <c r="FY49" s="36" t="s">
        <v>139</v>
      </c>
      <c r="FZ49" s="36" t="s">
        <v>139</v>
      </c>
      <c r="GA49" s="36" t="s">
        <v>139</v>
      </c>
      <c r="GB49" s="36" t="s">
        <v>139</v>
      </c>
      <c r="GC49" s="36" t="s">
        <v>139</v>
      </c>
      <c r="GD49" s="36" t="s">
        <v>139</v>
      </c>
      <c r="GE49" s="36" t="s">
        <v>139</v>
      </c>
      <c r="GF49" s="36" t="s">
        <v>139</v>
      </c>
      <c r="GG49" s="36" t="s">
        <v>139</v>
      </c>
      <c r="GH49" s="36" t="s">
        <v>139</v>
      </c>
      <c r="GI49" s="36" t="s">
        <v>139</v>
      </c>
      <c r="GJ49" s="36" t="s">
        <v>139</v>
      </c>
      <c r="GK49" s="36" t="s">
        <v>139</v>
      </c>
      <c r="GL49" s="36" t="s">
        <v>139</v>
      </c>
      <c r="GM49" s="36" t="s">
        <v>139</v>
      </c>
      <c r="GN49" s="36" t="s">
        <v>139</v>
      </c>
      <c r="GO49" s="36" t="s">
        <v>139</v>
      </c>
      <c r="GP49" s="36" t="s">
        <v>139</v>
      </c>
      <c r="GQ49" s="36" t="s">
        <v>139</v>
      </c>
      <c r="GR49" s="36" t="s">
        <v>139</v>
      </c>
      <c r="GS49" s="36" t="s">
        <v>139</v>
      </c>
      <c r="GT49" s="36" t="s">
        <v>139</v>
      </c>
      <c r="GU49" s="36" t="s">
        <v>139</v>
      </c>
      <c r="GV49" s="36" t="s">
        <v>139</v>
      </c>
      <c r="GW49" s="36" t="s">
        <v>139</v>
      </c>
      <c r="GX49" s="36" t="s">
        <v>139</v>
      </c>
      <c r="GY49" s="36" t="s">
        <v>139</v>
      </c>
      <c r="GZ49" s="36" t="s">
        <v>139</v>
      </c>
      <c r="HA49" s="36" t="s">
        <v>139</v>
      </c>
      <c r="HB49" s="36" t="s">
        <v>139</v>
      </c>
      <c r="HC49" s="36" t="s">
        <v>139</v>
      </c>
      <c r="HD49" s="36" t="s">
        <v>139</v>
      </c>
      <c r="HE49" s="36" t="s">
        <v>139</v>
      </c>
      <c r="HF49" s="36" t="s">
        <v>139</v>
      </c>
      <c r="HG49" s="36" t="s">
        <v>139</v>
      </c>
      <c r="HH49" s="36" t="s">
        <v>139</v>
      </c>
      <c r="HI49" s="36" t="s">
        <v>139</v>
      </c>
      <c r="HJ49" s="36" t="s">
        <v>139</v>
      </c>
      <c r="HK49" s="36" t="s">
        <v>139</v>
      </c>
      <c r="HL49" s="36" t="s">
        <v>139</v>
      </c>
      <c r="HM49" s="36" t="s">
        <v>139</v>
      </c>
      <c r="HN49" s="36" t="s">
        <v>139</v>
      </c>
      <c r="HO49" s="36" t="s">
        <v>139</v>
      </c>
      <c r="HP49" s="36" t="s">
        <v>139</v>
      </c>
      <c r="HQ49" s="36" t="s">
        <v>139</v>
      </c>
      <c r="HR49" s="36" t="s">
        <v>139</v>
      </c>
      <c r="HS49" s="36" t="s">
        <v>139</v>
      </c>
      <c r="HT49" s="36" t="s">
        <v>139</v>
      </c>
      <c r="HU49" s="36" t="s">
        <v>139</v>
      </c>
      <c r="HV49" s="36" t="s">
        <v>139</v>
      </c>
      <c r="HW49" s="36" t="s">
        <v>139</v>
      </c>
      <c r="HX49" s="36" t="s">
        <v>139</v>
      </c>
      <c r="HY49" s="36" t="s">
        <v>139</v>
      </c>
      <c r="HZ49" s="36" t="s">
        <v>139</v>
      </c>
      <c r="IA49" s="36" t="s">
        <v>139</v>
      </c>
      <c r="IB49" s="36" t="s">
        <v>139</v>
      </c>
      <c r="IC49" s="36" t="s">
        <v>139</v>
      </c>
      <c r="ID49" s="36" t="s">
        <v>139</v>
      </c>
      <c r="IE49" s="36" t="s">
        <v>139</v>
      </c>
      <c r="IF49" s="36" t="s">
        <v>139</v>
      </c>
      <c r="IG49" s="36" t="s">
        <v>139</v>
      </c>
      <c r="IH49" s="36" t="s">
        <v>139</v>
      </c>
      <c r="II49" s="36" t="s">
        <v>139</v>
      </c>
      <c r="IJ49" s="36" t="s">
        <v>139</v>
      </c>
      <c r="IK49" s="36" t="s">
        <v>139</v>
      </c>
      <c r="IL49" s="36" t="s">
        <v>139</v>
      </c>
      <c r="IM49" s="36" t="s">
        <v>139</v>
      </c>
      <c r="IN49" s="36" t="s">
        <v>139</v>
      </c>
      <c r="IO49" s="36" t="s">
        <v>139</v>
      </c>
      <c r="IP49" s="36" t="s">
        <v>139</v>
      </c>
      <c r="IQ49" s="36" t="s">
        <v>139</v>
      </c>
      <c r="IR49" s="36" t="s">
        <v>139</v>
      </c>
      <c r="IS49" s="36" t="s">
        <v>139</v>
      </c>
      <c r="IT49" s="36" t="s">
        <v>139</v>
      </c>
      <c r="IU49" s="36" t="s">
        <v>139</v>
      </c>
      <c r="IV49" s="36" t="s">
        <v>139</v>
      </c>
      <c r="IW49" s="36" t="s">
        <v>139</v>
      </c>
      <c r="IX49" s="36" t="s">
        <v>139</v>
      </c>
      <c r="IY49" s="36" t="s">
        <v>139</v>
      </c>
      <c r="IZ49" s="36" t="s">
        <v>139</v>
      </c>
      <c r="JA49" s="36" t="s">
        <v>139</v>
      </c>
      <c r="JB49" s="36" t="s">
        <v>139</v>
      </c>
      <c r="JC49" s="36" t="s">
        <v>139</v>
      </c>
      <c r="JD49" s="36" t="s">
        <v>139</v>
      </c>
      <c r="JE49" s="36" t="s">
        <v>139</v>
      </c>
      <c r="JF49" s="36" t="s">
        <v>139</v>
      </c>
      <c r="JG49" s="36" t="s">
        <v>139</v>
      </c>
      <c r="JH49" s="36" t="s">
        <v>139</v>
      </c>
      <c r="JI49" s="36" t="s">
        <v>139</v>
      </c>
      <c r="JJ49" s="36" t="s">
        <v>139</v>
      </c>
      <c r="JK49" s="36" t="s">
        <v>139</v>
      </c>
      <c r="JL49" s="36" t="s">
        <v>139</v>
      </c>
      <c r="JM49" s="36" t="s">
        <v>139</v>
      </c>
      <c r="JN49" s="36" t="s">
        <v>139</v>
      </c>
      <c r="JO49" s="36" t="s">
        <v>139</v>
      </c>
      <c r="JP49" s="36" t="s">
        <v>139</v>
      </c>
      <c r="JQ49" s="36" t="s">
        <v>139</v>
      </c>
      <c r="JR49" s="36" t="s">
        <v>139</v>
      </c>
      <c r="JS49" s="36" t="s">
        <v>139</v>
      </c>
      <c r="JT49" s="36" t="s">
        <v>139</v>
      </c>
      <c r="JU49" s="36" t="s">
        <v>139</v>
      </c>
      <c r="JV49" s="36" t="s">
        <v>139</v>
      </c>
      <c r="JW49" s="36" t="s">
        <v>139</v>
      </c>
      <c r="JX49" s="36" t="s">
        <v>139</v>
      </c>
      <c r="JY49" s="36" t="s">
        <v>139</v>
      </c>
      <c r="JZ49" s="36" t="s">
        <v>139</v>
      </c>
      <c r="KA49" s="36" t="s">
        <v>139</v>
      </c>
      <c r="KB49" s="36" t="s">
        <v>139</v>
      </c>
      <c r="KC49" s="36" t="s">
        <v>139</v>
      </c>
      <c r="KD49" s="36" t="s">
        <v>139</v>
      </c>
      <c r="KE49" s="36" t="s">
        <v>139</v>
      </c>
      <c r="KF49" s="36" t="s">
        <v>139</v>
      </c>
      <c r="KG49" s="36" t="s">
        <v>139</v>
      </c>
      <c r="KH49" s="36" t="s">
        <v>139</v>
      </c>
      <c r="KI49" s="36" t="s">
        <v>139</v>
      </c>
      <c r="KJ49" s="36" t="s">
        <v>139</v>
      </c>
      <c r="KK49" s="36" t="s">
        <v>139</v>
      </c>
      <c r="KL49" s="36" t="s">
        <v>139</v>
      </c>
      <c r="KM49" s="36" t="s">
        <v>139</v>
      </c>
      <c r="KN49" s="36" t="s">
        <v>139</v>
      </c>
      <c r="KO49" s="36" t="s">
        <v>139</v>
      </c>
      <c r="KP49" s="36" t="s">
        <v>139</v>
      </c>
      <c r="KQ49" s="36" t="s">
        <v>139</v>
      </c>
      <c r="KR49" s="36" t="s">
        <v>139</v>
      </c>
      <c r="KS49" s="36" t="s">
        <v>139</v>
      </c>
      <c r="KT49" s="36" t="s">
        <v>139</v>
      </c>
      <c r="KU49" s="36" t="s">
        <v>139</v>
      </c>
      <c r="KV49" s="36" t="s">
        <v>139</v>
      </c>
      <c r="KW49" s="36" t="s">
        <v>139</v>
      </c>
      <c r="KX49" s="36" t="s">
        <v>139</v>
      </c>
      <c r="KY49" s="36" t="s">
        <v>139</v>
      </c>
      <c r="KZ49" s="36" t="s">
        <v>139</v>
      </c>
      <c r="LA49" s="36" t="s">
        <v>139</v>
      </c>
      <c r="LB49" s="36" t="s">
        <v>139</v>
      </c>
      <c r="LC49" s="36" t="s">
        <v>139</v>
      </c>
      <c r="LD49" s="36" t="s">
        <v>139</v>
      </c>
      <c r="LE49" s="36" t="s">
        <v>139</v>
      </c>
      <c r="LF49" s="36" t="s">
        <v>139</v>
      </c>
      <c r="LG49" s="36" t="s">
        <v>139</v>
      </c>
      <c r="LH49" s="36" t="s">
        <v>139</v>
      </c>
      <c r="LI49" s="36" t="s">
        <v>139</v>
      </c>
      <c r="LJ49" s="36" t="s">
        <v>139</v>
      </c>
      <c r="LK49" s="36" t="s">
        <v>139</v>
      </c>
      <c r="LL49" s="36" t="s">
        <v>139</v>
      </c>
      <c r="LM49" s="36" t="s">
        <v>139</v>
      </c>
      <c r="LN49" s="36" t="s">
        <v>139</v>
      </c>
      <c r="LO49" s="36" t="s">
        <v>139</v>
      </c>
      <c r="LP49" s="36" t="s">
        <v>139</v>
      </c>
      <c r="LQ49" s="36" t="s">
        <v>139</v>
      </c>
      <c r="LR49" s="36" t="s">
        <v>139</v>
      </c>
      <c r="LS49" s="36" t="s">
        <v>139</v>
      </c>
      <c r="LT49" s="36" t="s">
        <v>139</v>
      </c>
      <c r="LU49" s="36" t="s">
        <v>139</v>
      </c>
      <c r="LV49" s="36" t="s">
        <v>139</v>
      </c>
      <c r="LW49" s="36" t="s">
        <v>139</v>
      </c>
      <c r="LX49" s="36" t="s">
        <v>139</v>
      </c>
      <c r="LY49" s="36" t="s">
        <v>139</v>
      </c>
      <c r="LZ49" s="36" t="s">
        <v>139</v>
      </c>
      <c r="MA49" s="36" t="s">
        <v>139</v>
      </c>
      <c r="MB49" s="36" t="s">
        <v>139</v>
      </c>
      <c r="MC49" s="36" t="s">
        <v>139</v>
      </c>
      <c r="MD49" s="36" t="s">
        <v>139</v>
      </c>
      <c r="ME49" s="36" t="s">
        <v>139</v>
      </c>
      <c r="MF49" s="36" t="s">
        <v>139</v>
      </c>
      <c r="MG49" s="36" t="s">
        <v>139</v>
      </c>
      <c r="MH49" s="36" t="s">
        <v>139</v>
      </c>
      <c r="MI49" s="36" t="s">
        <v>139</v>
      </c>
      <c r="MJ49" s="36" t="s">
        <v>139</v>
      </c>
      <c r="MK49" s="36" t="s">
        <v>139</v>
      </c>
      <c r="ML49" s="36" t="s">
        <v>139</v>
      </c>
      <c r="MM49" s="36" t="s">
        <v>139</v>
      </c>
      <c r="MN49" s="36" t="s">
        <v>139</v>
      </c>
      <c r="MO49" s="36" t="s">
        <v>139</v>
      </c>
      <c r="MP49" s="36" t="s">
        <v>139</v>
      </c>
      <c r="MQ49" s="36" t="s">
        <v>139</v>
      </c>
      <c r="MR49" s="36" t="s">
        <v>139</v>
      </c>
      <c r="MS49" s="36" t="s">
        <v>139</v>
      </c>
      <c r="MT49" s="36" t="s">
        <v>139</v>
      </c>
      <c r="MU49" s="36" t="s">
        <v>139</v>
      </c>
      <c r="MV49" s="36" t="s">
        <v>139</v>
      </c>
      <c r="MW49" s="36" t="s">
        <v>139</v>
      </c>
      <c r="MX49" s="36" t="s">
        <v>139</v>
      </c>
      <c r="MY49" s="36" t="s">
        <v>139</v>
      </c>
      <c r="MZ49" s="36" t="s">
        <v>139</v>
      </c>
      <c r="NA49" s="36" t="s">
        <v>139</v>
      </c>
      <c r="NB49" s="36" t="s">
        <v>139</v>
      </c>
      <c r="NC49" s="36" t="s">
        <v>139</v>
      </c>
      <c r="ND49" s="36" t="s">
        <v>139</v>
      </c>
      <c r="NE49" s="36" t="s">
        <v>139</v>
      </c>
      <c r="NF49" s="36" t="s">
        <v>139</v>
      </c>
      <c r="NG49" s="36" t="s">
        <v>139</v>
      </c>
      <c r="NH49" s="36" t="s">
        <v>139</v>
      </c>
      <c r="NI49" s="36" t="s">
        <v>139</v>
      </c>
      <c r="NJ49" s="36" t="s">
        <v>139</v>
      </c>
      <c r="NK49" s="36" t="s">
        <v>139</v>
      </c>
      <c r="NL49" s="36" t="s">
        <v>139</v>
      </c>
      <c r="NM49" s="36" t="s">
        <v>139</v>
      </c>
      <c r="NN49" s="36" t="s">
        <v>139</v>
      </c>
      <c r="NO49" s="36" t="s">
        <v>139</v>
      </c>
      <c r="NP49" s="36" t="s">
        <v>139</v>
      </c>
      <c r="NQ49" s="36" t="s">
        <v>139</v>
      </c>
      <c r="NR49" s="36" t="s">
        <v>139</v>
      </c>
      <c r="NS49" s="36" t="s">
        <v>139</v>
      </c>
      <c r="NT49" s="36" t="s">
        <v>139</v>
      </c>
      <c r="NU49" s="36" t="s">
        <v>139</v>
      </c>
      <c r="NV49" s="36" t="s">
        <v>139</v>
      </c>
      <c r="NW49" s="36" t="s">
        <v>139</v>
      </c>
      <c r="NX49" s="36" t="s">
        <v>139</v>
      </c>
      <c r="NY49" s="36" t="s">
        <v>139</v>
      </c>
      <c r="NZ49" s="36" t="s">
        <v>139</v>
      </c>
      <c r="OA49" s="36" t="s">
        <v>139</v>
      </c>
      <c r="OB49" s="36" t="s">
        <v>139</v>
      </c>
      <c r="OC49" s="36" t="s">
        <v>139</v>
      </c>
      <c r="OD49" s="36" t="s">
        <v>139</v>
      </c>
      <c r="OE49" s="36" t="s">
        <v>139</v>
      </c>
      <c r="OF49" s="36" t="s">
        <v>139</v>
      </c>
      <c r="OG49" s="36" t="s">
        <v>139</v>
      </c>
      <c r="OH49" s="36" t="s">
        <v>139</v>
      </c>
      <c r="OI49" s="36" t="s">
        <v>139</v>
      </c>
      <c r="OJ49" s="36" t="s">
        <v>139</v>
      </c>
      <c r="OK49" s="36" t="s">
        <v>139</v>
      </c>
      <c r="OL49" s="36" t="s">
        <v>139</v>
      </c>
      <c r="OM49" s="36" t="s">
        <v>139</v>
      </c>
      <c r="ON49" s="36" t="s">
        <v>139</v>
      </c>
      <c r="OO49" s="36" t="s">
        <v>139</v>
      </c>
      <c r="OP49" s="36" t="s">
        <v>139</v>
      </c>
      <c r="OQ49" s="36" t="s">
        <v>139</v>
      </c>
      <c r="OR49" s="36" t="s">
        <v>139</v>
      </c>
      <c r="OS49" s="36" t="s">
        <v>139</v>
      </c>
      <c r="OT49" s="36" t="s">
        <v>139</v>
      </c>
      <c r="OU49" s="36" t="s">
        <v>139</v>
      </c>
      <c r="OV49" s="36" t="s">
        <v>139</v>
      </c>
      <c r="OW49" s="36" t="s">
        <v>139</v>
      </c>
      <c r="OX49" s="36" t="s">
        <v>139</v>
      </c>
      <c r="OY49" s="36" t="s">
        <v>139</v>
      </c>
      <c r="OZ49" s="36" t="s">
        <v>139</v>
      </c>
      <c r="PA49" s="36" t="s">
        <v>139</v>
      </c>
      <c r="PB49" s="36" t="s">
        <v>139</v>
      </c>
      <c r="PC49" s="36" t="s">
        <v>139</v>
      </c>
      <c r="PD49" s="36" t="s">
        <v>139</v>
      </c>
      <c r="PE49" s="36" t="s">
        <v>139</v>
      </c>
      <c r="PF49" s="36" t="s">
        <v>139</v>
      </c>
      <c r="PG49" s="36" t="s">
        <v>139</v>
      </c>
      <c r="PH49" s="36" t="s">
        <v>139</v>
      </c>
      <c r="PI49" s="36" t="s">
        <v>139</v>
      </c>
      <c r="PJ49" s="36" t="s">
        <v>139</v>
      </c>
      <c r="PK49" s="36" t="s">
        <v>139</v>
      </c>
      <c r="PL49" s="36" t="s">
        <v>139</v>
      </c>
      <c r="PM49" s="36" t="s">
        <v>139</v>
      </c>
      <c r="PN49" s="36" t="s">
        <v>139</v>
      </c>
      <c r="PO49" s="74">
        <f>COUNTIFS($C$27:$PN$27,("&lt;"&amp;$B$3),$C$27:$PN$27,("&gt;="&amp;$B$2),$C49:$PN49,TabAsistencias[[#Headers],[1]])</f>
        <v>30</v>
      </c>
      <c r="PP49" s="74">
        <f>COUNTIFS($C$27:$PN$27,("&lt;"&amp;$B$3),$C$27:$PN$27,("&gt;="&amp;$B$2),$C49:$PN49,TabAsistencias[[#Headers],[E]])</f>
        <v>0</v>
      </c>
      <c r="PQ49" s="74">
        <f>COUNTIFS($C$27:$PN$27,("&lt;"&amp;$B$3),$C$27:$PN$27,("&gt;="&amp;$B$2),$C49:$PN49,TabAsistencias[[#Headers],[DE]])</f>
        <v>0</v>
      </c>
      <c r="PR49" s="74">
        <f>COUNTIFS($C$27:$PN$27,("&lt;"&amp;$B$3),$C$27:$PN$27,("&gt;="&amp;$B$2),$C49:$PN49,TabAsistencias[[#Headers],[V]])</f>
        <v>0</v>
      </c>
      <c r="PS49" s="74">
        <f>COUNTIFS($C$27:$PN$27,("&lt;"&amp;$B$3),$C$27:$PN$27,("&gt;="&amp;$B$2),$C49:$PN49,TabAsistencias[[#Headers],[DO]])</f>
        <v>0</v>
      </c>
      <c r="PT49" s="74">
        <f>COUNTIFS($C$27:$PN$27,("&lt;"&amp;$B$3),$C$27:$PN$27,("&gt;="&amp;$B$2),$C49:$PN49,TabAsistencias[[#Headers],[P]])</f>
        <v>0</v>
      </c>
      <c r="PU49" s="74">
        <f>COUNTIFS($C$27:$PN$27,("&lt;"&amp;$B$3),$C$27:$PN$27,("&gt;="&amp;$B$2),$C49:$PN49,TabAsistencias[[#Headers],[F]])</f>
        <v>0</v>
      </c>
      <c r="PV49" s="74">
        <f>COUNTIFS($C$27:$PN$27,("&lt;"&amp;$B$3),$C$27:$PN$27,("&gt;="&amp;$B$2),$C49:$PN49,TabAsistencias[[#Headers],[R]])</f>
        <v>0</v>
      </c>
      <c r="PW49" s="74">
        <f>COUNTIFS($C$27:$PN$27,("&lt;"&amp;$B$3),$C$27:$PN$27,("&gt;="&amp;$B$2),$C49:$PN49,TabAsistencias[[#Headers],[PP]])</f>
        <v>0</v>
      </c>
      <c r="PX49" s="74">
        <f>COUNTIFS($C$27:$PN$27,("&lt;"&amp;$B$3),$C$27:$PN$27,("&gt;="&amp;$B$2),$C49:$PN49,TabAsistencias[[#Headers],[0]])</f>
        <v>0</v>
      </c>
      <c r="PY49" s="74">
        <f>COUNTIFS($C$27:$PN$27,("&lt;"&amp;$B$3),$C$27:$PN$27,("&gt;="&amp;$B$2),$C49:$PN49,TabAsistencias[[#Headers],[IG]])</f>
        <v>0</v>
      </c>
      <c r="PZ49" s="74">
        <f>COUNTIFS($C$27:$PN$27,("&lt;"&amp;$B$3),$C$27:$PN$27,("&gt;="&amp;$B$2),$C49:$PN49,TabAsistencias[[#Headers],[NA]])</f>
        <v>0</v>
      </c>
      <c r="QA49" s="74">
        <f>COUNTIFS($C$27:$PN$27,("&lt;"&amp;$B$3),$C$27:$PN$27,("&gt;="&amp;$B$2),$C49:$PN49,TabAsistencias[[#Headers],[DF]])</f>
        <v>0</v>
      </c>
      <c r="QB49" s="74">
        <f>COUNTIFS($C$27:$PN$27,("&lt;"&amp;$B$3),$C$27:$PN$27,("&gt;="&amp;$B$2),$C49:$PN49,TabAsistencias[[#Headers],[3]])</f>
        <v>0</v>
      </c>
      <c r="QC49" s="74">
        <f>COUNTIFS($C$27:$PN$27,("&lt;"&amp;$B$3),$C$27:$PN$27,("&gt;="&amp;$B$2),$C49:$PN49,TabAsistencias[[#Headers],[CP]])</f>
        <v>0</v>
      </c>
      <c r="QD49" s="74">
        <f>COUNTIFS($C$27:$PN$27,("&lt;"&amp;$B$3),$C$27:$PN$27,("&gt;="&amp;$B$2),$C49:$PN49,TabAsistencias[[#Headers],[I]])</f>
        <v>0</v>
      </c>
      <c r="QE49" s="74">
        <f>COUNTIFS($C$27:$PN$27,("&lt;"&amp;$B$3),$C$27:$PN$27,("&gt;="&amp;$B$2),$C49:$PN49,TabAsistencias[[#Headers],[T/2]])</f>
        <v>0</v>
      </c>
      <c r="QF49" s="74">
        <f>COUNTIFS($C$27:$PN$27,("&lt;"&amp;$B$3),$C$27:$PN$27,("&gt;="&amp;$B$2),$C49:$PN49,TabAsistencias[[#Headers],[ME]])</f>
        <v>0</v>
      </c>
      <c r="QG49" s="74">
        <f>COUNTIFS($C$27:$PN$27,("&lt;"&amp;$B$3),$C$27:$PN$27,("&gt;="&amp;$B$2),$C49:$PN49,TabAsistencias[[#Headers],[DP]])</f>
        <v>0</v>
      </c>
      <c r="QH49" s="74">
        <f>COUNTIFS($C$27:$PN$27,("&lt;"&amp;$B$3),$C$27:$PN$27,("&gt;="&amp;$B$2),$C49:$PN49,TabAsistencias[[#Headers],[B]])</f>
        <v>0</v>
      </c>
      <c r="QI49" s="74">
        <f>(TabAsistencias[[#This Row],[1]]*'Tablas de informacion'!$C$124)+(TabAsistencias[[#This Row],[E]]*'Tablas de informacion'!$C$125)+(TabAsistencias[[#This Row],[DE]]*'Tablas de informacion'!C$126)+(TabAsistencias[[#This Row],[V]]*'Tablas de informacion'!C$127)+(TabAsistencias[[#This Row],[DO]]*'Tablas de informacion'!C$128)+(TabAsistencias[[#This Row],[P]]*'Tablas de informacion'!C$129)+(TabAsistencias[[#This Row],[F]]*'Tablas de informacion'!C$130)+(TabAsistencias[[#This Row],[R]]*'Tablas de informacion'!C$131)+(TabAsistencias[[#This Row],[PP]]*'Tablas de informacion'!C$132)+(TabAsistencias[[#This Row],[0]]*'Tablas de informacion'!C$133)+(TabAsistencias[[#This Row],[IG]]*'Tablas de informacion'!C$134)+(TabAsistencias[[#This Row],[NA]]*'Tablas de informacion'!C$135)+(TabAsistencias[[#This Row],[DF]]*'Tablas de informacion'!C$136)+(TabAsistencias[[#This Row],[3]]*'Tablas de informacion'!C$137)+(TabAsistencias[[#This Row],[CP]]*'Tablas de informacion'!C$138)+(TabAsistencias[[#This Row],[I]]*'Tablas de informacion'!C$139)+(TabAsistencias[[#This Row],[T/2]]*'Tablas de informacion'!C$140)+(TabAsistencias[[#This Row],[ME]]*'Tablas de informacion'!C$141)+(TabAsistencias[[#This Row],[DP]]*'Tablas de informacion'!C$142)+(TabAsistencias[[#This Row],[B]]*'Tablas de informacion'!C$143)-INT(TabAsistencias[[#This Row],[R]]/3)</f>
        <v>30</v>
      </c>
      <c r="QJ49" s="74">
        <f>COUNTIFS($C$27:$PN$27,("&lt;"&amp;$B$3),$C$27:$PN$27,("&gt;="&amp;$B$2),$C$28:$PN$28,1,$C49:$PN49,TabAsistencias[[#Headers],[1]])+
COUNTIFS($C$27:$PN$27,("&lt;"&amp;$B$3),$C$27:$PN$27,("&gt;="&amp;$B$2),$C$28:$PN$28,1,$C49:$PN49,TabAsistencias[[#Headers],[DO]])+
COUNTIFS($C$27:$PN$27,("&lt;"&amp;$B$3),$C$27:$PN$27,("&gt;="&amp;$B$2),$C$28:$PN$28,1,$C49:$PN49,TabAsistencias[[#Headers],[R]])+
COUNTIFS($C$27:$PN$27,("&lt;"&amp;$B$3),$C$27:$PN$27,("&gt;="&amp;$B$2),$C$28:$PN$28,1,$C49:$PN49,TabAsistencias[[#Headers],[NA]])+
COUNTIFS($C$27:$PN$27,("&lt;"&amp;$B$3),$C$27:$PN$27,("&gt;="&amp;$B$2),$C$28:$PN$28,1,$C49:$PN49,TabAsistencias[[#Headers],[DF]])+
COUNTIFS($C$27:$PN$27,("&lt;"&amp;$B$3),$C$27:$PN$27,("&gt;="&amp;$B$2),$C$28:$PN$28,1,$C49:$PN49,TabAsistencias[[#Headers],[3]])+
COUNTIFS($C$27:$PN$27,("&lt;"&amp;$B$3),$C$27:$PN$27,("&gt;="&amp;$B$2),$C$28:$PN$28,1,$C49:$PN49,TabAsistencias[[#Headers],[CP]])+
COUNTIFS($C$27:$PN$27,("&lt;"&amp;$B$3),$C$27:$PN$27,("&gt;="&amp;$B$2),$C$28:$PN$28,1,$C49:$PN49,TabAsistencias[[#Headers],[T/2]])</f>
        <v>4</v>
      </c>
      <c r="QK49" s="315" cm="1">
        <f t="array" ref="QK49">IFERROR(VLOOKUP(
DATEDIF((VLOOKUP(TabAsistencias[[#This Row],[ID]],TabEmpleados[],COLUMN(TabEmpleados[Fecha de ingreso]),FALSE)),Asistencias!$B$3,"Y"),
TabFactorIntegracion[],COLUMN(TabFactorIntegracion[Días vacacionales
establecidos por ley]),FALSE),0)
-
COUNTIF($AH49:$PN49,TabAsistencias[[#Headers],[V]])</f>
        <v>12</v>
      </c>
      <c r="QL49" s="319">
        <f>SUM(TabAsistencias[[#This Row],[''1]],TabAsistencias[[#This Row],[''DE]],TabAsistencias[[#This Row],[''DO]],TabAsistencias[[#This Row],[''R]],TabAsistencias[[#This Row],[''NA]],TabAsistencias[[#This Row],[''DF]],TabAsistencias[[#This Row],[''3]],TabAsistencias[[#This Row],[''CP]],TabAsistencias[[#This Row],[''T/2]],TabAsistencias[[#This Row],[''DP]])</f>
        <v>73</v>
      </c>
      <c r="QM49" s="314">
        <f>COUNTIFS($C$27:$PN$27,("&lt;"&amp;$B$5),$C$27:$PN$27,("&gt;="&amp;$B$4),$C49:$PN49,TabAsistencias[[#Headers],[1]])</f>
        <v>73</v>
      </c>
      <c r="QN49" s="314">
        <f>COUNTIFS($C$27:$PN$27,("&lt;"&amp;$B$5),$C$27:$PN$27,("&gt;="&amp;$B$4),$C49:$PN49,TabAsistencias[[#Headers],[DE]])</f>
        <v>0</v>
      </c>
      <c r="QO49" s="314">
        <f>COUNTIFS($C$27:$PN$27,("&lt;"&amp;$B$5),$C$27:$PN$27,("&gt;="&amp;$B$4),$C49:$PN49,TabAsistencias[[#Headers],[V]])</f>
        <v>0</v>
      </c>
      <c r="QP49" s="314">
        <f>COUNTIFS($C$27:$PN$27,("&lt;"&amp;$B$5),$C$27:$PN$27,("&gt;="&amp;$B$4),$C49:$PN49,TabAsistencias[[#Headers],[DO]])</f>
        <v>0</v>
      </c>
      <c r="QQ49" s="314">
        <f>COUNTIFS($C$27:$PN$27,("&lt;"&amp;$B$5),$C$27:$PN$27,("&gt;="&amp;$B$4),$C49:$PN49,TabAsistencias[[#Headers],[P]])</f>
        <v>0</v>
      </c>
      <c r="QR49" s="314">
        <f>COUNTIFS($C$27:$PN$27,("&lt;"&amp;$B$5),$C$27:$PN$27,("&gt;="&amp;$B$4),$C49:$PN49,TabAsistencias[[#Headers],[F]])</f>
        <v>0</v>
      </c>
      <c r="QS49" s="314">
        <f>COUNTIFS($C$27:$PN$27,("&lt;"&amp;$B$5),$C$27:$PN$27,("&gt;="&amp;$B$4),$C49:$PN49,TabAsistencias[[#Headers],[R]])</f>
        <v>0</v>
      </c>
      <c r="QT49" s="314">
        <f>COUNTIFS($C$27:$PN$27,("&lt;"&amp;$B$5),$C$27:$PN$27,("&gt;="&amp;$B$4),$C49:$PN49,TabAsistencias[[#Headers],[PP]])</f>
        <v>0</v>
      </c>
      <c r="QU49" s="314">
        <f>COUNTIFS($C$27:$PN$27,("&lt;"&amp;$B$5),$C$27:$PN$27,("&gt;="&amp;$B$4),$C49:$PN49,TabAsistencias[[#Headers],[0]])</f>
        <v>0</v>
      </c>
      <c r="QV49" s="314">
        <f>COUNTIFS($C$27:$PN$27,("&lt;"&amp;$B$5),$C$27:$PN$27,("&gt;="&amp;$B$4),$C49:$PN49,TabAsistencias[[#Headers],[IG]])</f>
        <v>0</v>
      </c>
      <c r="QW49" s="314">
        <f>COUNTIFS($C$27:$PN$27,("&lt;"&amp;$B$5),$C$27:$PN$27,("&gt;="&amp;$B$4),$C49:$PN49,TabAsistencias[[#Headers],[NA]])</f>
        <v>0</v>
      </c>
      <c r="QX49" s="314">
        <f>COUNTIFS($C$27:$PN$27,("&lt;"&amp;$B$5),$C$27:$PN$27,("&gt;="&amp;$B$4),$C49:$PN49,TabAsistencias[[#Headers],[DF]])</f>
        <v>0</v>
      </c>
      <c r="QY49" s="314">
        <f>COUNTIFS($C$27:$PN$27,("&lt;"&amp;$B$5),$C$27:$PN$27,("&gt;="&amp;$B$4),$C49:$PN49,TabAsistencias[[#Headers],[3]])</f>
        <v>0</v>
      </c>
      <c r="QZ49" s="314">
        <f>COUNTIFS($C$27:$PN$27,("&lt;"&amp;$B$5),$C$27:$PN$27,("&gt;="&amp;$B$4),$C49:$PN49,TabAsistencias[[#Headers],[CP]])</f>
        <v>0</v>
      </c>
      <c r="RA49" s="314">
        <f>COUNTIFS($C$27:$PN$27,("&lt;"&amp;$B$5),$C$27:$PN$27,("&gt;="&amp;$B$4),$C49:$PN49,TabAsistencias[[#Headers],[I]])</f>
        <v>0</v>
      </c>
      <c r="RB49" s="314">
        <f>COUNTIFS($C$27:$PN$27,("&lt;"&amp;$B$5),$C$27:$PN$27,("&gt;="&amp;$B$4),$C49:$PN49,TabAsistencias[[#Headers],[T/2]])</f>
        <v>0</v>
      </c>
      <c r="RC49" s="314">
        <f>COUNTIFS($C$27:$PN$27,("&lt;"&amp;$B$5),$C$27:$PN$27,("&gt;="&amp;$B$4),$C49:$PN49,TabAsistencias[[#Headers],[ME]])</f>
        <v>0</v>
      </c>
      <c r="RD49" s="314">
        <f>COUNTIFS($C$27:$PN$27,("&lt;"&amp;$B$5),$C$27:$PN$27,("&gt;="&amp;$B$4),$C49:$PN49,TabAsistencias[[#Headers],[DP]])</f>
        <v>0</v>
      </c>
      <c r="RE49" s="314">
        <f>COUNTIFS($C$27:$PN$27,("&lt;"&amp;$B$5),$C$27:$PN$27,("&gt;="&amp;$B$4),$C49:$PN49,TabAsistencias[[#Headers],[B]])</f>
        <v>0</v>
      </c>
      <c r="RF49" s="314">
        <f>COUNTIFS($C$27:$PN$27,("&lt;"&amp;$B$5),$C$27:$PN$27,("&gt;="&amp;$B$4),$C$28:$PN$28,1,$C49:$PN49,TabAsistencias[[#Headers],[1]])+
COUNTIFS($C$27:$PN$27,("&lt;"&amp;$B$5),$C$27:$PN$27,("&gt;="&amp;$B$4),$C$28:$PN$28,1,$C49:$PN49,TabAsistencias[[#Headers],[DO]])+
COUNTIFS($C$27:$PN$27,("&lt;"&amp;$B$5),$C$27:$PN$27,("&gt;="&amp;$B$4),$C$28:$PN$28,1,$C49:$PN49,TabAsistencias[[#Headers],[R]])+
COUNTIFS($C$27:$PN$27,("&lt;"&amp;$B$5),$C$27:$PN$27,("&gt;="&amp;$B$4),$C$28:$PN$28,1,$C49:$PN49,TabAsistencias[[#Headers],[NA]])+
COUNTIFS($C$27:$PN$27,("&lt;"&amp;$B$5),$C$27:$PN$27,("&gt;="&amp;$B$4),$C$28:$PN$28,1,$C49:$PN49,TabAsistencias[[#Headers],[DF]])+
COUNTIFS($C$27:$PN$27,("&lt;"&amp;$B$5),$C$27:$PN$27,("&gt;="&amp;$B$4),$C$28:$PN$28,1,$C49:$PN49,TabAsistencias[[#Headers],[3]])+
COUNTIFS($C$27:$PN$27,("&lt;"&amp;$B$5),$C$27:$PN$27,("&gt;="&amp;$B$4),$C$28:$PN$28,1,$C49:$PN49,TabAsistencias[[#Headers],[CP]])+
COUNTIFS($C$27:$PN$27,("&lt;"&amp;$B$5),$C$27:$PN$27,("&gt;="&amp;$B$4),$C$28:$PN$28,1,$C49:$PN49,TabAsistencias[[#Headers],[T/2]])</f>
        <v>11</v>
      </c>
      <c r="RG49" s="320" cm="1">
        <f t="array" ref="RG49">IFERROR(VLOOKUP(
DATEDIF((VLOOKUP(TabAsistencias[[#This Row],[ID]],TabEmpleados[],COLUMN(TabEmpleados[Fecha de alta NSS]),FALSE)),Asistencias!$B$3,"Y"),
TabFactorIntegracion[],COLUMN(TabFactorIntegracion[Días vacacionales
establecidos por ley]),FALSE),0)
-
COUNTIF($AH49:$PN49,TabAsistencias[[#Headers],[V]])</f>
        <v>12</v>
      </c>
    </row>
    <row r="50" spans="1:475" x14ac:dyDescent="0.25">
      <c r="A50" s="92">
        <f t="shared" si="434"/>
        <v>20</v>
      </c>
      <c r="B50" s="30" t="str" cm="1">
        <f t="array" ref="B50">VLOOKUP(TabAsistencias[[#This Row],[ID]],TabEmpleados[],COLUMN(TabEmpleados[Nombre]),FALSE)</f>
        <v>DECIDERIO ESPINA ISMAEL</v>
      </c>
      <c r="C50" s="36" t="s">
        <v>139</v>
      </c>
      <c r="D50" s="36" t="s">
        <v>139</v>
      </c>
      <c r="E50" s="36" t="s">
        <v>139</v>
      </c>
      <c r="F50" s="36" t="s">
        <v>139</v>
      </c>
      <c r="G50" s="36" t="s">
        <v>139</v>
      </c>
      <c r="H50" s="36" t="s">
        <v>139</v>
      </c>
      <c r="I50" s="36" t="s">
        <v>139</v>
      </c>
      <c r="J50" s="36" t="s">
        <v>139</v>
      </c>
      <c r="K50" s="36" t="s">
        <v>139</v>
      </c>
      <c r="L50" s="36" t="s">
        <v>139</v>
      </c>
      <c r="M50" s="36" t="s">
        <v>139</v>
      </c>
      <c r="N50" s="36" t="s">
        <v>139</v>
      </c>
      <c r="O50" s="36" t="s">
        <v>139</v>
      </c>
      <c r="P50" s="36" t="s">
        <v>139</v>
      </c>
      <c r="Q50" s="36" t="s">
        <v>139</v>
      </c>
      <c r="R50" s="36" t="s">
        <v>139</v>
      </c>
      <c r="S50" s="36" t="s">
        <v>139</v>
      </c>
      <c r="T50" s="36" t="s">
        <v>139</v>
      </c>
      <c r="U50" s="36" t="s">
        <v>139</v>
      </c>
      <c r="V50" s="36" t="s">
        <v>139</v>
      </c>
      <c r="W50" s="36" t="s">
        <v>139</v>
      </c>
      <c r="X50" s="36" t="s">
        <v>139</v>
      </c>
      <c r="Y50" s="36" t="s">
        <v>139</v>
      </c>
      <c r="Z50" s="36" t="s">
        <v>139</v>
      </c>
      <c r="AA50" s="36" t="s">
        <v>139</v>
      </c>
      <c r="AB50" s="36" t="s">
        <v>139</v>
      </c>
      <c r="AC50" s="36" t="s">
        <v>139</v>
      </c>
      <c r="AD50" s="36" t="s">
        <v>139</v>
      </c>
      <c r="AE50" s="36" t="s">
        <v>139</v>
      </c>
      <c r="AF50" s="36" t="s">
        <v>139</v>
      </c>
      <c r="AG50" s="36" t="s">
        <v>139</v>
      </c>
      <c r="AH50" s="36" t="s">
        <v>139</v>
      </c>
      <c r="AI50" s="36" t="s">
        <v>139</v>
      </c>
      <c r="AJ50" s="36" t="s">
        <v>139</v>
      </c>
      <c r="AK50" s="36" t="s">
        <v>139</v>
      </c>
      <c r="AL50" s="36" t="s">
        <v>139</v>
      </c>
      <c r="AM50" s="36" t="s">
        <v>139</v>
      </c>
      <c r="AN50" s="36" t="s">
        <v>139</v>
      </c>
      <c r="AO50" s="36" t="s">
        <v>139</v>
      </c>
      <c r="AP50" s="36" t="s">
        <v>139</v>
      </c>
      <c r="AQ50" s="36" t="s">
        <v>139</v>
      </c>
      <c r="AR50" s="36" t="s">
        <v>139</v>
      </c>
      <c r="AS50" s="36" t="s">
        <v>139</v>
      </c>
      <c r="AT50" s="36" t="s">
        <v>139</v>
      </c>
      <c r="AU50" s="36" t="s">
        <v>139</v>
      </c>
      <c r="AV50" s="36" t="s">
        <v>139</v>
      </c>
      <c r="AW50" s="36" t="s">
        <v>139</v>
      </c>
      <c r="AX50" s="36" t="s">
        <v>139</v>
      </c>
      <c r="AY50" s="36" t="s">
        <v>139</v>
      </c>
      <c r="AZ50" s="36" t="s">
        <v>139</v>
      </c>
      <c r="BA50" s="36" t="s">
        <v>139</v>
      </c>
      <c r="BB50" s="36" t="s">
        <v>139</v>
      </c>
      <c r="BC50" s="36" t="s">
        <v>139</v>
      </c>
      <c r="BD50" s="36" t="s">
        <v>139</v>
      </c>
      <c r="BE50" s="36" t="s">
        <v>139</v>
      </c>
      <c r="BF50" s="36" t="s">
        <v>139</v>
      </c>
      <c r="BG50" s="36" t="s">
        <v>139</v>
      </c>
      <c r="BH50" s="36" t="s">
        <v>139</v>
      </c>
      <c r="BI50" s="36" t="s">
        <v>139</v>
      </c>
      <c r="BJ50" s="36" t="s">
        <v>139</v>
      </c>
      <c r="BK50" s="36" t="s">
        <v>139</v>
      </c>
      <c r="BL50" s="36" t="s">
        <v>139</v>
      </c>
      <c r="BM50" s="36" t="s">
        <v>139</v>
      </c>
      <c r="BN50" s="36" t="s">
        <v>139</v>
      </c>
      <c r="BO50" s="36" t="s">
        <v>139</v>
      </c>
      <c r="BP50" s="36" t="s">
        <v>139</v>
      </c>
      <c r="BQ50" s="36" t="s">
        <v>139</v>
      </c>
      <c r="BR50" s="36" t="s">
        <v>139</v>
      </c>
      <c r="BS50" s="36" t="s">
        <v>139</v>
      </c>
      <c r="BT50" s="36" t="s">
        <v>139</v>
      </c>
      <c r="BU50" s="36" t="s">
        <v>139</v>
      </c>
      <c r="BV50" s="36" t="s">
        <v>139</v>
      </c>
      <c r="BW50" s="36" t="s">
        <v>139</v>
      </c>
      <c r="BX50" s="36" t="s">
        <v>139</v>
      </c>
      <c r="BY50" s="36" t="s">
        <v>139</v>
      </c>
      <c r="BZ50" s="36" t="s">
        <v>139</v>
      </c>
      <c r="CA50" s="36" t="s">
        <v>139</v>
      </c>
      <c r="CB50" s="36" t="s">
        <v>139</v>
      </c>
      <c r="CC50" s="36" t="s">
        <v>139</v>
      </c>
      <c r="CD50" s="36" t="s">
        <v>139</v>
      </c>
      <c r="CE50" s="36" t="s">
        <v>139</v>
      </c>
      <c r="CF50" s="36" t="s">
        <v>139</v>
      </c>
      <c r="CG50" s="36" t="s">
        <v>139</v>
      </c>
      <c r="CH50" s="36" t="s">
        <v>139</v>
      </c>
      <c r="CI50" s="36" t="s">
        <v>139</v>
      </c>
      <c r="CJ50" s="36" t="s">
        <v>139</v>
      </c>
      <c r="CK50" s="36" t="s">
        <v>139</v>
      </c>
      <c r="CL50" s="36" t="s">
        <v>139</v>
      </c>
      <c r="CM50" s="36" t="s">
        <v>139</v>
      </c>
      <c r="CN50" s="36" t="s">
        <v>139</v>
      </c>
      <c r="CO50" s="36" t="s">
        <v>139</v>
      </c>
      <c r="CP50" s="36" t="s">
        <v>139</v>
      </c>
      <c r="CQ50" s="36" t="s">
        <v>139</v>
      </c>
      <c r="CR50" s="36" t="s">
        <v>139</v>
      </c>
      <c r="CS50" s="36" t="s">
        <v>139</v>
      </c>
      <c r="CT50" s="36" t="s">
        <v>139</v>
      </c>
      <c r="CU50" s="36" t="s">
        <v>139</v>
      </c>
      <c r="CV50" s="36" t="s">
        <v>139</v>
      </c>
      <c r="CW50" s="36" t="s">
        <v>139</v>
      </c>
      <c r="CX50" s="36" t="s">
        <v>139</v>
      </c>
      <c r="CY50" s="36" t="s">
        <v>139</v>
      </c>
      <c r="CZ50" s="36" t="s">
        <v>139</v>
      </c>
      <c r="DA50" s="36" t="s">
        <v>139</v>
      </c>
      <c r="DB50" s="36" t="s">
        <v>139</v>
      </c>
      <c r="DC50" s="36" t="s">
        <v>139</v>
      </c>
      <c r="DD50" s="36" t="s">
        <v>139</v>
      </c>
      <c r="DE50" s="36" t="s">
        <v>139</v>
      </c>
      <c r="DF50" s="36" t="s">
        <v>139</v>
      </c>
      <c r="DG50" s="36" t="s">
        <v>139</v>
      </c>
      <c r="DH50" s="36" t="s">
        <v>139</v>
      </c>
      <c r="DI50" s="36" t="s">
        <v>139</v>
      </c>
      <c r="DJ50" s="36" t="s">
        <v>139</v>
      </c>
      <c r="DK50" s="36" t="s">
        <v>139</v>
      </c>
      <c r="DL50" s="36" t="s">
        <v>139</v>
      </c>
      <c r="DM50" s="36" t="s">
        <v>139</v>
      </c>
      <c r="DN50" s="36" t="s">
        <v>139</v>
      </c>
      <c r="DO50" s="36" t="s">
        <v>139</v>
      </c>
      <c r="DP50" s="36" t="s">
        <v>139</v>
      </c>
      <c r="DQ50" s="36" t="s">
        <v>139</v>
      </c>
      <c r="DR50" s="36" t="s">
        <v>139</v>
      </c>
      <c r="DS50" s="36" t="s">
        <v>139</v>
      </c>
      <c r="DT50" s="36" t="s">
        <v>139</v>
      </c>
      <c r="DU50" s="36" t="s">
        <v>139</v>
      </c>
      <c r="DV50" s="36" t="s">
        <v>139</v>
      </c>
      <c r="DW50" s="36" t="s">
        <v>139</v>
      </c>
      <c r="DX50" s="36" t="s">
        <v>139</v>
      </c>
      <c r="DY50" s="36" t="s">
        <v>139</v>
      </c>
      <c r="DZ50" s="36" t="s">
        <v>139</v>
      </c>
      <c r="EA50" s="36" t="s">
        <v>139</v>
      </c>
      <c r="EB50" s="36" t="s">
        <v>139</v>
      </c>
      <c r="EC50" s="36" t="s">
        <v>139</v>
      </c>
      <c r="ED50" s="36" t="s">
        <v>139</v>
      </c>
      <c r="EE50" s="36" t="s">
        <v>139</v>
      </c>
      <c r="EF50" s="36" t="s">
        <v>139</v>
      </c>
      <c r="EG50" s="36" t="s">
        <v>139</v>
      </c>
      <c r="EH50" s="36" t="s">
        <v>139</v>
      </c>
      <c r="EI50" s="36" t="s">
        <v>139</v>
      </c>
      <c r="EJ50" s="36" t="s">
        <v>139</v>
      </c>
      <c r="EK50" s="36" t="s">
        <v>139</v>
      </c>
      <c r="EL50" s="36" t="s">
        <v>139</v>
      </c>
      <c r="EM50" s="36" t="s">
        <v>139</v>
      </c>
      <c r="EN50" s="36" t="s">
        <v>139</v>
      </c>
      <c r="EO50" s="36" t="s">
        <v>139</v>
      </c>
      <c r="EP50" s="36" t="s">
        <v>139</v>
      </c>
      <c r="EQ50" s="36" t="s">
        <v>139</v>
      </c>
      <c r="ER50" s="36" t="s">
        <v>139</v>
      </c>
      <c r="ES50" s="36" t="s">
        <v>139</v>
      </c>
      <c r="ET50" s="36" t="s">
        <v>139</v>
      </c>
      <c r="EU50" s="36" t="s">
        <v>139</v>
      </c>
      <c r="EV50" s="36" t="s">
        <v>139</v>
      </c>
      <c r="EW50" s="36" t="s">
        <v>139</v>
      </c>
      <c r="EX50" s="36" t="s">
        <v>139</v>
      </c>
      <c r="EY50" s="36" t="s">
        <v>139</v>
      </c>
      <c r="EZ50" s="36" t="s">
        <v>139</v>
      </c>
      <c r="FA50" s="36" t="s">
        <v>139</v>
      </c>
      <c r="FB50" s="36" t="s">
        <v>139</v>
      </c>
      <c r="FC50" s="36" t="s">
        <v>139</v>
      </c>
      <c r="FD50" s="36" t="s">
        <v>139</v>
      </c>
      <c r="FE50" s="36" t="s">
        <v>139</v>
      </c>
      <c r="FF50" s="36" t="s">
        <v>139</v>
      </c>
      <c r="FG50" s="36" t="s">
        <v>139</v>
      </c>
      <c r="FH50" s="36" t="s">
        <v>139</v>
      </c>
      <c r="FI50" s="36" t="s">
        <v>139</v>
      </c>
      <c r="FJ50" s="36" t="s">
        <v>139</v>
      </c>
      <c r="FK50" s="36" t="s">
        <v>139</v>
      </c>
      <c r="FL50" s="36" t="s">
        <v>139</v>
      </c>
      <c r="FM50" s="36" t="s">
        <v>139</v>
      </c>
      <c r="FN50" s="36" t="s">
        <v>139</v>
      </c>
      <c r="FO50" s="36" t="s">
        <v>139</v>
      </c>
      <c r="FP50" s="36" t="s">
        <v>139</v>
      </c>
      <c r="FQ50" s="36" t="s">
        <v>139</v>
      </c>
      <c r="FR50" s="36" t="s">
        <v>139</v>
      </c>
      <c r="FS50" s="36" t="s">
        <v>139</v>
      </c>
      <c r="FT50" s="36" t="s">
        <v>139</v>
      </c>
      <c r="FU50" s="36" t="s">
        <v>139</v>
      </c>
      <c r="FV50" s="36" t="s">
        <v>139</v>
      </c>
      <c r="FW50" s="36" t="s">
        <v>139</v>
      </c>
      <c r="FX50" s="36" t="s">
        <v>139</v>
      </c>
      <c r="FY50" s="36" t="s">
        <v>139</v>
      </c>
      <c r="FZ50" s="36" t="s">
        <v>139</v>
      </c>
      <c r="GA50" s="36" t="s">
        <v>139</v>
      </c>
      <c r="GB50" s="36" t="s">
        <v>139</v>
      </c>
      <c r="GC50" s="36" t="s">
        <v>139</v>
      </c>
      <c r="GD50" s="36" t="s">
        <v>139</v>
      </c>
      <c r="GE50" s="36" t="s">
        <v>139</v>
      </c>
      <c r="GF50" s="36" t="s">
        <v>139</v>
      </c>
      <c r="GG50" s="36" t="s">
        <v>139</v>
      </c>
      <c r="GH50" s="36" t="s">
        <v>139</v>
      </c>
      <c r="GI50" s="36" t="s">
        <v>139</v>
      </c>
      <c r="GJ50" s="36" t="s">
        <v>139</v>
      </c>
      <c r="GK50" s="36" t="s">
        <v>139</v>
      </c>
      <c r="GL50" s="36" t="s">
        <v>139</v>
      </c>
      <c r="GM50" s="36" t="s">
        <v>139</v>
      </c>
      <c r="GN50" s="36" t="s">
        <v>139</v>
      </c>
      <c r="GO50" s="36" t="s">
        <v>139</v>
      </c>
      <c r="GP50" s="36" t="s">
        <v>139</v>
      </c>
      <c r="GQ50" s="36" t="s">
        <v>139</v>
      </c>
      <c r="GR50" s="36" t="s">
        <v>139</v>
      </c>
      <c r="GS50" s="36" t="s">
        <v>139</v>
      </c>
      <c r="GT50" s="36" t="s">
        <v>139</v>
      </c>
      <c r="GU50" s="36" t="s">
        <v>139</v>
      </c>
      <c r="GV50" s="36" t="s">
        <v>139</v>
      </c>
      <c r="GW50" s="36" t="s">
        <v>139</v>
      </c>
      <c r="GX50" s="36" t="s">
        <v>139</v>
      </c>
      <c r="GY50" s="36" t="s">
        <v>139</v>
      </c>
      <c r="GZ50" s="36" t="s">
        <v>139</v>
      </c>
      <c r="HA50" s="36" t="s">
        <v>139</v>
      </c>
      <c r="HB50" s="36" t="s">
        <v>139</v>
      </c>
      <c r="HC50" s="36" t="s">
        <v>139</v>
      </c>
      <c r="HD50" s="36" t="s">
        <v>139</v>
      </c>
      <c r="HE50" s="36" t="s">
        <v>139</v>
      </c>
      <c r="HF50" s="36" t="s">
        <v>139</v>
      </c>
      <c r="HG50" s="36" t="s">
        <v>139</v>
      </c>
      <c r="HH50" s="36" t="s">
        <v>139</v>
      </c>
      <c r="HI50" s="36" t="s">
        <v>139</v>
      </c>
      <c r="HJ50" s="36" t="s">
        <v>139</v>
      </c>
      <c r="HK50" s="36" t="s">
        <v>139</v>
      </c>
      <c r="HL50" s="36" t="s">
        <v>139</v>
      </c>
      <c r="HM50" s="36" t="s">
        <v>139</v>
      </c>
      <c r="HN50" s="36" t="s">
        <v>139</v>
      </c>
      <c r="HO50" s="36" t="s">
        <v>139</v>
      </c>
      <c r="HP50" s="36" t="s">
        <v>139</v>
      </c>
      <c r="HQ50" s="36" t="s">
        <v>139</v>
      </c>
      <c r="HR50" s="36" t="s">
        <v>139</v>
      </c>
      <c r="HS50" s="36" t="s">
        <v>139</v>
      </c>
      <c r="HT50" s="36" t="s">
        <v>139</v>
      </c>
      <c r="HU50" s="36" t="s">
        <v>139</v>
      </c>
      <c r="HV50" s="36" t="s">
        <v>139</v>
      </c>
      <c r="HW50" s="36" t="s">
        <v>139</v>
      </c>
      <c r="HX50" s="36" t="s">
        <v>139</v>
      </c>
      <c r="HY50" s="36" t="s">
        <v>139</v>
      </c>
      <c r="HZ50" s="36" t="s">
        <v>139</v>
      </c>
      <c r="IA50" s="36" t="s">
        <v>139</v>
      </c>
      <c r="IB50" s="36" t="s">
        <v>139</v>
      </c>
      <c r="IC50" s="36" t="s">
        <v>139</v>
      </c>
      <c r="ID50" s="36" t="s">
        <v>139</v>
      </c>
      <c r="IE50" s="36" t="s">
        <v>139</v>
      </c>
      <c r="IF50" s="36" t="s">
        <v>139</v>
      </c>
      <c r="IG50" s="36" t="s">
        <v>139</v>
      </c>
      <c r="IH50" s="36" t="s">
        <v>139</v>
      </c>
      <c r="II50" s="36" t="s">
        <v>139</v>
      </c>
      <c r="IJ50" s="36" t="s">
        <v>139</v>
      </c>
      <c r="IK50" s="36" t="s">
        <v>139</v>
      </c>
      <c r="IL50" s="36" t="s">
        <v>139</v>
      </c>
      <c r="IM50" s="36" t="s">
        <v>139</v>
      </c>
      <c r="IN50" s="36" t="s">
        <v>139</v>
      </c>
      <c r="IO50" s="36" t="s">
        <v>139</v>
      </c>
      <c r="IP50" s="36" t="s">
        <v>139</v>
      </c>
      <c r="IQ50" s="36" t="s">
        <v>139</v>
      </c>
      <c r="IR50" s="36" t="s">
        <v>139</v>
      </c>
      <c r="IS50" s="36" t="s">
        <v>139</v>
      </c>
      <c r="IT50" s="36" t="s">
        <v>139</v>
      </c>
      <c r="IU50" s="36" t="s">
        <v>139</v>
      </c>
      <c r="IV50" s="36" t="s">
        <v>139</v>
      </c>
      <c r="IW50" s="36" t="s">
        <v>139</v>
      </c>
      <c r="IX50" s="36" t="s">
        <v>139</v>
      </c>
      <c r="IY50" s="36" t="s">
        <v>139</v>
      </c>
      <c r="IZ50" s="36" t="s">
        <v>139</v>
      </c>
      <c r="JA50" s="36" t="s">
        <v>139</v>
      </c>
      <c r="JB50" s="36" t="s">
        <v>139</v>
      </c>
      <c r="JC50" s="36" t="s">
        <v>139</v>
      </c>
      <c r="JD50" s="36" t="s">
        <v>139</v>
      </c>
      <c r="JE50" s="36" t="s">
        <v>139</v>
      </c>
      <c r="JF50" s="36" t="s">
        <v>139</v>
      </c>
      <c r="JG50" s="36" t="s">
        <v>139</v>
      </c>
      <c r="JH50" s="36" t="s">
        <v>139</v>
      </c>
      <c r="JI50" s="36" t="s">
        <v>139</v>
      </c>
      <c r="JJ50" s="36" t="s">
        <v>139</v>
      </c>
      <c r="JK50" s="36" t="s">
        <v>139</v>
      </c>
      <c r="JL50" s="36" t="s">
        <v>139</v>
      </c>
      <c r="JM50" s="36" t="s">
        <v>139</v>
      </c>
      <c r="JN50" s="36" t="s">
        <v>139</v>
      </c>
      <c r="JO50" s="36" t="s">
        <v>139</v>
      </c>
      <c r="JP50" s="36" t="s">
        <v>139</v>
      </c>
      <c r="JQ50" s="36" t="s">
        <v>139</v>
      </c>
      <c r="JR50" s="36" t="s">
        <v>139</v>
      </c>
      <c r="JS50" s="36" t="s">
        <v>139</v>
      </c>
      <c r="JT50" s="36" t="s">
        <v>139</v>
      </c>
      <c r="JU50" s="36" t="s">
        <v>139</v>
      </c>
      <c r="JV50" s="36" t="s">
        <v>139</v>
      </c>
      <c r="JW50" s="36" t="s">
        <v>139</v>
      </c>
      <c r="JX50" s="36" t="s">
        <v>139</v>
      </c>
      <c r="JY50" s="36" t="s">
        <v>139</v>
      </c>
      <c r="JZ50" s="36" t="s">
        <v>139</v>
      </c>
      <c r="KA50" s="36" t="s">
        <v>139</v>
      </c>
      <c r="KB50" s="36" t="s">
        <v>139</v>
      </c>
      <c r="KC50" s="36" t="s">
        <v>139</v>
      </c>
      <c r="KD50" s="36" t="s">
        <v>139</v>
      </c>
      <c r="KE50" s="36" t="s">
        <v>139</v>
      </c>
      <c r="KF50" s="36" t="s">
        <v>139</v>
      </c>
      <c r="KG50" s="36" t="s">
        <v>139</v>
      </c>
      <c r="KH50" s="36" t="s">
        <v>139</v>
      </c>
      <c r="KI50" s="36" t="s">
        <v>139</v>
      </c>
      <c r="KJ50" s="36" t="s">
        <v>139</v>
      </c>
      <c r="KK50" s="36" t="s">
        <v>139</v>
      </c>
      <c r="KL50" s="36" t="s">
        <v>139</v>
      </c>
      <c r="KM50" s="36" t="s">
        <v>139</v>
      </c>
      <c r="KN50" s="36" t="s">
        <v>139</v>
      </c>
      <c r="KO50" s="36" t="s">
        <v>139</v>
      </c>
      <c r="KP50" s="36" t="s">
        <v>139</v>
      </c>
      <c r="KQ50" s="36" t="s">
        <v>139</v>
      </c>
      <c r="KR50" s="36" t="s">
        <v>139</v>
      </c>
      <c r="KS50" s="36" t="s">
        <v>139</v>
      </c>
      <c r="KT50" s="36" t="s">
        <v>139</v>
      </c>
      <c r="KU50" s="36" t="s">
        <v>139</v>
      </c>
      <c r="KV50" s="36" t="s">
        <v>139</v>
      </c>
      <c r="KW50" s="36" t="s">
        <v>139</v>
      </c>
      <c r="KX50" s="36" t="s">
        <v>139</v>
      </c>
      <c r="KY50" s="36" t="s">
        <v>139</v>
      </c>
      <c r="KZ50" s="36" t="s">
        <v>139</v>
      </c>
      <c r="LA50" s="36" t="s">
        <v>139</v>
      </c>
      <c r="LB50" s="36" t="s">
        <v>139</v>
      </c>
      <c r="LC50" s="36" t="s">
        <v>139</v>
      </c>
      <c r="LD50" s="36" t="s">
        <v>139</v>
      </c>
      <c r="LE50" s="36" t="s">
        <v>139</v>
      </c>
      <c r="LF50" s="36" t="s">
        <v>139</v>
      </c>
      <c r="LG50" s="36" t="s">
        <v>139</v>
      </c>
      <c r="LH50" s="36" t="s">
        <v>139</v>
      </c>
      <c r="LI50" s="36" t="s">
        <v>139</v>
      </c>
      <c r="LJ50" s="36" t="s">
        <v>139</v>
      </c>
      <c r="LK50" s="36" t="s">
        <v>139</v>
      </c>
      <c r="LL50" s="36" t="s">
        <v>139</v>
      </c>
      <c r="LM50" s="36" t="s">
        <v>139</v>
      </c>
      <c r="LN50" s="36" t="s">
        <v>139</v>
      </c>
      <c r="LO50" s="36" t="s">
        <v>139</v>
      </c>
      <c r="LP50" s="36" t="s">
        <v>139</v>
      </c>
      <c r="LQ50" s="36" t="s">
        <v>139</v>
      </c>
      <c r="LR50" s="36" t="s">
        <v>139</v>
      </c>
      <c r="LS50" s="36" t="s">
        <v>139</v>
      </c>
      <c r="LT50" s="36" t="s">
        <v>139</v>
      </c>
      <c r="LU50" s="36" t="s">
        <v>139</v>
      </c>
      <c r="LV50" s="36" t="s">
        <v>139</v>
      </c>
      <c r="LW50" s="36" t="s">
        <v>139</v>
      </c>
      <c r="LX50" s="36" t="s">
        <v>139</v>
      </c>
      <c r="LY50" s="36" t="s">
        <v>139</v>
      </c>
      <c r="LZ50" s="36" t="s">
        <v>139</v>
      </c>
      <c r="MA50" s="36" t="s">
        <v>139</v>
      </c>
      <c r="MB50" s="36" t="s">
        <v>139</v>
      </c>
      <c r="MC50" s="36" t="s">
        <v>139</v>
      </c>
      <c r="MD50" s="36" t="s">
        <v>139</v>
      </c>
      <c r="ME50" s="36" t="s">
        <v>139</v>
      </c>
      <c r="MF50" s="36" t="s">
        <v>139</v>
      </c>
      <c r="MG50" s="36" t="s">
        <v>139</v>
      </c>
      <c r="MH50" s="36" t="s">
        <v>139</v>
      </c>
      <c r="MI50" s="36" t="s">
        <v>139</v>
      </c>
      <c r="MJ50" s="36" t="s">
        <v>139</v>
      </c>
      <c r="MK50" s="36" t="s">
        <v>139</v>
      </c>
      <c r="ML50" s="36" t="s">
        <v>139</v>
      </c>
      <c r="MM50" s="36" t="s">
        <v>139</v>
      </c>
      <c r="MN50" s="36" t="s">
        <v>139</v>
      </c>
      <c r="MO50" s="36" t="s">
        <v>139</v>
      </c>
      <c r="MP50" s="36" t="s">
        <v>139</v>
      </c>
      <c r="MQ50" s="36" t="s">
        <v>139</v>
      </c>
      <c r="MR50" s="36" t="s">
        <v>139</v>
      </c>
      <c r="MS50" s="36" t="s">
        <v>139</v>
      </c>
      <c r="MT50" s="36" t="s">
        <v>139</v>
      </c>
      <c r="MU50" s="36" t="s">
        <v>139</v>
      </c>
      <c r="MV50" s="36" t="s">
        <v>139</v>
      </c>
      <c r="MW50" s="36" t="s">
        <v>139</v>
      </c>
      <c r="MX50" s="36" t="s">
        <v>139</v>
      </c>
      <c r="MY50" s="36" t="s">
        <v>139</v>
      </c>
      <c r="MZ50" s="36" t="s">
        <v>139</v>
      </c>
      <c r="NA50" s="36" t="s">
        <v>139</v>
      </c>
      <c r="NB50" s="36" t="s">
        <v>139</v>
      </c>
      <c r="NC50" s="36" t="s">
        <v>139</v>
      </c>
      <c r="ND50" s="36" t="s">
        <v>139</v>
      </c>
      <c r="NE50" s="36" t="s">
        <v>139</v>
      </c>
      <c r="NF50" s="36" t="s">
        <v>139</v>
      </c>
      <c r="NG50" s="36" t="s">
        <v>139</v>
      </c>
      <c r="NH50" s="36" t="s">
        <v>139</v>
      </c>
      <c r="NI50" s="36" t="s">
        <v>139</v>
      </c>
      <c r="NJ50" s="36" t="s">
        <v>139</v>
      </c>
      <c r="NK50" s="36" t="s">
        <v>139</v>
      </c>
      <c r="NL50" s="36" t="s">
        <v>139</v>
      </c>
      <c r="NM50" s="36" t="s">
        <v>139</v>
      </c>
      <c r="NN50" s="36" t="s">
        <v>139</v>
      </c>
      <c r="NO50" s="36" t="s">
        <v>139</v>
      </c>
      <c r="NP50" s="36" t="s">
        <v>139</v>
      </c>
      <c r="NQ50" s="36" t="s">
        <v>139</v>
      </c>
      <c r="NR50" s="36" t="s">
        <v>139</v>
      </c>
      <c r="NS50" s="36" t="s">
        <v>139</v>
      </c>
      <c r="NT50" s="36" t="s">
        <v>139</v>
      </c>
      <c r="NU50" s="36" t="s">
        <v>139</v>
      </c>
      <c r="NV50" s="36" t="s">
        <v>139</v>
      </c>
      <c r="NW50" s="36" t="s">
        <v>139</v>
      </c>
      <c r="NX50" s="36" t="s">
        <v>139</v>
      </c>
      <c r="NY50" s="36" t="s">
        <v>139</v>
      </c>
      <c r="NZ50" s="36" t="s">
        <v>139</v>
      </c>
      <c r="OA50" s="36" t="s">
        <v>139</v>
      </c>
      <c r="OB50" s="36" t="s">
        <v>139</v>
      </c>
      <c r="OC50" s="36" t="s">
        <v>139</v>
      </c>
      <c r="OD50" s="36" t="s">
        <v>139</v>
      </c>
      <c r="OE50" s="36" t="s">
        <v>139</v>
      </c>
      <c r="OF50" s="36" t="s">
        <v>139</v>
      </c>
      <c r="OG50" s="36" t="s">
        <v>139</v>
      </c>
      <c r="OH50" s="36" t="s">
        <v>139</v>
      </c>
      <c r="OI50" s="36" t="s">
        <v>139</v>
      </c>
      <c r="OJ50" s="36" t="s">
        <v>139</v>
      </c>
      <c r="OK50" s="36" t="s">
        <v>139</v>
      </c>
      <c r="OL50" s="36" t="s">
        <v>139</v>
      </c>
      <c r="OM50" s="36" t="s">
        <v>139</v>
      </c>
      <c r="ON50" s="36" t="s">
        <v>139</v>
      </c>
      <c r="OO50" s="36" t="s">
        <v>139</v>
      </c>
      <c r="OP50" s="36" t="s">
        <v>139</v>
      </c>
      <c r="OQ50" s="36" t="s">
        <v>139</v>
      </c>
      <c r="OR50" s="36" t="s">
        <v>139</v>
      </c>
      <c r="OS50" s="36" t="s">
        <v>139</v>
      </c>
      <c r="OT50" s="36" t="s">
        <v>139</v>
      </c>
      <c r="OU50" s="36" t="s">
        <v>139</v>
      </c>
      <c r="OV50" s="36" t="s">
        <v>139</v>
      </c>
      <c r="OW50" s="36" t="s">
        <v>139</v>
      </c>
      <c r="OX50" s="36" t="s">
        <v>139</v>
      </c>
      <c r="OY50" s="36" t="s">
        <v>139</v>
      </c>
      <c r="OZ50" s="36" t="s">
        <v>139</v>
      </c>
      <c r="PA50" s="36" t="s">
        <v>139</v>
      </c>
      <c r="PB50" s="36" t="s">
        <v>139</v>
      </c>
      <c r="PC50" s="36" t="s">
        <v>139</v>
      </c>
      <c r="PD50" s="36" t="s">
        <v>139</v>
      </c>
      <c r="PE50" s="36" t="s">
        <v>139</v>
      </c>
      <c r="PF50" s="36" t="s">
        <v>139</v>
      </c>
      <c r="PG50" s="36" t="s">
        <v>139</v>
      </c>
      <c r="PH50" s="36" t="s">
        <v>139</v>
      </c>
      <c r="PI50" s="36" t="s">
        <v>139</v>
      </c>
      <c r="PJ50" s="36" t="s">
        <v>139</v>
      </c>
      <c r="PK50" s="36" t="s">
        <v>139</v>
      </c>
      <c r="PL50" s="36" t="s">
        <v>139</v>
      </c>
      <c r="PM50" s="36" t="s">
        <v>139</v>
      </c>
      <c r="PN50" s="36" t="s">
        <v>139</v>
      </c>
      <c r="PO50" s="74">
        <f>COUNTIFS($C$27:$PN$27,("&lt;"&amp;$B$3),$C$27:$PN$27,("&gt;="&amp;$B$2),$C50:$PN50,TabAsistencias[[#Headers],[1]])</f>
        <v>30</v>
      </c>
      <c r="PP50" s="74">
        <f>COUNTIFS($C$27:$PN$27,("&lt;"&amp;$B$3),$C$27:$PN$27,("&gt;="&amp;$B$2),$C50:$PN50,TabAsistencias[[#Headers],[E]])</f>
        <v>0</v>
      </c>
      <c r="PQ50" s="74">
        <f>COUNTIFS($C$27:$PN$27,("&lt;"&amp;$B$3),$C$27:$PN$27,("&gt;="&amp;$B$2),$C50:$PN50,TabAsistencias[[#Headers],[DE]])</f>
        <v>0</v>
      </c>
      <c r="PR50" s="74">
        <f>COUNTIFS($C$27:$PN$27,("&lt;"&amp;$B$3),$C$27:$PN$27,("&gt;="&amp;$B$2),$C50:$PN50,TabAsistencias[[#Headers],[V]])</f>
        <v>0</v>
      </c>
      <c r="PS50" s="74">
        <f>COUNTIFS($C$27:$PN$27,("&lt;"&amp;$B$3),$C$27:$PN$27,("&gt;="&amp;$B$2),$C50:$PN50,TabAsistencias[[#Headers],[DO]])</f>
        <v>0</v>
      </c>
      <c r="PT50" s="74">
        <f>COUNTIFS($C$27:$PN$27,("&lt;"&amp;$B$3),$C$27:$PN$27,("&gt;="&amp;$B$2),$C50:$PN50,TabAsistencias[[#Headers],[P]])</f>
        <v>0</v>
      </c>
      <c r="PU50" s="74">
        <f>COUNTIFS($C$27:$PN$27,("&lt;"&amp;$B$3),$C$27:$PN$27,("&gt;="&amp;$B$2),$C50:$PN50,TabAsistencias[[#Headers],[F]])</f>
        <v>0</v>
      </c>
      <c r="PV50" s="74">
        <f>COUNTIFS($C$27:$PN$27,("&lt;"&amp;$B$3),$C$27:$PN$27,("&gt;="&amp;$B$2),$C50:$PN50,TabAsistencias[[#Headers],[R]])</f>
        <v>0</v>
      </c>
      <c r="PW50" s="74">
        <f>COUNTIFS($C$27:$PN$27,("&lt;"&amp;$B$3),$C$27:$PN$27,("&gt;="&amp;$B$2),$C50:$PN50,TabAsistencias[[#Headers],[PP]])</f>
        <v>0</v>
      </c>
      <c r="PX50" s="74">
        <f>COUNTIFS($C$27:$PN$27,("&lt;"&amp;$B$3),$C$27:$PN$27,("&gt;="&amp;$B$2),$C50:$PN50,TabAsistencias[[#Headers],[0]])</f>
        <v>0</v>
      </c>
      <c r="PY50" s="74">
        <f>COUNTIFS($C$27:$PN$27,("&lt;"&amp;$B$3),$C$27:$PN$27,("&gt;="&amp;$B$2),$C50:$PN50,TabAsistencias[[#Headers],[IG]])</f>
        <v>0</v>
      </c>
      <c r="PZ50" s="74">
        <f>COUNTIFS($C$27:$PN$27,("&lt;"&amp;$B$3),$C$27:$PN$27,("&gt;="&amp;$B$2),$C50:$PN50,TabAsistencias[[#Headers],[NA]])</f>
        <v>0</v>
      </c>
      <c r="QA50" s="74">
        <f>COUNTIFS($C$27:$PN$27,("&lt;"&amp;$B$3),$C$27:$PN$27,("&gt;="&amp;$B$2),$C50:$PN50,TabAsistencias[[#Headers],[DF]])</f>
        <v>0</v>
      </c>
      <c r="QB50" s="74">
        <f>COUNTIFS($C$27:$PN$27,("&lt;"&amp;$B$3),$C$27:$PN$27,("&gt;="&amp;$B$2),$C50:$PN50,TabAsistencias[[#Headers],[3]])</f>
        <v>0</v>
      </c>
      <c r="QC50" s="74">
        <f>COUNTIFS($C$27:$PN$27,("&lt;"&amp;$B$3),$C$27:$PN$27,("&gt;="&amp;$B$2),$C50:$PN50,TabAsistencias[[#Headers],[CP]])</f>
        <v>0</v>
      </c>
      <c r="QD50" s="74">
        <f>COUNTIFS($C$27:$PN$27,("&lt;"&amp;$B$3),$C$27:$PN$27,("&gt;="&amp;$B$2),$C50:$PN50,TabAsistencias[[#Headers],[I]])</f>
        <v>0</v>
      </c>
      <c r="QE50" s="74">
        <f>COUNTIFS($C$27:$PN$27,("&lt;"&amp;$B$3),$C$27:$PN$27,("&gt;="&amp;$B$2),$C50:$PN50,TabAsistencias[[#Headers],[T/2]])</f>
        <v>0</v>
      </c>
      <c r="QF50" s="74">
        <f>COUNTIFS($C$27:$PN$27,("&lt;"&amp;$B$3),$C$27:$PN$27,("&gt;="&amp;$B$2),$C50:$PN50,TabAsistencias[[#Headers],[ME]])</f>
        <v>0</v>
      </c>
      <c r="QG50" s="74">
        <f>COUNTIFS($C$27:$PN$27,("&lt;"&amp;$B$3),$C$27:$PN$27,("&gt;="&amp;$B$2),$C50:$PN50,TabAsistencias[[#Headers],[DP]])</f>
        <v>0</v>
      </c>
      <c r="QH50" s="74">
        <f>COUNTIFS($C$27:$PN$27,("&lt;"&amp;$B$3),$C$27:$PN$27,("&gt;="&amp;$B$2),$C50:$PN50,TabAsistencias[[#Headers],[B]])</f>
        <v>0</v>
      </c>
      <c r="QI50" s="74">
        <f>(TabAsistencias[[#This Row],[1]]*'Tablas de informacion'!$C$124)+(TabAsistencias[[#This Row],[E]]*'Tablas de informacion'!$C$125)+(TabAsistencias[[#This Row],[DE]]*'Tablas de informacion'!C$126)+(TabAsistencias[[#This Row],[V]]*'Tablas de informacion'!C$127)+(TabAsistencias[[#This Row],[DO]]*'Tablas de informacion'!C$128)+(TabAsistencias[[#This Row],[P]]*'Tablas de informacion'!C$129)+(TabAsistencias[[#This Row],[F]]*'Tablas de informacion'!C$130)+(TabAsistencias[[#This Row],[R]]*'Tablas de informacion'!C$131)+(TabAsistencias[[#This Row],[PP]]*'Tablas de informacion'!C$132)+(TabAsistencias[[#This Row],[0]]*'Tablas de informacion'!C$133)+(TabAsistencias[[#This Row],[IG]]*'Tablas de informacion'!C$134)+(TabAsistencias[[#This Row],[NA]]*'Tablas de informacion'!C$135)+(TabAsistencias[[#This Row],[DF]]*'Tablas de informacion'!C$136)+(TabAsistencias[[#This Row],[3]]*'Tablas de informacion'!C$137)+(TabAsistencias[[#This Row],[CP]]*'Tablas de informacion'!C$138)+(TabAsistencias[[#This Row],[I]]*'Tablas de informacion'!C$139)+(TabAsistencias[[#This Row],[T/2]]*'Tablas de informacion'!C$140)+(TabAsistencias[[#This Row],[ME]]*'Tablas de informacion'!C$141)+(TabAsistencias[[#This Row],[DP]]*'Tablas de informacion'!C$142)+(TabAsistencias[[#This Row],[B]]*'Tablas de informacion'!C$143)-INT(TabAsistencias[[#This Row],[R]]/3)</f>
        <v>30</v>
      </c>
      <c r="QJ50" s="74">
        <f>COUNTIFS($C$27:$PN$27,("&lt;"&amp;$B$3),$C$27:$PN$27,("&gt;="&amp;$B$2),$C$28:$PN$28,1,$C50:$PN50,TabAsistencias[[#Headers],[1]])+
COUNTIFS($C$27:$PN$27,("&lt;"&amp;$B$3),$C$27:$PN$27,("&gt;="&amp;$B$2),$C$28:$PN$28,1,$C50:$PN50,TabAsistencias[[#Headers],[DO]])+
COUNTIFS($C$27:$PN$27,("&lt;"&amp;$B$3),$C$27:$PN$27,("&gt;="&amp;$B$2),$C$28:$PN$28,1,$C50:$PN50,TabAsistencias[[#Headers],[R]])+
COUNTIFS($C$27:$PN$27,("&lt;"&amp;$B$3),$C$27:$PN$27,("&gt;="&amp;$B$2),$C$28:$PN$28,1,$C50:$PN50,TabAsistencias[[#Headers],[NA]])+
COUNTIFS($C$27:$PN$27,("&lt;"&amp;$B$3),$C$27:$PN$27,("&gt;="&amp;$B$2),$C$28:$PN$28,1,$C50:$PN50,TabAsistencias[[#Headers],[DF]])+
COUNTIFS($C$27:$PN$27,("&lt;"&amp;$B$3),$C$27:$PN$27,("&gt;="&amp;$B$2),$C$28:$PN$28,1,$C50:$PN50,TabAsistencias[[#Headers],[3]])+
COUNTIFS($C$27:$PN$27,("&lt;"&amp;$B$3),$C$27:$PN$27,("&gt;="&amp;$B$2),$C$28:$PN$28,1,$C50:$PN50,TabAsistencias[[#Headers],[CP]])+
COUNTIFS($C$27:$PN$27,("&lt;"&amp;$B$3),$C$27:$PN$27,("&gt;="&amp;$B$2),$C$28:$PN$28,1,$C50:$PN50,TabAsistencias[[#Headers],[T/2]])</f>
        <v>4</v>
      </c>
      <c r="QK50" s="315" cm="1">
        <f t="array" ref="QK50">IFERROR(VLOOKUP(
DATEDIF((VLOOKUP(TabAsistencias[[#This Row],[ID]],TabEmpleados[],COLUMN(TabEmpleados[Fecha de ingreso]),FALSE)),Asistencias!$B$3,"Y"),
TabFactorIntegracion[],COLUMN(TabFactorIntegracion[Días vacacionales
establecidos por ley]),FALSE),0)
-
COUNTIF($AH50:$PN50,TabAsistencias[[#Headers],[V]])</f>
        <v>12</v>
      </c>
      <c r="QL50" s="319">
        <f>SUM(TabAsistencias[[#This Row],[''1]],TabAsistencias[[#This Row],[''DE]],TabAsistencias[[#This Row],[''DO]],TabAsistencias[[#This Row],[''R]],TabAsistencias[[#This Row],[''NA]],TabAsistencias[[#This Row],[''DF]],TabAsistencias[[#This Row],[''3]],TabAsistencias[[#This Row],[''CP]],TabAsistencias[[#This Row],[''T/2]],TabAsistencias[[#This Row],[''DP]])</f>
        <v>73</v>
      </c>
      <c r="QM50" s="314">
        <f>COUNTIFS($C$27:$PN$27,("&lt;"&amp;$B$5),$C$27:$PN$27,("&gt;="&amp;$B$4),$C50:$PN50,TabAsistencias[[#Headers],[1]])</f>
        <v>73</v>
      </c>
      <c r="QN50" s="314">
        <f>COUNTIFS($C$27:$PN$27,("&lt;"&amp;$B$5),$C$27:$PN$27,("&gt;="&amp;$B$4),$C50:$PN50,TabAsistencias[[#Headers],[DE]])</f>
        <v>0</v>
      </c>
      <c r="QO50" s="314">
        <f>COUNTIFS($C$27:$PN$27,("&lt;"&amp;$B$5),$C$27:$PN$27,("&gt;="&amp;$B$4),$C50:$PN50,TabAsistencias[[#Headers],[V]])</f>
        <v>0</v>
      </c>
      <c r="QP50" s="314">
        <f>COUNTIFS($C$27:$PN$27,("&lt;"&amp;$B$5),$C$27:$PN$27,("&gt;="&amp;$B$4),$C50:$PN50,TabAsistencias[[#Headers],[DO]])</f>
        <v>0</v>
      </c>
      <c r="QQ50" s="314">
        <f>COUNTIFS($C$27:$PN$27,("&lt;"&amp;$B$5),$C$27:$PN$27,("&gt;="&amp;$B$4),$C50:$PN50,TabAsistencias[[#Headers],[P]])</f>
        <v>0</v>
      </c>
      <c r="QR50" s="314">
        <f>COUNTIFS($C$27:$PN$27,("&lt;"&amp;$B$5),$C$27:$PN$27,("&gt;="&amp;$B$4),$C50:$PN50,TabAsistencias[[#Headers],[F]])</f>
        <v>0</v>
      </c>
      <c r="QS50" s="314">
        <f>COUNTIFS($C$27:$PN$27,("&lt;"&amp;$B$5),$C$27:$PN$27,("&gt;="&amp;$B$4),$C50:$PN50,TabAsistencias[[#Headers],[R]])</f>
        <v>0</v>
      </c>
      <c r="QT50" s="314">
        <f>COUNTIFS($C$27:$PN$27,("&lt;"&amp;$B$5),$C$27:$PN$27,("&gt;="&amp;$B$4),$C50:$PN50,TabAsistencias[[#Headers],[PP]])</f>
        <v>0</v>
      </c>
      <c r="QU50" s="314">
        <f>COUNTIFS($C$27:$PN$27,("&lt;"&amp;$B$5),$C$27:$PN$27,("&gt;="&amp;$B$4),$C50:$PN50,TabAsistencias[[#Headers],[0]])</f>
        <v>0</v>
      </c>
      <c r="QV50" s="314">
        <f>COUNTIFS($C$27:$PN$27,("&lt;"&amp;$B$5),$C$27:$PN$27,("&gt;="&amp;$B$4),$C50:$PN50,TabAsistencias[[#Headers],[IG]])</f>
        <v>0</v>
      </c>
      <c r="QW50" s="314">
        <f>COUNTIFS($C$27:$PN$27,("&lt;"&amp;$B$5),$C$27:$PN$27,("&gt;="&amp;$B$4),$C50:$PN50,TabAsistencias[[#Headers],[NA]])</f>
        <v>0</v>
      </c>
      <c r="QX50" s="314">
        <f>COUNTIFS($C$27:$PN$27,("&lt;"&amp;$B$5),$C$27:$PN$27,("&gt;="&amp;$B$4),$C50:$PN50,TabAsistencias[[#Headers],[DF]])</f>
        <v>0</v>
      </c>
      <c r="QY50" s="314">
        <f>COUNTIFS($C$27:$PN$27,("&lt;"&amp;$B$5),$C$27:$PN$27,("&gt;="&amp;$B$4),$C50:$PN50,TabAsistencias[[#Headers],[3]])</f>
        <v>0</v>
      </c>
      <c r="QZ50" s="314">
        <f>COUNTIFS($C$27:$PN$27,("&lt;"&amp;$B$5),$C$27:$PN$27,("&gt;="&amp;$B$4),$C50:$PN50,TabAsistencias[[#Headers],[CP]])</f>
        <v>0</v>
      </c>
      <c r="RA50" s="314">
        <f>COUNTIFS($C$27:$PN$27,("&lt;"&amp;$B$5),$C$27:$PN$27,("&gt;="&amp;$B$4),$C50:$PN50,TabAsistencias[[#Headers],[I]])</f>
        <v>0</v>
      </c>
      <c r="RB50" s="314">
        <f>COUNTIFS($C$27:$PN$27,("&lt;"&amp;$B$5),$C$27:$PN$27,("&gt;="&amp;$B$4),$C50:$PN50,TabAsistencias[[#Headers],[T/2]])</f>
        <v>0</v>
      </c>
      <c r="RC50" s="314">
        <f>COUNTIFS($C$27:$PN$27,("&lt;"&amp;$B$5),$C$27:$PN$27,("&gt;="&amp;$B$4),$C50:$PN50,TabAsistencias[[#Headers],[ME]])</f>
        <v>0</v>
      </c>
      <c r="RD50" s="314">
        <f>COUNTIFS($C$27:$PN$27,("&lt;"&amp;$B$5),$C$27:$PN$27,("&gt;="&amp;$B$4),$C50:$PN50,TabAsistencias[[#Headers],[DP]])</f>
        <v>0</v>
      </c>
      <c r="RE50" s="314">
        <f>COUNTIFS($C$27:$PN$27,("&lt;"&amp;$B$5),$C$27:$PN$27,("&gt;="&amp;$B$4),$C50:$PN50,TabAsistencias[[#Headers],[B]])</f>
        <v>0</v>
      </c>
      <c r="RF50" s="314">
        <f>COUNTIFS($C$27:$PN$27,("&lt;"&amp;$B$5),$C$27:$PN$27,("&gt;="&amp;$B$4),$C$28:$PN$28,1,$C50:$PN50,TabAsistencias[[#Headers],[1]])+
COUNTIFS($C$27:$PN$27,("&lt;"&amp;$B$5),$C$27:$PN$27,("&gt;="&amp;$B$4),$C$28:$PN$28,1,$C50:$PN50,TabAsistencias[[#Headers],[DO]])+
COUNTIFS($C$27:$PN$27,("&lt;"&amp;$B$5),$C$27:$PN$27,("&gt;="&amp;$B$4),$C$28:$PN$28,1,$C50:$PN50,TabAsistencias[[#Headers],[R]])+
COUNTIFS($C$27:$PN$27,("&lt;"&amp;$B$5),$C$27:$PN$27,("&gt;="&amp;$B$4),$C$28:$PN$28,1,$C50:$PN50,TabAsistencias[[#Headers],[NA]])+
COUNTIFS($C$27:$PN$27,("&lt;"&amp;$B$5),$C$27:$PN$27,("&gt;="&amp;$B$4),$C$28:$PN$28,1,$C50:$PN50,TabAsistencias[[#Headers],[DF]])+
COUNTIFS($C$27:$PN$27,("&lt;"&amp;$B$5),$C$27:$PN$27,("&gt;="&amp;$B$4),$C$28:$PN$28,1,$C50:$PN50,TabAsistencias[[#Headers],[3]])+
COUNTIFS($C$27:$PN$27,("&lt;"&amp;$B$5),$C$27:$PN$27,("&gt;="&amp;$B$4),$C$28:$PN$28,1,$C50:$PN50,TabAsistencias[[#Headers],[CP]])+
COUNTIFS($C$27:$PN$27,("&lt;"&amp;$B$5),$C$27:$PN$27,("&gt;="&amp;$B$4),$C$28:$PN$28,1,$C50:$PN50,TabAsistencias[[#Headers],[T/2]])</f>
        <v>11</v>
      </c>
      <c r="RG50" s="320" cm="1">
        <f t="array" ref="RG50">IFERROR(VLOOKUP(
DATEDIF((VLOOKUP(TabAsistencias[[#This Row],[ID]],TabEmpleados[],COLUMN(TabEmpleados[Fecha de alta NSS]),FALSE)),Asistencias!$B$3,"Y"),
TabFactorIntegracion[],COLUMN(TabFactorIntegracion[Días vacacionales
establecidos por ley]),FALSE),0)
-
COUNTIF($AH50:$PN50,TabAsistencias[[#Headers],[V]])</f>
        <v>12</v>
      </c>
    </row>
    <row r="51" spans="1:475" x14ac:dyDescent="0.25">
      <c r="A51" s="92">
        <f t="shared" si="434"/>
        <v>21</v>
      </c>
      <c r="B51" s="30" t="str" cm="1">
        <f t="array" ref="B51">VLOOKUP(TabAsistencias[[#This Row],[ID]],TabEmpleados[],COLUMN(TabEmpleados[Nombre]),FALSE)</f>
        <v>HERNANDEZ MIGUEL GRISELDA ITAHI</v>
      </c>
      <c r="C51" s="36" t="s">
        <v>139</v>
      </c>
      <c r="D51" s="36" t="s">
        <v>139</v>
      </c>
      <c r="E51" s="36" t="s">
        <v>139</v>
      </c>
      <c r="F51" s="36" t="s">
        <v>139</v>
      </c>
      <c r="G51" s="36" t="s">
        <v>139</v>
      </c>
      <c r="H51" s="36" t="s">
        <v>139</v>
      </c>
      <c r="I51" s="36" t="s">
        <v>139</v>
      </c>
      <c r="J51" s="36" t="s">
        <v>139</v>
      </c>
      <c r="K51" s="36" t="s">
        <v>139</v>
      </c>
      <c r="L51" s="36" t="s">
        <v>139</v>
      </c>
      <c r="M51" s="36" t="s">
        <v>139</v>
      </c>
      <c r="N51" s="36" t="s">
        <v>139</v>
      </c>
      <c r="O51" s="36" t="s">
        <v>139</v>
      </c>
      <c r="P51" s="36" t="s">
        <v>139</v>
      </c>
      <c r="Q51" s="36" t="s">
        <v>139</v>
      </c>
      <c r="R51" s="36" t="s">
        <v>139</v>
      </c>
      <c r="S51" s="36" t="s">
        <v>139</v>
      </c>
      <c r="T51" s="36" t="s">
        <v>139</v>
      </c>
      <c r="U51" s="36" t="s">
        <v>139</v>
      </c>
      <c r="V51" s="36" t="s">
        <v>139</v>
      </c>
      <c r="W51" s="36" t="s">
        <v>139</v>
      </c>
      <c r="X51" s="36" t="s">
        <v>139</v>
      </c>
      <c r="Y51" s="36" t="s">
        <v>139</v>
      </c>
      <c r="Z51" s="36" t="s">
        <v>139</v>
      </c>
      <c r="AA51" s="36" t="s">
        <v>139</v>
      </c>
      <c r="AB51" s="36" t="s">
        <v>139</v>
      </c>
      <c r="AC51" s="36" t="s">
        <v>139</v>
      </c>
      <c r="AD51" s="36" t="s">
        <v>139</v>
      </c>
      <c r="AE51" s="36" t="s">
        <v>139</v>
      </c>
      <c r="AF51" s="36" t="s">
        <v>139</v>
      </c>
      <c r="AG51" s="36" t="s">
        <v>139</v>
      </c>
      <c r="AH51" s="36" t="s">
        <v>139</v>
      </c>
      <c r="AI51" s="36" t="s">
        <v>139</v>
      </c>
      <c r="AJ51" s="36" t="s">
        <v>139</v>
      </c>
      <c r="AK51" s="36" t="s">
        <v>139</v>
      </c>
      <c r="AL51" s="36" t="s">
        <v>139</v>
      </c>
      <c r="AM51" s="36" t="s">
        <v>139</v>
      </c>
      <c r="AN51" s="36" t="s">
        <v>139</v>
      </c>
      <c r="AO51" s="36" t="s">
        <v>139</v>
      </c>
      <c r="AP51" s="36" t="s">
        <v>139</v>
      </c>
      <c r="AQ51" s="36" t="s">
        <v>139</v>
      </c>
      <c r="AR51" s="36" t="s">
        <v>139</v>
      </c>
      <c r="AS51" s="36" t="s">
        <v>139</v>
      </c>
      <c r="AT51" s="36" t="s">
        <v>139</v>
      </c>
      <c r="AU51" s="36" t="s">
        <v>139</v>
      </c>
      <c r="AV51" s="36" t="s">
        <v>139</v>
      </c>
      <c r="AW51" s="36" t="s">
        <v>139</v>
      </c>
      <c r="AX51" s="36" t="s">
        <v>139</v>
      </c>
      <c r="AY51" s="36" t="s">
        <v>139</v>
      </c>
      <c r="AZ51" s="36" t="s">
        <v>139</v>
      </c>
      <c r="BA51" s="36" t="s">
        <v>139</v>
      </c>
      <c r="BB51" s="36" t="s">
        <v>139</v>
      </c>
      <c r="BC51" s="36" t="s">
        <v>139</v>
      </c>
      <c r="BD51" s="36" t="s">
        <v>139</v>
      </c>
      <c r="BE51" s="36" t="s">
        <v>139</v>
      </c>
      <c r="BF51" s="36" t="s">
        <v>139</v>
      </c>
      <c r="BG51" s="36" t="s">
        <v>139</v>
      </c>
      <c r="BH51" s="36" t="s">
        <v>139</v>
      </c>
      <c r="BI51" s="36" t="s">
        <v>139</v>
      </c>
      <c r="BJ51" s="36" t="s">
        <v>139</v>
      </c>
      <c r="BK51" s="36" t="s">
        <v>139</v>
      </c>
      <c r="BL51" s="36" t="s">
        <v>139</v>
      </c>
      <c r="BM51" s="36" t="s">
        <v>139</v>
      </c>
      <c r="BN51" s="36" t="s">
        <v>139</v>
      </c>
      <c r="BO51" s="36" t="s">
        <v>139</v>
      </c>
      <c r="BP51" s="36" t="s">
        <v>139</v>
      </c>
      <c r="BQ51" s="36" t="s">
        <v>139</v>
      </c>
      <c r="BR51" s="36" t="s">
        <v>139</v>
      </c>
      <c r="BS51" s="36" t="s">
        <v>139</v>
      </c>
      <c r="BT51" s="36" t="s">
        <v>139</v>
      </c>
      <c r="BU51" s="36" t="s">
        <v>139</v>
      </c>
      <c r="BV51" s="36" t="s">
        <v>139</v>
      </c>
      <c r="BW51" s="36" t="s">
        <v>139</v>
      </c>
      <c r="BX51" s="36" t="s">
        <v>139</v>
      </c>
      <c r="BY51" s="36" t="s">
        <v>139</v>
      </c>
      <c r="BZ51" s="36" t="s">
        <v>139</v>
      </c>
      <c r="CA51" s="36" t="s">
        <v>139</v>
      </c>
      <c r="CB51" s="36" t="s">
        <v>139</v>
      </c>
      <c r="CC51" s="36" t="s">
        <v>139</v>
      </c>
      <c r="CD51" s="36" t="s">
        <v>139</v>
      </c>
      <c r="CE51" s="36" t="s">
        <v>139</v>
      </c>
      <c r="CF51" s="36" t="s">
        <v>139</v>
      </c>
      <c r="CG51" s="36" t="s">
        <v>139</v>
      </c>
      <c r="CH51" s="36" t="s">
        <v>139</v>
      </c>
      <c r="CI51" s="36" t="s">
        <v>139</v>
      </c>
      <c r="CJ51" s="36" t="s">
        <v>139</v>
      </c>
      <c r="CK51" s="36" t="s">
        <v>139</v>
      </c>
      <c r="CL51" s="36" t="s">
        <v>139</v>
      </c>
      <c r="CM51" s="36" t="s">
        <v>139</v>
      </c>
      <c r="CN51" s="36" t="s">
        <v>139</v>
      </c>
      <c r="CO51" s="36" t="s">
        <v>139</v>
      </c>
      <c r="CP51" s="36" t="s">
        <v>139</v>
      </c>
      <c r="CQ51" s="36" t="s">
        <v>139</v>
      </c>
      <c r="CR51" s="36" t="s">
        <v>139</v>
      </c>
      <c r="CS51" s="36" t="s">
        <v>139</v>
      </c>
      <c r="CT51" s="36" t="s">
        <v>139</v>
      </c>
      <c r="CU51" s="36" t="s">
        <v>139</v>
      </c>
      <c r="CV51" s="36" t="s">
        <v>139</v>
      </c>
      <c r="CW51" s="36" t="s">
        <v>139</v>
      </c>
      <c r="CX51" s="36" t="s">
        <v>139</v>
      </c>
      <c r="CY51" s="36" t="s">
        <v>139</v>
      </c>
      <c r="CZ51" s="36" t="s">
        <v>139</v>
      </c>
      <c r="DA51" s="36" t="s">
        <v>139</v>
      </c>
      <c r="DB51" s="36" t="s">
        <v>139</v>
      </c>
      <c r="DC51" s="36" t="s">
        <v>139</v>
      </c>
      <c r="DD51" s="36" t="s">
        <v>139</v>
      </c>
      <c r="DE51" s="36" t="s">
        <v>139</v>
      </c>
      <c r="DF51" s="36" t="s">
        <v>139</v>
      </c>
      <c r="DG51" s="36" t="s">
        <v>139</v>
      </c>
      <c r="DH51" s="36" t="s">
        <v>139</v>
      </c>
      <c r="DI51" s="36" t="s">
        <v>139</v>
      </c>
      <c r="DJ51" s="36" t="s">
        <v>139</v>
      </c>
      <c r="DK51" s="36" t="s">
        <v>139</v>
      </c>
      <c r="DL51" s="36" t="s">
        <v>139</v>
      </c>
      <c r="DM51" s="36" t="s">
        <v>139</v>
      </c>
      <c r="DN51" s="36" t="s">
        <v>139</v>
      </c>
      <c r="DO51" s="36" t="s">
        <v>139</v>
      </c>
      <c r="DP51" s="36" t="s">
        <v>139</v>
      </c>
      <c r="DQ51" s="36" t="s">
        <v>139</v>
      </c>
      <c r="DR51" s="36" t="s">
        <v>139</v>
      </c>
      <c r="DS51" s="36" t="s">
        <v>139</v>
      </c>
      <c r="DT51" s="36" t="s">
        <v>139</v>
      </c>
      <c r="DU51" s="36" t="s">
        <v>139</v>
      </c>
      <c r="DV51" s="36" t="s">
        <v>139</v>
      </c>
      <c r="DW51" s="36" t="s">
        <v>139</v>
      </c>
      <c r="DX51" s="36" t="s">
        <v>139</v>
      </c>
      <c r="DY51" s="36" t="s">
        <v>139</v>
      </c>
      <c r="DZ51" s="36" t="s">
        <v>139</v>
      </c>
      <c r="EA51" s="36" t="s">
        <v>139</v>
      </c>
      <c r="EB51" s="36" t="s">
        <v>139</v>
      </c>
      <c r="EC51" s="36" t="s">
        <v>139</v>
      </c>
      <c r="ED51" s="36" t="s">
        <v>139</v>
      </c>
      <c r="EE51" s="36" t="s">
        <v>139</v>
      </c>
      <c r="EF51" s="36" t="s">
        <v>139</v>
      </c>
      <c r="EG51" s="36" t="s">
        <v>139</v>
      </c>
      <c r="EH51" s="36" t="s">
        <v>139</v>
      </c>
      <c r="EI51" s="36" t="s">
        <v>139</v>
      </c>
      <c r="EJ51" s="36" t="s">
        <v>139</v>
      </c>
      <c r="EK51" s="36" t="s">
        <v>139</v>
      </c>
      <c r="EL51" s="36" t="s">
        <v>139</v>
      </c>
      <c r="EM51" s="36" t="s">
        <v>139</v>
      </c>
      <c r="EN51" s="36" t="s">
        <v>139</v>
      </c>
      <c r="EO51" s="36" t="s">
        <v>139</v>
      </c>
      <c r="EP51" s="36" t="s">
        <v>139</v>
      </c>
      <c r="EQ51" s="36" t="s">
        <v>139</v>
      </c>
      <c r="ER51" s="36" t="s">
        <v>139</v>
      </c>
      <c r="ES51" s="36" t="s">
        <v>139</v>
      </c>
      <c r="ET51" s="36" t="s">
        <v>139</v>
      </c>
      <c r="EU51" s="36" t="s">
        <v>139</v>
      </c>
      <c r="EV51" s="36" t="s">
        <v>139</v>
      </c>
      <c r="EW51" s="36" t="s">
        <v>139</v>
      </c>
      <c r="EX51" s="36" t="s">
        <v>139</v>
      </c>
      <c r="EY51" s="36" t="s">
        <v>139</v>
      </c>
      <c r="EZ51" s="36" t="s">
        <v>139</v>
      </c>
      <c r="FA51" s="36" t="s">
        <v>139</v>
      </c>
      <c r="FB51" s="36" t="s">
        <v>139</v>
      </c>
      <c r="FC51" s="36" t="s">
        <v>139</v>
      </c>
      <c r="FD51" s="36" t="s">
        <v>139</v>
      </c>
      <c r="FE51" s="36" t="s">
        <v>139</v>
      </c>
      <c r="FF51" s="36" t="s">
        <v>139</v>
      </c>
      <c r="FG51" s="36" t="s">
        <v>139</v>
      </c>
      <c r="FH51" s="36" t="s">
        <v>139</v>
      </c>
      <c r="FI51" s="36" t="s">
        <v>139</v>
      </c>
      <c r="FJ51" s="36" t="s">
        <v>139</v>
      </c>
      <c r="FK51" s="36" t="s">
        <v>139</v>
      </c>
      <c r="FL51" s="36" t="s">
        <v>139</v>
      </c>
      <c r="FM51" s="36" t="s">
        <v>139</v>
      </c>
      <c r="FN51" s="36" t="s">
        <v>139</v>
      </c>
      <c r="FO51" s="36" t="s">
        <v>139</v>
      </c>
      <c r="FP51" s="36" t="s">
        <v>139</v>
      </c>
      <c r="FQ51" s="36" t="s">
        <v>139</v>
      </c>
      <c r="FR51" s="36" t="s">
        <v>139</v>
      </c>
      <c r="FS51" s="36" t="s">
        <v>139</v>
      </c>
      <c r="FT51" s="36" t="s">
        <v>139</v>
      </c>
      <c r="FU51" s="36" t="s">
        <v>139</v>
      </c>
      <c r="FV51" s="36" t="s">
        <v>139</v>
      </c>
      <c r="FW51" s="36" t="s">
        <v>139</v>
      </c>
      <c r="FX51" s="36" t="s">
        <v>139</v>
      </c>
      <c r="FY51" s="36" t="s">
        <v>139</v>
      </c>
      <c r="FZ51" s="36" t="s">
        <v>139</v>
      </c>
      <c r="GA51" s="36" t="s">
        <v>139</v>
      </c>
      <c r="GB51" s="36" t="s">
        <v>139</v>
      </c>
      <c r="GC51" s="36" t="s">
        <v>139</v>
      </c>
      <c r="GD51" s="36" t="s">
        <v>139</v>
      </c>
      <c r="GE51" s="36" t="s">
        <v>139</v>
      </c>
      <c r="GF51" s="36" t="s">
        <v>139</v>
      </c>
      <c r="GG51" s="36" t="s">
        <v>139</v>
      </c>
      <c r="GH51" s="36" t="s">
        <v>139</v>
      </c>
      <c r="GI51" s="36" t="s">
        <v>139</v>
      </c>
      <c r="GJ51" s="36" t="s">
        <v>139</v>
      </c>
      <c r="GK51" s="36" t="s">
        <v>139</v>
      </c>
      <c r="GL51" s="36" t="s">
        <v>139</v>
      </c>
      <c r="GM51" s="36" t="s">
        <v>139</v>
      </c>
      <c r="GN51" s="36" t="s">
        <v>139</v>
      </c>
      <c r="GO51" s="36" t="s">
        <v>139</v>
      </c>
      <c r="GP51" s="36" t="s">
        <v>139</v>
      </c>
      <c r="GQ51" s="36" t="s">
        <v>139</v>
      </c>
      <c r="GR51" s="36" t="s">
        <v>139</v>
      </c>
      <c r="GS51" s="36" t="s">
        <v>139</v>
      </c>
      <c r="GT51" s="36" t="s">
        <v>139</v>
      </c>
      <c r="GU51" s="36" t="s">
        <v>139</v>
      </c>
      <c r="GV51" s="36" t="s">
        <v>139</v>
      </c>
      <c r="GW51" s="36" t="s">
        <v>139</v>
      </c>
      <c r="GX51" s="36" t="s">
        <v>139</v>
      </c>
      <c r="GY51" s="36" t="s">
        <v>139</v>
      </c>
      <c r="GZ51" s="36" t="s">
        <v>139</v>
      </c>
      <c r="HA51" s="36" t="s">
        <v>139</v>
      </c>
      <c r="HB51" s="36" t="s">
        <v>139</v>
      </c>
      <c r="HC51" s="36" t="s">
        <v>139</v>
      </c>
      <c r="HD51" s="36" t="s">
        <v>139</v>
      </c>
      <c r="HE51" s="36" t="s">
        <v>139</v>
      </c>
      <c r="HF51" s="36" t="s">
        <v>139</v>
      </c>
      <c r="HG51" s="36" t="s">
        <v>139</v>
      </c>
      <c r="HH51" s="36" t="s">
        <v>139</v>
      </c>
      <c r="HI51" s="36" t="s">
        <v>139</v>
      </c>
      <c r="HJ51" s="36" t="s">
        <v>139</v>
      </c>
      <c r="HK51" s="36" t="s">
        <v>139</v>
      </c>
      <c r="HL51" s="36" t="s">
        <v>139</v>
      </c>
      <c r="HM51" s="36" t="s">
        <v>139</v>
      </c>
      <c r="HN51" s="36" t="s">
        <v>139</v>
      </c>
      <c r="HO51" s="36" t="s">
        <v>139</v>
      </c>
      <c r="HP51" s="36" t="s">
        <v>139</v>
      </c>
      <c r="HQ51" s="36" t="s">
        <v>139</v>
      </c>
      <c r="HR51" s="36" t="s">
        <v>139</v>
      </c>
      <c r="HS51" s="36" t="s">
        <v>139</v>
      </c>
      <c r="HT51" s="36" t="s">
        <v>139</v>
      </c>
      <c r="HU51" s="36" t="s">
        <v>139</v>
      </c>
      <c r="HV51" s="36" t="s">
        <v>139</v>
      </c>
      <c r="HW51" s="36" t="s">
        <v>139</v>
      </c>
      <c r="HX51" s="36" t="s">
        <v>139</v>
      </c>
      <c r="HY51" s="36" t="s">
        <v>139</v>
      </c>
      <c r="HZ51" s="36" t="s">
        <v>139</v>
      </c>
      <c r="IA51" s="36" t="s">
        <v>139</v>
      </c>
      <c r="IB51" s="36" t="s">
        <v>139</v>
      </c>
      <c r="IC51" s="36" t="s">
        <v>139</v>
      </c>
      <c r="ID51" s="36" t="s">
        <v>139</v>
      </c>
      <c r="IE51" s="36" t="s">
        <v>139</v>
      </c>
      <c r="IF51" s="36" t="s">
        <v>139</v>
      </c>
      <c r="IG51" s="36" t="s">
        <v>139</v>
      </c>
      <c r="IH51" s="36" t="s">
        <v>139</v>
      </c>
      <c r="II51" s="36" t="s">
        <v>139</v>
      </c>
      <c r="IJ51" s="36" t="s">
        <v>139</v>
      </c>
      <c r="IK51" s="36" t="s">
        <v>139</v>
      </c>
      <c r="IL51" s="36" t="s">
        <v>139</v>
      </c>
      <c r="IM51" s="36" t="s">
        <v>139</v>
      </c>
      <c r="IN51" s="36" t="s">
        <v>139</v>
      </c>
      <c r="IO51" s="36" t="s">
        <v>139</v>
      </c>
      <c r="IP51" s="36" t="s">
        <v>139</v>
      </c>
      <c r="IQ51" s="36" t="s">
        <v>139</v>
      </c>
      <c r="IR51" s="36" t="s">
        <v>139</v>
      </c>
      <c r="IS51" s="36" t="s">
        <v>139</v>
      </c>
      <c r="IT51" s="36" t="s">
        <v>139</v>
      </c>
      <c r="IU51" s="36" t="s">
        <v>139</v>
      </c>
      <c r="IV51" s="36" t="s">
        <v>139</v>
      </c>
      <c r="IW51" s="36" t="s">
        <v>139</v>
      </c>
      <c r="IX51" s="36" t="s">
        <v>139</v>
      </c>
      <c r="IY51" s="36" t="s">
        <v>139</v>
      </c>
      <c r="IZ51" s="36" t="s">
        <v>139</v>
      </c>
      <c r="JA51" s="36" t="s">
        <v>139</v>
      </c>
      <c r="JB51" s="36" t="s">
        <v>139</v>
      </c>
      <c r="JC51" s="36" t="s">
        <v>139</v>
      </c>
      <c r="JD51" s="36" t="s">
        <v>139</v>
      </c>
      <c r="JE51" s="36" t="s">
        <v>139</v>
      </c>
      <c r="JF51" s="36" t="s">
        <v>139</v>
      </c>
      <c r="JG51" s="36" t="s">
        <v>139</v>
      </c>
      <c r="JH51" s="36" t="s">
        <v>139</v>
      </c>
      <c r="JI51" s="36" t="s">
        <v>139</v>
      </c>
      <c r="JJ51" s="36" t="s">
        <v>139</v>
      </c>
      <c r="JK51" s="36" t="s">
        <v>139</v>
      </c>
      <c r="JL51" s="36" t="s">
        <v>139</v>
      </c>
      <c r="JM51" s="36" t="s">
        <v>139</v>
      </c>
      <c r="JN51" s="36" t="s">
        <v>139</v>
      </c>
      <c r="JO51" s="36" t="s">
        <v>139</v>
      </c>
      <c r="JP51" s="36" t="s">
        <v>139</v>
      </c>
      <c r="JQ51" s="36" t="s">
        <v>139</v>
      </c>
      <c r="JR51" s="36" t="s">
        <v>139</v>
      </c>
      <c r="JS51" s="36" t="s">
        <v>139</v>
      </c>
      <c r="JT51" s="36" t="s">
        <v>139</v>
      </c>
      <c r="JU51" s="36" t="s">
        <v>139</v>
      </c>
      <c r="JV51" s="36" t="s">
        <v>139</v>
      </c>
      <c r="JW51" s="36" t="s">
        <v>139</v>
      </c>
      <c r="JX51" s="36" t="s">
        <v>139</v>
      </c>
      <c r="JY51" s="36" t="s">
        <v>139</v>
      </c>
      <c r="JZ51" s="36" t="s">
        <v>139</v>
      </c>
      <c r="KA51" s="36" t="s">
        <v>139</v>
      </c>
      <c r="KB51" s="36" t="s">
        <v>139</v>
      </c>
      <c r="KC51" s="36" t="s">
        <v>139</v>
      </c>
      <c r="KD51" s="36" t="s">
        <v>139</v>
      </c>
      <c r="KE51" s="36" t="s">
        <v>139</v>
      </c>
      <c r="KF51" s="36" t="s">
        <v>139</v>
      </c>
      <c r="KG51" s="36" t="s">
        <v>139</v>
      </c>
      <c r="KH51" s="36" t="s">
        <v>139</v>
      </c>
      <c r="KI51" s="36" t="s">
        <v>139</v>
      </c>
      <c r="KJ51" s="36" t="s">
        <v>139</v>
      </c>
      <c r="KK51" s="36" t="s">
        <v>139</v>
      </c>
      <c r="KL51" s="36" t="s">
        <v>139</v>
      </c>
      <c r="KM51" s="36" t="s">
        <v>139</v>
      </c>
      <c r="KN51" s="36" t="s">
        <v>139</v>
      </c>
      <c r="KO51" s="36" t="s">
        <v>139</v>
      </c>
      <c r="KP51" s="36" t="s">
        <v>139</v>
      </c>
      <c r="KQ51" s="36" t="s">
        <v>139</v>
      </c>
      <c r="KR51" s="36" t="s">
        <v>139</v>
      </c>
      <c r="KS51" s="36" t="s">
        <v>139</v>
      </c>
      <c r="KT51" s="36" t="s">
        <v>139</v>
      </c>
      <c r="KU51" s="36" t="s">
        <v>139</v>
      </c>
      <c r="KV51" s="36" t="s">
        <v>139</v>
      </c>
      <c r="KW51" s="36" t="s">
        <v>139</v>
      </c>
      <c r="KX51" s="36" t="s">
        <v>139</v>
      </c>
      <c r="KY51" s="36" t="s">
        <v>139</v>
      </c>
      <c r="KZ51" s="36" t="s">
        <v>139</v>
      </c>
      <c r="LA51" s="36" t="s">
        <v>139</v>
      </c>
      <c r="LB51" s="36" t="s">
        <v>139</v>
      </c>
      <c r="LC51" s="36" t="s">
        <v>139</v>
      </c>
      <c r="LD51" s="36" t="s">
        <v>139</v>
      </c>
      <c r="LE51" s="36" t="s">
        <v>139</v>
      </c>
      <c r="LF51" s="36" t="s">
        <v>139</v>
      </c>
      <c r="LG51" s="36" t="s">
        <v>139</v>
      </c>
      <c r="LH51" s="36" t="s">
        <v>139</v>
      </c>
      <c r="LI51" s="36" t="s">
        <v>139</v>
      </c>
      <c r="LJ51" s="36" t="s">
        <v>139</v>
      </c>
      <c r="LK51" s="36" t="s">
        <v>139</v>
      </c>
      <c r="LL51" s="36" t="s">
        <v>139</v>
      </c>
      <c r="LM51" s="36" t="s">
        <v>139</v>
      </c>
      <c r="LN51" s="36" t="s">
        <v>139</v>
      </c>
      <c r="LO51" s="36" t="s">
        <v>139</v>
      </c>
      <c r="LP51" s="36" t="s">
        <v>139</v>
      </c>
      <c r="LQ51" s="36" t="s">
        <v>139</v>
      </c>
      <c r="LR51" s="36" t="s">
        <v>139</v>
      </c>
      <c r="LS51" s="36" t="s">
        <v>139</v>
      </c>
      <c r="LT51" s="36" t="s">
        <v>139</v>
      </c>
      <c r="LU51" s="36" t="s">
        <v>139</v>
      </c>
      <c r="LV51" s="36" t="s">
        <v>139</v>
      </c>
      <c r="LW51" s="36" t="s">
        <v>139</v>
      </c>
      <c r="LX51" s="36" t="s">
        <v>139</v>
      </c>
      <c r="LY51" s="36" t="s">
        <v>139</v>
      </c>
      <c r="LZ51" s="36" t="s">
        <v>139</v>
      </c>
      <c r="MA51" s="36" t="s">
        <v>139</v>
      </c>
      <c r="MB51" s="36" t="s">
        <v>139</v>
      </c>
      <c r="MC51" s="36" t="s">
        <v>139</v>
      </c>
      <c r="MD51" s="36" t="s">
        <v>139</v>
      </c>
      <c r="ME51" s="36" t="s">
        <v>139</v>
      </c>
      <c r="MF51" s="36" t="s">
        <v>139</v>
      </c>
      <c r="MG51" s="36" t="s">
        <v>139</v>
      </c>
      <c r="MH51" s="36" t="s">
        <v>139</v>
      </c>
      <c r="MI51" s="36" t="s">
        <v>139</v>
      </c>
      <c r="MJ51" s="36" t="s">
        <v>139</v>
      </c>
      <c r="MK51" s="36" t="s">
        <v>139</v>
      </c>
      <c r="ML51" s="36" t="s">
        <v>139</v>
      </c>
      <c r="MM51" s="36" t="s">
        <v>139</v>
      </c>
      <c r="MN51" s="36" t="s">
        <v>139</v>
      </c>
      <c r="MO51" s="36" t="s">
        <v>139</v>
      </c>
      <c r="MP51" s="36" t="s">
        <v>139</v>
      </c>
      <c r="MQ51" s="36" t="s">
        <v>139</v>
      </c>
      <c r="MR51" s="36" t="s">
        <v>139</v>
      </c>
      <c r="MS51" s="36" t="s">
        <v>139</v>
      </c>
      <c r="MT51" s="36" t="s">
        <v>139</v>
      </c>
      <c r="MU51" s="36" t="s">
        <v>139</v>
      </c>
      <c r="MV51" s="36" t="s">
        <v>139</v>
      </c>
      <c r="MW51" s="36" t="s">
        <v>139</v>
      </c>
      <c r="MX51" s="36" t="s">
        <v>139</v>
      </c>
      <c r="MY51" s="36" t="s">
        <v>139</v>
      </c>
      <c r="MZ51" s="36" t="s">
        <v>139</v>
      </c>
      <c r="NA51" s="36" t="s">
        <v>139</v>
      </c>
      <c r="NB51" s="36" t="s">
        <v>139</v>
      </c>
      <c r="NC51" s="36" t="s">
        <v>139</v>
      </c>
      <c r="ND51" s="36" t="s">
        <v>139</v>
      </c>
      <c r="NE51" s="36" t="s">
        <v>139</v>
      </c>
      <c r="NF51" s="36" t="s">
        <v>139</v>
      </c>
      <c r="NG51" s="36" t="s">
        <v>139</v>
      </c>
      <c r="NH51" s="36" t="s">
        <v>139</v>
      </c>
      <c r="NI51" s="36" t="s">
        <v>139</v>
      </c>
      <c r="NJ51" s="36" t="s">
        <v>139</v>
      </c>
      <c r="NK51" s="36" t="s">
        <v>139</v>
      </c>
      <c r="NL51" s="36" t="s">
        <v>139</v>
      </c>
      <c r="NM51" s="36" t="s">
        <v>139</v>
      </c>
      <c r="NN51" s="36" t="s">
        <v>139</v>
      </c>
      <c r="NO51" s="36" t="s">
        <v>139</v>
      </c>
      <c r="NP51" s="36" t="s">
        <v>139</v>
      </c>
      <c r="NQ51" s="36" t="s">
        <v>139</v>
      </c>
      <c r="NR51" s="36" t="s">
        <v>139</v>
      </c>
      <c r="NS51" s="36" t="s">
        <v>139</v>
      </c>
      <c r="NT51" s="36" t="s">
        <v>139</v>
      </c>
      <c r="NU51" s="36" t="s">
        <v>139</v>
      </c>
      <c r="NV51" s="36" t="s">
        <v>139</v>
      </c>
      <c r="NW51" s="36" t="s">
        <v>139</v>
      </c>
      <c r="NX51" s="36" t="s">
        <v>139</v>
      </c>
      <c r="NY51" s="36" t="s">
        <v>139</v>
      </c>
      <c r="NZ51" s="36" t="s">
        <v>139</v>
      </c>
      <c r="OA51" s="36" t="s">
        <v>139</v>
      </c>
      <c r="OB51" s="36" t="s">
        <v>139</v>
      </c>
      <c r="OC51" s="36" t="s">
        <v>139</v>
      </c>
      <c r="OD51" s="36" t="s">
        <v>139</v>
      </c>
      <c r="OE51" s="36" t="s">
        <v>139</v>
      </c>
      <c r="OF51" s="36" t="s">
        <v>139</v>
      </c>
      <c r="OG51" s="36" t="s">
        <v>139</v>
      </c>
      <c r="OH51" s="36" t="s">
        <v>139</v>
      </c>
      <c r="OI51" s="36" t="s">
        <v>139</v>
      </c>
      <c r="OJ51" s="36" t="s">
        <v>139</v>
      </c>
      <c r="OK51" s="36" t="s">
        <v>139</v>
      </c>
      <c r="OL51" s="36" t="s">
        <v>139</v>
      </c>
      <c r="OM51" s="36" t="s">
        <v>139</v>
      </c>
      <c r="ON51" s="36" t="s">
        <v>139</v>
      </c>
      <c r="OO51" s="36" t="s">
        <v>139</v>
      </c>
      <c r="OP51" s="36" t="s">
        <v>139</v>
      </c>
      <c r="OQ51" s="36" t="s">
        <v>139</v>
      </c>
      <c r="OR51" s="36" t="s">
        <v>139</v>
      </c>
      <c r="OS51" s="36" t="s">
        <v>139</v>
      </c>
      <c r="OT51" s="36" t="s">
        <v>139</v>
      </c>
      <c r="OU51" s="36" t="s">
        <v>139</v>
      </c>
      <c r="OV51" s="36" t="s">
        <v>139</v>
      </c>
      <c r="OW51" s="36" t="s">
        <v>139</v>
      </c>
      <c r="OX51" s="36" t="s">
        <v>139</v>
      </c>
      <c r="OY51" s="36" t="s">
        <v>139</v>
      </c>
      <c r="OZ51" s="36" t="s">
        <v>139</v>
      </c>
      <c r="PA51" s="36" t="s">
        <v>139</v>
      </c>
      <c r="PB51" s="36" t="s">
        <v>139</v>
      </c>
      <c r="PC51" s="36" t="s">
        <v>139</v>
      </c>
      <c r="PD51" s="36" t="s">
        <v>139</v>
      </c>
      <c r="PE51" s="36" t="s">
        <v>139</v>
      </c>
      <c r="PF51" s="36" t="s">
        <v>139</v>
      </c>
      <c r="PG51" s="36" t="s">
        <v>139</v>
      </c>
      <c r="PH51" s="36" t="s">
        <v>139</v>
      </c>
      <c r="PI51" s="36" t="s">
        <v>139</v>
      </c>
      <c r="PJ51" s="36" t="s">
        <v>139</v>
      </c>
      <c r="PK51" s="36" t="s">
        <v>139</v>
      </c>
      <c r="PL51" s="36" t="s">
        <v>139</v>
      </c>
      <c r="PM51" s="36" t="s">
        <v>139</v>
      </c>
      <c r="PN51" s="36" t="s">
        <v>139</v>
      </c>
      <c r="PO51" s="74">
        <f>COUNTIFS($C$27:$PN$27,("&lt;"&amp;$B$3),$C$27:$PN$27,("&gt;="&amp;$B$2),$C51:$PN51,TabAsistencias[[#Headers],[1]])</f>
        <v>30</v>
      </c>
      <c r="PP51" s="74">
        <f>COUNTIFS($C$27:$PN$27,("&lt;"&amp;$B$3),$C$27:$PN$27,("&gt;="&amp;$B$2),$C51:$PN51,TabAsistencias[[#Headers],[E]])</f>
        <v>0</v>
      </c>
      <c r="PQ51" s="74">
        <f>COUNTIFS($C$27:$PN$27,("&lt;"&amp;$B$3),$C$27:$PN$27,("&gt;="&amp;$B$2),$C51:$PN51,TabAsistencias[[#Headers],[DE]])</f>
        <v>0</v>
      </c>
      <c r="PR51" s="74">
        <f>COUNTIFS($C$27:$PN$27,("&lt;"&amp;$B$3),$C$27:$PN$27,("&gt;="&amp;$B$2),$C51:$PN51,TabAsistencias[[#Headers],[V]])</f>
        <v>0</v>
      </c>
      <c r="PS51" s="74">
        <f>COUNTIFS($C$27:$PN$27,("&lt;"&amp;$B$3),$C$27:$PN$27,("&gt;="&amp;$B$2),$C51:$PN51,TabAsistencias[[#Headers],[DO]])</f>
        <v>0</v>
      </c>
      <c r="PT51" s="74">
        <f>COUNTIFS($C$27:$PN$27,("&lt;"&amp;$B$3),$C$27:$PN$27,("&gt;="&amp;$B$2),$C51:$PN51,TabAsistencias[[#Headers],[P]])</f>
        <v>0</v>
      </c>
      <c r="PU51" s="74">
        <f>COUNTIFS($C$27:$PN$27,("&lt;"&amp;$B$3),$C$27:$PN$27,("&gt;="&amp;$B$2),$C51:$PN51,TabAsistencias[[#Headers],[F]])</f>
        <v>0</v>
      </c>
      <c r="PV51" s="74">
        <f>COUNTIFS($C$27:$PN$27,("&lt;"&amp;$B$3),$C$27:$PN$27,("&gt;="&amp;$B$2),$C51:$PN51,TabAsistencias[[#Headers],[R]])</f>
        <v>0</v>
      </c>
      <c r="PW51" s="74">
        <f>COUNTIFS($C$27:$PN$27,("&lt;"&amp;$B$3),$C$27:$PN$27,("&gt;="&amp;$B$2),$C51:$PN51,TabAsistencias[[#Headers],[PP]])</f>
        <v>0</v>
      </c>
      <c r="PX51" s="74">
        <f>COUNTIFS($C$27:$PN$27,("&lt;"&amp;$B$3),$C$27:$PN$27,("&gt;="&amp;$B$2),$C51:$PN51,TabAsistencias[[#Headers],[0]])</f>
        <v>0</v>
      </c>
      <c r="PY51" s="74">
        <f>COUNTIFS($C$27:$PN$27,("&lt;"&amp;$B$3),$C$27:$PN$27,("&gt;="&amp;$B$2),$C51:$PN51,TabAsistencias[[#Headers],[IG]])</f>
        <v>0</v>
      </c>
      <c r="PZ51" s="74">
        <f>COUNTIFS($C$27:$PN$27,("&lt;"&amp;$B$3),$C$27:$PN$27,("&gt;="&amp;$B$2),$C51:$PN51,TabAsistencias[[#Headers],[NA]])</f>
        <v>0</v>
      </c>
      <c r="QA51" s="74">
        <f>COUNTIFS($C$27:$PN$27,("&lt;"&amp;$B$3),$C$27:$PN$27,("&gt;="&amp;$B$2),$C51:$PN51,TabAsistencias[[#Headers],[DF]])</f>
        <v>0</v>
      </c>
      <c r="QB51" s="74">
        <f>COUNTIFS($C$27:$PN$27,("&lt;"&amp;$B$3),$C$27:$PN$27,("&gt;="&amp;$B$2),$C51:$PN51,TabAsistencias[[#Headers],[3]])</f>
        <v>0</v>
      </c>
      <c r="QC51" s="74">
        <f>COUNTIFS($C$27:$PN$27,("&lt;"&amp;$B$3),$C$27:$PN$27,("&gt;="&amp;$B$2),$C51:$PN51,TabAsistencias[[#Headers],[CP]])</f>
        <v>0</v>
      </c>
      <c r="QD51" s="74">
        <f>COUNTIFS($C$27:$PN$27,("&lt;"&amp;$B$3),$C$27:$PN$27,("&gt;="&amp;$B$2),$C51:$PN51,TabAsistencias[[#Headers],[I]])</f>
        <v>0</v>
      </c>
      <c r="QE51" s="74">
        <f>COUNTIFS($C$27:$PN$27,("&lt;"&amp;$B$3),$C$27:$PN$27,("&gt;="&amp;$B$2),$C51:$PN51,TabAsistencias[[#Headers],[T/2]])</f>
        <v>0</v>
      </c>
      <c r="QF51" s="74">
        <f>COUNTIFS($C$27:$PN$27,("&lt;"&amp;$B$3),$C$27:$PN$27,("&gt;="&amp;$B$2),$C51:$PN51,TabAsistencias[[#Headers],[ME]])</f>
        <v>0</v>
      </c>
      <c r="QG51" s="74">
        <f>COUNTIFS($C$27:$PN$27,("&lt;"&amp;$B$3),$C$27:$PN$27,("&gt;="&amp;$B$2),$C51:$PN51,TabAsistencias[[#Headers],[DP]])</f>
        <v>0</v>
      </c>
      <c r="QH51" s="74">
        <f>COUNTIFS($C$27:$PN$27,("&lt;"&amp;$B$3),$C$27:$PN$27,("&gt;="&amp;$B$2),$C51:$PN51,TabAsistencias[[#Headers],[B]])</f>
        <v>0</v>
      </c>
      <c r="QI51" s="74">
        <f>(TabAsistencias[[#This Row],[1]]*'Tablas de informacion'!$C$124)+(TabAsistencias[[#This Row],[E]]*'Tablas de informacion'!$C$125)+(TabAsistencias[[#This Row],[DE]]*'Tablas de informacion'!C$126)+(TabAsistencias[[#This Row],[V]]*'Tablas de informacion'!C$127)+(TabAsistencias[[#This Row],[DO]]*'Tablas de informacion'!C$128)+(TabAsistencias[[#This Row],[P]]*'Tablas de informacion'!C$129)+(TabAsistencias[[#This Row],[F]]*'Tablas de informacion'!C$130)+(TabAsistencias[[#This Row],[R]]*'Tablas de informacion'!C$131)+(TabAsistencias[[#This Row],[PP]]*'Tablas de informacion'!C$132)+(TabAsistencias[[#This Row],[0]]*'Tablas de informacion'!C$133)+(TabAsistencias[[#This Row],[IG]]*'Tablas de informacion'!C$134)+(TabAsistencias[[#This Row],[NA]]*'Tablas de informacion'!C$135)+(TabAsistencias[[#This Row],[DF]]*'Tablas de informacion'!C$136)+(TabAsistencias[[#This Row],[3]]*'Tablas de informacion'!C$137)+(TabAsistencias[[#This Row],[CP]]*'Tablas de informacion'!C$138)+(TabAsistencias[[#This Row],[I]]*'Tablas de informacion'!C$139)+(TabAsistencias[[#This Row],[T/2]]*'Tablas de informacion'!C$140)+(TabAsistencias[[#This Row],[ME]]*'Tablas de informacion'!C$141)+(TabAsistencias[[#This Row],[DP]]*'Tablas de informacion'!C$142)+(TabAsistencias[[#This Row],[B]]*'Tablas de informacion'!C$143)-INT(TabAsistencias[[#This Row],[R]]/3)</f>
        <v>30</v>
      </c>
      <c r="QJ51" s="74">
        <f>COUNTIFS($C$27:$PN$27,("&lt;"&amp;$B$3),$C$27:$PN$27,("&gt;="&amp;$B$2),$C$28:$PN$28,1,$C51:$PN51,TabAsistencias[[#Headers],[1]])+
COUNTIFS($C$27:$PN$27,("&lt;"&amp;$B$3),$C$27:$PN$27,("&gt;="&amp;$B$2),$C$28:$PN$28,1,$C51:$PN51,TabAsistencias[[#Headers],[DO]])+
COUNTIFS($C$27:$PN$27,("&lt;"&amp;$B$3),$C$27:$PN$27,("&gt;="&amp;$B$2),$C$28:$PN$28,1,$C51:$PN51,TabAsistencias[[#Headers],[R]])+
COUNTIFS($C$27:$PN$27,("&lt;"&amp;$B$3),$C$27:$PN$27,("&gt;="&amp;$B$2),$C$28:$PN$28,1,$C51:$PN51,TabAsistencias[[#Headers],[NA]])+
COUNTIFS($C$27:$PN$27,("&lt;"&amp;$B$3),$C$27:$PN$27,("&gt;="&amp;$B$2),$C$28:$PN$28,1,$C51:$PN51,TabAsistencias[[#Headers],[DF]])+
COUNTIFS($C$27:$PN$27,("&lt;"&amp;$B$3),$C$27:$PN$27,("&gt;="&amp;$B$2),$C$28:$PN$28,1,$C51:$PN51,TabAsistencias[[#Headers],[3]])+
COUNTIFS($C$27:$PN$27,("&lt;"&amp;$B$3),$C$27:$PN$27,("&gt;="&amp;$B$2),$C$28:$PN$28,1,$C51:$PN51,TabAsistencias[[#Headers],[CP]])+
COUNTIFS($C$27:$PN$27,("&lt;"&amp;$B$3),$C$27:$PN$27,("&gt;="&amp;$B$2),$C$28:$PN$28,1,$C51:$PN51,TabAsistencias[[#Headers],[T/2]])</f>
        <v>4</v>
      </c>
      <c r="QK51" s="315" cm="1">
        <f t="array" ref="QK51">IFERROR(VLOOKUP(
DATEDIF((VLOOKUP(TabAsistencias[[#This Row],[ID]],TabEmpleados[],COLUMN(TabEmpleados[Fecha de ingreso]),FALSE)),Asistencias!$B$3,"Y"),
TabFactorIntegracion[],COLUMN(TabFactorIntegracion[Días vacacionales
establecidos por ley]),FALSE),0)
-
COUNTIF($AH51:$PN51,TabAsistencias[[#Headers],[V]])</f>
        <v>12</v>
      </c>
      <c r="QL51" s="319">
        <f>SUM(TabAsistencias[[#This Row],[''1]],TabAsistencias[[#This Row],[''DE]],TabAsistencias[[#This Row],[''DO]],TabAsistencias[[#This Row],[''R]],TabAsistencias[[#This Row],[''NA]],TabAsistencias[[#This Row],[''DF]],TabAsistencias[[#This Row],[''3]],TabAsistencias[[#This Row],[''CP]],TabAsistencias[[#This Row],[''T/2]],TabAsistencias[[#This Row],[''DP]])</f>
        <v>73</v>
      </c>
      <c r="QM51" s="314">
        <f>COUNTIFS($C$27:$PN$27,("&lt;"&amp;$B$5),$C$27:$PN$27,("&gt;="&amp;$B$4),$C51:$PN51,TabAsistencias[[#Headers],[1]])</f>
        <v>73</v>
      </c>
      <c r="QN51" s="314">
        <f>COUNTIFS($C$27:$PN$27,("&lt;"&amp;$B$5),$C$27:$PN$27,("&gt;="&amp;$B$4),$C51:$PN51,TabAsistencias[[#Headers],[DE]])</f>
        <v>0</v>
      </c>
      <c r="QO51" s="314">
        <f>COUNTIFS($C$27:$PN$27,("&lt;"&amp;$B$5),$C$27:$PN$27,("&gt;="&amp;$B$4),$C51:$PN51,TabAsistencias[[#Headers],[V]])</f>
        <v>0</v>
      </c>
      <c r="QP51" s="314">
        <f>COUNTIFS($C$27:$PN$27,("&lt;"&amp;$B$5),$C$27:$PN$27,("&gt;="&amp;$B$4),$C51:$PN51,TabAsistencias[[#Headers],[DO]])</f>
        <v>0</v>
      </c>
      <c r="QQ51" s="314">
        <f>COUNTIFS($C$27:$PN$27,("&lt;"&amp;$B$5),$C$27:$PN$27,("&gt;="&amp;$B$4),$C51:$PN51,TabAsistencias[[#Headers],[P]])</f>
        <v>0</v>
      </c>
      <c r="QR51" s="314">
        <f>COUNTIFS($C$27:$PN$27,("&lt;"&amp;$B$5),$C$27:$PN$27,("&gt;="&amp;$B$4),$C51:$PN51,TabAsistencias[[#Headers],[F]])</f>
        <v>0</v>
      </c>
      <c r="QS51" s="314">
        <f>COUNTIFS($C$27:$PN$27,("&lt;"&amp;$B$5),$C$27:$PN$27,("&gt;="&amp;$B$4),$C51:$PN51,TabAsistencias[[#Headers],[R]])</f>
        <v>0</v>
      </c>
      <c r="QT51" s="314">
        <f>COUNTIFS($C$27:$PN$27,("&lt;"&amp;$B$5),$C$27:$PN$27,("&gt;="&amp;$B$4),$C51:$PN51,TabAsistencias[[#Headers],[PP]])</f>
        <v>0</v>
      </c>
      <c r="QU51" s="314">
        <f>COUNTIFS($C$27:$PN$27,("&lt;"&amp;$B$5),$C$27:$PN$27,("&gt;="&amp;$B$4),$C51:$PN51,TabAsistencias[[#Headers],[0]])</f>
        <v>0</v>
      </c>
      <c r="QV51" s="314">
        <f>COUNTIFS($C$27:$PN$27,("&lt;"&amp;$B$5),$C$27:$PN$27,("&gt;="&amp;$B$4),$C51:$PN51,TabAsistencias[[#Headers],[IG]])</f>
        <v>0</v>
      </c>
      <c r="QW51" s="314">
        <f>COUNTIFS($C$27:$PN$27,("&lt;"&amp;$B$5),$C$27:$PN$27,("&gt;="&amp;$B$4),$C51:$PN51,TabAsistencias[[#Headers],[NA]])</f>
        <v>0</v>
      </c>
      <c r="QX51" s="314">
        <f>COUNTIFS($C$27:$PN$27,("&lt;"&amp;$B$5),$C$27:$PN$27,("&gt;="&amp;$B$4),$C51:$PN51,TabAsistencias[[#Headers],[DF]])</f>
        <v>0</v>
      </c>
      <c r="QY51" s="314">
        <f>COUNTIFS($C$27:$PN$27,("&lt;"&amp;$B$5),$C$27:$PN$27,("&gt;="&amp;$B$4),$C51:$PN51,TabAsistencias[[#Headers],[3]])</f>
        <v>0</v>
      </c>
      <c r="QZ51" s="314">
        <f>COUNTIFS($C$27:$PN$27,("&lt;"&amp;$B$5),$C$27:$PN$27,("&gt;="&amp;$B$4),$C51:$PN51,TabAsistencias[[#Headers],[CP]])</f>
        <v>0</v>
      </c>
      <c r="RA51" s="314">
        <f>COUNTIFS($C$27:$PN$27,("&lt;"&amp;$B$5),$C$27:$PN$27,("&gt;="&amp;$B$4),$C51:$PN51,TabAsistencias[[#Headers],[I]])</f>
        <v>0</v>
      </c>
      <c r="RB51" s="314">
        <f>COUNTIFS($C$27:$PN$27,("&lt;"&amp;$B$5),$C$27:$PN$27,("&gt;="&amp;$B$4),$C51:$PN51,TabAsistencias[[#Headers],[T/2]])</f>
        <v>0</v>
      </c>
      <c r="RC51" s="314">
        <f>COUNTIFS($C$27:$PN$27,("&lt;"&amp;$B$5),$C$27:$PN$27,("&gt;="&amp;$B$4),$C51:$PN51,TabAsistencias[[#Headers],[ME]])</f>
        <v>0</v>
      </c>
      <c r="RD51" s="314">
        <f>COUNTIFS($C$27:$PN$27,("&lt;"&amp;$B$5),$C$27:$PN$27,("&gt;="&amp;$B$4),$C51:$PN51,TabAsistencias[[#Headers],[DP]])</f>
        <v>0</v>
      </c>
      <c r="RE51" s="314">
        <f>COUNTIFS($C$27:$PN$27,("&lt;"&amp;$B$5),$C$27:$PN$27,("&gt;="&amp;$B$4),$C51:$PN51,TabAsistencias[[#Headers],[B]])</f>
        <v>0</v>
      </c>
      <c r="RF51" s="314">
        <f>COUNTIFS($C$27:$PN$27,("&lt;"&amp;$B$5),$C$27:$PN$27,("&gt;="&amp;$B$4),$C$28:$PN$28,1,$C51:$PN51,TabAsistencias[[#Headers],[1]])+
COUNTIFS($C$27:$PN$27,("&lt;"&amp;$B$5),$C$27:$PN$27,("&gt;="&amp;$B$4),$C$28:$PN$28,1,$C51:$PN51,TabAsistencias[[#Headers],[DO]])+
COUNTIFS($C$27:$PN$27,("&lt;"&amp;$B$5),$C$27:$PN$27,("&gt;="&amp;$B$4),$C$28:$PN$28,1,$C51:$PN51,TabAsistencias[[#Headers],[R]])+
COUNTIFS($C$27:$PN$27,("&lt;"&amp;$B$5),$C$27:$PN$27,("&gt;="&amp;$B$4),$C$28:$PN$28,1,$C51:$PN51,TabAsistencias[[#Headers],[NA]])+
COUNTIFS($C$27:$PN$27,("&lt;"&amp;$B$5),$C$27:$PN$27,("&gt;="&amp;$B$4),$C$28:$PN$28,1,$C51:$PN51,TabAsistencias[[#Headers],[DF]])+
COUNTIFS($C$27:$PN$27,("&lt;"&amp;$B$5),$C$27:$PN$27,("&gt;="&amp;$B$4),$C$28:$PN$28,1,$C51:$PN51,TabAsistencias[[#Headers],[3]])+
COUNTIFS($C$27:$PN$27,("&lt;"&amp;$B$5),$C$27:$PN$27,("&gt;="&amp;$B$4),$C$28:$PN$28,1,$C51:$PN51,TabAsistencias[[#Headers],[CP]])+
COUNTIFS($C$27:$PN$27,("&lt;"&amp;$B$5),$C$27:$PN$27,("&gt;="&amp;$B$4),$C$28:$PN$28,1,$C51:$PN51,TabAsistencias[[#Headers],[T/2]])</f>
        <v>11</v>
      </c>
      <c r="RG51" s="320" cm="1">
        <f t="array" ref="RG51">IFERROR(VLOOKUP(
DATEDIF((VLOOKUP(TabAsistencias[[#This Row],[ID]],TabEmpleados[],COLUMN(TabEmpleados[Fecha de alta NSS]),FALSE)),Asistencias!$B$3,"Y"),
TabFactorIntegracion[],COLUMN(TabFactorIntegracion[Días vacacionales
establecidos por ley]),FALSE),0)
-
COUNTIF($AH51:$PN51,TabAsistencias[[#Headers],[V]])</f>
        <v>12</v>
      </c>
    </row>
    <row r="52" spans="1:475" x14ac:dyDescent="0.25">
      <c r="A52" s="92">
        <f t="shared" si="434"/>
        <v>22</v>
      </c>
      <c r="B52" s="30" t="str" cm="1">
        <f t="array" ref="B52">VLOOKUP(TabAsistencias[[#This Row],[ID]],TabEmpleados[],COLUMN(TabEmpleados[Nombre]),FALSE)</f>
        <v>GONZALEZ ARAGON TANIA YURICEL</v>
      </c>
      <c r="C52" s="36" t="s">
        <v>139</v>
      </c>
      <c r="D52" s="36" t="s">
        <v>139</v>
      </c>
      <c r="E52" s="36" t="s">
        <v>139</v>
      </c>
      <c r="F52" s="36" t="s">
        <v>139</v>
      </c>
      <c r="G52" s="36" t="s">
        <v>139</v>
      </c>
      <c r="H52" s="36" t="s">
        <v>139</v>
      </c>
      <c r="I52" s="36" t="s">
        <v>139</v>
      </c>
      <c r="J52" s="36" t="s">
        <v>139</v>
      </c>
      <c r="K52" s="36" t="s">
        <v>139</v>
      </c>
      <c r="L52" s="36" t="s">
        <v>139</v>
      </c>
      <c r="M52" s="36" t="s">
        <v>139</v>
      </c>
      <c r="N52" s="36" t="s">
        <v>139</v>
      </c>
      <c r="O52" s="36" t="s">
        <v>139</v>
      </c>
      <c r="P52" s="36" t="s">
        <v>139</v>
      </c>
      <c r="Q52" s="36" t="s">
        <v>139</v>
      </c>
      <c r="R52" s="36" t="s">
        <v>139</v>
      </c>
      <c r="S52" s="36" t="s">
        <v>139</v>
      </c>
      <c r="T52" s="36" t="s">
        <v>139</v>
      </c>
      <c r="U52" s="36" t="s">
        <v>139</v>
      </c>
      <c r="V52" s="36" t="s">
        <v>139</v>
      </c>
      <c r="W52" s="36" t="s">
        <v>139</v>
      </c>
      <c r="X52" s="36" t="s">
        <v>139</v>
      </c>
      <c r="Y52" s="36" t="s">
        <v>139</v>
      </c>
      <c r="Z52" s="36" t="s">
        <v>139</v>
      </c>
      <c r="AA52" s="36" t="s">
        <v>139</v>
      </c>
      <c r="AB52" s="36" t="s">
        <v>139</v>
      </c>
      <c r="AC52" s="36" t="s">
        <v>139</v>
      </c>
      <c r="AD52" s="36" t="s">
        <v>139</v>
      </c>
      <c r="AE52" s="36" t="s">
        <v>139</v>
      </c>
      <c r="AF52" s="36" t="s">
        <v>139</v>
      </c>
      <c r="AG52" s="36" t="s">
        <v>139</v>
      </c>
      <c r="AH52" s="36" t="s">
        <v>139</v>
      </c>
      <c r="AI52" s="36" t="s">
        <v>139</v>
      </c>
      <c r="AJ52" s="36" t="s">
        <v>139</v>
      </c>
      <c r="AK52" s="36" t="s">
        <v>139</v>
      </c>
      <c r="AL52" s="36" t="s">
        <v>139</v>
      </c>
      <c r="AM52" s="36" t="s">
        <v>139</v>
      </c>
      <c r="AN52" s="36" t="s">
        <v>139</v>
      </c>
      <c r="AO52" s="36" t="s">
        <v>139</v>
      </c>
      <c r="AP52" s="36" t="s">
        <v>139</v>
      </c>
      <c r="AQ52" s="36" t="s">
        <v>139</v>
      </c>
      <c r="AR52" s="36" t="s">
        <v>139</v>
      </c>
      <c r="AS52" s="36" t="s">
        <v>139</v>
      </c>
      <c r="AT52" s="36" t="s">
        <v>139</v>
      </c>
      <c r="AU52" s="36" t="s">
        <v>139</v>
      </c>
      <c r="AV52" s="36" t="s">
        <v>139</v>
      </c>
      <c r="AW52" s="36" t="s">
        <v>139</v>
      </c>
      <c r="AX52" s="36" t="s">
        <v>139</v>
      </c>
      <c r="AY52" s="36" t="s">
        <v>139</v>
      </c>
      <c r="AZ52" s="36" t="s">
        <v>139</v>
      </c>
      <c r="BA52" s="36" t="s">
        <v>139</v>
      </c>
      <c r="BB52" s="36" t="s">
        <v>139</v>
      </c>
      <c r="BC52" s="36" t="s">
        <v>139</v>
      </c>
      <c r="BD52" s="36" t="s">
        <v>139</v>
      </c>
      <c r="BE52" s="36" t="s">
        <v>139</v>
      </c>
      <c r="BF52" s="36" t="s">
        <v>139</v>
      </c>
      <c r="BG52" s="36" t="s">
        <v>139</v>
      </c>
      <c r="BH52" s="36" t="s">
        <v>139</v>
      </c>
      <c r="BI52" s="36" t="s">
        <v>139</v>
      </c>
      <c r="BJ52" s="36" t="s">
        <v>139</v>
      </c>
      <c r="BK52" s="36" t="s">
        <v>139</v>
      </c>
      <c r="BL52" s="36" t="s">
        <v>139</v>
      </c>
      <c r="BM52" s="36" t="s">
        <v>139</v>
      </c>
      <c r="BN52" s="36" t="s">
        <v>139</v>
      </c>
      <c r="BO52" s="36" t="s">
        <v>139</v>
      </c>
      <c r="BP52" s="36" t="s">
        <v>139</v>
      </c>
      <c r="BQ52" s="36" t="s">
        <v>139</v>
      </c>
      <c r="BR52" s="36" t="s">
        <v>139</v>
      </c>
      <c r="BS52" s="36" t="s">
        <v>139</v>
      </c>
      <c r="BT52" s="36" t="s">
        <v>139</v>
      </c>
      <c r="BU52" s="36" t="s">
        <v>139</v>
      </c>
      <c r="BV52" s="36" t="s">
        <v>139</v>
      </c>
      <c r="BW52" s="36" t="s">
        <v>139</v>
      </c>
      <c r="BX52" s="36" t="s">
        <v>139</v>
      </c>
      <c r="BY52" s="36" t="s">
        <v>139</v>
      </c>
      <c r="BZ52" s="36" t="s">
        <v>139</v>
      </c>
      <c r="CA52" s="36" t="s">
        <v>139</v>
      </c>
      <c r="CB52" s="36" t="s">
        <v>139</v>
      </c>
      <c r="CC52" s="36" t="s">
        <v>139</v>
      </c>
      <c r="CD52" s="36" t="s">
        <v>139</v>
      </c>
      <c r="CE52" s="36" t="s">
        <v>139</v>
      </c>
      <c r="CF52" s="36" t="s">
        <v>139</v>
      </c>
      <c r="CG52" s="36" t="s">
        <v>139</v>
      </c>
      <c r="CH52" s="36" t="s">
        <v>139</v>
      </c>
      <c r="CI52" s="36" t="s">
        <v>139</v>
      </c>
      <c r="CJ52" s="36" t="s">
        <v>139</v>
      </c>
      <c r="CK52" s="36" t="s">
        <v>139</v>
      </c>
      <c r="CL52" s="36" t="s">
        <v>139</v>
      </c>
      <c r="CM52" s="36" t="s">
        <v>139</v>
      </c>
      <c r="CN52" s="36" t="s">
        <v>139</v>
      </c>
      <c r="CO52" s="36" t="s">
        <v>139</v>
      </c>
      <c r="CP52" s="36" t="s">
        <v>139</v>
      </c>
      <c r="CQ52" s="36" t="s">
        <v>139</v>
      </c>
      <c r="CR52" s="36" t="s">
        <v>139</v>
      </c>
      <c r="CS52" s="36" t="s">
        <v>139</v>
      </c>
      <c r="CT52" s="36" t="s">
        <v>139</v>
      </c>
      <c r="CU52" s="36" t="s">
        <v>139</v>
      </c>
      <c r="CV52" s="36" t="s">
        <v>139</v>
      </c>
      <c r="CW52" s="36" t="s">
        <v>139</v>
      </c>
      <c r="CX52" s="36" t="s">
        <v>139</v>
      </c>
      <c r="CY52" s="36" t="s">
        <v>139</v>
      </c>
      <c r="CZ52" s="36" t="s">
        <v>139</v>
      </c>
      <c r="DA52" s="36" t="s">
        <v>139</v>
      </c>
      <c r="DB52" s="36" t="s">
        <v>139</v>
      </c>
      <c r="DC52" s="36" t="s">
        <v>139</v>
      </c>
      <c r="DD52" s="36" t="s">
        <v>139</v>
      </c>
      <c r="DE52" s="36" t="s">
        <v>139</v>
      </c>
      <c r="DF52" s="36" t="s">
        <v>139</v>
      </c>
      <c r="DG52" s="36" t="s">
        <v>139</v>
      </c>
      <c r="DH52" s="36" t="s">
        <v>139</v>
      </c>
      <c r="DI52" s="36" t="s">
        <v>139</v>
      </c>
      <c r="DJ52" s="36" t="s">
        <v>139</v>
      </c>
      <c r="DK52" s="36" t="s">
        <v>139</v>
      </c>
      <c r="DL52" s="36" t="s">
        <v>139</v>
      </c>
      <c r="DM52" s="36" t="s">
        <v>139</v>
      </c>
      <c r="DN52" s="36" t="s">
        <v>139</v>
      </c>
      <c r="DO52" s="36" t="s">
        <v>139</v>
      </c>
      <c r="DP52" s="36" t="s">
        <v>139</v>
      </c>
      <c r="DQ52" s="36" t="s">
        <v>139</v>
      </c>
      <c r="DR52" s="36" t="s">
        <v>139</v>
      </c>
      <c r="DS52" s="36" t="s">
        <v>139</v>
      </c>
      <c r="DT52" s="36" t="s">
        <v>139</v>
      </c>
      <c r="DU52" s="36" t="s">
        <v>139</v>
      </c>
      <c r="DV52" s="36" t="s">
        <v>139</v>
      </c>
      <c r="DW52" s="36" t="s">
        <v>139</v>
      </c>
      <c r="DX52" s="36" t="s">
        <v>139</v>
      </c>
      <c r="DY52" s="36" t="s">
        <v>139</v>
      </c>
      <c r="DZ52" s="36" t="s">
        <v>139</v>
      </c>
      <c r="EA52" s="36" t="s">
        <v>139</v>
      </c>
      <c r="EB52" s="36" t="s">
        <v>139</v>
      </c>
      <c r="EC52" s="36" t="s">
        <v>139</v>
      </c>
      <c r="ED52" s="36" t="s">
        <v>139</v>
      </c>
      <c r="EE52" s="36" t="s">
        <v>139</v>
      </c>
      <c r="EF52" s="36" t="s">
        <v>139</v>
      </c>
      <c r="EG52" s="36" t="s">
        <v>139</v>
      </c>
      <c r="EH52" s="36" t="s">
        <v>139</v>
      </c>
      <c r="EI52" s="36" t="s">
        <v>139</v>
      </c>
      <c r="EJ52" s="36" t="s">
        <v>139</v>
      </c>
      <c r="EK52" s="36" t="s">
        <v>139</v>
      </c>
      <c r="EL52" s="36" t="s">
        <v>139</v>
      </c>
      <c r="EM52" s="36" t="s">
        <v>139</v>
      </c>
      <c r="EN52" s="36" t="s">
        <v>139</v>
      </c>
      <c r="EO52" s="36" t="s">
        <v>139</v>
      </c>
      <c r="EP52" s="36" t="s">
        <v>139</v>
      </c>
      <c r="EQ52" s="36" t="s">
        <v>139</v>
      </c>
      <c r="ER52" s="36" t="s">
        <v>139</v>
      </c>
      <c r="ES52" s="36" t="s">
        <v>139</v>
      </c>
      <c r="ET52" s="36" t="s">
        <v>139</v>
      </c>
      <c r="EU52" s="36" t="s">
        <v>139</v>
      </c>
      <c r="EV52" s="36" t="s">
        <v>139</v>
      </c>
      <c r="EW52" s="36" t="s">
        <v>139</v>
      </c>
      <c r="EX52" s="36" t="s">
        <v>139</v>
      </c>
      <c r="EY52" s="36" t="s">
        <v>139</v>
      </c>
      <c r="EZ52" s="36" t="s">
        <v>139</v>
      </c>
      <c r="FA52" s="36" t="s">
        <v>139</v>
      </c>
      <c r="FB52" s="36" t="s">
        <v>139</v>
      </c>
      <c r="FC52" s="36" t="s">
        <v>139</v>
      </c>
      <c r="FD52" s="36" t="s">
        <v>139</v>
      </c>
      <c r="FE52" s="36" t="s">
        <v>139</v>
      </c>
      <c r="FF52" s="36" t="s">
        <v>139</v>
      </c>
      <c r="FG52" s="36" t="s">
        <v>139</v>
      </c>
      <c r="FH52" s="36" t="s">
        <v>139</v>
      </c>
      <c r="FI52" s="36" t="s">
        <v>139</v>
      </c>
      <c r="FJ52" s="36" t="s">
        <v>139</v>
      </c>
      <c r="FK52" s="36" t="s">
        <v>139</v>
      </c>
      <c r="FL52" s="36" t="s">
        <v>139</v>
      </c>
      <c r="FM52" s="36" t="s">
        <v>139</v>
      </c>
      <c r="FN52" s="36" t="s">
        <v>139</v>
      </c>
      <c r="FO52" s="36" t="s">
        <v>139</v>
      </c>
      <c r="FP52" s="36" t="s">
        <v>139</v>
      </c>
      <c r="FQ52" s="36" t="s">
        <v>139</v>
      </c>
      <c r="FR52" s="36" t="s">
        <v>139</v>
      </c>
      <c r="FS52" s="36" t="s">
        <v>139</v>
      </c>
      <c r="FT52" s="36" t="s">
        <v>139</v>
      </c>
      <c r="FU52" s="36" t="s">
        <v>139</v>
      </c>
      <c r="FV52" s="36" t="s">
        <v>139</v>
      </c>
      <c r="FW52" s="36" t="s">
        <v>139</v>
      </c>
      <c r="FX52" s="36" t="s">
        <v>139</v>
      </c>
      <c r="FY52" s="36" t="s">
        <v>139</v>
      </c>
      <c r="FZ52" s="36" t="s">
        <v>139</v>
      </c>
      <c r="GA52" s="36" t="s">
        <v>139</v>
      </c>
      <c r="GB52" s="36" t="s">
        <v>139</v>
      </c>
      <c r="GC52" s="36" t="s">
        <v>139</v>
      </c>
      <c r="GD52" s="36" t="s">
        <v>139</v>
      </c>
      <c r="GE52" s="36" t="s">
        <v>139</v>
      </c>
      <c r="GF52" s="36" t="s">
        <v>139</v>
      </c>
      <c r="GG52" s="36" t="s">
        <v>139</v>
      </c>
      <c r="GH52" s="36" t="s">
        <v>139</v>
      </c>
      <c r="GI52" s="36" t="s">
        <v>139</v>
      </c>
      <c r="GJ52" s="36" t="s">
        <v>139</v>
      </c>
      <c r="GK52" s="36" t="s">
        <v>139</v>
      </c>
      <c r="GL52" s="36" t="s">
        <v>139</v>
      </c>
      <c r="GM52" s="36" t="s">
        <v>139</v>
      </c>
      <c r="GN52" s="36" t="s">
        <v>139</v>
      </c>
      <c r="GO52" s="36" t="s">
        <v>139</v>
      </c>
      <c r="GP52" s="36" t="s">
        <v>139</v>
      </c>
      <c r="GQ52" s="36" t="s">
        <v>139</v>
      </c>
      <c r="GR52" s="36" t="s">
        <v>139</v>
      </c>
      <c r="GS52" s="36" t="s">
        <v>139</v>
      </c>
      <c r="GT52" s="36" t="s">
        <v>139</v>
      </c>
      <c r="GU52" s="36" t="s">
        <v>139</v>
      </c>
      <c r="GV52" s="36" t="s">
        <v>139</v>
      </c>
      <c r="GW52" s="36" t="s">
        <v>139</v>
      </c>
      <c r="GX52" s="36" t="s">
        <v>139</v>
      </c>
      <c r="GY52" s="36" t="s">
        <v>139</v>
      </c>
      <c r="GZ52" s="36" t="s">
        <v>139</v>
      </c>
      <c r="HA52" s="36" t="s">
        <v>139</v>
      </c>
      <c r="HB52" s="36" t="s">
        <v>139</v>
      </c>
      <c r="HC52" s="36" t="s">
        <v>139</v>
      </c>
      <c r="HD52" s="36" t="s">
        <v>139</v>
      </c>
      <c r="HE52" s="36" t="s">
        <v>139</v>
      </c>
      <c r="HF52" s="36" t="s">
        <v>139</v>
      </c>
      <c r="HG52" s="36" t="s">
        <v>139</v>
      </c>
      <c r="HH52" s="36" t="s">
        <v>139</v>
      </c>
      <c r="HI52" s="36" t="s">
        <v>139</v>
      </c>
      <c r="HJ52" s="36" t="s">
        <v>139</v>
      </c>
      <c r="HK52" s="36" t="s">
        <v>139</v>
      </c>
      <c r="HL52" s="36" t="s">
        <v>139</v>
      </c>
      <c r="HM52" s="36" t="s">
        <v>139</v>
      </c>
      <c r="HN52" s="36" t="s">
        <v>139</v>
      </c>
      <c r="HO52" s="36" t="s">
        <v>139</v>
      </c>
      <c r="HP52" s="36" t="s">
        <v>139</v>
      </c>
      <c r="HQ52" s="36" t="s">
        <v>139</v>
      </c>
      <c r="HR52" s="36" t="s">
        <v>139</v>
      </c>
      <c r="HS52" s="36" t="s">
        <v>139</v>
      </c>
      <c r="HT52" s="36" t="s">
        <v>139</v>
      </c>
      <c r="HU52" s="36" t="s">
        <v>139</v>
      </c>
      <c r="HV52" s="36" t="s">
        <v>139</v>
      </c>
      <c r="HW52" s="36" t="s">
        <v>139</v>
      </c>
      <c r="HX52" s="36" t="s">
        <v>139</v>
      </c>
      <c r="HY52" s="36" t="s">
        <v>139</v>
      </c>
      <c r="HZ52" s="36" t="s">
        <v>139</v>
      </c>
      <c r="IA52" s="36" t="s">
        <v>139</v>
      </c>
      <c r="IB52" s="36" t="s">
        <v>139</v>
      </c>
      <c r="IC52" s="36" t="s">
        <v>139</v>
      </c>
      <c r="ID52" s="36" t="s">
        <v>139</v>
      </c>
      <c r="IE52" s="36" t="s">
        <v>139</v>
      </c>
      <c r="IF52" s="36" t="s">
        <v>139</v>
      </c>
      <c r="IG52" s="36" t="s">
        <v>139</v>
      </c>
      <c r="IH52" s="36" t="s">
        <v>139</v>
      </c>
      <c r="II52" s="36" t="s">
        <v>139</v>
      </c>
      <c r="IJ52" s="36" t="s">
        <v>139</v>
      </c>
      <c r="IK52" s="36" t="s">
        <v>139</v>
      </c>
      <c r="IL52" s="36" t="s">
        <v>139</v>
      </c>
      <c r="IM52" s="36" t="s">
        <v>139</v>
      </c>
      <c r="IN52" s="36" t="s">
        <v>139</v>
      </c>
      <c r="IO52" s="36" t="s">
        <v>139</v>
      </c>
      <c r="IP52" s="36" t="s">
        <v>139</v>
      </c>
      <c r="IQ52" s="36" t="s">
        <v>139</v>
      </c>
      <c r="IR52" s="36" t="s">
        <v>139</v>
      </c>
      <c r="IS52" s="36" t="s">
        <v>139</v>
      </c>
      <c r="IT52" s="36" t="s">
        <v>139</v>
      </c>
      <c r="IU52" s="36" t="s">
        <v>139</v>
      </c>
      <c r="IV52" s="36" t="s">
        <v>139</v>
      </c>
      <c r="IW52" s="36" t="s">
        <v>139</v>
      </c>
      <c r="IX52" s="36" t="s">
        <v>139</v>
      </c>
      <c r="IY52" s="36" t="s">
        <v>139</v>
      </c>
      <c r="IZ52" s="36" t="s">
        <v>139</v>
      </c>
      <c r="JA52" s="36" t="s">
        <v>139</v>
      </c>
      <c r="JB52" s="36" t="s">
        <v>139</v>
      </c>
      <c r="JC52" s="36" t="s">
        <v>139</v>
      </c>
      <c r="JD52" s="36" t="s">
        <v>139</v>
      </c>
      <c r="JE52" s="36" t="s">
        <v>139</v>
      </c>
      <c r="JF52" s="36" t="s">
        <v>139</v>
      </c>
      <c r="JG52" s="36" t="s">
        <v>139</v>
      </c>
      <c r="JH52" s="36" t="s">
        <v>139</v>
      </c>
      <c r="JI52" s="36" t="s">
        <v>139</v>
      </c>
      <c r="JJ52" s="36" t="s">
        <v>139</v>
      </c>
      <c r="JK52" s="36" t="s">
        <v>139</v>
      </c>
      <c r="JL52" s="36" t="s">
        <v>139</v>
      </c>
      <c r="JM52" s="36" t="s">
        <v>139</v>
      </c>
      <c r="JN52" s="36" t="s">
        <v>139</v>
      </c>
      <c r="JO52" s="36" t="s">
        <v>139</v>
      </c>
      <c r="JP52" s="36" t="s">
        <v>139</v>
      </c>
      <c r="JQ52" s="36" t="s">
        <v>139</v>
      </c>
      <c r="JR52" s="36" t="s">
        <v>139</v>
      </c>
      <c r="JS52" s="36" t="s">
        <v>139</v>
      </c>
      <c r="JT52" s="36" t="s">
        <v>139</v>
      </c>
      <c r="JU52" s="36" t="s">
        <v>139</v>
      </c>
      <c r="JV52" s="36" t="s">
        <v>139</v>
      </c>
      <c r="JW52" s="36" t="s">
        <v>139</v>
      </c>
      <c r="JX52" s="36" t="s">
        <v>139</v>
      </c>
      <c r="JY52" s="36" t="s">
        <v>139</v>
      </c>
      <c r="JZ52" s="36" t="s">
        <v>139</v>
      </c>
      <c r="KA52" s="36" t="s">
        <v>139</v>
      </c>
      <c r="KB52" s="36" t="s">
        <v>139</v>
      </c>
      <c r="KC52" s="36" t="s">
        <v>139</v>
      </c>
      <c r="KD52" s="36" t="s">
        <v>139</v>
      </c>
      <c r="KE52" s="36" t="s">
        <v>139</v>
      </c>
      <c r="KF52" s="36" t="s">
        <v>139</v>
      </c>
      <c r="KG52" s="36" t="s">
        <v>139</v>
      </c>
      <c r="KH52" s="36" t="s">
        <v>139</v>
      </c>
      <c r="KI52" s="36" t="s">
        <v>139</v>
      </c>
      <c r="KJ52" s="36" t="s">
        <v>139</v>
      </c>
      <c r="KK52" s="36" t="s">
        <v>139</v>
      </c>
      <c r="KL52" s="36" t="s">
        <v>139</v>
      </c>
      <c r="KM52" s="36" t="s">
        <v>139</v>
      </c>
      <c r="KN52" s="36" t="s">
        <v>139</v>
      </c>
      <c r="KO52" s="36" t="s">
        <v>139</v>
      </c>
      <c r="KP52" s="36" t="s">
        <v>139</v>
      </c>
      <c r="KQ52" s="36" t="s">
        <v>139</v>
      </c>
      <c r="KR52" s="36" t="s">
        <v>139</v>
      </c>
      <c r="KS52" s="36" t="s">
        <v>139</v>
      </c>
      <c r="KT52" s="36" t="s">
        <v>139</v>
      </c>
      <c r="KU52" s="36" t="s">
        <v>139</v>
      </c>
      <c r="KV52" s="36" t="s">
        <v>139</v>
      </c>
      <c r="KW52" s="36" t="s">
        <v>139</v>
      </c>
      <c r="KX52" s="36" t="s">
        <v>139</v>
      </c>
      <c r="KY52" s="36" t="s">
        <v>139</v>
      </c>
      <c r="KZ52" s="36" t="s">
        <v>139</v>
      </c>
      <c r="LA52" s="36" t="s">
        <v>139</v>
      </c>
      <c r="LB52" s="36" t="s">
        <v>139</v>
      </c>
      <c r="LC52" s="36" t="s">
        <v>139</v>
      </c>
      <c r="LD52" s="36" t="s">
        <v>139</v>
      </c>
      <c r="LE52" s="36" t="s">
        <v>139</v>
      </c>
      <c r="LF52" s="36" t="s">
        <v>139</v>
      </c>
      <c r="LG52" s="36" t="s">
        <v>139</v>
      </c>
      <c r="LH52" s="36" t="s">
        <v>139</v>
      </c>
      <c r="LI52" s="36" t="s">
        <v>139</v>
      </c>
      <c r="LJ52" s="36" t="s">
        <v>139</v>
      </c>
      <c r="LK52" s="36" t="s">
        <v>139</v>
      </c>
      <c r="LL52" s="36" t="s">
        <v>139</v>
      </c>
      <c r="LM52" s="36" t="s">
        <v>139</v>
      </c>
      <c r="LN52" s="36" t="s">
        <v>139</v>
      </c>
      <c r="LO52" s="36" t="s">
        <v>139</v>
      </c>
      <c r="LP52" s="36" t="s">
        <v>139</v>
      </c>
      <c r="LQ52" s="36" t="s">
        <v>139</v>
      </c>
      <c r="LR52" s="36" t="s">
        <v>139</v>
      </c>
      <c r="LS52" s="36" t="s">
        <v>139</v>
      </c>
      <c r="LT52" s="36" t="s">
        <v>139</v>
      </c>
      <c r="LU52" s="36" t="s">
        <v>139</v>
      </c>
      <c r="LV52" s="36" t="s">
        <v>139</v>
      </c>
      <c r="LW52" s="36" t="s">
        <v>139</v>
      </c>
      <c r="LX52" s="36" t="s">
        <v>139</v>
      </c>
      <c r="LY52" s="36" t="s">
        <v>139</v>
      </c>
      <c r="LZ52" s="36" t="s">
        <v>139</v>
      </c>
      <c r="MA52" s="36" t="s">
        <v>139</v>
      </c>
      <c r="MB52" s="36" t="s">
        <v>139</v>
      </c>
      <c r="MC52" s="36" t="s">
        <v>139</v>
      </c>
      <c r="MD52" s="36" t="s">
        <v>139</v>
      </c>
      <c r="ME52" s="36" t="s">
        <v>139</v>
      </c>
      <c r="MF52" s="36" t="s">
        <v>139</v>
      </c>
      <c r="MG52" s="36" t="s">
        <v>139</v>
      </c>
      <c r="MH52" s="36" t="s">
        <v>139</v>
      </c>
      <c r="MI52" s="36" t="s">
        <v>139</v>
      </c>
      <c r="MJ52" s="36" t="s">
        <v>139</v>
      </c>
      <c r="MK52" s="36" t="s">
        <v>139</v>
      </c>
      <c r="ML52" s="36" t="s">
        <v>139</v>
      </c>
      <c r="MM52" s="36" t="s">
        <v>139</v>
      </c>
      <c r="MN52" s="36" t="s">
        <v>139</v>
      </c>
      <c r="MO52" s="36" t="s">
        <v>139</v>
      </c>
      <c r="MP52" s="36" t="s">
        <v>139</v>
      </c>
      <c r="MQ52" s="36" t="s">
        <v>139</v>
      </c>
      <c r="MR52" s="36" t="s">
        <v>139</v>
      </c>
      <c r="MS52" s="36" t="s">
        <v>139</v>
      </c>
      <c r="MT52" s="36" t="s">
        <v>139</v>
      </c>
      <c r="MU52" s="36" t="s">
        <v>139</v>
      </c>
      <c r="MV52" s="36" t="s">
        <v>139</v>
      </c>
      <c r="MW52" s="36" t="s">
        <v>139</v>
      </c>
      <c r="MX52" s="36" t="s">
        <v>139</v>
      </c>
      <c r="MY52" s="36" t="s">
        <v>139</v>
      </c>
      <c r="MZ52" s="36" t="s">
        <v>139</v>
      </c>
      <c r="NA52" s="36" t="s">
        <v>139</v>
      </c>
      <c r="NB52" s="36" t="s">
        <v>139</v>
      </c>
      <c r="NC52" s="36" t="s">
        <v>139</v>
      </c>
      <c r="ND52" s="36" t="s">
        <v>139</v>
      </c>
      <c r="NE52" s="36" t="s">
        <v>139</v>
      </c>
      <c r="NF52" s="36" t="s">
        <v>139</v>
      </c>
      <c r="NG52" s="36" t="s">
        <v>139</v>
      </c>
      <c r="NH52" s="36" t="s">
        <v>139</v>
      </c>
      <c r="NI52" s="36" t="s">
        <v>139</v>
      </c>
      <c r="NJ52" s="36" t="s">
        <v>139</v>
      </c>
      <c r="NK52" s="36" t="s">
        <v>139</v>
      </c>
      <c r="NL52" s="36" t="s">
        <v>139</v>
      </c>
      <c r="NM52" s="36" t="s">
        <v>139</v>
      </c>
      <c r="NN52" s="36" t="s">
        <v>139</v>
      </c>
      <c r="NO52" s="36" t="s">
        <v>139</v>
      </c>
      <c r="NP52" s="36" t="s">
        <v>139</v>
      </c>
      <c r="NQ52" s="36" t="s">
        <v>139</v>
      </c>
      <c r="NR52" s="36" t="s">
        <v>139</v>
      </c>
      <c r="NS52" s="36" t="s">
        <v>139</v>
      </c>
      <c r="NT52" s="36" t="s">
        <v>139</v>
      </c>
      <c r="NU52" s="36" t="s">
        <v>139</v>
      </c>
      <c r="NV52" s="36" t="s">
        <v>139</v>
      </c>
      <c r="NW52" s="36" t="s">
        <v>139</v>
      </c>
      <c r="NX52" s="36" t="s">
        <v>139</v>
      </c>
      <c r="NY52" s="36" t="s">
        <v>139</v>
      </c>
      <c r="NZ52" s="36" t="s">
        <v>139</v>
      </c>
      <c r="OA52" s="36" t="s">
        <v>139</v>
      </c>
      <c r="OB52" s="36" t="s">
        <v>139</v>
      </c>
      <c r="OC52" s="36" t="s">
        <v>139</v>
      </c>
      <c r="OD52" s="36" t="s">
        <v>139</v>
      </c>
      <c r="OE52" s="36" t="s">
        <v>139</v>
      </c>
      <c r="OF52" s="36" t="s">
        <v>139</v>
      </c>
      <c r="OG52" s="36" t="s">
        <v>139</v>
      </c>
      <c r="OH52" s="36" t="s">
        <v>139</v>
      </c>
      <c r="OI52" s="36" t="s">
        <v>139</v>
      </c>
      <c r="OJ52" s="36" t="s">
        <v>139</v>
      </c>
      <c r="OK52" s="36" t="s">
        <v>139</v>
      </c>
      <c r="OL52" s="36" t="s">
        <v>139</v>
      </c>
      <c r="OM52" s="36" t="s">
        <v>139</v>
      </c>
      <c r="ON52" s="36" t="s">
        <v>139</v>
      </c>
      <c r="OO52" s="36" t="s">
        <v>139</v>
      </c>
      <c r="OP52" s="36" t="s">
        <v>139</v>
      </c>
      <c r="OQ52" s="36" t="s">
        <v>139</v>
      </c>
      <c r="OR52" s="36" t="s">
        <v>139</v>
      </c>
      <c r="OS52" s="36" t="s">
        <v>139</v>
      </c>
      <c r="OT52" s="36" t="s">
        <v>139</v>
      </c>
      <c r="OU52" s="36" t="s">
        <v>139</v>
      </c>
      <c r="OV52" s="36" t="s">
        <v>139</v>
      </c>
      <c r="OW52" s="36" t="s">
        <v>139</v>
      </c>
      <c r="OX52" s="36" t="s">
        <v>139</v>
      </c>
      <c r="OY52" s="36" t="s">
        <v>139</v>
      </c>
      <c r="OZ52" s="36" t="s">
        <v>139</v>
      </c>
      <c r="PA52" s="36" t="s">
        <v>139</v>
      </c>
      <c r="PB52" s="36" t="s">
        <v>139</v>
      </c>
      <c r="PC52" s="36" t="s">
        <v>139</v>
      </c>
      <c r="PD52" s="36" t="s">
        <v>139</v>
      </c>
      <c r="PE52" s="36" t="s">
        <v>139</v>
      </c>
      <c r="PF52" s="36" t="s">
        <v>139</v>
      </c>
      <c r="PG52" s="36" t="s">
        <v>139</v>
      </c>
      <c r="PH52" s="36" t="s">
        <v>139</v>
      </c>
      <c r="PI52" s="36" t="s">
        <v>139</v>
      </c>
      <c r="PJ52" s="36" t="s">
        <v>139</v>
      </c>
      <c r="PK52" s="36" t="s">
        <v>139</v>
      </c>
      <c r="PL52" s="36" t="s">
        <v>139</v>
      </c>
      <c r="PM52" s="36" t="s">
        <v>139</v>
      </c>
      <c r="PN52" s="36" t="s">
        <v>139</v>
      </c>
      <c r="PO52" s="74">
        <f>COUNTIFS($C$27:$PN$27,("&lt;"&amp;$B$3),$C$27:$PN$27,("&gt;="&amp;$B$2),$C52:$PN52,TabAsistencias[[#Headers],[1]])</f>
        <v>30</v>
      </c>
      <c r="PP52" s="74">
        <f>COUNTIFS($C$27:$PN$27,("&lt;"&amp;$B$3),$C$27:$PN$27,("&gt;="&amp;$B$2),$C52:$PN52,TabAsistencias[[#Headers],[E]])</f>
        <v>0</v>
      </c>
      <c r="PQ52" s="74">
        <f>COUNTIFS($C$27:$PN$27,("&lt;"&amp;$B$3),$C$27:$PN$27,("&gt;="&amp;$B$2),$C52:$PN52,TabAsistencias[[#Headers],[DE]])</f>
        <v>0</v>
      </c>
      <c r="PR52" s="74">
        <f>COUNTIFS($C$27:$PN$27,("&lt;"&amp;$B$3),$C$27:$PN$27,("&gt;="&amp;$B$2),$C52:$PN52,TabAsistencias[[#Headers],[V]])</f>
        <v>0</v>
      </c>
      <c r="PS52" s="74">
        <f>COUNTIFS($C$27:$PN$27,("&lt;"&amp;$B$3),$C$27:$PN$27,("&gt;="&amp;$B$2),$C52:$PN52,TabAsistencias[[#Headers],[DO]])</f>
        <v>0</v>
      </c>
      <c r="PT52" s="74">
        <f>COUNTIFS($C$27:$PN$27,("&lt;"&amp;$B$3),$C$27:$PN$27,("&gt;="&amp;$B$2),$C52:$PN52,TabAsistencias[[#Headers],[P]])</f>
        <v>0</v>
      </c>
      <c r="PU52" s="74">
        <f>COUNTIFS($C$27:$PN$27,("&lt;"&amp;$B$3),$C$27:$PN$27,("&gt;="&amp;$B$2),$C52:$PN52,TabAsistencias[[#Headers],[F]])</f>
        <v>0</v>
      </c>
      <c r="PV52" s="74">
        <f>COUNTIFS($C$27:$PN$27,("&lt;"&amp;$B$3),$C$27:$PN$27,("&gt;="&amp;$B$2),$C52:$PN52,TabAsistencias[[#Headers],[R]])</f>
        <v>0</v>
      </c>
      <c r="PW52" s="74">
        <f>COUNTIFS($C$27:$PN$27,("&lt;"&amp;$B$3),$C$27:$PN$27,("&gt;="&amp;$B$2),$C52:$PN52,TabAsistencias[[#Headers],[PP]])</f>
        <v>0</v>
      </c>
      <c r="PX52" s="74">
        <f>COUNTIFS($C$27:$PN$27,("&lt;"&amp;$B$3),$C$27:$PN$27,("&gt;="&amp;$B$2),$C52:$PN52,TabAsistencias[[#Headers],[0]])</f>
        <v>0</v>
      </c>
      <c r="PY52" s="74">
        <f>COUNTIFS($C$27:$PN$27,("&lt;"&amp;$B$3),$C$27:$PN$27,("&gt;="&amp;$B$2),$C52:$PN52,TabAsistencias[[#Headers],[IG]])</f>
        <v>0</v>
      </c>
      <c r="PZ52" s="74">
        <f>COUNTIFS($C$27:$PN$27,("&lt;"&amp;$B$3),$C$27:$PN$27,("&gt;="&amp;$B$2),$C52:$PN52,TabAsistencias[[#Headers],[NA]])</f>
        <v>0</v>
      </c>
      <c r="QA52" s="74">
        <f>COUNTIFS($C$27:$PN$27,("&lt;"&amp;$B$3),$C$27:$PN$27,("&gt;="&amp;$B$2),$C52:$PN52,TabAsistencias[[#Headers],[DF]])</f>
        <v>0</v>
      </c>
      <c r="QB52" s="74">
        <f>COUNTIFS($C$27:$PN$27,("&lt;"&amp;$B$3),$C$27:$PN$27,("&gt;="&amp;$B$2),$C52:$PN52,TabAsistencias[[#Headers],[3]])</f>
        <v>0</v>
      </c>
      <c r="QC52" s="74">
        <f>COUNTIFS($C$27:$PN$27,("&lt;"&amp;$B$3),$C$27:$PN$27,("&gt;="&amp;$B$2),$C52:$PN52,TabAsistencias[[#Headers],[CP]])</f>
        <v>0</v>
      </c>
      <c r="QD52" s="74">
        <f>COUNTIFS($C$27:$PN$27,("&lt;"&amp;$B$3),$C$27:$PN$27,("&gt;="&amp;$B$2),$C52:$PN52,TabAsistencias[[#Headers],[I]])</f>
        <v>0</v>
      </c>
      <c r="QE52" s="74">
        <f>COUNTIFS($C$27:$PN$27,("&lt;"&amp;$B$3),$C$27:$PN$27,("&gt;="&amp;$B$2),$C52:$PN52,TabAsistencias[[#Headers],[T/2]])</f>
        <v>0</v>
      </c>
      <c r="QF52" s="74">
        <f>COUNTIFS($C$27:$PN$27,("&lt;"&amp;$B$3),$C$27:$PN$27,("&gt;="&amp;$B$2),$C52:$PN52,TabAsistencias[[#Headers],[ME]])</f>
        <v>0</v>
      </c>
      <c r="QG52" s="74">
        <f>COUNTIFS($C$27:$PN$27,("&lt;"&amp;$B$3),$C$27:$PN$27,("&gt;="&amp;$B$2),$C52:$PN52,TabAsistencias[[#Headers],[DP]])</f>
        <v>0</v>
      </c>
      <c r="QH52" s="74">
        <f>COUNTIFS($C$27:$PN$27,("&lt;"&amp;$B$3),$C$27:$PN$27,("&gt;="&amp;$B$2),$C52:$PN52,TabAsistencias[[#Headers],[B]])</f>
        <v>0</v>
      </c>
      <c r="QI52" s="74">
        <f>(TabAsistencias[[#This Row],[1]]*'Tablas de informacion'!$C$124)+(TabAsistencias[[#This Row],[E]]*'Tablas de informacion'!$C$125)+(TabAsistencias[[#This Row],[DE]]*'Tablas de informacion'!C$126)+(TabAsistencias[[#This Row],[V]]*'Tablas de informacion'!C$127)+(TabAsistencias[[#This Row],[DO]]*'Tablas de informacion'!C$128)+(TabAsistencias[[#This Row],[P]]*'Tablas de informacion'!C$129)+(TabAsistencias[[#This Row],[F]]*'Tablas de informacion'!C$130)+(TabAsistencias[[#This Row],[R]]*'Tablas de informacion'!C$131)+(TabAsistencias[[#This Row],[PP]]*'Tablas de informacion'!C$132)+(TabAsistencias[[#This Row],[0]]*'Tablas de informacion'!C$133)+(TabAsistencias[[#This Row],[IG]]*'Tablas de informacion'!C$134)+(TabAsistencias[[#This Row],[NA]]*'Tablas de informacion'!C$135)+(TabAsistencias[[#This Row],[DF]]*'Tablas de informacion'!C$136)+(TabAsistencias[[#This Row],[3]]*'Tablas de informacion'!C$137)+(TabAsistencias[[#This Row],[CP]]*'Tablas de informacion'!C$138)+(TabAsistencias[[#This Row],[I]]*'Tablas de informacion'!C$139)+(TabAsistencias[[#This Row],[T/2]]*'Tablas de informacion'!C$140)+(TabAsistencias[[#This Row],[ME]]*'Tablas de informacion'!C$141)+(TabAsistencias[[#This Row],[DP]]*'Tablas de informacion'!C$142)+(TabAsistencias[[#This Row],[B]]*'Tablas de informacion'!C$143)-INT(TabAsistencias[[#This Row],[R]]/3)</f>
        <v>30</v>
      </c>
      <c r="QJ52" s="74">
        <f>COUNTIFS($C$27:$PN$27,("&lt;"&amp;$B$3),$C$27:$PN$27,("&gt;="&amp;$B$2),$C$28:$PN$28,1,$C52:$PN52,TabAsistencias[[#Headers],[1]])+
COUNTIFS($C$27:$PN$27,("&lt;"&amp;$B$3),$C$27:$PN$27,("&gt;="&amp;$B$2),$C$28:$PN$28,1,$C52:$PN52,TabAsistencias[[#Headers],[DO]])+
COUNTIFS($C$27:$PN$27,("&lt;"&amp;$B$3),$C$27:$PN$27,("&gt;="&amp;$B$2),$C$28:$PN$28,1,$C52:$PN52,TabAsistencias[[#Headers],[R]])+
COUNTIFS($C$27:$PN$27,("&lt;"&amp;$B$3),$C$27:$PN$27,("&gt;="&amp;$B$2),$C$28:$PN$28,1,$C52:$PN52,TabAsistencias[[#Headers],[NA]])+
COUNTIFS($C$27:$PN$27,("&lt;"&amp;$B$3),$C$27:$PN$27,("&gt;="&amp;$B$2),$C$28:$PN$28,1,$C52:$PN52,TabAsistencias[[#Headers],[DF]])+
COUNTIFS($C$27:$PN$27,("&lt;"&amp;$B$3),$C$27:$PN$27,("&gt;="&amp;$B$2),$C$28:$PN$28,1,$C52:$PN52,TabAsistencias[[#Headers],[3]])+
COUNTIFS($C$27:$PN$27,("&lt;"&amp;$B$3),$C$27:$PN$27,("&gt;="&amp;$B$2),$C$28:$PN$28,1,$C52:$PN52,TabAsistencias[[#Headers],[CP]])+
COUNTIFS($C$27:$PN$27,("&lt;"&amp;$B$3),$C$27:$PN$27,("&gt;="&amp;$B$2),$C$28:$PN$28,1,$C52:$PN52,TabAsistencias[[#Headers],[T/2]])</f>
        <v>4</v>
      </c>
      <c r="QK52" s="315" cm="1">
        <f t="array" ref="QK52">IFERROR(VLOOKUP(
DATEDIF((VLOOKUP(TabAsistencias[[#This Row],[ID]],TabEmpleados[],COLUMN(TabEmpleados[Fecha de ingreso]),FALSE)),Asistencias!$B$3,"Y"),
TabFactorIntegracion[],COLUMN(TabFactorIntegracion[Días vacacionales
establecidos por ley]),FALSE),0)
-
COUNTIF($AH52:$PN52,TabAsistencias[[#Headers],[V]])</f>
        <v>12</v>
      </c>
      <c r="QL52" s="319">
        <f>SUM(TabAsistencias[[#This Row],[''1]],TabAsistencias[[#This Row],[''DE]],TabAsistencias[[#This Row],[''DO]],TabAsistencias[[#This Row],[''R]],TabAsistencias[[#This Row],[''NA]],TabAsistencias[[#This Row],[''DF]],TabAsistencias[[#This Row],[''3]],TabAsistencias[[#This Row],[''CP]],TabAsistencias[[#This Row],[''T/2]],TabAsistencias[[#This Row],[''DP]])</f>
        <v>73</v>
      </c>
      <c r="QM52" s="314">
        <f>COUNTIFS($C$27:$PN$27,("&lt;"&amp;$B$5),$C$27:$PN$27,("&gt;="&amp;$B$4),$C52:$PN52,TabAsistencias[[#Headers],[1]])</f>
        <v>73</v>
      </c>
      <c r="QN52" s="314">
        <f>COUNTIFS($C$27:$PN$27,("&lt;"&amp;$B$5),$C$27:$PN$27,("&gt;="&amp;$B$4),$C52:$PN52,TabAsistencias[[#Headers],[DE]])</f>
        <v>0</v>
      </c>
      <c r="QO52" s="314">
        <f>COUNTIFS($C$27:$PN$27,("&lt;"&amp;$B$5),$C$27:$PN$27,("&gt;="&amp;$B$4),$C52:$PN52,TabAsistencias[[#Headers],[V]])</f>
        <v>0</v>
      </c>
      <c r="QP52" s="314">
        <f>COUNTIFS($C$27:$PN$27,("&lt;"&amp;$B$5),$C$27:$PN$27,("&gt;="&amp;$B$4),$C52:$PN52,TabAsistencias[[#Headers],[DO]])</f>
        <v>0</v>
      </c>
      <c r="QQ52" s="314">
        <f>COUNTIFS($C$27:$PN$27,("&lt;"&amp;$B$5),$C$27:$PN$27,("&gt;="&amp;$B$4),$C52:$PN52,TabAsistencias[[#Headers],[P]])</f>
        <v>0</v>
      </c>
      <c r="QR52" s="314">
        <f>COUNTIFS($C$27:$PN$27,("&lt;"&amp;$B$5),$C$27:$PN$27,("&gt;="&amp;$B$4),$C52:$PN52,TabAsistencias[[#Headers],[F]])</f>
        <v>0</v>
      </c>
      <c r="QS52" s="314">
        <f>COUNTIFS($C$27:$PN$27,("&lt;"&amp;$B$5),$C$27:$PN$27,("&gt;="&amp;$B$4),$C52:$PN52,TabAsistencias[[#Headers],[R]])</f>
        <v>0</v>
      </c>
      <c r="QT52" s="314">
        <f>COUNTIFS($C$27:$PN$27,("&lt;"&amp;$B$5),$C$27:$PN$27,("&gt;="&amp;$B$4),$C52:$PN52,TabAsistencias[[#Headers],[PP]])</f>
        <v>0</v>
      </c>
      <c r="QU52" s="314">
        <f>COUNTIFS($C$27:$PN$27,("&lt;"&amp;$B$5),$C$27:$PN$27,("&gt;="&amp;$B$4),$C52:$PN52,TabAsistencias[[#Headers],[0]])</f>
        <v>0</v>
      </c>
      <c r="QV52" s="314">
        <f>COUNTIFS($C$27:$PN$27,("&lt;"&amp;$B$5),$C$27:$PN$27,("&gt;="&amp;$B$4),$C52:$PN52,TabAsistencias[[#Headers],[IG]])</f>
        <v>0</v>
      </c>
      <c r="QW52" s="314">
        <f>COUNTIFS($C$27:$PN$27,("&lt;"&amp;$B$5),$C$27:$PN$27,("&gt;="&amp;$B$4),$C52:$PN52,TabAsistencias[[#Headers],[NA]])</f>
        <v>0</v>
      </c>
      <c r="QX52" s="314">
        <f>COUNTIFS($C$27:$PN$27,("&lt;"&amp;$B$5),$C$27:$PN$27,("&gt;="&amp;$B$4),$C52:$PN52,TabAsistencias[[#Headers],[DF]])</f>
        <v>0</v>
      </c>
      <c r="QY52" s="314">
        <f>COUNTIFS($C$27:$PN$27,("&lt;"&amp;$B$5),$C$27:$PN$27,("&gt;="&amp;$B$4),$C52:$PN52,TabAsistencias[[#Headers],[3]])</f>
        <v>0</v>
      </c>
      <c r="QZ52" s="314">
        <f>COUNTIFS($C$27:$PN$27,("&lt;"&amp;$B$5),$C$27:$PN$27,("&gt;="&amp;$B$4),$C52:$PN52,TabAsistencias[[#Headers],[CP]])</f>
        <v>0</v>
      </c>
      <c r="RA52" s="314">
        <f>COUNTIFS($C$27:$PN$27,("&lt;"&amp;$B$5),$C$27:$PN$27,("&gt;="&amp;$B$4),$C52:$PN52,TabAsistencias[[#Headers],[I]])</f>
        <v>0</v>
      </c>
      <c r="RB52" s="314">
        <f>COUNTIFS($C$27:$PN$27,("&lt;"&amp;$B$5),$C$27:$PN$27,("&gt;="&amp;$B$4),$C52:$PN52,TabAsistencias[[#Headers],[T/2]])</f>
        <v>0</v>
      </c>
      <c r="RC52" s="314">
        <f>COUNTIFS($C$27:$PN$27,("&lt;"&amp;$B$5),$C$27:$PN$27,("&gt;="&amp;$B$4),$C52:$PN52,TabAsistencias[[#Headers],[ME]])</f>
        <v>0</v>
      </c>
      <c r="RD52" s="314">
        <f>COUNTIFS($C$27:$PN$27,("&lt;"&amp;$B$5),$C$27:$PN$27,("&gt;="&amp;$B$4),$C52:$PN52,TabAsistencias[[#Headers],[DP]])</f>
        <v>0</v>
      </c>
      <c r="RE52" s="314">
        <f>COUNTIFS($C$27:$PN$27,("&lt;"&amp;$B$5),$C$27:$PN$27,("&gt;="&amp;$B$4),$C52:$PN52,TabAsistencias[[#Headers],[B]])</f>
        <v>0</v>
      </c>
      <c r="RF52" s="314">
        <f>COUNTIFS($C$27:$PN$27,("&lt;"&amp;$B$5),$C$27:$PN$27,("&gt;="&amp;$B$4),$C$28:$PN$28,1,$C52:$PN52,TabAsistencias[[#Headers],[1]])+
COUNTIFS($C$27:$PN$27,("&lt;"&amp;$B$5),$C$27:$PN$27,("&gt;="&amp;$B$4),$C$28:$PN$28,1,$C52:$PN52,TabAsistencias[[#Headers],[DO]])+
COUNTIFS($C$27:$PN$27,("&lt;"&amp;$B$5),$C$27:$PN$27,("&gt;="&amp;$B$4),$C$28:$PN$28,1,$C52:$PN52,TabAsistencias[[#Headers],[R]])+
COUNTIFS($C$27:$PN$27,("&lt;"&amp;$B$5),$C$27:$PN$27,("&gt;="&amp;$B$4),$C$28:$PN$28,1,$C52:$PN52,TabAsistencias[[#Headers],[NA]])+
COUNTIFS($C$27:$PN$27,("&lt;"&amp;$B$5),$C$27:$PN$27,("&gt;="&amp;$B$4),$C$28:$PN$28,1,$C52:$PN52,TabAsistencias[[#Headers],[DF]])+
COUNTIFS($C$27:$PN$27,("&lt;"&amp;$B$5),$C$27:$PN$27,("&gt;="&amp;$B$4),$C$28:$PN$28,1,$C52:$PN52,TabAsistencias[[#Headers],[3]])+
COUNTIFS($C$27:$PN$27,("&lt;"&amp;$B$5),$C$27:$PN$27,("&gt;="&amp;$B$4),$C$28:$PN$28,1,$C52:$PN52,TabAsistencias[[#Headers],[CP]])+
COUNTIFS($C$27:$PN$27,("&lt;"&amp;$B$5),$C$27:$PN$27,("&gt;="&amp;$B$4),$C$28:$PN$28,1,$C52:$PN52,TabAsistencias[[#Headers],[T/2]])</f>
        <v>11</v>
      </c>
      <c r="RG52" s="320" cm="1">
        <f t="array" ref="RG52">IFERROR(VLOOKUP(
DATEDIF((VLOOKUP(TabAsistencias[[#This Row],[ID]],TabEmpleados[],COLUMN(TabEmpleados[Fecha de alta NSS]),FALSE)),Asistencias!$B$3,"Y"),
TabFactorIntegracion[],COLUMN(TabFactorIntegracion[Días vacacionales
establecidos por ley]),FALSE),0)
-
COUNTIF($AH52:$PN52,TabAsistencias[[#Headers],[V]])</f>
        <v>12</v>
      </c>
    </row>
    <row r="53" spans="1:475" x14ac:dyDescent="0.25">
      <c r="A53" s="92">
        <f t="shared" si="434"/>
        <v>23</v>
      </c>
      <c r="B53" s="30" t="str" cm="1">
        <f t="array" ref="B53">VLOOKUP(TabAsistencias[[#This Row],[ID]],TabEmpleados[],COLUMN(TabEmpleados[Nombre]),FALSE)</f>
        <v>CHAVEZ HERNANDEZ DIANA IRIS</v>
      </c>
      <c r="C53" s="36" t="s">
        <v>139</v>
      </c>
      <c r="D53" s="36" t="s">
        <v>139</v>
      </c>
      <c r="E53" s="36" t="s">
        <v>139</v>
      </c>
      <c r="F53" s="36" t="s">
        <v>139</v>
      </c>
      <c r="G53" s="36" t="s">
        <v>139</v>
      </c>
      <c r="H53" s="36" t="s">
        <v>139</v>
      </c>
      <c r="I53" s="36" t="s">
        <v>139</v>
      </c>
      <c r="J53" s="36" t="s">
        <v>139</v>
      </c>
      <c r="K53" s="36" t="s">
        <v>139</v>
      </c>
      <c r="L53" s="36" t="s">
        <v>139</v>
      </c>
      <c r="M53" s="36" t="s">
        <v>139</v>
      </c>
      <c r="N53" s="36" t="s">
        <v>139</v>
      </c>
      <c r="O53" s="36" t="s">
        <v>139</v>
      </c>
      <c r="P53" s="36" t="s">
        <v>139</v>
      </c>
      <c r="Q53" s="36" t="s">
        <v>139</v>
      </c>
      <c r="R53" s="36" t="s">
        <v>139</v>
      </c>
      <c r="S53" s="36" t="s">
        <v>139</v>
      </c>
      <c r="T53" s="36" t="s">
        <v>139</v>
      </c>
      <c r="U53" s="36" t="s">
        <v>139</v>
      </c>
      <c r="V53" s="36" t="s">
        <v>139</v>
      </c>
      <c r="W53" s="36" t="s">
        <v>139</v>
      </c>
      <c r="X53" s="36" t="s">
        <v>139</v>
      </c>
      <c r="Y53" s="36" t="s">
        <v>139</v>
      </c>
      <c r="Z53" s="36" t="s">
        <v>139</v>
      </c>
      <c r="AA53" s="36" t="s">
        <v>139</v>
      </c>
      <c r="AB53" s="36" t="s">
        <v>139</v>
      </c>
      <c r="AC53" s="36" t="s">
        <v>139</v>
      </c>
      <c r="AD53" s="36" t="s">
        <v>139</v>
      </c>
      <c r="AE53" s="36" t="s">
        <v>139</v>
      </c>
      <c r="AF53" s="36" t="s">
        <v>139</v>
      </c>
      <c r="AG53" s="36" t="s">
        <v>139</v>
      </c>
      <c r="AH53" s="36" t="s">
        <v>139</v>
      </c>
      <c r="AI53" s="36" t="s">
        <v>139</v>
      </c>
      <c r="AJ53" s="36" t="s">
        <v>139</v>
      </c>
      <c r="AK53" s="36" t="s">
        <v>139</v>
      </c>
      <c r="AL53" s="36" t="s">
        <v>139</v>
      </c>
      <c r="AM53" s="36" t="s">
        <v>139</v>
      </c>
      <c r="AN53" s="36" t="s">
        <v>139</v>
      </c>
      <c r="AO53" s="36" t="s">
        <v>139</v>
      </c>
      <c r="AP53" s="36" t="s">
        <v>139</v>
      </c>
      <c r="AQ53" s="36" t="s">
        <v>139</v>
      </c>
      <c r="AR53" s="36" t="s">
        <v>139</v>
      </c>
      <c r="AS53" s="36" t="s">
        <v>139</v>
      </c>
      <c r="AT53" s="36" t="s">
        <v>139</v>
      </c>
      <c r="AU53" s="36" t="s">
        <v>139</v>
      </c>
      <c r="AV53" s="36" t="s">
        <v>139</v>
      </c>
      <c r="AW53" s="36" t="s">
        <v>139</v>
      </c>
      <c r="AX53" s="36" t="s">
        <v>139</v>
      </c>
      <c r="AY53" s="36" t="s">
        <v>139</v>
      </c>
      <c r="AZ53" s="36" t="s">
        <v>139</v>
      </c>
      <c r="BA53" s="36" t="s">
        <v>139</v>
      </c>
      <c r="BB53" s="36" t="s">
        <v>139</v>
      </c>
      <c r="BC53" s="36" t="s">
        <v>139</v>
      </c>
      <c r="BD53" s="36" t="s">
        <v>139</v>
      </c>
      <c r="BE53" s="36" t="s">
        <v>139</v>
      </c>
      <c r="BF53" s="36" t="s">
        <v>139</v>
      </c>
      <c r="BG53" s="36" t="s">
        <v>139</v>
      </c>
      <c r="BH53" s="36" t="s">
        <v>139</v>
      </c>
      <c r="BI53" s="36" t="s">
        <v>139</v>
      </c>
      <c r="BJ53" s="36" t="s">
        <v>139</v>
      </c>
      <c r="BK53" s="36" t="s">
        <v>139</v>
      </c>
      <c r="BL53" s="36" t="s">
        <v>139</v>
      </c>
      <c r="BM53" s="36" t="s">
        <v>139</v>
      </c>
      <c r="BN53" s="36" t="s">
        <v>139</v>
      </c>
      <c r="BO53" s="36" t="s">
        <v>139</v>
      </c>
      <c r="BP53" s="36" t="s">
        <v>139</v>
      </c>
      <c r="BQ53" s="36" t="s">
        <v>139</v>
      </c>
      <c r="BR53" s="36" t="s">
        <v>139</v>
      </c>
      <c r="BS53" s="36" t="s">
        <v>139</v>
      </c>
      <c r="BT53" s="36" t="s">
        <v>139</v>
      </c>
      <c r="BU53" s="36" t="s">
        <v>139</v>
      </c>
      <c r="BV53" s="36" t="s">
        <v>139</v>
      </c>
      <c r="BW53" s="36" t="s">
        <v>139</v>
      </c>
      <c r="BX53" s="36" t="s">
        <v>139</v>
      </c>
      <c r="BY53" s="36" t="s">
        <v>139</v>
      </c>
      <c r="BZ53" s="36" t="s">
        <v>139</v>
      </c>
      <c r="CA53" s="36" t="s">
        <v>139</v>
      </c>
      <c r="CB53" s="36" t="s">
        <v>139</v>
      </c>
      <c r="CC53" s="36" t="s">
        <v>139</v>
      </c>
      <c r="CD53" s="36" t="s">
        <v>139</v>
      </c>
      <c r="CE53" s="36" t="s">
        <v>139</v>
      </c>
      <c r="CF53" s="36" t="s">
        <v>139</v>
      </c>
      <c r="CG53" s="36" t="s">
        <v>139</v>
      </c>
      <c r="CH53" s="36" t="s">
        <v>139</v>
      </c>
      <c r="CI53" s="36" t="s">
        <v>139</v>
      </c>
      <c r="CJ53" s="36" t="s">
        <v>139</v>
      </c>
      <c r="CK53" s="36" t="s">
        <v>139</v>
      </c>
      <c r="CL53" s="36" t="s">
        <v>139</v>
      </c>
      <c r="CM53" s="36" t="s">
        <v>139</v>
      </c>
      <c r="CN53" s="36" t="s">
        <v>139</v>
      </c>
      <c r="CO53" s="36" t="s">
        <v>139</v>
      </c>
      <c r="CP53" s="36" t="s">
        <v>139</v>
      </c>
      <c r="CQ53" s="36" t="s">
        <v>139</v>
      </c>
      <c r="CR53" s="36" t="s">
        <v>139</v>
      </c>
      <c r="CS53" s="36" t="s">
        <v>139</v>
      </c>
      <c r="CT53" s="36" t="s">
        <v>139</v>
      </c>
      <c r="CU53" s="36" t="s">
        <v>139</v>
      </c>
      <c r="CV53" s="36" t="s">
        <v>139</v>
      </c>
      <c r="CW53" s="36" t="s">
        <v>139</v>
      </c>
      <c r="CX53" s="36" t="s">
        <v>139</v>
      </c>
      <c r="CY53" s="36" t="s">
        <v>139</v>
      </c>
      <c r="CZ53" s="36" t="s">
        <v>139</v>
      </c>
      <c r="DA53" s="36" t="s">
        <v>139</v>
      </c>
      <c r="DB53" s="36" t="s">
        <v>139</v>
      </c>
      <c r="DC53" s="36" t="s">
        <v>139</v>
      </c>
      <c r="DD53" s="36" t="s">
        <v>139</v>
      </c>
      <c r="DE53" s="36" t="s">
        <v>139</v>
      </c>
      <c r="DF53" s="36" t="s">
        <v>139</v>
      </c>
      <c r="DG53" s="36" t="s">
        <v>139</v>
      </c>
      <c r="DH53" s="36" t="s">
        <v>139</v>
      </c>
      <c r="DI53" s="36" t="s">
        <v>139</v>
      </c>
      <c r="DJ53" s="36" t="s">
        <v>139</v>
      </c>
      <c r="DK53" s="36" t="s">
        <v>139</v>
      </c>
      <c r="DL53" s="36" t="s">
        <v>139</v>
      </c>
      <c r="DM53" s="36" t="s">
        <v>139</v>
      </c>
      <c r="DN53" s="36" t="s">
        <v>139</v>
      </c>
      <c r="DO53" s="36" t="s">
        <v>139</v>
      </c>
      <c r="DP53" s="36" t="s">
        <v>139</v>
      </c>
      <c r="DQ53" s="36" t="s">
        <v>139</v>
      </c>
      <c r="DR53" s="36" t="s">
        <v>139</v>
      </c>
      <c r="DS53" s="36" t="s">
        <v>139</v>
      </c>
      <c r="DT53" s="36" t="s">
        <v>139</v>
      </c>
      <c r="DU53" s="36" t="s">
        <v>139</v>
      </c>
      <c r="DV53" s="36" t="s">
        <v>139</v>
      </c>
      <c r="DW53" s="36" t="s">
        <v>139</v>
      </c>
      <c r="DX53" s="36" t="s">
        <v>139</v>
      </c>
      <c r="DY53" s="36" t="s">
        <v>139</v>
      </c>
      <c r="DZ53" s="36" t="s">
        <v>139</v>
      </c>
      <c r="EA53" s="36" t="s">
        <v>139</v>
      </c>
      <c r="EB53" s="36" t="s">
        <v>139</v>
      </c>
      <c r="EC53" s="36" t="s">
        <v>139</v>
      </c>
      <c r="ED53" s="36" t="s">
        <v>139</v>
      </c>
      <c r="EE53" s="36" t="s">
        <v>139</v>
      </c>
      <c r="EF53" s="36" t="s">
        <v>139</v>
      </c>
      <c r="EG53" s="36" t="s">
        <v>139</v>
      </c>
      <c r="EH53" s="36" t="s">
        <v>139</v>
      </c>
      <c r="EI53" s="36" t="s">
        <v>139</v>
      </c>
      <c r="EJ53" s="36" t="s">
        <v>139</v>
      </c>
      <c r="EK53" s="36" t="s">
        <v>139</v>
      </c>
      <c r="EL53" s="36" t="s">
        <v>139</v>
      </c>
      <c r="EM53" s="36" t="s">
        <v>139</v>
      </c>
      <c r="EN53" s="36" t="s">
        <v>139</v>
      </c>
      <c r="EO53" s="36" t="s">
        <v>139</v>
      </c>
      <c r="EP53" s="36" t="s">
        <v>139</v>
      </c>
      <c r="EQ53" s="36" t="s">
        <v>139</v>
      </c>
      <c r="ER53" s="36" t="s">
        <v>139</v>
      </c>
      <c r="ES53" s="36" t="s">
        <v>139</v>
      </c>
      <c r="ET53" s="36" t="s">
        <v>139</v>
      </c>
      <c r="EU53" s="36" t="s">
        <v>139</v>
      </c>
      <c r="EV53" s="36" t="s">
        <v>139</v>
      </c>
      <c r="EW53" s="36" t="s">
        <v>139</v>
      </c>
      <c r="EX53" s="36" t="s">
        <v>139</v>
      </c>
      <c r="EY53" s="36" t="s">
        <v>139</v>
      </c>
      <c r="EZ53" s="36" t="s">
        <v>139</v>
      </c>
      <c r="FA53" s="36" t="s">
        <v>139</v>
      </c>
      <c r="FB53" s="36" t="s">
        <v>139</v>
      </c>
      <c r="FC53" s="36" t="s">
        <v>139</v>
      </c>
      <c r="FD53" s="36" t="s">
        <v>139</v>
      </c>
      <c r="FE53" s="36" t="s">
        <v>139</v>
      </c>
      <c r="FF53" s="36" t="s">
        <v>139</v>
      </c>
      <c r="FG53" s="36" t="s">
        <v>139</v>
      </c>
      <c r="FH53" s="36" t="s">
        <v>139</v>
      </c>
      <c r="FI53" s="36" t="s">
        <v>139</v>
      </c>
      <c r="FJ53" s="36" t="s">
        <v>139</v>
      </c>
      <c r="FK53" s="36" t="s">
        <v>139</v>
      </c>
      <c r="FL53" s="36" t="s">
        <v>139</v>
      </c>
      <c r="FM53" s="36" t="s">
        <v>139</v>
      </c>
      <c r="FN53" s="36" t="s">
        <v>139</v>
      </c>
      <c r="FO53" s="36" t="s">
        <v>139</v>
      </c>
      <c r="FP53" s="36" t="s">
        <v>139</v>
      </c>
      <c r="FQ53" s="36" t="s">
        <v>139</v>
      </c>
      <c r="FR53" s="36" t="s">
        <v>139</v>
      </c>
      <c r="FS53" s="36" t="s">
        <v>139</v>
      </c>
      <c r="FT53" s="36" t="s">
        <v>139</v>
      </c>
      <c r="FU53" s="36" t="s">
        <v>139</v>
      </c>
      <c r="FV53" s="36" t="s">
        <v>139</v>
      </c>
      <c r="FW53" s="36" t="s">
        <v>139</v>
      </c>
      <c r="FX53" s="36" t="s">
        <v>139</v>
      </c>
      <c r="FY53" s="36" t="s">
        <v>139</v>
      </c>
      <c r="FZ53" s="36" t="s">
        <v>139</v>
      </c>
      <c r="GA53" s="36" t="s">
        <v>139</v>
      </c>
      <c r="GB53" s="36" t="s">
        <v>139</v>
      </c>
      <c r="GC53" s="36" t="s">
        <v>139</v>
      </c>
      <c r="GD53" s="36" t="s">
        <v>139</v>
      </c>
      <c r="GE53" s="36" t="s">
        <v>139</v>
      </c>
      <c r="GF53" s="36" t="s">
        <v>139</v>
      </c>
      <c r="GG53" s="36" t="s">
        <v>139</v>
      </c>
      <c r="GH53" s="36" t="s">
        <v>139</v>
      </c>
      <c r="GI53" s="36" t="s">
        <v>139</v>
      </c>
      <c r="GJ53" s="36" t="s">
        <v>139</v>
      </c>
      <c r="GK53" s="36" t="s">
        <v>139</v>
      </c>
      <c r="GL53" s="36" t="s">
        <v>139</v>
      </c>
      <c r="GM53" s="36" t="s">
        <v>139</v>
      </c>
      <c r="GN53" s="36" t="s">
        <v>139</v>
      </c>
      <c r="GO53" s="36" t="s">
        <v>139</v>
      </c>
      <c r="GP53" s="36" t="s">
        <v>139</v>
      </c>
      <c r="GQ53" s="36" t="s">
        <v>139</v>
      </c>
      <c r="GR53" s="36" t="s">
        <v>139</v>
      </c>
      <c r="GS53" s="36" t="s">
        <v>139</v>
      </c>
      <c r="GT53" s="36" t="s">
        <v>139</v>
      </c>
      <c r="GU53" s="36" t="s">
        <v>139</v>
      </c>
      <c r="GV53" s="36" t="s">
        <v>139</v>
      </c>
      <c r="GW53" s="36" t="s">
        <v>139</v>
      </c>
      <c r="GX53" s="36" t="s">
        <v>139</v>
      </c>
      <c r="GY53" s="36" t="s">
        <v>139</v>
      </c>
      <c r="GZ53" s="36" t="s">
        <v>139</v>
      </c>
      <c r="HA53" s="36" t="s">
        <v>139</v>
      </c>
      <c r="HB53" s="36" t="s">
        <v>139</v>
      </c>
      <c r="HC53" s="36" t="s">
        <v>139</v>
      </c>
      <c r="HD53" s="36" t="s">
        <v>139</v>
      </c>
      <c r="HE53" s="36" t="s">
        <v>139</v>
      </c>
      <c r="HF53" s="36" t="s">
        <v>139</v>
      </c>
      <c r="HG53" s="36" t="s">
        <v>139</v>
      </c>
      <c r="HH53" s="36" t="s">
        <v>139</v>
      </c>
      <c r="HI53" s="36" t="s">
        <v>139</v>
      </c>
      <c r="HJ53" s="36" t="s">
        <v>139</v>
      </c>
      <c r="HK53" s="36" t="s">
        <v>139</v>
      </c>
      <c r="HL53" s="36" t="s">
        <v>139</v>
      </c>
      <c r="HM53" s="36" t="s">
        <v>139</v>
      </c>
      <c r="HN53" s="36" t="s">
        <v>139</v>
      </c>
      <c r="HO53" s="36" t="s">
        <v>139</v>
      </c>
      <c r="HP53" s="36" t="s">
        <v>139</v>
      </c>
      <c r="HQ53" s="36" t="s">
        <v>139</v>
      </c>
      <c r="HR53" s="36" t="s">
        <v>139</v>
      </c>
      <c r="HS53" s="36" t="s">
        <v>139</v>
      </c>
      <c r="HT53" s="36" t="s">
        <v>139</v>
      </c>
      <c r="HU53" s="36" t="s">
        <v>139</v>
      </c>
      <c r="HV53" s="36" t="s">
        <v>139</v>
      </c>
      <c r="HW53" s="36" t="s">
        <v>139</v>
      </c>
      <c r="HX53" s="36" t="s">
        <v>139</v>
      </c>
      <c r="HY53" s="36" t="s">
        <v>139</v>
      </c>
      <c r="HZ53" s="36" t="s">
        <v>139</v>
      </c>
      <c r="IA53" s="36" t="s">
        <v>139</v>
      </c>
      <c r="IB53" s="36" t="s">
        <v>139</v>
      </c>
      <c r="IC53" s="36" t="s">
        <v>139</v>
      </c>
      <c r="ID53" s="36" t="s">
        <v>139</v>
      </c>
      <c r="IE53" s="36" t="s">
        <v>139</v>
      </c>
      <c r="IF53" s="36" t="s">
        <v>139</v>
      </c>
      <c r="IG53" s="36" t="s">
        <v>139</v>
      </c>
      <c r="IH53" s="36" t="s">
        <v>139</v>
      </c>
      <c r="II53" s="36" t="s">
        <v>139</v>
      </c>
      <c r="IJ53" s="36" t="s">
        <v>139</v>
      </c>
      <c r="IK53" s="36" t="s">
        <v>139</v>
      </c>
      <c r="IL53" s="36" t="s">
        <v>139</v>
      </c>
      <c r="IM53" s="36" t="s">
        <v>139</v>
      </c>
      <c r="IN53" s="36" t="s">
        <v>139</v>
      </c>
      <c r="IO53" s="36" t="s">
        <v>139</v>
      </c>
      <c r="IP53" s="36" t="s">
        <v>139</v>
      </c>
      <c r="IQ53" s="36" t="s">
        <v>139</v>
      </c>
      <c r="IR53" s="36" t="s">
        <v>139</v>
      </c>
      <c r="IS53" s="36" t="s">
        <v>139</v>
      </c>
      <c r="IT53" s="36" t="s">
        <v>139</v>
      </c>
      <c r="IU53" s="36" t="s">
        <v>139</v>
      </c>
      <c r="IV53" s="36" t="s">
        <v>139</v>
      </c>
      <c r="IW53" s="36" t="s">
        <v>139</v>
      </c>
      <c r="IX53" s="36" t="s">
        <v>139</v>
      </c>
      <c r="IY53" s="36" t="s">
        <v>139</v>
      </c>
      <c r="IZ53" s="36" t="s">
        <v>139</v>
      </c>
      <c r="JA53" s="36" t="s">
        <v>139</v>
      </c>
      <c r="JB53" s="36" t="s">
        <v>139</v>
      </c>
      <c r="JC53" s="36" t="s">
        <v>139</v>
      </c>
      <c r="JD53" s="36" t="s">
        <v>139</v>
      </c>
      <c r="JE53" s="36" t="s">
        <v>139</v>
      </c>
      <c r="JF53" s="36" t="s">
        <v>139</v>
      </c>
      <c r="JG53" s="36" t="s">
        <v>139</v>
      </c>
      <c r="JH53" s="36" t="s">
        <v>139</v>
      </c>
      <c r="JI53" s="36" t="s">
        <v>139</v>
      </c>
      <c r="JJ53" s="36" t="s">
        <v>139</v>
      </c>
      <c r="JK53" s="36" t="s">
        <v>139</v>
      </c>
      <c r="JL53" s="36" t="s">
        <v>139</v>
      </c>
      <c r="JM53" s="36" t="s">
        <v>139</v>
      </c>
      <c r="JN53" s="36" t="s">
        <v>139</v>
      </c>
      <c r="JO53" s="36" t="s">
        <v>139</v>
      </c>
      <c r="JP53" s="36" t="s">
        <v>139</v>
      </c>
      <c r="JQ53" s="36" t="s">
        <v>139</v>
      </c>
      <c r="JR53" s="36" t="s">
        <v>139</v>
      </c>
      <c r="JS53" s="36" t="s">
        <v>139</v>
      </c>
      <c r="JT53" s="36" t="s">
        <v>139</v>
      </c>
      <c r="JU53" s="36" t="s">
        <v>139</v>
      </c>
      <c r="JV53" s="36" t="s">
        <v>139</v>
      </c>
      <c r="JW53" s="36" t="s">
        <v>139</v>
      </c>
      <c r="JX53" s="36" t="s">
        <v>139</v>
      </c>
      <c r="JY53" s="36" t="s">
        <v>139</v>
      </c>
      <c r="JZ53" s="36" t="s">
        <v>139</v>
      </c>
      <c r="KA53" s="36" t="s">
        <v>139</v>
      </c>
      <c r="KB53" s="36" t="s">
        <v>139</v>
      </c>
      <c r="KC53" s="36" t="s">
        <v>139</v>
      </c>
      <c r="KD53" s="36" t="s">
        <v>139</v>
      </c>
      <c r="KE53" s="36" t="s">
        <v>139</v>
      </c>
      <c r="KF53" s="36" t="s">
        <v>139</v>
      </c>
      <c r="KG53" s="36" t="s">
        <v>139</v>
      </c>
      <c r="KH53" s="36" t="s">
        <v>139</v>
      </c>
      <c r="KI53" s="36" t="s">
        <v>139</v>
      </c>
      <c r="KJ53" s="36" t="s">
        <v>139</v>
      </c>
      <c r="KK53" s="36" t="s">
        <v>139</v>
      </c>
      <c r="KL53" s="36" t="s">
        <v>139</v>
      </c>
      <c r="KM53" s="36" t="s">
        <v>139</v>
      </c>
      <c r="KN53" s="36" t="s">
        <v>139</v>
      </c>
      <c r="KO53" s="36" t="s">
        <v>139</v>
      </c>
      <c r="KP53" s="36" t="s">
        <v>139</v>
      </c>
      <c r="KQ53" s="36" t="s">
        <v>139</v>
      </c>
      <c r="KR53" s="36" t="s">
        <v>139</v>
      </c>
      <c r="KS53" s="36" t="s">
        <v>139</v>
      </c>
      <c r="KT53" s="36" t="s">
        <v>139</v>
      </c>
      <c r="KU53" s="36" t="s">
        <v>139</v>
      </c>
      <c r="KV53" s="36" t="s">
        <v>139</v>
      </c>
      <c r="KW53" s="36" t="s">
        <v>139</v>
      </c>
      <c r="KX53" s="36" t="s">
        <v>139</v>
      </c>
      <c r="KY53" s="36" t="s">
        <v>139</v>
      </c>
      <c r="KZ53" s="36" t="s">
        <v>139</v>
      </c>
      <c r="LA53" s="36" t="s">
        <v>139</v>
      </c>
      <c r="LB53" s="36" t="s">
        <v>139</v>
      </c>
      <c r="LC53" s="36" t="s">
        <v>139</v>
      </c>
      <c r="LD53" s="36" t="s">
        <v>139</v>
      </c>
      <c r="LE53" s="36" t="s">
        <v>139</v>
      </c>
      <c r="LF53" s="36" t="s">
        <v>139</v>
      </c>
      <c r="LG53" s="36" t="s">
        <v>139</v>
      </c>
      <c r="LH53" s="36" t="s">
        <v>139</v>
      </c>
      <c r="LI53" s="36" t="s">
        <v>139</v>
      </c>
      <c r="LJ53" s="36" t="s">
        <v>139</v>
      </c>
      <c r="LK53" s="36" t="s">
        <v>139</v>
      </c>
      <c r="LL53" s="36" t="s">
        <v>139</v>
      </c>
      <c r="LM53" s="36" t="s">
        <v>139</v>
      </c>
      <c r="LN53" s="36" t="s">
        <v>139</v>
      </c>
      <c r="LO53" s="36" t="s">
        <v>139</v>
      </c>
      <c r="LP53" s="36" t="s">
        <v>139</v>
      </c>
      <c r="LQ53" s="36" t="s">
        <v>139</v>
      </c>
      <c r="LR53" s="36" t="s">
        <v>139</v>
      </c>
      <c r="LS53" s="36" t="s">
        <v>139</v>
      </c>
      <c r="LT53" s="36" t="s">
        <v>139</v>
      </c>
      <c r="LU53" s="36" t="s">
        <v>139</v>
      </c>
      <c r="LV53" s="36" t="s">
        <v>139</v>
      </c>
      <c r="LW53" s="36" t="s">
        <v>139</v>
      </c>
      <c r="LX53" s="36" t="s">
        <v>139</v>
      </c>
      <c r="LY53" s="36" t="s">
        <v>139</v>
      </c>
      <c r="LZ53" s="36" t="s">
        <v>139</v>
      </c>
      <c r="MA53" s="36" t="s">
        <v>139</v>
      </c>
      <c r="MB53" s="36" t="s">
        <v>139</v>
      </c>
      <c r="MC53" s="36" t="s">
        <v>139</v>
      </c>
      <c r="MD53" s="36" t="s">
        <v>139</v>
      </c>
      <c r="ME53" s="36" t="s">
        <v>139</v>
      </c>
      <c r="MF53" s="36" t="s">
        <v>139</v>
      </c>
      <c r="MG53" s="36" t="s">
        <v>139</v>
      </c>
      <c r="MH53" s="36" t="s">
        <v>139</v>
      </c>
      <c r="MI53" s="36" t="s">
        <v>139</v>
      </c>
      <c r="MJ53" s="36" t="s">
        <v>139</v>
      </c>
      <c r="MK53" s="36" t="s">
        <v>139</v>
      </c>
      <c r="ML53" s="36" t="s">
        <v>139</v>
      </c>
      <c r="MM53" s="36" t="s">
        <v>139</v>
      </c>
      <c r="MN53" s="36" t="s">
        <v>139</v>
      </c>
      <c r="MO53" s="36" t="s">
        <v>139</v>
      </c>
      <c r="MP53" s="36" t="s">
        <v>139</v>
      </c>
      <c r="MQ53" s="36" t="s">
        <v>139</v>
      </c>
      <c r="MR53" s="36" t="s">
        <v>139</v>
      </c>
      <c r="MS53" s="36" t="s">
        <v>139</v>
      </c>
      <c r="MT53" s="36" t="s">
        <v>139</v>
      </c>
      <c r="MU53" s="36" t="s">
        <v>139</v>
      </c>
      <c r="MV53" s="36" t="s">
        <v>139</v>
      </c>
      <c r="MW53" s="36" t="s">
        <v>139</v>
      </c>
      <c r="MX53" s="36" t="s">
        <v>139</v>
      </c>
      <c r="MY53" s="36" t="s">
        <v>139</v>
      </c>
      <c r="MZ53" s="36" t="s">
        <v>139</v>
      </c>
      <c r="NA53" s="36" t="s">
        <v>139</v>
      </c>
      <c r="NB53" s="36" t="s">
        <v>139</v>
      </c>
      <c r="NC53" s="36" t="s">
        <v>139</v>
      </c>
      <c r="ND53" s="36" t="s">
        <v>139</v>
      </c>
      <c r="NE53" s="36" t="s">
        <v>139</v>
      </c>
      <c r="NF53" s="36" t="s">
        <v>139</v>
      </c>
      <c r="NG53" s="36" t="s">
        <v>139</v>
      </c>
      <c r="NH53" s="36" t="s">
        <v>139</v>
      </c>
      <c r="NI53" s="36" t="s">
        <v>139</v>
      </c>
      <c r="NJ53" s="36" t="s">
        <v>139</v>
      </c>
      <c r="NK53" s="36" t="s">
        <v>139</v>
      </c>
      <c r="NL53" s="36" t="s">
        <v>139</v>
      </c>
      <c r="NM53" s="36" t="s">
        <v>139</v>
      </c>
      <c r="NN53" s="36" t="s">
        <v>139</v>
      </c>
      <c r="NO53" s="36" t="s">
        <v>139</v>
      </c>
      <c r="NP53" s="36" t="s">
        <v>139</v>
      </c>
      <c r="NQ53" s="36" t="s">
        <v>139</v>
      </c>
      <c r="NR53" s="36" t="s">
        <v>139</v>
      </c>
      <c r="NS53" s="36" t="s">
        <v>139</v>
      </c>
      <c r="NT53" s="36" t="s">
        <v>139</v>
      </c>
      <c r="NU53" s="36" t="s">
        <v>139</v>
      </c>
      <c r="NV53" s="36" t="s">
        <v>139</v>
      </c>
      <c r="NW53" s="36" t="s">
        <v>139</v>
      </c>
      <c r="NX53" s="36" t="s">
        <v>139</v>
      </c>
      <c r="NY53" s="36" t="s">
        <v>139</v>
      </c>
      <c r="NZ53" s="36" t="s">
        <v>139</v>
      </c>
      <c r="OA53" s="36" t="s">
        <v>139</v>
      </c>
      <c r="OB53" s="36" t="s">
        <v>139</v>
      </c>
      <c r="OC53" s="36" t="s">
        <v>139</v>
      </c>
      <c r="OD53" s="36" t="s">
        <v>139</v>
      </c>
      <c r="OE53" s="36" t="s">
        <v>139</v>
      </c>
      <c r="OF53" s="36" t="s">
        <v>139</v>
      </c>
      <c r="OG53" s="36" t="s">
        <v>139</v>
      </c>
      <c r="OH53" s="36" t="s">
        <v>139</v>
      </c>
      <c r="OI53" s="36" t="s">
        <v>139</v>
      </c>
      <c r="OJ53" s="36" t="s">
        <v>139</v>
      </c>
      <c r="OK53" s="36" t="s">
        <v>139</v>
      </c>
      <c r="OL53" s="36" t="s">
        <v>139</v>
      </c>
      <c r="OM53" s="36" t="s">
        <v>139</v>
      </c>
      <c r="ON53" s="36" t="s">
        <v>139</v>
      </c>
      <c r="OO53" s="36" t="s">
        <v>139</v>
      </c>
      <c r="OP53" s="36" t="s">
        <v>139</v>
      </c>
      <c r="OQ53" s="36" t="s">
        <v>139</v>
      </c>
      <c r="OR53" s="36" t="s">
        <v>139</v>
      </c>
      <c r="OS53" s="36" t="s">
        <v>139</v>
      </c>
      <c r="OT53" s="36" t="s">
        <v>139</v>
      </c>
      <c r="OU53" s="36" t="s">
        <v>139</v>
      </c>
      <c r="OV53" s="36" t="s">
        <v>139</v>
      </c>
      <c r="OW53" s="36" t="s">
        <v>139</v>
      </c>
      <c r="OX53" s="36" t="s">
        <v>139</v>
      </c>
      <c r="OY53" s="36" t="s">
        <v>139</v>
      </c>
      <c r="OZ53" s="36" t="s">
        <v>139</v>
      </c>
      <c r="PA53" s="36" t="s">
        <v>139</v>
      </c>
      <c r="PB53" s="36" t="s">
        <v>139</v>
      </c>
      <c r="PC53" s="36" t="s">
        <v>139</v>
      </c>
      <c r="PD53" s="36" t="s">
        <v>139</v>
      </c>
      <c r="PE53" s="36" t="s">
        <v>139</v>
      </c>
      <c r="PF53" s="36" t="s">
        <v>139</v>
      </c>
      <c r="PG53" s="36" t="s">
        <v>139</v>
      </c>
      <c r="PH53" s="36" t="s">
        <v>139</v>
      </c>
      <c r="PI53" s="36" t="s">
        <v>139</v>
      </c>
      <c r="PJ53" s="36" t="s">
        <v>139</v>
      </c>
      <c r="PK53" s="36" t="s">
        <v>139</v>
      </c>
      <c r="PL53" s="36" t="s">
        <v>139</v>
      </c>
      <c r="PM53" s="36" t="s">
        <v>139</v>
      </c>
      <c r="PN53" s="36" t="s">
        <v>139</v>
      </c>
      <c r="PO53" s="74">
        <f>COUNTIFS($C$27:$PN$27,("&lt;"&amp;$B$3),$C$27:$PN$27,("&gt;="&amp;$B$2),$C53:$PN53,TabAsistencias[[#Headers],[1]])</f>
        <v>30</v>
      </c>
      <c r="PP53" s="74">
        <f>COUNTIFS($C$27:$PN$27,("&lt;"&amp;$B$3),$C$27:$PN$27,("&gt;="&amp;$B$2),$C53:$PN53,TabAsistencias[[#Headers],[E]])</f>
        <v>0</v>
      </c>
      <c r="PQ53" s="74">
        <f>COUNTIFS($C$27:$PN$27,("&lt;"&amp;$B$3),$C$27:$PN$27,("&gt;="&amp;$B$2),$C53:$PN53,TabAsistencias[[#Headers],[DE]])</f>
        <v>0</v>
      </c>
      <c r="PR53" s="74">
        <f>COUNTIFS($C$27:$PN$27,("&lt;"&amp;$B$3),$C$27:$PN$27,("&gt;="&amp;$B$2),$C53:$PN53,TabAsistencias[[#Headers],[V]])</f>
        <v>0</v>
      </c>
      <c r="PS53" s="74">
        <f>COUNTIFS($C$27:$PN$27,("&lt;"&amp;$B$3),$C$27:$PN$27,("&gt;="&amp;$B$2),$C53:$PN53,TabAsistencias[[#Headers],[DO]])</f>
        <v>0</v>
      </c>
      <c r="PT53" s="74">
        <f>COUNTIFS($C$27:$PN$27,("&lt;"&amp;$B$3),$C$27:$PN$27,("&gt;="&amp;$B$2),$C53:$PN53,TabAsistencias[[#Headers],[P]])</f>
        <v>0</v>
      </c>
      <c r="PU53" s="74">
        <f>COUNTIFS($C$27:$PN$27,("&lt;"&amp;$B$3),$C$27:$PN$27,("&gt;="&amp;$B$2),$C53:$PN53,TabAsistencias[[#Headers],[F]])</f>
        <v>0</v>
      </c>
      <c r="PV53" s="74">
        <f>COUNTIFS($C$27:$PN$27,("&lt;"&amp;$B$3),$C$27:$PN$27,("&gt;="&amp;$B$2),$C53:$PN53,TabAsistencias[[#Headers],[R]])</f>
        <v>0</v>
      </c>
      <c r="PW53" s="74">
        <f>COUNTIFS($C$27:$PN$27,("&lt;"&amp;$B$3),$C$27:$PN$27,("&gt;="&amp;$B$2),$C53:$PN53,TabAsistencias[[#Headers],[PP]])</f>
        <v>0</v>
      </c>
      <c r="PX53" s="74">
        <f>COUNTIFS($C$27:$PN$27,("&lt;"&amp;$B$3),$C$27:$PN$27,("&gt;="&amp;$B$2),$C53:$PN53,TabAsistencias[[#Headers],[0]])</f>
        <v>0</v>
      </c>
      <c r="PY53" s="74">
        <f>COUNTIFS($C$27:$PN$27,("&lt;"&amp;$B$3),$C$27:$PN$27,("&gt;="&amp;$B$2),$C53:$PN53,TabAsistencias[[#Headers],[IG]])</f>
        <v>0</v>
      </c>
      <c r="PZ53" s="74">
        <f>COUNTIFS($C$27:$PN$27,("&lt;"&amp;$B$3),$C$27:$PN$27,("&gt;="&amp;$B$2),$C53:$PN53,TabAsistencias[[#Headers],[NA]])</f>
        <v>0</v>
      </c>
      <c r="QA53" s="74">
        <f>COUNTIFS($C$27:$PN$27,("&lt;"&amp;$B$3),$C$27:$PN$27,("&gt;="&amp;$B$2),$C53:$PN53,TabAsistencias[[#Headers],[DF]])</f>
        <v>0</v>
      </c>
      <c r="QB53" s="74">
        <f>COUNTIFS($C$27:$PN$27,("&lt;"&amp;$B$3),$C$27:$PN$27,("&gt;="&amp;$B$2),$C53:$PN53,TabAsistencias[[#Headers],[3]])</f>
        <v>0</v>
      </c>
      <c r="QC53" s="74">
        <f>COUNTIFS($C$27:$PN$27,("&lt;"&amp;$B$3),$C$27:$PN$27,("&gt;="&amp;$B$2),$C53:$PN53,TabAsistencias[[#Headers],[CP]])</f>
        <v>0</v>
      </c>
      <c r="QD53" s="74">
        <f>COUNTIFS($C$27:$PN$27,("&lt;"&amp;$B$3),$C$27:$PN$27,("&gt;="&amp;$B$2),$C53:$PN53,TabAsistencias[[#Headers],[I]])</f>
        <v>0</v>
      </c>
      <c r="QE53" s="74">
        <f>COUNTIFS($C$27:$PN$27,("&lt;"&amp;$B$3),$C$27:$PN$27,("&gt;="&amp;$B$2),$C53:$PN53,TabAsistencias[[#Headers],[T/2]])</f>
        <v>0</v>
      </c>
      <c r="QF53" s="74">
        <f>COUNTIFS($C$27:$PN$27,("&lt;"&amp;$B$3),$C$27:$PN$27,("&gt;="&amp;$B$2),$C53:$PN53,TabAsistencias[[#Headers],[ME]])</f>
        <v>0</v>
      </c>
      <c r="QG53" s="74">
        <f>COUNTIFS($C$27:$PN$27,("&lt;"&amp;$B$3),$C$27:$PN$27,("&gt;="&amp;$B$2),$C53:$PN53,TabAsistencias[[#Headers],[DP]])</f>
        <v>0</v>
      </c>
      <c r="QH53" s="74">
        <f>COUNTIFS($C$27:$PN$27,("&lt;"&amp;$B$3),$C$27:$PN$27,("&gt;="&amp;$B$2),$C53:$PN53,TabAsistencias[[#Headers],[B]])</f>
        <v>0</v>
      </c>
      <c r="QI53" s="74">
        <f>(TabAsistencias[[#This Row],[1]]*'Tablas de informacion'!$C$124)+(TabAsistencias[[#This Row],[E]]*'Tablas de informacion'!$C$125)+(TabAsistencias[[#This Row],[DE]]*'Tablas de informacion'!C$126)+(TabAsistencias[[#This Row],[V]]*'Tablas de informacion'!C$127)+(TabAsistencias[[#This Row],[DO]]*'Tablas de informacion'!C$128)+(TabAsistencias[[#This Row],[P]]*'Tablas de informacion'!C$129)+(TabAsistencias[[#This Row],[F]]*'Tablas de informacion'!C$130)+(TabAsistencias[[#This Row],[R]]*'Tablas de informacion'!C$131)+(TabAsistencias[[#This Row],[PP]]*'Tablas de informacion'!C$132)+(TabAsistencias[[#This Row],[0]]*'Tablas de informacion'!C$133)+(TabAsistencias[[#This Row],[IG]]*'Tablas de informacion'!C$134)+(TabAsistencias[[#This Row],[NA]]*'Tablas de informacion'!C$135)+(TabAsistencias[[#This Row],[DF]]*'Tablas de informacion'!C$136)+(TabAsistencias[[#This Row],[3]]*'Tablas de informacion'!C$137)+(TabAsistencias[[#This Row],[CP]]*'Tablas de informacion'!C$138)+(TabAsistencias[[#This Row],[I]]*'Tablas de informacion'!C$139)+(TabAsistencias[[#This Row],[T/2]]*'Tablas de informacion'!C$140)+(TabAsistencias[[#This Row],[ME]]*'Tablas de informacion'!C$141)+(TabAsistencias[[#This Row],[DP]]*'Tablas de informacion'!C$142)+(TabAsistencias[[#This Row],[B]]*'Tablas de informacion'!C$143)-INT(TabAsistencias[[#This Row],[R]]/3)</f>
        <v>30</v>
      </c>
      <c r="QJ53" s="74">
        <f>COUNTIFS($C$27:$PN$27,("&lt;"&amp;$B$3),$C$27:$PN$27,("&gt;="&amp;$B$2),$C$28:$PN$28,1,$C53:$PN53,TabAsistencias[[#Headers],[1]])+
COUNTIFS($C$27:$PN$27,("&lt;"&amp;$B$3),$C$27:$PN$27,("&gt;="&amp;$B$2),$C$28:$PN$28,1,$C53:$PN53,TabAsistencias[[#Headers],[DO]])+
COUNTIFS($C$27:$PN$27,("&lt;"&amp;$B$3),$C$27:$PN$27,("&gt;="&amp;$B$2),$C$28:$PN$28,1,$C53:$PN53,TabAsistencias[[#Headers],[R]])+
COUNTIFS($C$27:$PN$27,("&lt;"&amp;$B$3),$C$27:$PN$27,("&gt;="&amp;$B$2),$C$28:$PN$28,1,$C53:$PN53,TabAsistencias[[#Headers],[NA]])+
COUNTIFS($C$27:$PN$27,("&lt;"&amp;$B$3),$C$27:$PN$27,("&gt;="&amp;$B$2),$C$28:$PN$28,1,$C53:$PN53,TabAsistencias[[#Headers],[DF]])+
COUNTIFS($C$27:$PN$27,("&lt;"&amp;$B$3),$C$27:$PN$27,("&gt;="&amp;$B$2),$C$28:$PN$28,1,$C53:$PN53,TabAsistencias[[#Headers],[3]])+
COUNTIFS($C$27:$PN$27,("&lt;"&amp;$B$3),$C$27:$PN$27,("&gt;="&amp;$B$2),$C$28:$PN$28,1,$C53:$PN53,TabAsistencias[[#Headers],[CP]])+
COUNTIFS($C$27:$PN$27,("&lt;"&amp;$B$3),$C$27:$PN$27,("&gt;="&amp;$B$2),$C$28:$PN$28,1,$C53:$PN53,TabAsistencias[[#Headers],[T/2]])</f>
        <v>4</v>
      </c>
      <c r="QK53" s="315" cm="1">
        <f t="array" ref="QK53">IFERROR(VLOOKUP(
DATEDIF((VLOOKUP(TabAsistencias[[#This Row],[ID]],TabEmpleados[],COLUMN(TabEmpleados[Fecha de ingreso]),FALSE)),Asistencias!$B$3,"Y"),
TabFactorIntegracion[],COLUMN(TabFactorIntegracion[Días vacacionales
establecidos por ley]),FALSE),0)
-
COUNTIF($AH53:$PN53,TabAsistencias[[#Headers],[V]])</f>
        <v>12</v>
      </c>
      <c r="QL53" s="319">
        <f>SUM(TabAsistencias[[#This Row],[''1]],TabAsistencias[[#This Row],[''DE]],TabAsistencias[[#This Row],[''DO]],TabAsistencias[[#This Row],[''R]],TabAsistencias[[#This Row],[''NA]],TabAsistencias[[#This Row],[''DF]],TabAsistencias[[#This Row],[''3]],TabAsistencias[[#This Row],[''CP]],TabAsistencias[[#This Row],[''T/2]],TabAsistencias[[#This Row],[''DP]])</f>
        <v>73</v>
      </c>
      <c r="QM53" s="314">
        <f>COUNTIFS($C$27:$PN$27,("&lt;"&amp;$B$5),$C$27:$PN$27,("&gt;="&amp;$B$4),$C53:$PN53,TabAsistencias[[#Headers],[1]])</f>
        <v>73</v>
      </c>
      <c r="QN53" s="314">
        <f>COUNTIFS($C$27:$PN$27,("&lt;"&amp;$B$5),$C$27:$PN$27,("&gt;="&amp;$B$4),$C53:$PN53,TabAsistencias[[#Headers],[DE]])</f>
        <v>0</v>
      </c>
      <c r="QO53" s="314">
        <f>COUNTIFS($C$27:$PN$27,("&lt;"&amp;$B$5),$C$27:$PN$27,("&gt;="&amp;$B$4),$C53:$PN53,TabAsistencias[[#Headers],[V]])</f>
        <v>0</v>
      </c>
      <c r="QP53" s="314">
        <f>COUNTIFS($C$27:$PN$27,("&lt;"&amp;$B$5),$C$27:$PN$27,("&gt;="&amp;$B$4),$C53:$PN53,TabAsistencias[[#Headers],[DO]])</f>
        <v>0</v>
      </c>
      <c r="QQ53" s="314">
        <f>COUNTIFS($C$27:$PN$27,("&lt;"&amp;$B$5),$C$27:$PN$27,("&gt;="&amp;$B$4),$C53:$PN53,TabAsistencias[[#Headers],[P]])</f>
        <v>0</v>
      </c>
      <c r="QR53" s="314">
        <f>COUNTIFS($C$27:$PN$27,("&lt;"&amp;$B$5),$C$27:$PN$27,("&gt;="&amp;$B$4),$C53:$PN53,TabAsistencias[[#Headers],[F]])</f>
        <v>0</v>
      </c>
      <c r="QS53" s="314">
        <f>COUNTIFS($C$27:$PN$27,("&lt;"&amp;$B$5),$C$27:$PN$27,("&gt;="&amp;$B$4),$C53:$PN53,TabAsistencias[[#Headers],[R]])</f>
        <v>0</v>
      </c>
      <c r="QT53" s="314">
        <f>COUNTIFS($C$27:$PN$27,("&lt;"&amp;$B$5),$C$27:$PN$27,("&gt;="&amp;$B$4),$C53:$PN53,TabAsistencias[[#Headers],[PP]])</f>
        <v>0</v>
      </c>
      <c r="QU53" s="314">
        <f>COUNTIFS($C$27:$PN$27,("&lt;"&amp;$B$5),$C$27:$PN$27,("&gt;="&amp;$B$4),$C53:$PN53,TabAsistencias[[#Headers],[0]])</f>
        <v>0</v>
      </c>
      <c r="QV53" s="314">
        <f>COUNTIFS($C$27:$PN$27,("&lt;"&amp;$B$5),$C$27:$PN$27,("&gt;="&amp;$B$4),$C53:$PN53,TabAsistencias[[#Headers],[IG]])</f>
        <v>0</v>
      </c>
      <c r="QW53" s="314">
        <f>COUNTIFS($C$27:$PN$27,("&lt;"&amp;$B$5),$C$27:$PN$27,("&gt;="&amp;$B$4),$C53:$PN53,TabAsistencias[[#Headers],[NA]])</f>
        <v>0</v>
      </c>
      <c r="QX53" s="314">
        <f>COUNTIFS($C$27:$PN$27,("&lt;"&amp;$B$5),$C$27:$PN$27,("&gt;="&amp;$B$4),$C53:$PN53,TabAsistencias[[#Headers],[DF]])</f>
        <v>0</v>
      </c>
      <c r="QY53" s="314">
        <f>COUNTIFS($C$27:$PN$27,("&lt;"&amp;$B$5),$C$27:$PN$27,("&gt;="&amp;$B$4),$C53:$PN53,TabAsistencias[[#Headers],[3]])</f>
        <v>0</v>
      </c>
      <c r="QZ53" s="314">
        <f>COUNTIFS($C$27:$PN$27,("&lt;"&amp;$B$5),$C$27:$PN$27,("&gt;="&amp;$B$4),$C53:$PN53,TabAsistencias[[#Headers],[CP]])</f>
        <v>0</v>
      </c>
      <c r="RA53" s="314">
        <f>COUNTIFS($C$27:$PN$27,("&lt;"&amp;$B$5),$C$27:$PN$27,("&gt;="&amp;$B$4),$C53:$PN53,TabAsistencias[[#Headers],[I]])</f>
        <v>0</v>
      </c>
      <c r="RB53" s="314">
        <f>COUNTIFS($C$27:$PN$27,("&lt;"&amp;$B$5),$C$27:$PN$27,("&gt;="&amp;$B$4),$C53:$PN53,TabAsistencias[[#Headers],[T/2]])</f>
        <v>0</v>
      </c>
      <c r="RC53" s="314">
        <f>COUNTIFS($C$27:$PN$27,("&lt;"&amp;$B$5),$C$27:$PN$27,("&gt;="&amp;$B$4),$C53:$PN53,TabAsistencias[[#Headers],[ME]])</f>
        <v>0</v>
      </c>
      <c r="RD53" s="314">
        <f>COUNTIFS($C$27:$PN$27,("&lt;"&amp;$B$5),$C$27:$PN$27,("&gt;="&amp;$B$4),$C53:$PN53,TabAsistencias[[#Headers],[DP]])</f>
        <v>0</v>
      </c>
      <c r="RE53" s="314">
        <f>COUNTIFS($C$27:$PN$27,("&lt;"&amp;$B$5),$C$27:$PN$27,("&gt;="&amp;$B$4),$C53:$PN53,TabAsistencias[[#Headers],[B]])</f>
        <v>0</v>
      </c>
      <c r="RF53" s="314">
        <f>COUNTIFS($C$27:$PN$27,("&lt;"&amp;$B$5),$C$27:$PN$27,("&gt;="&amp;$B$4),$C$28:$PN$28,1,$C53:$PN53,TabAsistencias[[#Headers],[1]])+
COUNTIFS($C$27:$PN$27,("&lt;"&amp;$B$5),$C$27:$PN$27,("&gt;="&amp;$B$4),$C$28:$PN$28,1,$C53:$PN53,TabAsistencias[[#Headers],[DO]])+
COUNTIFS($C$27:$PN$27,("&lt;"&amp;$B$5),$C$27:$PN$27,("&gt;="&amp;$B$4),$C$28:$PN$28,1,$C53:$PN53,TabAsistencias[[#Headers],[R]])+
COUNTIFS($C$27:$PN$27,("&lt;"&amp;$B$5),$C$27:$PN$27,("&gt;="&amp;$B$4),$C$28:$PN$28,1,$C53:$PN53,TabAsistencias[[#Headers],[NA]])+
COUNTIFS($C$27:$PN$27,("&lt;"&amp;$B$5),$C$27:$PN$27,("&gt;="&amp;$B$4),$C$28:$PN$28,1,$C53:$PN53,TabAsistencias[[#Headers],[DF]])+
COUNTIFS($C$27:$PN$27,("&lt;"&amp;$B$5),$C$27:$PN$27,("&gt;="&amp;$B$4),$C$28:$PN$28,1,$C53:$PN53,TabAsistencias[[#Headers],[3]])+
COUNTIFS($C$27:$PN$27,("&lt;"&amp;$B$5),$C$27:$PN$27,("&gt;="&amp;$B$4),$C$28:$PN$28,1,$C53:$PN53,TabAsistencias[[#Headers],[CP]])+
COUNTIFS($C$27:$PN$27,("&lt;"&amp;$B$5),$C$27:$PN$27,("&gt;="&amp;$B$4),$C$28:$PN$28,1,$C53:$PN53,TabAsistencias[[#Headers],[T/2]])</f>
        <v>11</v>
      </c>
      <c r="RG53" s="320" cm="1">
        <f t="array" ref="RG53">IFERROR(VLOOKUP(
DATEDIF((VLOOKUP(TabAsistencias[[#This Row],[ID]],TabEmpleados[],COLUMN(TabEmpleados[Fecha de alta NSS]),FALSE)),Asistencias!$B$3,"Y"),
TabFactorIntegracion[],COLUMN(TabFactorIntegracion[Días vacacionales
establecidos por ley]),FALSE),0)
-
COUNTIF($AH53:$PN53,TabAsistencias[[#Headers],[V]])</f>
        <v>12</v>
      </c>
    </row>
    <row r="54" spans="1:475" x14ac:dyDescent="0.25">
      <c r="A54" s="92">
        <f t="shared" si="434"/>
        <v>24</v>
      </c>
      <c r="B54" s="30" t="str" cm="1">
        <f t="array" ref="B54">VLOOKUP(TabAsistencias[[#This Row],[ID]],TabEmpleados[],COLUMN(TabEmpleados[Nombre]),FALSE)</f>
        <v xml:space="preserve">LOPEZ VELASCO  EDWIN URIEL </v>
      </c>
      <c r="C54" s="36" t="s">
        <v>139</v>
      </c>
      <c r="D54" s="36" t="s">
        <v>139</v>
      </c>
      <c r="E54" s="36" t="s">
        <v>139</v>
      </c>
      <c r="F54" s="36" t="s">
        <v>139</v>
      </c>
      <c r="G54" s="36" t="s">
        <v>139</v>
      </c>
      <c r="H54" s="36" t="s">
        <v>139</v>
      </c>
      <c r="I54" s="36" t="s">
        <v>139</v>
      </c>
      <c r="J54" s="36" t="s">
        <v>139</v>
      </c>
      <c r="K54" s="36" t="s">
        <v>139</v>
      </c>
      <c r="L54" s="36" t="s">
        <v>139</v>
      </c>
      <c r="M54" s="36" t="s">
        <v>139</v>
      </c>
      <c r="N54" s="36" t="s">
        <v>139</v>
      </c>
      <c r="O54" s="36" t="s">
        <v>139</v>
      </c>
      <c r="P54" s="36" t="s">
        <v>139</v>
      </c>
      <c r="Q54" s="36" t="s">
        <v>139</v>
      </c>
      <c r="R54" s="36" t="s">
        <v>139</v>
      </c>
      <c r="S54" s="36" t="s">
        <v>139</v>
      </c>
      <c r="T54" s="36" t="s">
        <v>139</v>
      </c>
      <c r="U54" s="36" t="s">
        <v>139</v>
      </c>
      <c r="V54" s="36" t="s">
        <v>139</v>
      </c>
      <c r="W54" s="36" t="s">
        <v>139</v>
      </c>
      <c r="X54" s="36" t="s">
        <v>139</v>
      </c>
      <c r="Y54" s="36" t="s">
        <v>139</v>
      </c>
      <c r="Z54" s="36" t="s">
        <v>139</v>
      </c>
      <c r="AA54" s="36" t="s">
        <v>139</v>
      </c>
      <c r="AB54" s="36" t="s">
        <v>139</v>
      </c>
      <c r="AC54" s="36" t="s">
        <v>139</v>
      </c>
      <c r="AD54" s="36" t="s">
        <v>139</v>
      </c>
      <c r="AE54" s="36" t="s">
        <v>139</v>
      </c>
      <c r="AF54" s="36" t="s">
        <v>139</v>
      </c>
      <c r="AG54" s="36" t="s">
        <v>139</v>
      </c>
      <c r="AH54" s="36" t="s">
        <v>139</v>
      </c>
      <c r="AI54" s="36" t="s">
        <v>139</v>
      </c>
      <c r="AJ54" s="36" t="s">
        <v>139</v>
      </c>
      <c r="AK54" s="36" t="s">
        <v>139</v>
      </c>
      <c r="AL54" s="36" t="s">
        <v>139</v>
      </c>
      <c r="AM54" s="36" t="s">
        <v>139</v>
      </c>
      <c r="AN54" s="36" t="s">
        <v>139</v>
      </c>
      <c r="AO54" s="36" t="s">
        <v>139</v>
      </c>
      <c r="AP54" s="36" t="s">
        <v>139</v>
      </c>
      <c r="AQ54" s="36" t="s">
        <v>139</v>
      </c>
      <c r="AR54" s="36" t="s">
        <v>139</v>
      </c>
      <c r="AS54" s="36" t="s">
        <v>139</v>
      </c>
      <c r="AT54" s="36" t="s">
        <v>139</v>
      </c>
      <c r="AU54" s="36" t="s">
        <v>139</v>
      </c>
      <c r="AV54" s="36" t="s">
        <v>139</v>
      </c>
      <c r="AW54" s="36" t="s">
        <v>139</v>
      </c>
      <c r="AX54" s="36" t="s">
        <v>139</v>
      </c>
      <c r="AY54" s="36" t="s">
        <v>139</v>
      </c>
      <c r="AZ54" s="36" t="s">
        <v>139</v>
      </c>
      <c r="BA54" s="36" t="s">
        <v>139</v>
      </c>
      <c r="BB54" s="36" t="s">
        <v>139</v>
      </c>
      <c r="BC54" s="36" t="s">
        <v>139</v>
      </c>
      <c r="BD54" s="36" t="s">
        <v>139</v>
      </c>
      <c r="BE54" s="36" t="s">
        <v>139</v>
      </c>
      <c r="BF54" s="36" t="s">
        <v>139</v>
      </c>
      <c r="BG54" s="36" t="s">
        <v>139</v>
      </c>
      <c r="BH54" s="36" t="s">
        <v>139</v>
      </c>
      <c r="BI54" s="36" t="s">
        <v>139</v>
      </c>
      <c r="BJ54" s="36" t="s">
        <v>139</v>
      </c>
      <c r="BK54" s="36" t="s">
        <v>139</v>
      </c>
      <c r="BL54" s="36" t="s">
        <v>139</v>
      </c>
      <c r="BM54" s="36" t="s">
        <v>139</v>
      </c>
      <c r="BN54" s="36" t="s">
        <v>139</v>
      </c>
      <c r="BO54" s="36" t="s">
        <v>139</v>
      </c>
      <c r="BP54" s="36" t="s">
        <v>139</v>
      </c>
      <c r="BQ54" s="36" t="s">
        <v>139</v>
      </c>
      <c r="BR54" s="36" t="s">
        <v>139</v>
      </c>
      <c r="BS54" s="36" t="s">
        <v>139</v>
      </c>
      <c r="BT54" s="36" t="s">
        <v>139</v>
      </c>
      <c r="BU54" s="36" t="s">
        <v>139</v>
      </c>
      <c r="BV54" s="36" t="s">
        <v>139</v>
      </c>
      <c r="BW54" s="36" t="s">
        <v>139</v>
      </c>
      <c r="BX54" s="36" t="s">
        <v>139</v>
      </c>
      <c r="BY54" s="36" t="s">
        <v>139</v>
      </c>
      <c r="BZ54" s="36" t="s">
        <v>139</v>
      </c>
      <c r="CA54" s="36" t="s">
        <v>139</v>
      </c>
      <c r="CB54" s="36" t="s">
        <v>139</v>
      </c>
      <c r="CC54" s="36" t="s">
        <v>139</v>
      </c>
      <c r="CD54" s="36" t="s">
        <v>139</v>
      </c>
      <c r="CE54" s="36" t="s">
        <v>139</v>
      </c>
      <c r="CF54" s="36" t="s">
        <v>139</v>
      </c>
      <c r="CG54" s="36" t="s">
        <v>139</v>
      </c>
      <c r="CH54" s="36" t="s">
        <v>139</v>
      </c>
      <c r="CI54" s="36" t="s">
        <v>139</v>
      </c>
      <c r="CJ54" s="36" t="s">
        <v>139</v>
      </c>
      <c r="CK54" s="36" t="s">
        <v>139</v>
      </c>
      <c r="CL54" s="36" t="s">
        <v>139</v>
      </c>
      <c r="CM54" s="36" t="s">
        <v>139</v>
      </c>
      <c r="CN54" s="36" t="s">
        <v>139</v>
      </c>
      <c r="CO54" s="36" t="s">
        <v>139</v>
      </c>
      <c r="CP54" s="36" t="s">
        <v>139</v>
      </c>
      <c r="CQ54" s="36" t="s">
        <v>139</v>
      </c>
      <c r="CR54" s="36" t="s">
        <v>139</v>
      </c>
      <c r="CS54" s="36" t="s">
        <v>139</v>
      </c>
      <c r="CT54" s="36" t="s">
        <v>139</v>
      </c>
      <c r="CU54" s="36" t="s">
        <v>139</v>
      </c>
      <c r="CV54" s="36" t="s">
        <v>139</v>
      </c>
      <c r="CW54" s="36" t="s">
        <v>139</v>
      </c>
      <c r="CX54" s="36" t="s">
        <v>139</v>
      </c>
      <c r="CY54" s="36" t="s">
        <v>139</v>
      </c>
      <c r="CZ54" s="36" t="s">
        <v>139</v>
      </c>
      <c r="DA54" s="36" t="s">
        <v>139</v>
      </c>
      <c r="DB54" s="36" t="s">
        <v>139</v>
      </c>
      <c r="DC54" s="36" t="s">
        <v>139</v>
      </c>
      <c r="DD54" s="36" t="s">
        <v>139</v>
      </c>
      <c r="DE54" s="36" t="s">
        <v>139</v>
      </c>
      <c r="DF54" s="36" t="s">
        <v>139</v>
      </c>
      <c r="DG54" s="36" t="s">
        <v>139</v>
      </c>
      <c r="DH54" s="36" t="s">
        <v>139</v>
      </c>
      <c r="DI54" s="36" t="s">
        <v>139</v>
      </c>
      <c r="DJ54" s="36" t="s">
        <v>139</v>
      </c>
      <c r="DK54" s="36" t="s">
        <v>139</v>
      </c>
      <c r="DL54" s="36" t="s">
        <v>139</v>
      </c>
      <c r="DM54" s="36" t="s">
        <v>139</v>
      </c>
      <c r="DN54" s="36" t="s">
        <v>139</v>
      </c>
      <c r="DO54" s="36" t="s">
        <v>139</v>
      </c>
      <c r="DP54" s="36" t="s">
        <v>139</v>
      </c>
      <c r="DQ54" s="36" t="s">
        <v>139</v>
      </c>
      <c r="DR54" s="36" t="s">
        <v>139</v>
      </c>
      <c r="DS54" s="36" t="s">
        <v>139</v>
      </c>
      <c r="DT54" s="36" t="s">
        <v>139</v>
      </c>
      <c r="DU54" s="36" t="s">
        <v>139</v>
      </c>
      <c r="DV54" s="36" t="s">
        <v>139</v>
      </c>
      <c r="DW54" s="36" t="s">
        <v>139</v>
      </c>
      <c r="DX54" s="36" t="s">
        <v>139</v>
      </c>
      <c r="DY54" s="36" t="s">
        <v>139</v>
      </c>
      <c r="DZ54" s="36" t="s">
        <v>139</v>
      </c>
      <c r="EA54" s="36" t="s">
        <v>139</v>
      </c>
      <c r="EB54" s="36" t="s">
        <v>139</v>
      </c>
      <c r="EC54" s="36" t="s">
        <v>139</v>
      </c>
      <c r="ED54" s="36" t="s">
        <v>139</v>
      </c>
      <c r="EE54" s="36" t="s">
        <v>139</v>
      </c>
      <c r="EF54" s="36" t="s">
        <v>139</v>
      </c>
      <c r="EG54" s="36" t="s">
        <v>139</v>
      </c>
      <c r="EH54" s="36" t="s">
        <v>139</v>
      </c>
      <c r="EI54" s="36" t="s">
        <v>139</v>
      </c>
      <c r="EJ54" s="36" t="s">
        <v>139</v>
      </c>
      <c r="EK54" s="36" t="s">
        <v>139</v>
      </c>
      <c r="EL54" s="36" t="s">
        <v>139</v>
      </c>
      <c r="EM54" s="36" t="s">
        <v>139</v>
      </c>
      <c r="EN54" s="36" t="s">
        <v>139</v>
      </c>
      <c r="EO54" s="36" t="s">
        <v>139</v>
      </c>
      <c r="EP54" s="36" t="s">
        <v>139</v>
      </c>
      <c r="EQ54" s="36" t="s">
        <v>139</v>
      </c>
      <c r="ER54" s="36" t="s">
        <v>139</v>
      </c>
      <c r="ES54" s="36" t="s">
        <v>139</v>
      </c>
      <c r="ET54" s="36" t="s">
        <v>139</v>
      </c>
      <c r="EU54" s="36" t="s">
        <v>139</v>
      </c>
      <c r="EV54" s="36" t="s">
        <v>139</v>
      </c>
      <c r="EW54" s="36" t="s">
        <v>139</v>
      </c>
      <c r="EX54" s="36" t="s">
        <v>139</v>
      </c>
      <c r="EY54" s="36" t="s">
        <v>139</v>
      </c>
      <c r="EZ54" s="36" t="s">
        <v>139</v>
      </c>
      <c r="FA54" s="36" t="s">
        <v>139</v>
      </c>
      <c r="FB54" s="36" t="s">
        <v>139</v>
      </c>
      <c r="FC54" s="36" t="s">
        <v>139</v>
      </c>
      <c r="FD54" s="36" t="s">
        <v>139</v>
      </c>
      <c r="FE54" s="36" t="s">
        <v>139</v>
      </c>
      <c r="FF54" s="36" t="s">
        <v>139</v>
      </c>
      <c r="FG54" s="36" t="s">
        <v>139</v>
      </c>
      <c r="FH54" s="36" t="s">
        <v>139</v>
      </c>
      <c r="FI54" s="36" t="s">
        <v>139</v>
      </c>
      <c r="FJ54" s="36" t="s">
        <v>139</v>
      </c>
      <c r="FK54" s="36" t="s">
        <v>139</v>
      </c>
      <c r="FL54" s="36" t="s">
        <v>139</v>
      </c>
      <c r="FM54" s="36" t="s">
        <v>139</v>
      </c>
      <c r="FN54" s="36" t="s">
        <v>139</v>
      </c>
      <c r="FO54" s="36" t="s">
        <v>139</v>
      </c>
      <c r="FP54" s="36" t="s">
        <v>139</v>
      </c>
      <c r="FQ54" s="36" t="s">
        <v>139</v>
      </c>
      <c r="FR54" s="36" t="s">
        <v>139</v>
      </c>
      <c r="FS54" s="36" t="s">
        <v>139</v>
      </c>
      <c r="FT54" s="36" t="s">
        <v>139</v>
      </c>
      <c r="FU54" s="36" t="s">
        <v>139</v>
      </c>
      <c r="FV54" s="36" t="s">
        <v>139</v>
      </c>
      <c r="FW54" s="36" t="s">
        <v>139</v>
      </c>
      <c r="FX54" s="36" t="s">
        <v>139</v>
      </c>
      <c r="FY54" s="36" t="s">
        <v>139</v>
      </c>
      <c r="FZ54" s="36" t="s">
        <v>139</v>
      </c>
      <c r="GA54" s="36" t="s">
        <v>139</v>
      </c>
      <c r="GB54" s="36" t="s">
        <v>139</v>
      </c>
      <c r="GC54" s="36" t="s">
        <v>139</v>
      </c>
      <c r="GD54" s="36" t="s">
        <v>139</v>
      </c>
      <c r="GE54" s="36" t="s">
        <v>139</v>
      </c>
      <c r="GF54" s="36" t="s">
        <v>139</v>
      </c>
      <c r="GG54" s="36" t="s">
        <v>139</v>
      </c>
      <c r="GH54" s="36" t="s">
        <v>139</v>
      </c>
      <c r="GI54" s="36" t="s">
        <v>139</v>
      </c>
      <c r="GJ54" s="36" t="s">
        <v>139</v>
      </c>
      <c r="GK54" s="36" t="s">
        <v>139</v>
      </c>
      <c r="GL54" s="36" t="s">
        <v>139</v>
      </c>
      <c r="GM54" s="36" t="s">
        <v>139</v>
      </c>
      <c r="GN54" s="36" t="s">
        <v>139</v>
      </c>
      <c r="GO54" s="36" t="s">
        <v>139</v>
      </c>
      <c r="GP54" s="36" t="s">
        <v>139</v>
      </c>
      <c r="GQ54" s="36" t="s">
        <v>139</v>
      </c>
      <c r="GR54" s="36" t="s">
        <v>139</v>
      </c>
      <c r="GS54" s="36" t="s">
        <v>139</v>
      </c>
      <c r="GT54" s="36" t="s">
        <v>139</v>
      </c>
      <c r="GU54" s="36" t="s">
        <v>139</v>
      </c>
      <c r="GV54" s="36" t="s">
        <v>139</v>
      </c>
      <c r="GW54" s="36" t="s">
        <v>139</v>
      </c>
      <c r="GX54" s="36" t="s">
        <v>139</v>
      </c>
      <c r="GY54" s="36" t="s">
        <v>139</v>
      </c>
      <c r="GZ54" s="36" t="s">
        <v>139</v>
      </c>
      <c r="HA54" s="36" t="s">
        <v>139</v>
      </c>
      <c r="HB54" s="36" t="s">
        <v>139</v>
      </c>
      <c r="HC54" s="36" t="s">
        <v>139</v>
      </c>
      <c r="HD54" s="36" t="s">
        <v>139</v>
      </c>
      <c r="HE54" s="36" t="s">
        <v>139</v>
      </c>
      <c r="HF54" s="36" t="s">
        <v>139</v>
      </c>
      <c r="HG54" s="36" t="s">
        <v>139</v>
      </c>
      <c r="HH54" s="36" t="s">
        <v>139</v>
      </c>
      <c r="HI54" s="36" t="s">
        <v>139</v>
      </c>
      <c r="HJ54" s="36" t="s">
        <v>139</v>
      </c>
      <c r="HK54" s="36" t="s">
        <v>139</v>
      </c>
      <c r="HL54" s="36" t="s">
        <v>139</v>
      </c>
      <c r="HM54" s="36" t="s">
        <v>139</v>
      </c>
      <c r="HN54" s="36" t="s">
        <v>139</v>
      </c>
      <c r="HO54" s="36" t="s">
        <v>139</v>
      </c>
      <c r="HP54" s="36" t="s">
        <v>139</v>
      </c>
      <c r="HQ54" s="36" t="s">
        <v>139</v>
      </c>
      <c r="HR54" s="36" t="s">
        <v>139</v>
      </c>
      <c r="HS54" s="36" t="s">
        <v>139</v>
      </c>
      <c r="HT54" s="36" t="s">
        <v>139</v>
      </c>
      <c r="HU54" s="36" t="s">
        <v>139</v>
      </c>
      <c r="HV54" s="36" t="s">
        <v>139</v>
      </c>
      <c r="HW54" s="36" t="s">
        <v>139</v>
      </c>
      <c r="HX54" s="36" t="s">
        <v>139</v>
      </c>
      <c r="HY54" s="36" t="s">
        <v>139</v>
      </c>
      <c r="HZ54" s="36" t="s">
        <v>139</v>
      </c>
      <c r="IA54" s="36" t="s">
        <v>139</v>
      </c>
      <c r="IB54" s="36" t="s">
        <v>139</v>
      </c>
      <c r="IC54" s="36" t="s">
        <v>139</v>
      </c>
      <c r="ID54" s="36" t="s">
        <v>139</v>
      </c>
      <c r="IE54" s="36" t="s">
        <v>139</v>
      </c>
      <c r="IF54" s="36" t="s">
        <v>139</v>
      </c>
      <c r="IG54" s="36" t="s">
        <v>139</v>
      </c>
      <c r="IH54" s="36" t="s">
        <v>139</v>
      </c>
      <c r="II54" s="36" t="s">
        <v>139</v>
      </c>
      <c r="IJ54" s="36" t="s">
        <v>139</v>
      </c>
      <c r="IK54" s="36" t="s">
        <v>139</v>
      </c>
      <c r="IL54" s="36" t="s">
        <v>139</v>
      </c>
      <c r="IM54" s="36" t="s">
        <v>139</v>
      </c>
      <c r="IN54" s="36" t="s">
        <v>139</v>
      </c>
      <c r="IO54" s="36" t="s">
        <v>139</v>
      </c>
      <c r="IP54" s="36" t="s">
        <v>139</v>
      </c>
      <c r="IQ54" s="36" t="s">
        <v>139</v>
      </c>
      <c r="IR54" s="36" t="s">
        <v>139</v>
      </c>
      <c r="IS54" s="36" t="s">
        <v>139</v>
      </c>
      <c r="IT54" s="36" t="s">
        <v>139</v>
      </c>
      <c r="IU54" s="36" t="s">
        <v>139</v>
      </c>
      <c r="IV54" s="36" t="s">
        <v>139</v>
      </c>
      <c r="IW54" s="36" t="s">
        <v>139</v>
      </c>
      <c r="IX54" s="36" t="s">
        <v>139</v>
      </c>
      <c r="IY54" s="36" t="s">
        <v>139</v>
      </c>
      <c r="IZ54" s="36" t="s">
        <v>139</v>
      </c>
      <c r="JA54" s="36" t="s">
        <v>139</v>
      </c>
      <c r="JB54" s="36" t="s">
        <v>139</v>
      </c>
      <c r="JC54" s="36" t="s">
        <v>139</v>
      </c>
      <c r="JD54" s="36" t="s">
        <v>139</v>
      </c>
      <c r="JE54" s="36" t="s">
        <v>139</v>
      </c>
      <c r="JF54" s="36" t="s">
        <v>139</v>
      </c>
      <c r="JG54" s="36" t="s">
        <v>139</v>
      </c>
      <c r="JH54" s="36" t="s">
        <v>139</v>
      </c>
      <c r="JI54" s="36" t="s">
        <v>139</v>
      </c>
      <c r="JJ54" s="36" t="s">
        <v>139</v>
      </c>
      <c r="JK54" s="36" t="s">
        <v>139</v>
      </c>
      <c r="JL54" s="36" t="s">
        <v>139</v>
      </c>
      <c r="JM54" s="36" t="s">
        <v>139</v>
      </c>
      <c r="JN54" s="36" t="s">
        <v>139</v>
      </c>
      <c r="JO54" s="36" t="s">
        <v>139</v>
      </c>
      <c r="JP54" s="36" t="s">
        <v>139</v>
      </c>
      <c r="JQ54" s="36" t="s">
        <v>139</v>
      </c>
      <c r="JR54" s="36" t="s">
        <v>139</v>
      </c>
      <c r="JS54" s="36" t="s">
        <v>139</v>
      </c>
      <c r="JT54" s="36" t="s">
        <v>139</v>
      </c>
      <c r="JU54" s="36" t="s">
        <v>139</v>
      </c>
      <c r="JV54" s="36" t="s">
        <v>139</v>
      </c>
      <c r="JW54" s="36" t="s">
        <v>139</v>
      </c>
      <c r="JX54" s="36" t="s">
        <v>139</v>
      </c>
      <c r="JY54" s="36" t="s">
        <v>139</v>
      </c>
      <c r="JZ54" s="36" t="s">
        <v>139</v>
      </c>
      <c r="KA54" s="36" t="s">
        <v>139</v>
      </c>
      <c r="KB54" s="36" t="s">
        <v>139</v>
      </c>
      <c r="KC54" s="36" t="s">
        <v>139</v>
      </c>
      <c r="KD54" s="36" t="s">
        <v>139</v>
      </c>
      <c r="KE54" s="36" t="s">
        <v>139</v>
      </c>
      <c r="KF54" s="36" t="s">
        <v>139</v>
      </c>
      <c r="KG54" s="36" t="s">
        <v>139</v>
      </c>
      <c r="KH54" s="36" t="s">
        <v>139</v>
      </c>
      <c r="KI54" s="36" t="s">
        <v>139</v>
      </c>
      <c r="KJ54" s="36" t="s">
        <v>139</v>
      </c>
      <c r="KK54" s="36" t="s">
        <v>139</v>
      </c>
      <c r="KL54" s="36" t="s">
        <v>139</v>
      </c>
      <c r="KM54" s="36" t="s">
        <v>139</v>
      </c>
      <c r="KN54" s="36" t="s">
        <v>139</v>
      </c>
      <c r="KO54" s="36" t="s">
        <v>139</v>
      </c>
      <c r="KP54" s="36" t="s">
        <v>139</v>
      </c>
      <c r="KQ54" s="36" t="s">
        <v>139</v>
      </c>
      <c r="KR54" s="36" t="s">
        <v>139</v>
      </c>
      <c r="KS54" s="36" t="s">
        <v>139</v>
      </c>
      <c r="KT54" s="36" t="s">
        <v>139</v>
      </c>
      <c r="KU54" s="36" t="s">
        <v>139</v>
      </c>
      <c r="KV54" s="36" t="s">
        <v>139</v>
      </c>
      <c r="KW54" s="36" t="s">
        <v>139</v>
      </c>
      <c r="KX54" s="36" t="s">
        <v>139</v>
      </c>
      <c r="KY54" s="36" t="s">
        <v>139</v>
      </c>
      <c r="KZ54" s="36" t="s">
        <v>139</v>
      </c>
      <c r="LA54" s="36" t="s">
        <v>139</v>
      </c>
      <c r="LB54" s="36" t="s">
        <v>139</v>
      </c>
      <c r="LC54" s="36" t="s">
        <v>139</v>
      </c>
      <c r="LD54" s="36" t="s">
        <v>139</v>
      </c>
      <c r="LE54" s="36" t="s">
        <v>139</v>
      </c>
      <c r="LF54" s="36" t="s">
        <v>139</v>
      </c>
      <c r="LG54" s="36" t="s">
        <v>139</v>
      </c>
      <c r="LH54" s="36" t="s">
        <v>139</v>
      </c>
      <c r="LI54" s="36" t="s">
        <v>139</v>
      </c>
      <c r="LJ54" s="36" t="s">
        <v>139</v>
      </c>
      <c r="LK54" s="36" t="s">
        <v>139</v>
      </c>
      <c r="LL54" s="36" t="s">
        <v>139</v>
      </c>
      <c r="LM54" s="36" t="s">
        <v>139</v>
      </c>
      <c r="LN54" s="36" t="s">
        <v>139</v>
      </c>
      <c r="LO54" s="36" t="s">
        <v>139</v>
      </c>
      <c r="LP54" s="36" t="s">
        <v>139</v>
      </c>
      <c r="LQ54" s="36" t="s">
        <v>139</v>
      </c>
      <c r="LR54" s="36" t="s">
        <v>139</v>
      </c>
      <c r="LS54" s="36" t="s">
        <v>139</v>
      </c>
      <c r="LT54" s="36" t="s">
        <v>139</v>
      </c>
      <c r="LU54" s="36" t="s">
        <v>139</v>
      </c>
      <c r="LV54" s="36" t="s">
        <v>139</v>
      </c>
      <c r="LW54" s="36" t="s">
        <v>139</v>
      </c>
      <c r="LX54" s="36" t="s">
        <v>139</v>
      </c>
      <c r="LY54" s="36" t="s">
        <v>139</v>
      </c>
      <c r="LZ54" s="36" t="s">
        <v>139</v>
      </c>
      <c r="MA54" s="36" t="s">
        <v>139</v>
      </c>
      <c r="MB54" s="36" t="s">
        <v>139</v>
      </c>
      <c r="MC54" s="36" t="s">
        <v>139</v>
      </c>
      <c r="MD54" s="36" t="s">
        <v>139</v>
      </c>
      <c r="ME54" s="36" t="s">
        <v>139</v>
      </c>
      <c r="MF54" s="36" t="s">
        <v>139</v>
      </c>
      <c r="MG54" s="36" t="s">
        <v>139</v>
      </c>
      <c r="MH54" s="36" t="s">
        <v>139</v>
      </c>
      <c r="MI54" s="36" t="s">
        <v>139</v>
      </c>
      <c r="MJ54" s="36" t="s">
        <v>139</v>
      </c>
      <c r="MK54" s="36" t="s">
        <v>139</v>
      </c>
      <c r="ML54" s="36" t="s">
        <v>139</v>
      </c>
      <c r="MM54" s="36" t="s">
        <v>139</v>
      </c>
      <c r="MN54" s="36" t="s">
        <v>139</v>
      </c>
      <c r="MO54" s="36" t="s">
        <v>139</v>
      </c>
      <c r="MP54" s="36" t="s">
        <v>139</v>
      </c>
      <c r="MQ54" s="36" t="s">
        <v>139</v>
      </c>
      <c r="MR54" s="36" t="s">
        <v>139</v>
      </c>
      <c r="MS54" s="36" t="s">
        <v>139</v>
      </c>
      <c r="MT54" s="36" t="s">
        <v>139</v>
      </c>
      <c r="MU54" s="36" t="s">
        <v>139</v>
      </c>
      <c r="MV54" s="36" t="s">
        <v>139</v>
      </c>
      <c r="MW54" s="36" t="s">
        <v>139</v>
      </c>
      <c r="MX54" s="36" t="s">
        <v>139</v>
      </c>
      <c r="MY54" s="36" t="s">
        <v>139</v>
      </c>
      <c r="MZ54" s="36" t="s">
        <v>139</v>
      </c>
      <c r="NA54" s="36" t="s">
        <v>139</v>
      </c>
      <c r="NB54" s="36" t="s">
        <v>139</v>
      </c>
      <c r="NC54" s="36" t="s">
        <v>139</v>
      </c>
      <c r="ND54" s="36" t="s">
        <v>139</v>
      </c>
      <c r="NE54" s="36" t="s">
        <v>139</v>
      </c>
      <c r="NF54" s="36" t="s">
        <v>139</v>
      </c>
      <c r="NG54" s="36" t="s">
        <v>139</v>
      </c>
      <c r="NH54" s="36" t="s">
        <v>139</v>
      </c>
      <c r="NI54" s="36" t="s">
        <v>139</v>
      </c>
      <c r="NJ54" s="36" t="s">
        <v>139</v>
      </c>
      <c r="NK54" s="36" t="s">
        <v>139</v>
      </c>
      <c r="NL54" s="36" t="s">
        <v>139</v>
      </c>
      <c r="NM54" s="36" t="s">
        <v>139</v>
      </c>
      <c r="NN54" s="36" t="s">
        <v>139</v>
      </c>
      <c r="NO54" s="36" t="s">
        <v>139</v>
      </c>
      <c r="NP54" s="36" t="s">
        <v>139</v>
      </c>
      <c r="NQ54" s="36" t="s">
        <v>139</v>
      </c>
      <c r="NR54" s="36" t="s">
        <v>139</v>
      </c>
      <c r="NS54" s="36" t="s">
        <v>139</v>
      </c>
      <c r="NT54" s="36" t="s">
        <v>139</v>
      </c>
      <c r="NU54" s="36" t="s">
        <v>139</v>
      </c>
      <c r="NV54" s="36" t="s">
        <v>139</v>
      </c>
      <c r="NW54" s="36" t="s">
        <v>139</v>
      </c>
      <c r="NX54" s="36" t="s">
        <v>139</v>
      </c>
      <c r="NY54" s="36" t="s">
        <v>139</v>
      </c>
      <c r="NZ54" s="36" t="s">
        <v>139</v>
      </c>
      <c r="OA54" s="36" t="s">
        <v>139</v>
      </c>
      <c r="OB54" s="36" t="s">
        <v>139</v>
      </c>
      <c r="OC54" s="36" t="s">
        <v>139</v>
      </c>
      <c r="OD54" s="36" t="s">
        <v>139</v>
      </c>
      <c r="OE54" s="36" t="s">
        <v>139</v>
      </c>
      <c r="OF54" s="36" t="s">
        <v>139</v>
      </c>
      <c r="OG54" s="36" t="s">
        <v>139</v>
      </c>
      <c r="OH54" s="36" t="s">
        <v>139</v>
      </c>
      <c r="OI54" s="36" t="s">
        <v>139</v>
      </c>
      <c r="OJ54" s="36" t="s">
        <v>139</v>
      </c>
      <c r="OK54" s="36" t="s">
        <v>139</v>
      </c>
      <c r="OL54" s="36" t="s">
        <v>139</v>
      </c>
      <c r="OM54" s="36" t="s">
        <v>139</v>
      </c>
      <c r="ON54" s="36" t="s">
        <v>139</v>
      </c>
      <c r="OO54" s="36" t="s">
        <v>139</v>
      </c>
      <c r="OP54" s="36" t="s">
        <v>139</v>
      </c>
      <c r="OQ54" s="36" t="s">
        <v>139</v>
      </c>
      <c r="OR54" s="36" t="s">
        <v>139</v>
      </c>
      <c r="OS54" s="36" t="s">
        <v>139</v>
      </c>
      <c r="OT54" s="36" t="s">
        <v>139</v>
      </c>
      <c r="OU54" s="36" t="s">
        <v>139</v>
      </c>
      <c r="OV54" s="36" t="s">
        <v>139</v>
      </c>
      <c r="OW54" s="36" t="s">
        <v>139</v>
      </c>
      <c r="OX54" s="36" t="s">
        <v>139</v>
      </c>
      <c r="OY54" s="36" t="s">
        <v>139</v>
      </c>
      <c r="OZ54" s="36" t="s">
        <v>139</v>
      </c>
      <c r="PA54" s="36" t="s">
        <v>139</v>
      </c>
      <c r="PB54" s="36" t="s">
        <v>139</v>
      </c>
      <c r="PC54" s="36" t="s">
        <v>139</v>
      </c>
      <c r="PD54" s="36" t="s">
        <v>139</v>
      </c>
      <c r="PE54" s="36" t="s">
        <v>139</v>
      </c>
      <c r="PF54" s="36" t="s">
        <v>139</v>
      </c>
      <c r="PG54" s="36" t="s">
        <v>139</v>
      </c>
      <c r="PH54" s="36" t="s">
        <v>139</v>
      </c>
      <c r="PI54" s="36" t="s">
        <v>139</v>
      </c>
      <c r="PJ54" s="36" t="s">
        <v>139</v>
      </c>
      <c r="PK54" s="36" t="s">
        <v>139</v>
      </c>
      <c r="PL54" s="36" t="s">
        <v>139</v>
      </c>
      <c r="PM54" s="36" t="s">
        <v>139</v>
      </c>
      <c r="PN54" s="36" t="s">
        <v>139</v>
      </c>
      <c r="PO54" s="74">
        <f>COUNTIFS($C$27:$PN$27,("&lt;"&amp;$B$3),$C$27:$PN$27,("&gt;="&amp;$B$2),$C54:$PN54,TabAsistencias[[#Headers],[1]])</f>
        <v>30</v>
      </c>
      <c r="PP54" s="74">
        <f>COUNTIFS($C$27:$PN$27,("&lt;"&amp;$B$3),$C$27:$PN$27,("&gt;="&amp;$B$2),$C54:$PN54,TabAsistencias[[#Headers],[E]])</f>
        <v>0</v>
      </c>
      <c r="PQ54" s="74">
        <f>COUNTIFS($C$27:$PN$27,("&lt;"&amp;$B$3),$C$27:$PN$27,("&gt;="&amp;$B$2),$C54:$PN54,TabAsistencias[[#Headers],[DE]])</f>
        <v>0</v>
      </c>
      <c r="PR54" s="74">
        <f>COUNTIFS($C$27:$PN$27,("&lt;"&amp;$B$3),$C$27:$PN$27,("&gt;="&amp;$B$2),$C54:$PN54,TabAsistencias[[#Headers],[V]])</f>
        <v>0</v>
      </c>
      <c r="PS54" s="74">
        <f>COUNTIFS($C$27:$PN$27,("&lt;"&amp;$B$3),$C$27:$PN$27,("&gt;="&amp;$B$2),$C54:$PN54,TabAsistencias[[#Headers],[DO]])</f>
        <v>0</v>
      </c>
      <c r="PT54" s="74">
        <f>COUNTIFS($C$27:$PN$27,("&lt;"&amp;$B$3),$C$27:$PN$27,("&gt;="&amp;$B$2),$C54:$PN54,TabAsistencias[[#Headers],[P]])</f>
        <v>0</v>
      </c>
      <c r="PU54" s="74">
        <f>COUNTIFS($C$27:$PN$27,("&lt;"&amp;$B$3),$C$27:$PN$27,("&gt;="&amp;$B$2),$C54:$PN54,TabAsistencias[[#Headers],[F]])</f>
        <v>0</v>
      </c>
      <c r="PV54" s="74">
        <f>COUNTIFS($C$27:$PN$27,("&lt;"&amp;$B$3),$C$27:$PN$27,("&gt;="&amp;$B$2),$C54:$PN54,TabAsistencias[[#Headers],[R]])</f>
        <v>0</v>
      </c>
      <c r="PW54" s="74">
        <f>COUNTIFS($C$27:$PN$27,("&lt;"&amp;$B$3),$C$27:$PN$27,("&gt;="&amp;$B$2),$C54:$PN54,TabAsistencias[[#Headers],[PP]])</f>
        <v>0</v>
      </c>
      <c r="PX54" s="74">
        <f>COUNTIFS($C$27:$PN$27,("&lt;"&amp;$B$3),$C$27:$PN$27,("&gt;="&amp;$B$2),$C54:$PN54,TabAsistencias[[#Headers],[0]])</f>
        <v>0</v>
      </c>
      <c r="PY54" s="74">
        <f>COUNTIFS($C$27:$PN$27,("&lt;"&amp;$B$3),$C$27:$PN$27,("&gt;="&amp;$B$2),$C54:$PN54,TabAsistencias[[#Headers],[IG]])</f>
        <v>0</v>
      </c>
      <c r="PZ54" s="74">
        <f>COUNTIFS($C$27:$PN$27,("&lt;"&amp;$B$3),$C$27:$PN$27,("&gt;="&amp;$B$2),$C54:$PN54,TabAsistencias[[#Headers],[NA]])</f>
        <v>0</v>
      </c>
      <c r="QA54" s="74">
        <f>COUNTIFS($C$27:$PN$27,("&lt;"&amp;$B$3),$C$27:$PN$27,("&gt;="&amp;$B$2),$C54:$PN54,TabAsistencias[[#Headers],[DF]])</f>
        <v>0</v>
      </c>
      <c r="QB54" s="74">
        <f>COUNTIFS($C$27:$PN$27,("&lt;"&amp;$B$3),$C$27:$PN$27,("&gt;="&amp;$B$2),$C54:$PN54,TabAsistencias[[#Headers],[3]])</f>
        <v>0</v>
      </c>
      <c r="QC54" s="74">
        <f>COUNTIFS($C$27:$PN$27,("&lt;"&amp;$B$3),$C$27:$PN$27,("&gt;="&amp;$B$2),$C54:$PN54,TabAsistencias[[#Headers],[CP]])</f>
        <v>0</v>
      </c>
      <c r="QD54" s="74">
        <f>COUNTIFS($C$27:$PN$27,("&lt;"&amp;$B$3),$C$27:$PN$27,("&gt;="&amp;$B$2),$C54:$PN54,TabAsistencias[[#Headers],[I]])</f>
        <v>0</v>
      </c>
      <c r="QE54" s="74">
        <f>COUNTIFS($C$27:$PN$27,("&lt;"&amp;$B$3),$C$27:$PN$27,("&gt;="&amp;$B$2),$C54:$PN54,TabAsistencias[[#Headers],[T/2]])</f>
        <v>0</v>
      </c>
      <c r="QF54" s="74">
        <f>COUNTIFS($C$27:$PN$27,("&lt;"&amp;$B$3),$C$27:$PN$27,("&gt;="&amp;$B$2),$C54:$PN54,TabAsistencias[[#Headers],[ME]])</f>
        <v>0</v>
      </c>
      <c r="QG54" s="74">
        <f>COUNTIFS($C$27:$PN$27,("&lt;"&amp;$B$3),$C$27:$PN$27,("&gt;="&amp;$B$2),$C54:$PN54,TabAsistencias[[#Headers],[DP]])</f>
        <v>0</v>
      </c>
      <c r="QH54" s="74">
        <f>COUNTIFS($C$27:$PN$27,("&lt;"&amp;$B$3),$C$27:$PN$27,("&gt;="&amp;$B$2),$C54:$PN54,TabAsistencias[[#Headers],[B]])</f>
        <v>0</v>
      </c>
      <c r="QI54" s="74">
        <f>(TabAsistencias[[#This Row],[1]]*'Tablas de informacion'!$C$124)+(TabAsistencias[[#This Row],[E]]*'Tablas de informacion'!$C$125)+(TabAsistencias[[#This Row],[DE]]*'Tablas de informacion'!C$126)+(TabAsistencias[[#This Row],[V]]*'Tablas de informacion'!C$127)+(TabAsistencias[[#This Row],[DO]]*'Tablas de informacion'!C$128)+(TabAsistencias[[#This Row],[P]]*'Tablas de informacion'!C$129)+(TabAsistencias[[#This Row],[F]]*'Tablas de informacion'!C$130)+(TabAsistencias[[#This Row],[R]]*'Tablas de informacion'!C$131)+(TabAsistencias[[#This Row],[PP]]*'Tablas de informacion'!C$132)+(TabAsistencias[[#This Row],[0]]*'Tablas de informacion'!C$133)+(TabAsistencias[[#This Row],[IG]]*'Tablas de informacion'!C$134)+(TabAsistencias[[#This Row],[NA]]*'Tablas de informacion'!C$135)+(TabAsistencias[[#This Row],[DF]]*'Tablas de informacion'!C$136)+(TabAsistencias[[#This Row],[3]]*'Tablas de informacion'!C$137)+(TabAsistencias[[#This Row],[CP]]*'Tablas de informacion'!C$138)+(TabAsistencias[[#This Row],[I]]*'Tablas de informacion'!C$139)+(TabAsistencias[[#This Row],[T/2]]*'Tablas de informacion'!C$140)+(TabAsistencias[[#This Row],[ME]]*'Tablas de informacion'!C$141)+(TabAsistencias[[#This Row],[DP]]*'Tablas de informacion'!C$142)+(TabAsistencias[[#This Row],[B]]*'Tablas de informacion'!C$143)-INT(TabAsistencias[[#This Row],[R]]/3)</f>
        <v>30</v>
      </c>
      <c r="QJ54" s="74">
        <f>COUNTIFS($C$27:$PN$27,("&lt;"&amp;$B$3),$C$27:$PN$27,("&gt;="&amp;$B$2),$C$28:$PN$28,1,$C54:$PN54,TabAsistencias[[#Headers],[1]])+
COUNTIFS($C$27:$PN$27,("&lt;"&amp;$B$3),$C$27:$PN$27,("&gt;="&amp;$B$2),$C$28:$PN$28,1,$C54:$PN54,TabAsistencias[[#Headers],[DO]])+
COUNTIFS($C$27:$PN$27,("&lt;"&amp;$B$3),$C$27:$PN$27,("&gt;="&amp;$B$2),$C$28:$PN$28,1,$C54:$PN54,TabAsistencias[[#Headers],[R]])+
COUNTIFS($C$27:$PN$27,("&lt;"&amp;$B$3),$C$27:$PN$27,("&gt;="&amp;$B$2),$C$28:$PN$28,1,$C54:$PN54,TabAsistencias[[#Headers],[NA]])+
COUNTIFS($C$27:$PN$27,("&lt;"&amp;$B$3),$C$27:$PN$27,("&gt;="&amp;$B$2),$C$28:$PN$28,1,$C54:$PN54,TabAsistencias[[#Headers],[DF]])+
COUNTIFS($C$27:$PN$27,("&lt;"&amp;$B$3),$C$27:$PN$27,("&gt;="&amp;$B$2),$C$28:$PN$28,1,$C54:$PN54,TabAsistencias[[#Headers],[3]])+
COUNTIFS($C$27:$PN$27,("&lt;"&amp;$B$3),$C$27:$PN$27,("&gt;="&amp;$B$2),$C$28:$PN$28,1,$C54:$PN54,TabAsistencias[[#Headers],[CP]])+
COUNTIFS($C$27:$PN$27,("&lt;"&amp;$B$3),$C$27:$PN$27,("&gt;="&amp;$B$2),$C$28:$PN$28,1,$C54:$PN54,TabAsistencias[[#Headers],[T/2]])</f>
        <v>4</v>
      </c>
      <c r="QK54" s="315" cm="1">
        <f t="array" ref="QK54">IFERROR(VLOOKUP(
DATEDIF((VLOOKUP(TabAsistencias[[#This Row],[ID]],TabEmpleados[],COLUMN(TabEmpleados[Fecha de ingreso]),FALSE)),Asistencias!$B$3,"Y"),
TabFactorIntegracion[],COLUMN(TabFactorIntegracion[Días vacacionales
establecidos por ley]),FALSE),0)
-
COUNTIF($AH54:$PN54,TabAsistencias[[#Headers],[V]])</f>
        <v>12</v>
      </c>
      <c r="QL54" s="319">
        <f>SUM(TabAsistencias[[#This Row],[''1]],TabAsistencias[[#This Row],[''DE]],TabAsistencias[[#This Row],[''DO]],TabAsistencias[[#This Row],[''R]],TabAsistencias[[#This Row],[''NA]],TabAsistencias[[#This Row],[''DF]],TabAsistencias[[#This Row],[''3]],TabAsistencias[[#This Row],[''CP]],TabAsistencias[[#This Row],[''T/2]],TabAsistencias[[#This Row],[''DP]])</f>
        <v>73</v>
      </c>
      <c r="QM54" s="314">
        <f>COUNTIFS($C$27:$PN$27,("&lt;"&amp;$B$5),$C$27:$PN$27,("&gt;="&amp;$B$4),$C54:$PN54,TabAsistencias[[#Headers],[1]])</f>
        <v>73</v>
      </c>
      <c r="QN54" s="314">
        <f>COUNTIFS($C$27:$PN$27,("&lt;"&amp;$B$5),$C$27:$PN$27,("&gt;="&amp;$B$4),$C54:$PN54,TabAsistencias[[#Headers],[DE]])</f>
        <v>0</v>
      </c>
      <c r="QO54" s="314">
        <f>COUNTIFS($C$27:$PN$27,("&lt;"&amp;$B$5),$C$27:$PN$27,("&gt;="&amp;$B$4),$C54:$PN54,TabAsistencias[[#Headers],[V]])</f>
        <v>0</v>
      </c>
      <c r="QP54" s="314">
        <f>COUNTIFS($C$27:$PN$27,("&lt;"&amp;$B$5),$C$27:$PN$27,("&gt;="&amp;$B$4),$C54:$PN54,TabAsistencias[[#Headers],[DO]])</f>
        <v>0</v>
      </c>
      <c r="QQ54" s="314">
        <f>COUNTIFS($C$27:$PN$27,("&lt;"&amp;$B$5),$C$27:$PN$27,("&gt;="&amp;$B$4),$C54:$PN54,TabAsistencias[[#Headers],[P]])</f>
        <v>0</v>
      </c>
      <c r="QR54" s="314">
        <f>COUNTIFS($C$27:$PN$27,("&lt;"&amp;$B$5),$C$27:$PN$27,("&gt;="&amp;$B$4),$C54:$PN54,TabAsistencias[[#Headers],[F]])</f>
        <v>0</v>
      </c>
      <c r="QS54" s="314">
        <f>COUNTIFS($C$27:$PN$27,("&lt;"&amp;$B$5),$C$27:$PN$27,("&gt;="&amp;$B$4),$C54:$PN54,TabAsistencias[[#Headers],[R]])</f>
        <v>0</v>
      </c>
      <c r="QT54" s="314">
        <f>COUNTIFS($C$27:$PN$27,("&lt;"&amp;$B$5),$C$27:$PN$27,("&gt;="&amp;$B$4),$C54:$PN54,TabAsistencias[[#Headers],[PP]])</f>
        <v>0</v>
      </c>
      <c r="QU54" s="314">
        <f>COUNTIFS($C$27:$PN$27,("&lt;"&amp;$B$5),$C$27:$PN$27,("&gt;="&amp;$B$4),$C54:$PN54,TabAsistencias[[#Headers],[0]])</f>
        <v>0</v>
      </c>
      <c r="QV54" s="314">
        <f>COUNTIFS($C$27:$PN$27,("&lt;"&amp;$B$5),$C$27:$PN$27,("&gt;="&amp;$B$4),$C54:$PN54,TabAsistencias[[#Headers],[IG]])</f>
        <v>0</v>
      </c>
      <c r="QW54" s="314">
        <f>COUNTIFS($C$27:$PN$27,("&lt;"&amp;$B$5),$C$27:$PN$27,("&gt;="&amp;$B$4),$C54:$PN54,TabAsistencias[[#Headers],[NA]])</f>
        <v>0</v>
      </c>
      <c r="QX54" s="314">
        <f>COUNTIFS($C$27:$PN$27,("&lt;"&amp;$B$5),$C$27:$PN$27,("&gt;="&amp;$B$4),$C54:$PN54,TabAsistencias[[#Headers],[DF]])</f>
        <v>0</v>
      </c>
      <c r="QY54" s="314">
        <f>COUNTIFS($C$27:$PN$27,("&lt;"&amp;$B$5),$C$27:$PN$27,("&gt;="&amp;$B$4),$C54:$PN54,TabAsistencias[[#Headers],[3]])</f>
        <v>0</v>
      </c>
      <c r="QZ54" s="314">
        <f>COUNTIFS($C$27:$PN$27,("&lt;"&amp;$B$5),$C$27:$PN$27,("&gt;="&amp;$B$4),$C54:$PN54,TabAsistencias[[#Headers],[CP]])</f>
        <v>0</v>
      </c>
      <c r="RA54" s="314">
        <f>COUNTIFS($C$27:$PN$27,("&lt;"&amp;$B$5),$C$27:$PN$27,("&gt;="&amp;$B$4),$C54:$PN54,TabAsistencias[[#Headers],[I]])</f>
        <v>0</v>
      </c>
      <c r="RB54" s="314">
        <f>COUNTIFS($C$27:$PN$27,("&lt;"&amp;$B$5),$C$27:$PN$27,("&gt;="&amp;$B$4),$C54:$PN54,TabAsistencias[[#Headers],[T/2]])</f>
        <v>0</v>
      </c>
      <c r="RC54" s="314">
        <f>COUNTIFS($C$27:$PN$27,("&lt;"&amp;$B$5),$C$27:$PN$27,("&gt;="&amp;$B$4),$C54:$PN54,TabAsistencias[[#Headers],[ME]])</f>
        <v>0</v>
      </c>
      <c r="RD54" s="314">
        <f>COUNTIFS($C$27:$PN$27,("&lt;"&amp;$B$5),$C$27:$PN$27,("&gt;="&amp;$B$4),$C54:$PN54,TabAsistencias[[#Headers],[DP]])</f>
        <v>0</v>
      </c>
      <c r="RE54" s="314">
        <f>COUNTIFS($C$27:$PN$27,("&lt;"&amp;$B$5),$C$27:$PN$27,("&gt;="&amp;$B$4),$C54:$PN54,TabAsistencias[[#Headers],[B]])</f>
        <v>0</v>
      </c>
      <c r="RF54" s="314">
        <f>COUNTIFS($C$27:$PN$27,("&lt;"&amp;$B$5),$C$27:$PN$27,("&gt;="&amp;$B$4),$C$28:$PN$28,1,$C54:$PN54,TabAsistencias[[#Headers],[1]])+
COUNTIFS($C$27:$PN$27,("&lt;"&amp;$B$5),$C$27:$PN$27,("&gt;="&amp;$B$4),$C$28:$PN$28,1,$C54:$PN54,TabAsistencias[[#Headers],[DO]])+
COUNTIFS($C$27:$PN$27,("&lt;"&amp;$B$5),$C$27:$PN$27,("&gt;="&amp;$B$4),$C$28:$PN$28,1,$C54:$PN54,TabAsistencias[[#Headers],[R]])+
COUNTIFS($C$27:$PN$27,("&lt;"&amp;$B$5),$C$27:$PN$27,("&gt;="&amp;$B$4),$C$28:$PN$28,1,$C54:$PN54,TabAsistencias[[#Headers],[NA]])+
COUNTIFS($C$27:$PN$27,("&lt;"&amp;$B$5),$C$27:$PN$27,("&gt;="&amp;$B$4),$C$28:$PN$28,1,$C54:$PN54,TabAsistencias[[#Headers],[DF]])+
COUNTIFS($C$27:$PN$27,("&lt;"&amp;$B$5),$C$27:$PN$27,("&gt;="&amp;$B$4),$C$28:$PN$28,1,$C54:$PN54,TabAsistencias[[#Headers],[3]])+
COUNTIFS($C$27:$PN$27,("&lt;"&amp;$B$5),$C$27:$PN$27,("&gt;="&amp;$B$4),$C$28:$PN$28,1,$C54:$PN54,TabAsistencias[[#Headers],[CP]])+
COUNTIFS($C$27:$PN$27,("&lt;"&amp;$B$5),$C$27:$PN$27,("&gt;="&amp;$B$4),$C$28:$PN$28,1,$C54:$PN54,TabAsistencias[[#Headers],[T/2]])</f>
        <v>11</v>
      </c>
      <c r="RG54" s="320" cm="1">
        <f t="array" ref="RG54">IFERROR(VLOOKUP(
DATEDIF((VLOOKUP(TabAsistencias[[#This Row],[ID]],TabEmpleados[],COLUMN(TabEmpleados[Fecha de alta NSS]),FALSE)),Asistencias!$B$3,"Y"),
TabFactorIntegracion[],COLUMN(TabFactorIntegracion[Días vacacionales
establecidos por ley]),FALSE),0)
-
COUNTIF($AH54:$PN54,TabAsistencias[[#Headers],[V]])</f>
        <v>12</v>
      </c>
    </row>
    <row r="55" spans="1:475" x14ac:dyDescent="0.25">
      <c r="A55" s="92">
        <f t="shared" si="434"/>
        <v>25</v>
      </c>
      <c r="B55" s="30" t="str" cm="1">
        <f t="array" ref="B55">VLOOKUP(TabAsistencias[[#This Row],[ID]],TabEmpleados[],COLUMN(TabEmpleados[Nombre]),FALSE)</f>
        <v>DE LA CRUZ BARTOLO JOSE LUIS</v>
      </c>
      <c r="C55" s="36" t="s">
        <v>139</v>
      </c>
      <c r="D55" s="36" t="s">
        <v>139</v>
      </c>
      <c r="E55" s="36" t="s">
        <v>139</v>
      </c>
      <c r="F55" s="36" t="s">
        <v>139</v>
      </c>
      <c r="G55" s="36" t="s">
        <v>139</v>
      </c>
      <c r="H55" s="36" t="s">
        <v>139</v>
      </c>
      <c r="I55" s="36" t="s">
        <v>139</v>
      </c>
      <c r="J55" s="36" t="s">
        <v>139</v>
      </c>
      <c r="K55" s="36" t="s">
        <v>139</v>
      </c>
      <c r="L55" s="36" t="s">
        <v>139</v>
      </c>
      <c r="M55" s="36" t="s">
        <v>139</v>
      </c>
      <c r="N55" s="36" t="s">
        <v>139</v>
      </c>
      <c r="O55" s="36" t="s">
        <v>139</v>
      </c>
      <c r="P55" s="36" t="s">
        <v>139</v>
      </c>
      <c r="Q55" s="36" t="s">
        <v>139</v>
      </c>
      <c r="R55" s="36" t="s">
        <v>139</v>
      </c>
      <c r="S55" s="36" t="s">
        <v>139</v>
      </c>
      <c r="T55" s="36" t="s">
        <v>139</v>
      </c>
      <c r="U55" s="36" t="s">
        <v>139</v>
      </c>
      <c r="V55" s="36" t="s">
        <v>139</v>
      </c>
      <c r="W55" s="36" t="s">
        <v>139</v>
      </c>
      <c r="X55" s="36" t="s">
        <v>139</v>
      </c>
      <c r="Y55" s="36" t="s">
        <v>139</v>
      </c>
      <c r="Z55" s="36" t="s">
        <v>139</v>
      </c>
      <c r="AA55" s="36" t="s">
        <v>139</v>
      </c>
      <c r="AB55" s="36" t="s">
        <v>139</v>
      </c>
      <c r="AC55" s="36" t="s">
        <v>139</v>
      </c>
      <c r="AD55" s="36" t="s">
        <v>139</v>
      </c>
      <c r="AE55" s="36" t="s">
        <v>139</v>
      </c>
      <c r="AF55" s="36" t="s">
        <v>139</v>
      </c>
      <c r="AG55" s="36" t="s">
        <v>139</v>
      </c>
      <c r="AH55" s="36" t="s">
        <v>139</v>
      </c>
      <c r="AI55" s="36" t="s">
        <v>139</v>
      </c>
      <c r="AJ55" s="36" t="s">
        <v>139</v>
      </c>
      <c r="AK55" s="36" t="s">
        <v>139</v>
      </c>
      <c r="AL55" s="36" t="s">
        <v>139</v>
      </c>
      <c r="AM55" s="36" t="s">
        <v>139</v>
      </c>
      <c r="AN55" s="36" t="s">
        <v>139</v>
      </c>
      <c r="AO55" s="36" t="s">
        <v>139</v>
      </c>
      <c r="AP55" s="36" t="s">
        <v>139</v>
      </c>
      <c r="AQ55" s="36" t="s">
        <v>139</v>
      </c>
      <c r="AR55" s="36" t="s">
        <v>139</v>
      </c>
      <c r="AS55" s="36" t="s">
        <v>139</v>
      </c>
      <c r="AT55" s="36" t="s">
        <v>139</v>
      </c>
      <c r="AU55" s="36" t="s">
        <v>139</v>
      </c>
      <c r="AV55" s="36" t="s">
        <v>139</v>
      </c>
      <c r="AW55" s="36" t="s">
        <v>139</v>
      </c>
      <c r="AX55" s="36" t="s">
        <v>139</v>
      </c>
      <c r="AY55" s="36" t="s">
        <v>139</v>
      </c>
      <c r="AZ55" s="36" t="s">
        <v>139</v>
      </c>
      <c r="BA55" s="36" t="s">
        <v>139</v>
      </c>
      <c r="BB55" s="36" t="s">
        <v>139</v>
      </c>
      <c r="BC55" s="36" t="s">
        <v>139</v>
      </c>
      <c r="BD55" s="36" t="s">
        <v>139</v>
      </c>
      <c r="BE55" s="36" t="s">
        <v>139</v>
      </c>
      <c r="BF55" s="36" t="s">
        <v>139</v>
      </c>
      <c r="BG55" s="36" t="s">
        <v>139</v>
      </c>
      <c r="BH55" s="36" t="s">
        <v>139</v>
      </c>
      <c r="BI55" s="36" t="s">
        <v>139</v>
      </c>
      <c r="BJ55" s="36" t="s">
        <v>139</v>
      </c>
      <c r="BK55" s="36" t="s">
        <v>139</v>
      </c>
      <c r="BL55" s="36" t="s">
        <v>139</v>
      </c>
      <c r="BM55" s="36" t="s">
        <v>139</v>
      </c>
      <c r="BN55" s="36" t="s">
        <v>139</v>
      </c>
      <c r="BO55" s="36" t="s">
        <v>139</v>
      </c>
      <c r="BP55" s="36" t="s">
        <v>139</v>
      </c>
      <c r="BQ55" s="36" t="s">
        <v>139</v>
      </c>
      <c r="BR55" s="36" t="s">
        <v>139</v>
      </c>
      <c r="BS55" s="36" t="s">
        <v>139</v>
      </c>
      <c r="BT55" s="36" t="s">
        <v>139</v>
      </c>
      <c r="BU55" s="36" t="s">
        <v>139</v>
      </c>
      <c r="BV55" s="36" t="s">
        <v>139</v>
      </c>
      <c r="BW55" s="36" t="s">
        <v>139</v>
      </c>
      <c r="BX55" s="36" t="s">
        <v>139</v>
      </c>
      <c r="BY55" s="36" t="s">
        <v>139</v>
      </c>
      <c r="BZ55" s="36" t="s">
        <v>139</v>
      </c>
      <c r="CA55" s="36" t="s">
        <v>139</v>
      </c>
      <c r="CB55" s="36" t="s">
        <v>139</v>
      </c>
      <c r="CC55" s="36" t="s">
        <v>139</v>
      </c>
      <c r="CD55" s="36" t="s">
        <v>139</v>
      </c>
      <c r="CE55" s="36" t="s">
        <v>139</v>
      </c>
      <c r="CF55" s="36" t="s">
        <v>139</v>
      </c>
      <c r="CG55" s="36" t="s">
        <v>139</v>
      </c>
      <c r="CH55" s="36" t="s">
        <v>139</v>
      </c>
      <c r="CI55" s="36" t="s">
        <v>139</v>
      </c>
      <c r="CJ55" s="36" t="s">
        <v>139</v>
      </c>
      <c r="CK55" s="36" t="s">
        <v>139</v>
      </c>
      <c r="CL55" s="36" t="s">
        <v>139</v>
      </c>
      <c r="CM55" s="36" t="s">
        <v>139</v>
      </c>
      <c r="CN55" s="36" t="s">
        <v>139</v>
      </c>
      <c r="CO55" s="36" t="s">
        <v>139</v>
      </c>
      <c r="CP55" s="36" t="s">
        <v>139</v>
      </c>
      <c r="CQ55" s="36" t="s">
        <v>139</v>
      </c>
      <c r="CR55" s="36" t="s">
        <v>139</v>
      </c>
      <c r="CS55" s="36" t="s">
        <v>139</v>
      </c>
      <c r="CT55" s="36" t="s">
        <v>139</v>
      </c>
      <c r="CU55" s="36" t="s">
        <v>139</v>
      </c>
      <c r="CV55" s="36" t="s">
        <v>139</v>
      </c>
      <c r="CW55" s="36" t="s">
        <v>139</v>
      </c>
      <c r="CX55" s="36" t="s">
        <v>139</v>
      </c>
      <c r="CY55" s="36" t="s">
        <v>139</v>
      </c>
      <c r="CZ55" s="36" t="s">
        <v>139</v>
      </c>
      <c r="DA55" s="36" t="s">
        <v>139</v>
      </c>
      <c r="DB55" s="36" t="s">
        <v>139</v>
      </c>
      <c r="DC55" s="36" t="s">
        <v>139</v>
      </c>
      <c r="DD55" s="36" t="s">
        <v>139</v>
      </c>
      <c r="DE55" s="36" t="s">
        <v>139</v>
      </c>
      <c r="DF55" s="36" t="s">
        <v>139</v>
      </c>
      <c r="DG55" s="36" t="s">
        <v>139</v>
      </c>
      <c r="DH55" s="36" t="s">
        <v>139</v>
      </c>
      <c r="DI55" s="36" t="s">
        <v>139</v>
      </c>
      <c r="DJ55" s="36" t="s">
        <v>139</v>
      </c>
      <c r="DK55" s="36" t="s">
        <v>139</v>
      </c>
      <c r="DL55" s="36" t="s">
        <v>139</v>
      </c>
      <c r="DM55" s="36" t="s">
        <v>139</v>
      </c>
      <c r="DN55" s="36" t="s">
        <v>139</v>
      </c>
      <c r="DO55" s="36" t="s">
        <v>139</v>
      </c>
      <c r="DP55" s="36" t="s">
        <v>139</v>
      </c>
      <c r="DQ55" s="36" t="s">
        <v>139</v>
      </c>
      <c r="DR55" s="36" t="s">
        <v>139</v>
      </c>
      <c r="DS55" s="36" t="s">
        <v>139</v>
      </c>
      <c r="DT55" s="36" t="s">
        <v>139</v>
      </c>
      <c r="DU55" s="36" t="s">
        <v>139</v>
      </c>
      <c r="DV55" s="36" t="s">
        <v>139</v>
      </c>
      <c r="DW55" s="36" t="s">
        <v>139</v>
      </c>
      <c r="DX55" s="36" t="s">
        <v>139</v>
      </c>
      <c r="DY55" s="36" t="s">
        <v>139</v>
      </c>
      <c r="DZ55" s="36" t="s">
        <v>139</v>
      </c>
      <c r="EA55" s="36" t="s">
        <v>139</v>
      </c>
      <c r="EB55" s="36" t="s">
        <v>139</v>
      </c>
      <c r="EC55" s="36" t="s">
        <v>139</v>
      </c>
      <c r="ED55" s="36" t="s">
        <v>139</v>
      </c>
      <c r="EE55" s="36" t="s">
        <v>139</v>
      </c>
      <c r="EF55" s="36" t="s">
        <v>139</v>
      </c>
      <c r="EG55" s="36" t="s">
        <v>139</v>
      </c>
      <c r="EH55" s="36" t="s">
        <v>139</v>
      </c>
      <c r="EI55" s="36" t="s">
        <v>139</v>
      </c>
      <c r="EJ55" s="36" t="s">
        <v>139</v>
      </c>
      <c r="EK55" s="36" t="s">
        <v>139</v>
      </c>
      <c r="EL55" s="36" t="s">
        <v>139</v>
      </c>
      <c r="EM55" s="36" t="s">
        <v>139</v>
      </c>
      <c r="EN55" s="36" t="s">
        <v>139</v>
      </c>
      <c r="EO55" s="36" t="s">
        <v>139</v>
      </c>
      <c r="EP55" s="36" t="s">
        <v>139</v>
      </c>
      <c r="EQ55" s="36" t="s">
        <v>139</v>
      </c>
      <c r="ER55" s="36" t="s">
        <v>139</v>
      </c>
      <c r="ES55" s="36" t="s">
        <v>139</v>
      </c>
      <c r="ET55" s="36" t="s">
        <v>139</v>
      </c>
      <c r="EU55" s="36" t="s">
        <v>139</v>
      </c>
      <c r="EV55" s="36" t="s">
        <v>139</v>
      </c>
      <c r="EW55" s="36" t="s">
        <v>139</v>
      </c>
      <c r="EX55" s="36" t="s">
        <v>139</v>
      </c>
      <c r="EY55" s="36" t="s">
        <v>139</v>
      </c>
      <c r="EZ55" s="36" t="s">
        <v>139</v>
      </c>
      <c r="FA55" s="36" t="s">
        <v>139</v>
      </c>
      <c r="FB55" s="36" t="s">
        <v>139</v>
      </c>
      <c r="FC55" s="36" t="s">
        <v>139</v>
      </c>
      <c r="FD55" s="36" t="s">
        <v>139</v>
      </c>
      <c r="FE55" s="36" t="s">
        <v>139</v>
      </c>
      <c r="FF55" s="36" t="s">
        <v>139</v>
      </c>
      <c r="FG55" s="36" t="s">
        <v>139</v>
      </c>
      <c r="FH55" s="36" t="s">
        <v>139</v>
      </c>
      <c r="FI55" s="36" t="s">
        <v>139</v>
      </c>
      <c r="FJ55" s="36" t="s">
        <v>139</v>
      </c>
      <c r="FK55" s="36" t="s">
        <v>139</v>
      </c>
      <c r="FL55" s="36" t="s">
        <v>139</v>
      </c>
      <c r="FM55" s="36" t="s">
        <v>139</v>
      </c>
      <c r="FN55" s="36" t="s">
        <v>139</v>
      </c>
      <c r="FO55" s="36" t="s">
        <v>139</v>
      </c>
      <c r="FP55" s="36" t="s">
        <v>139</v>
      </c>
      <c r="FQ55" s="36" t="s">
        <v>139</v>
      </c>
      <c r="FR55" s="36" t="s">
        <v>139</v>
      </c>
      <c r="FS55" s="36" t="s">
        <v>139</v>
      </c>
      <c r="FT55" s="36" t="s">
        <v>139</v>
      </c>
      <c r="FU55" s="36" t="s">
        <v>139</v>
      </c>
      <c r="FV55" s="36" t="s">
        <v>139</v>
      </c>
      <c r="FW55" s="36" t="s">
        <v>139</v>
      </c>
      <c r="FX55" s="36" t="s">
        <v>139</v>
      </c>
      <c r="FY55" s="36" t="s">
        <v>139</v>
      </c>
      <c r="FZ55" s="36" t="s">
        <v>139</v>
      </c>
      <c r="GA55" s="36" t="s">
        <v>139</v>
      </c>
      <c r="GB55" s="36" t="s">
        <v>139</v>
      </c>
      <c r="GC55" s="36" t="s">
        <v>139</v>
      </c>
      <c r="GD55" s="36" t="s">
        <v>139</v>
      </c>
      <c r="GE55" s="36" t="s">
        <v>139</v>
      </c>
      <c r="GF55" s="36" t="s">
        <v>139</v>
      </c>
      <c r="GG55" s="36" t="s">
        <v>139</v>
      </c>
      <c r="GH55" s="36" t="s">
        <v>139</v>
      </c>
      <c r="GI55" s="36" t="s">
        <v>139</v>
      </c>
      <c r="GJ55" s="36" t="s">
        <v>139</v>
      </c>
      <c r="GK55" s="36" t="s">
        <v>139</v>
      </c>
      <c r="GL55" s="36" t="s">
        <v>139</v>
      </c>
      <c r="GM55" s="36" t="s">
        <v>139</v>
      </c>
      <c r="GN55" s="36" t="s">
        <v>139</v>
      </c>
      <c r="GO55" s="36" t="s">
        <v>139</v>
      </c>
      <c r="GP55" s="36" t="s">
        <v>139</v>
      </c>
      <c r="GQ55" s="36" t="s">
        <v>139</v>
      </c>
      <c r="GR55" s="36" t="s">
        <v>139</v>
      </c>
      <c r="GS55" s="36" t="s">
        <v>139</v>
      </c>
      <c r="GT55" s="36" t="s">
        <v>139</v>
      </c>
      <c r="GU55" s="36" t="s">
        <v>139</v>
      </c>
      <c r="GV55" s="36" t="s">
        <v>139</v>
      </c>
      <c r="GW55" s="36" t="s">
        <v>139</v>
      </c>
      <c r="GX55" s="36" t="s">
        <v>139</v>
      </c>
      <c r="GY55" s="36" t="s">
        <v>139</v>
      </c>
      <c r="GZ55" s="36" t="s">
        <v>139</v>
      </c>
      <c r="HA55" s="36" t="s">
        <v>139</v>
      </c>
      <c r="HB55" s="36" t="s">
        <v>139</v>
      </c>
      <c r="HC55" s="36" t="s">
        <v>139</v>
      </c>
      <c r="HD55" s="36" t="s">
        <v>139</v>
      </c>
      <c r="HE55" s="36" t="s">
        <v>139</v>
      </c>
      <c r="HF55" s="36" t="s">
        <v>139</v>
      </c>
      <c r="HG55" s="36" t="s">
        <v>139</v>
      </c>
      <c r="HH55" s="36" t="s">
        <v>139</v>
      </c>
      <c r="HI55" s="36" t="s">
        <v>139</v>
      </c>
      <c r="HJ55" s="36" t="s">
        <v>139</v>
      </c>
      <c r="HK55" s="36" t="s">
        <v>139</v>
      </c>
      <c r="HL55" s="36" t="s">
        <v>139</v>
      </c>
      <c r="HM55" s="36" t="s">
        <v>139</v>
      </c>
      <c r="HN55" s="36" t="s">
        <v>139</v>
      </c>
      <c r="HO55" s="36" t="s">
        <v>139</v>
      </c>
      <c r="HP55" s="36" t="s">
        <v>139</v>
      </c>
      <c r="HQ55" s="36" t="s">
        <v>139</v>
      </c>
      <c r="HR55" s="36" t="s">
        <v>139</v>
      </c>
      <c r="HS55" s="36" t="s">
        <v>139</v>
      </c>
      <c r="HT55" s="36" t="s">
        <v>139</v>
      </c>
      <c r="HU55" s="36" t="s">
        <v>139</v>
      </c>
      <c r="HV55" s="36" t="s">
        <v>139</v>
      </c>
      <c r="HW55" s="36" t="s">
        <v>139</v>
      </c>
      <c r="HX55" s="36" t="s">
        <v>139</v>
      </c>
      <c r="HY55" s="36" t="s">
        <v>139</v>
      </c>
      <c r="HZ55" s="36" t="s">
        <v>139</v>
      </c>
      <c r="IA55" s="36" t="s">
        <v>139</v>
      </c>
      <c r="IB55" s="36" t="s">
        <v>139</v>
      </c>
      <c r="IC55" s="36" t="s">
        <v>139</v>
      </c>
      <c r="ID55" s="36" t="s">
        <v>139</v>
      </c>
      <c r="IE55" s="36" t="s">
        <v>139</v>
      </c>
      <c r="IF55" s="36" t="s">
        <v>139</v>
      </c>
      <c r="IG55" s="36" t="s">
        <v>139</v>
      </c>
      <c r="IH55" s="36" t="s">
        <v>139</v>
      </c>
      <c r="II55" s="36" t="s">
        <v>139</v>
      </c>
      <c r="IJ55" s="36" t="s">
        <v>139</v>
      </c>
      <c r="IK55" s="36" t="s">
        <v>139</v>
      </c>
      <c r="IL55" s="36" t="s">
        <v>139</v>
      </c>
      <c r="IM55" s="36" t="s">
        <v>139</v>
      </c>
      <c r="IN55" s="36" t="s">
        <v>139</v>
      </c>
      <c r="IO55" s="36" t="s">
        <v>139</v>
      </c>
      <c r="IP55" s="36" t="s">
        <v>139</v>
      </c>
      <c r="IQ55" s="36" t="s">
        <v>139</v>
      </c>
      <c r="IR55" s="36" t="s">
        <v>139</v>
      </c>
      <c r="IS55" s="36" t="s">
        <v>139</v>
      </c>
      <c r="IT55" s="36" t="s">
        <v>139</v>
      </c>
      <c r="IU55" s="36" t="s">
        <v>139</v>
      </c>
      <c r="IV55" s="36" t="s">
        <v>139</v>
      </c>
      <c r="IW55" s="36" t="s">
        <v>139</v>
      </c>
      <c r="IX55" s="36" t="s">
        <v>139</v>
      </c>
      <c r="IY55" s="36" t="s">
        <v>139</v>
      </c>
      <c r="IZ55" s="36" t="s">
        <v>139</v>
      </c>
      <c r="JA55" s="36" t="s">
        <v>139</v>
      </c>
      <c r="JB55" s="36" t="s">
        <v>139</v>
      </c>
      <c r="JC55" s="36" t="s">
        <v>139</v>
      </c>
      <c r="JD55" s="36" t="s">
        <v>139</v>
      </c>
      <c r="JE55" s="36" t="s">
        <v>139</v>
      </c>
      <c r="JF55" s="36" t="s">
        <v>139</v>
      </c>
      <c r="JG55" s="36" t="s">
        <v>139</v>
      </c>
      <c r="JH55" s="36" t="s">
        <v>139</v>
      </c>
      <c r="JI55" s="36" t="s">
        <v>139</v>
      </c>
      <c r="JJ55" s="36" t="s">
        <v>139</v>
      </c>
      <c r="JK55" s="36" t="s">
        <v>139</v>
      </c>
      <c r="JL55" s="36" t="s">
        <v>139</v>
      </c>
      <c r="JM55" s="36" t="s">
        <v>139</v>
      </c>
      <c r="JN55" s="36" t="s">
        <v>139</v>
      </c>
      <c r="JO55" s="36" t="s">
        <v>139</v>
      </c>
      <c r="JP55" s="36" t="s">
        <v>139</v>
      </c>
      <c r="JQ55" s="36" t="s">
        <v>139</v>
      </c>
      <c r="JR55" s="36" t="s">
        <v>139</v>
      </c>
      <c r="JS55" s="36" t="s">
        <v>139</v>
      </c>
      <c r="JT55" s="36" t="s">
        <v>139</v>
      </c>
      <c r="JU55" s="36" t="s">
        <v>139</v>
      </c>
      <c r="JV55" s="36" t="s">
        <v>139</v>
      </c>
      <c r="JW55" s="36" t="s">
        <v>139</v>
      </c>
      <c r="JX55" s="36" t="s">
        <v>139</v>
      </c>
      <c r="JY55" s="36" t="s">
        <v>139</v>
      </c>
      <c r="JZ55" s="36" t="s">
        <v>139</v>
      </c>
      <c r="KA55" s="36" t="s">
        <v>139</v>
      </c>
      <c r="KB55" s="36" t="s">
        <v>139</v>
      </c>
      <c r="KC55" s="36" t="s">
        <v>139</v>
      </c>
      <c r="KD55" s="36" t="s">
        <v>139</v>
      </c>
      <c r="KE55" s="36" t="s">
        <v>139</v>
      </c>
      <c r="KF55" s="36" t="s">
        <v>139</v>
      </c>
      <c r="KG55" s="36" t="s">
        <v>139</v>
      </c>
      <c r="KH55" s="36" t="s">
        <v>139</v>
      </c>
      <c r="KI55" s="36" t="s">
        <v>139</v>
      </c>
      <c r="KJ55" s="36" t="s">
        <v>139</v>
      </c>
      <c r="KK55" s="36" t="s">
        <v>139</v>
      </c>
      <c r="KL55" s="36" t="s">
        <v>139</v>
      </c>
      <c r="KM55" s="36" t="s">
        <v>139</v>
      </c>
      <c r="KN55" s="36" t="s">
        <v>139</v>
      </c>
      <c r="KO55" s="36" t="s">
        <v>139</v>
      </c>
      <c r="KP55" s="36" t="s">
        <v>139</v>
      </c>
      <c r="KQ55" s="36" t="s">
        <v>139</v>
      </c>
      <c r="KR55" s="36" t="s">
        <v>139</v>
      </c>
      <c r="KS55" s="36" t="s">
        <v>139</v>
      </c>
      <c r="KT55" s="36" t="s">
        <v>139</v>
      </c>
      <c r="KU55" s="36" t="s">
        <v>139</v>
      </c>
      <c r="KV55" s="36" t="s">
        <v>139</v>
      </c>
      <c r="KW55" s="36" t="s">
        <v>139</v>
      </c>
      <c r="KX55" s="36" t="s">
        <v>139</v>
      </c>
      <c r="KY55" s="36" t="s">
        <v>139</v>
      </c>
      <c r="KZ55" s="36" t="s">
        <v>139</v>
      </c>
      <c r="LA55" s="36" t="s">
        <v>139</v>
      </c>
      <c r="LB55" s="36" t="s">
        <v>139</v>
      </c>
      <c r="LC55" s="36" t="s">
        <v>139</v>
      </c>
      <c r="LD55" s="36" t="s">
        <v>139</v>
      </c>
      <c r="LE55" s="36" t="s">
        <v>139</v>
      </c>
      <c r="LF55" s="36" t="s">
        <v>139</v>
      </c>
      <c r="LG55" s="36" t="s">
        <v>139</v>
      </c>
      <c r="LH55" s="36" t="s">
        <v>139</v>
      </c>
      <c r="LI55" s="36" t="s">
        <v>139</v>
      </c>
      <c r="LJ55" s="36" t="s">
        <v>139</v>
      </c>
      <c r="LK55" s="36" t="s">
        <v>139</v>
      </c>
      <c r="LL55" s="36" t="s">
        <v>139</v>
      </c>
      <c r="LM55" s="36" t="s">
        <v>139</v>
      </c>
      <c r="LN55" s="36" t="s">
        <v>139</v>
      </c>
      <c r="LO55" s="36" t="s">
        <v>139</v>
      </c>
      <c r="LP55" s="36" t="s">
        <v>139</v>
      </c>
      <c r="LQ55" s="36" t="s">
        <v>139</v>
      </c>
      <c r="LR55" s="36" t="s">
        <v>139</v>
      </c>
      <c r="LS55" s="36" t="s">
        <v>139</v>
      </c>
      <c r="LT55" s="36" t="s">
        <v>139</v>
      </c>
      <c r="LU55" s="36" t="s">
        <v>139</v>
      </c>
      <c r="LV55" s="36" t="s">
        <v>139</v>
      </c>
      <c r="LW55" s="36" t="s">
        <v>139</v>
      </c>
      <c r="LX55" s="36" t="s">
        <v>139</v>
      </c>
      <c r="LY55" s="36" t="s">
        <v>139</v>
      </c>
      <c r="LZ55" s="36" t="s">
        <v>139</v>
      </c>
      <c r="MA55" s="36" t="s">
        <v>139</v>
      </c>
      <c r="MB55" s="36" t="s">
        <v>139</v>
      </c>
      <c r="MC55" s="36" t="s">
        <v>139</v>
      </c>
      <c r="MD55" s="36" t="s">
        <v>139</v>
      </c>
      <c r="ME55" s="36" t="s">
        <v>139</v>
      </c>
      <c r="MF55" s="36" t="s">
        <v>139</v>
      </c>
      <c r="MG55" s="36" t="s">
        <v>139</v>
      </c>
      <c r="MH55" s="36" t="s">
        <v>139</v>
      </c>
      <c r="MI55" s="36" t="s">
        <v>139</v>
      </c>
      <c r="MJ55" s="36" t="s">
        <v>139</v>
      </c>
      <c r="MK55" s="36" t="s">
        <v>139</v>
      </c>
      <c r="ML55" s="36" t="s">
        <v>139</v>
      </c>
      <c r="MM55" s="36" t="s">
        <v>139</v>
      </c>
      <c r="MN55" s="36" t="s">
        <v>139</v>
      </c>
      <c r="MO55" s="36" t="s">
        <v>139</v>
      </c>
      <c r="MP55" s="36" t="s">
        <v>139</v>
      </c>
      <c r="MQ55" s="36" t="s">
        <v>139</v>
      </c>
      <c r="MR55" s="36" t="s">
        <v>139</v>
      </c>
      <c r="MS55" s="36" t="s">
        <v>139</v>
      </c>
      <c r="MT55" s="36" t="s">
        <v>139</v>
      </c>
      <c r="MU55" s="36" t="s">
        <v>139</v>
      </c>
      <c r="MV55" s="36" t="s">
        <v>139</v>
      </c>
      <c r="MW55" s="36" t="s">
        <v>139</v>
      </c>
      <c r="MX55" s="36" t="s">
        <v>139</v>
      </c>
      <c r="MY55" s="36" t="s">
        <v>139</v>
      </c>
      <c r="MZ55" s="36" t="s">
        <v>139</v>
      </c>
      <c r="NA55" s="36" t="s">
        <v>139</v>
      </c>
      <c r="NB55" s="36" t="s">
        <v>139</v>
      </c>
      <c r="NC55" s="36" t="s">
        <v>139</v>
      </c>
      <c r="ND55" s="36" t="s">
        <v>139</v>
      </c>
      <c r="NE55" s="36" t="s">
        <v>139</v>
      </c>
      <c r="NF55" s="36" t="s">
        <v>139</v>
      </c>
      <c r="NG55" s="36" t="s">
        <v>139</v>
      </c>
      <c r="NH55" s="36" t="s">
        <v>139</v>
      </c>
      <c r="NI55" s="36" t="s">
        <v>139</v>
      </c>
      <c r="NJ55" s="36" t="s">
        <v>139</v>
      </c>
      <c r="NK55" s="36" t="s">
        <v>139</v>
      </c>
      <c r="NL55" s="36" t="s">
        <v>139</v>
      </c>
      <c r="NM55" s="36" t="s">
        <v>139</v>
      </c>
      <c r="NN55" s="36" t="s">
        <v>139</v>
      </c>
      <c r="NO55" s="36" t="s">
        <v>139</v>
      </c>
      <c r="NP55" s="36" t="s">
        <v>139</v>
      </c>
      <c r="NQ55" s="36" t="s">
        <v>139</v>
      </c>
      <c r="NR55" s="36" t="s">
        <v>139</v>
      </c>
      <c r="NS55" s="36" t="s">
        <v>139</v>
      </c>
      <c r="NT55" s="36" t="s">
        <v>139</v>
      </c>
      <c r="NU55" s="36" t="s">
        <v>139</v>
      </c>
      <c r="NV55" s="36" t="s">
        <v>139</v>
      </c>
      <c r="NW55" s="36" t="s">
        <v>139</v>
      </c>
      <c r="NX55" s="36" t="s">
        <v>139</v>
      </c>
      <c r="NY55" s="36" t="s">
        <v>139</v>
      </c>
      <c r="NZ55" s="36" t="s">
        <v>139</v>
      </c>
      <c r="OA55" s="36" t="s">
        <v>139</v>
      </c>
      <c r="OB55" s="36" t="s">
        <v>139</v>
      </c>
      <c r="OC55" s="36" t="s">
        <v>139</v>
      </c>
      <c r="OD55" s="36" t="s">
        <v>139</v>
      </c>
      <c r="OE55" s="36" t="s">
        <v>139</v>
      </c>
      <c r="OF55" s="36" t="s">
        <v>139</v>
      </c>
      <c r="OG55" s="36" t="s">
        <v>139</v>
      </c>
      <c r="OH55" s="36" t="s">
        <v>139</v>
      </c>
      <c r="OI55" s="36" t="s">
        <v>139</v>
      </c>
      <c r="OJ55" s="36" t="s">
        <v>139</v>
      </c>
      <c r="OK55" s="36" t="s">
        <v>139</v>
      </c>
      <c r="OL55" s="36" t="s">
        <v>139</v>
      </c>
      <c r="OM55" s="36" t="s">
        <v>139</v>
      </c>
      <c r="ON55" s="36" t="s">
        <v>139</v>
      </c>
      <c r="OO55" s="36" t="s">
        <v>139</v>
      </c>
      <c r="OP55" s="36" t="s">
        <v>139</v>
      </c>
      <c r="OQ55" s="36" t="s">
        <v>139</v>
      </c>
      <c r="OR55" s="36" t="s">
        <v>139</v>
      </c>
      <c r="OS55" s="36" t="s">
        <v>139</v>
      </c>
      <c r="OT55" s="36" t="s">
        <v>139</v>
      </c>
      <c r="OU55" s="36" t="s">
        <v>139</v>
      </c>
      <c r="OV55" s="36" t="s">
        <v>139</v>
      </c>
      <c r="OW55" s="36" t="s">
        <v>139</v>
      </c>
      <c r="OX55" s="36" t="s">
        <v>139</v>
      </c>
      <c r="OY55" s="36" t="s">
        <v>139</v>
      </c>
      <c r="OZ55" s="36" t="s">
        <v>139</v>
      </c>
      <c r="PA55" s="36" t="s">
        <v>139</v>
      </c>
      <c r="PB55" s="36" t="s">
        <v>139</v>
      </c>
      <c r="PC55" s="36" t="s">
        <v>139</v>
      </c>
      <c r="PD55" s="36" t="s">
        <v>139</v>
      </c>
      <c r="PE55" s="36" t="s">
        <v>139</v>
      </c>
      <c r="PF55" s="36" t="s">
        <v>139</v>
      </c>
      <c r="PG55" s="36" t="s">
        <v>139</v>
      </c>
      <c r="PH55" s="36" t="s">
        <v>139</v>
      </c>
      <c r="PI55" s="36" t="s">
        <v>139</v>
      </c>
      <c r="PJ55" s="36" t="s">
        <v>139</v>
      </c>
      <c r="PK55" s="36" t="s">
        <v>139</v>
      </c>
      <c r="PL55" s="36" t="s">
        <v>139</v>
      </c>
      <c r="PM55" s="36" t="s">
        <v>139</v>
      </c>
      <c r="PN55" s="36" t="s">
        <v>139</v>
      </c>
      <c r="PO55" s="74">
        <f>COUNTIFS($C$27:$PN$27,("&lt;"&amp;$B$3),$C$27:$PN$27,("&gt;="&amp;$B$2),$C55:$PN55,TabAsistencias[[#Headers],[1]])</f>
        <v>30</v>
      </c>
      <c r="PP55" s="74">
        <f>COUNTIFS($C$27:$PN$27,("&lt;"&amp;$B$3),$C$27:$PN$27,("&gt;="&amp;$B$2),$C55:$PN55,TabAsistencias[[#Headers],[E]])</f>
        <v>0</v>
      </c>
      <c r="PQ55" s="74">
        <f>COUNTIFS($C$27:$PN$27,("&lt;"&amp;$B$3),$C$27:$PN$27,("&gt;="&amp;$B$2),$C55:$PN55,TabAsistencias[[#Headers],[DE]])</f>
        <v>0</v>
      </c>
      <c r="PR55" s="74">
        <f>COUNTIFS($C$27:$PN$27,("&lt;"&amp;$B$3),$C$27:$PN$27,("&gt;="&amp;$B$2),$C55:$PN55,TabAsistencias[[#Headers],[V]])</f>
        <v>0</v>
      </c>
      <c r="PS55" s="74">
        <f>COUNTIFS($C$27:$PN$27,("&lt;"&amp;$B$3),$C$27:$PN$27,("&gt;="&amp;$B$2),$C55:$PN55,TabAsistencias[[#Headers],[DO]])</f>
        <v>0</v>
      </c>
      <c r="PT55" s="74">
        <f>COUNTIFS($C$27:$PN$27,("&lt;"&amp;$B$3),$C$27:$PN$27,("&gt;="&amp;$B$2),$C55:$PN55,TabAsistencias[[#Headers],[P]])</f>
        <v>0</v>
      </c>
      <c r="PU55" s="74">
        <f>COUNTIFS($C$27:$PN$27,("&lt;"&amp;$B$3),$C$27:$PN$27,("&gt;="&amp;$B$2),$C55:$PN55,TabAsistencias[[#Headers],[F]])</f>
        <v>0</v>
      </c>
      <c r="PV55" s="74">
        <f>COUNTIFS($C$27:$PN$27,("&lt;"&amp;$B$3),$C$27:$PN$27,("&gt;="&amp;$B$2),$C55:$PN55,TabAsistencias[[#Headers],[R]])</f>
        <v>0</v>
      </c>
      <c r="PW55" s="74">
        <f>COUNTIFS($C$27:$PN$27,("&lt;"&amp;$B$3),$C$27:$PN$27,("&gt;="&amp;$B$2),$C55:$PN55,TabAsistencias[[#Headers],[PP]])</f>
        <v>0</v>
      </c>
      <c r="PX55" s="74">
        <f>COUNTIFS($C$27:$PN$27,("&lt;"&amp;$B$3),$C$27:$PN$27,("&gt;="&amp;$B$2),$C55:$PN55,TabAsistencias[[#Headers],[0]])</f>
        <v>0</v>
      </c>
      <c r="PY55" s="74">
        <f>COUNTIFS($C$27:$PN$27,("&lt;"&amp;$B$3),$C$27:$PN$27,("&gt;="&amp;$B$2),$C55:$PN55,TabAsistencias[[#Headers],[IG]])</f>
        <v>0</v>
      </c>
      <c r="PZ55" s="74">
        <f>COUNTIFS($C$27:$PN$27,("&lt;"&amp;$B$3),$C$27:$PN$27,("&gt;="&amp;$B$2),$C55:$PN55,TabAsistencias[[#Headers],[NA]])</f>
        <v>0</v>
      </c>
      <c r="QA55" s="74">
        <f>COUNTIFS($C$27:$PN$27,("&lt;"&amp;$B$3),$C$27:$PN$27,("&gt;="&amp;$B$2),$C55:$PN55,TabAsistencias[[#Headers],[DF]])</f>
        <v>0</v>
      </c>
      <c r="QB55" s="74">
        <f>COUNTIFS($C$27:$PN$27,("&lt;"&amp;$B$3),$C$27:$PN$27,("&gt;="&amp;$B$2),$C55:$PN55,TabAsistencias[[#Headers],[3]])</f>
        <v>0</v>
      </c>
      <c r="QC55" s="74">
        <f>COUNTIFS($C$27:$PN$27,("&lt;"&amp;$B$3),$C$27:$PN$27,("&gt;="&amp;$B$2),$C55:$PN55,TabAsistencias[[#Headers],[CP]])</f>
        <v>0</v>
      </c>
      <c r="QD55" s="74">
        <f>COUNTIFS($C$27:$PN$27,("&lt;"&amp;$B$3),$C$27:$PN$27,("&gt;="&amp;$B$2),$C55:$PN55,TabAsistencias[[#Headers],[I]])</f>
        <v>0</v>
      </c>
      <c r="QE55" s="74">
        <f>COUNTIFS($C$27:$PN$27,("&lt;"&amp;$B$3),$C$27:$PN$27,("&gt;="&amp;$B$2),$C55:$PN55,TabAsistencias[[#Headers],[T/2]])</f>
        <v>0</v>
      </c>
      <c r="QF55" s="74">
        <f>COUNTIFS($C$27:$PN$27,("&lt;"&amp;$B$3),$C$27:$PN$27,("&gt;="&amp;$B$2),$C55:$PN55,TabAsistencias[[#Headers],[ME]])</f>
        <v>0</v>
      </c>
      <c r="QG55" s="74">
        <f>COUNTIFS($C$27:$PN$27,("&lt;"&amp;$B$3),$C$27:$PN$27,("&gt;="&amp;$B$2),$C55:$PN55,TabAsistencias[[#Headers],[DP]])</f>
        <v>0</v>
      </c>
      <c r="QH55" s="74">
        <f>COUNTIFS($C$27:$PN$27,("&lt;"&amp;$B$3),$C$27:$PN$27,("&gt;="&amp;$B$2),$C55:$PN55,TabAsistencias[[#Headers],[B]])</f>
        <v>0</v>
      </c>
      <c r="QI55" s="74">
        <f>(TabAsistencias[[#This Row],[1]]*'Tablas de informacion'!$C$124)+(TabAsistencias[[#This Row],[E]]*'Tablas de informacion'!$C$125)+(TabAsistencias[[#This Row],[DE]]*'Tablas de informacion'!C$126)+(TabAsistencias[[#This Row],[V]]*'Tablas de informacion'!C$127)+(TabAsistencias[[#This Row],[DO]]*'Tablas de informacion'!C$128)+(TabAsistencias[[#This Row],[P]]*'Tablas de informacion'!C$129)+(TabAsistencias[[#This Row],[F]]*'Tablas de informacion'!C$130)+(TabAsistencias[[#This Row],[R]]*'Tablas de informacion'!C$131)+(TabAsistencias[[#This Row],[PP]]*'Tablas de informacion'!C$132)+(TabAsistencias[[#This Row],[0]]*'Tablas de informacion'!C$133)+(TabAsistencias[[#This Row],[IG]]*'Tablas de informacion'!C$134)+(TabAsistencias[[#This Row],[NA]]*'Tablas de informacion'!C$135)+(TabAsistencias[[#This Row],[DF]]*'Tablas de informacion'!C$136)+(TabAsistencias[[#This Row],[3]]*'Tablas de informacion'!C$137)+(TabAsistencias[[#This Row],[CP]]*'Tablas de informacion'!C$138)+(TabAsistencias[[#This Row],[I]]*'Tablas de informacion'!C$139)+(TabAsistencias[[#This Row],[T/2]]*'Tablas de informacion'!C$140)+(TabAsistencias[[#This Row],[ME]]*'Tablas de informacion'!C$141)+(TabAsistencias[[#This Row],[DP]]*'Tablas de informacion'!C$142)+(TabAsistencias[[#This Row],[B]]*'Tablas de informacion'!C$143)-INT(TabAsistencias[[#This Row],[R]]/3)</f>
        <v>30</v>
      </c>
      <c r="QJ55" s="74">
        <f>COUNTIFS($C$27:$PN$27,("&lt;"&amp;$B$3),$C$27:$PN$27,("&gt;="&amp;$B$2),$C$28:$PN$28,1,$C55:$PN55,TabAsistencias[[#Headers],[1]])+
COUNTIFS($C$27:$PN$27,("&lt;"&amp;$B$3),$C$27:$PN$27,("&gt;="&amp;$B$2),$C$28:$PN$28,1,$C55:$PN55,TabAsistencias[[#Headers],[DO]])+
COUNTIFS($C$27:$PN$27,("&lt;"&amp;$B$3),$C$27:$PN$27,("&gt;="&amp;$B$2),$C$28:$PN$28,1,$C55:$PN55,TabAsistencias[[#Headers],[R]])+
COUNTIFS($C$27:$PN$27,("&lt;"&amp;$B$3),$C$27:$PN$27,("&gt;="&amp;$B$2),$C$28:$PN$28,1,$C55:$PN55,TabAsistencias[[#Headers],[NA]])+
COUNTIFS($C$27:$PN$27,("&lt;"&amp;$B$3),$C$27:$PN$27,("&gt;="&amp;$B$2),$C$28:$PN$28,1,$C55:$PN55,TabAsistencias[[#Headers],[DF]])+
COUNTIFS($C$27:$PN$27,("&lt;"&amp;$B$3),$C$27:$PN$27,("&gt;="&amp;$B$2),$C$28:$PN$28,1,$C55:$PN55,TabAsistencias[[#Headers],[3]])+
COUNTIFS($C$27:$PN$27,("&lt;"&amp;$B$3),$C$27:$PN$27,("&gt;="&amp;$B$2),$C$28:$PN$28,1,$C55:$PN55,TabAsistencias[[#Headers],[CP]])+
COUNTIFS($C$27:$PN$27,("&lt;"&amp;$B$3),$C$27:$PN$27,("&gt;="&amp;$B$2),$C$28:$PN$28,1,$C55:$PN55,TabAsistencias[[#Headers],[T/2]])</f>
        <v>4</v>
      </c>
      <c r="QK55" s="315" cm="1">
        <f t="array" ref="QK55">IFERROR(VLOOKUP(
DATEDIF((VLOOKUP(TabAsistencias[[#This Row],[ID]],TabEmpleados[],COLUMN(TabEmpleados[Fecha de ingreso]),FALSE)),Asistencias!$B$3,"Y"),
TabFactorIntegracion[],COLUMN(TabFactorIntegracion[Días vacacionales
establecidos por ley]),FALSE),0)
-
COUNTIF($AH55:$PN55,TabAsistencias[[#Headers],[V]])</f>
        <v>12</v>
      </c>
      <c r="QL55" s="319">
        <f>SUM(TabAsistencias[[#This Row],[''1]],TabAsistencias[[#This Row],[''DE]],TabAsistencias[[#This Row],[''DO]],TabAsistencias[[#This Row],[''R]],TabAsistencias[[#This Row],[''NA]],TabAsistencias[[#This Row],[''DF]],TabAsistencias[[#This Row],[''3]],TabAsistencias[[#This Row],[''CP]],TabAsistencias[[#This Row],[''T/2]],TabAsistencias[[#This Row],[''DP]])</f>
        <v>73</v>
      </c>
      <c r="QM55" s="314">
        <f>COUNTIFS($C$27:$PN$27,("&lt;"&amp;$B$5),$C$27:$PN$27,("&gt;="&amp;$B$4),$C55:$PN55,TabAsistencias[[#Headers],[1]])</f>
        <v>73</v>
      </c>
      <c r="QN55" s="314">
        <f>COUNTIFS($C$27:$PN$27,("&lt;"&amp;$B$5),$C$27:$PN$27,("&gt;="&amp;$B$4),$C55:$PN55,TabAsistencias[[#Headers],[DE]])</f>
        <v>0</v>
      </c>
      <c r="QO55" s="314">
        <f>COUNTIFS($C$27:$PN$27,("&lt;"&amp;$B$5),$C$27:$PN$27,("&gt;="&amp;$B$4),$C55:$PN55,TabAsistencias[[#Headers],[V]])</f>
        <v>0</v>
      </c>
      <c r="QP55" s="314">
        <f>COUNTIFS($C$27:$PN$27,("&lt;"&amp;$B$5),$C$27:$PN$27,("&gt;="&amp;$B$4),$C55:$PN55,TabAsistencias[[#Headers],[DO]])</f>
        <v>0</v>
      </c>
      <c r="QQ55" s="314">
        <f>COUNTIFS($C$27:$PN$27,("&lt;"&amp;$B$5),$C$27:$PN$27,("&gt;="&amp;$B$4),$C55:$PN55,TabAsistencias[[#Headers],[P]])</f>
        <v>0</v>
      </c>
      <c r="QR55" s="314">
        <f>COUNTIFS($C$27:$PN$27,("&lt;"&amp;$B$5),$C$27:$PN$27,("&gt;="&amp;$B$4),$C55:$PN55,TabAsistencias[[#Headers],[F]])</f>
        <v>0</v>
      </c>
      <c r="QS55" s="314">
        <f>COUNTIFS($C$27:$PN$27,("&lt;"&amp;$B$5),$C$27:$PN$27,("&gt;="&amp;$B$4),$C55:$PN55,TabAsistencias[[#Headers],[R]])</f>
        <v>0</v>
      </c>
      <c r="QT55" s="314">
        <f>COUNTIFS($C$27:$PN$27,("&lt;"&amp;$B$5),$C$27:$PN$27,("&gt;="&amp;$B$4),$C55:$PN55,TabAsistencias[[#Headers],[PP]])</f>
        <v>0</v>
      </c>
      <c r="QU55" s="314">
        <f>COUNTIFS($C$27:$PN$27,("&lt;"&amp;$B$5),$C$27:$PN$27,("&gt;="&amp;$B$4),$C55:$PN55,TabAsistencias[[#Headers],[0]])</f>
        <v>0</v>
      </c>
      <c r="QV55" s="314">
        <f>COUNTIFS($C$27:$PN$27,("&lt;"&amp;$B$5),$C$27:$PN$27,("&gt;="&amp;$B$4),$C55:$PN55,TabAsistencias[[#Headers],[IG]])</f>
        <v>0</v>
      </c>
      <c r="QW55" s="314">
        <f>COUNTIFS($C$27:$PN$27,("&lt;"&amp;$B$5),$C$27:$PN$27,("&gt;="&amp;$B$4),$C55:$PN55,TabAsistencias[[#Headers],[NA]])</f>
        <v>0</v>
      </c>
      <c r="QX55" s="314">
        <f>COUNTIFS($C$27:$PN$27,("&lt;"&amp;$B$5),$C$27:$PN$27,("&gt;="&amp;$B$4),$C55:$PN55,TabAsistencias[[#Headers],[DF]])</f>
        <v>0</v>
      </c>
      <c r="QY55" s="314">
        <f>COUNTIFS($C$27:$PN$27,("&lt;"&amp;$B$5),$C$27:$PN$27,("&gt;="&amp;$B$4),$C55:$PN55,TabAsistencias[[#Headers],[3]])</f>
        <v>0</v>
      </c>
      <c r="QZ55" s="314">
        <f>COUNTIFS($C$27:$PN$27,("&lt;"&amp;$B$5),$C$27:$PN$27,("&gt;="&amp;$B$4),$C55:$PN55,TabAsistencias[[#Headers],[CP]])</f>
        <v>0</v>
      </c>
      <c r="RA55" s="314">
        <f>COUNTIFS($C$27:$PN$27,("&lt;"&amp;$B$5),$C$27:$PN$27,("&gt;="&amp;$B$4),$C55:$PN55,TabAsistencias[[#Headers],[I]])</f>
        <v>0</v>
      </c>
      <c r="RB55" s="314">
        <f>COUNTIFS($C$27:$PN$27,("&lt;"&amp;$B$5),$C$27:$PN$27,("&gt;="&amp;$B$4),$C55:$PN55,TabAsistencias[[#Headers],[T/2]])</f>
        <v>0</v>
      </c>
      <c r="RC55" s="314">
        <f>COUNTIFS($C$27:$PN$27,("&lt;"&amp;$B$5),$C$27:$PN$27,("&gt;="&amp;$B$4),$C55:$PN55,TabAsistencias[[#Headers],[ME]])</f>
        <v>0</v>
      </c>
      <c r="RD55" s="314">
        <f>COUNTIFS($C$27:$PN$27,("&lt;"&amp;$B$5),$C$27:$PN$27,("&gt;="&amp;$B$4),$C55:$PN55,TabAsistencias[[#Headers],[DP]])</f>
        <v>0</v>
      </c>
      <c r="RE55" s="314">
        <f>COUNTIFS($C$27:$PN$27,("&lt;"&amp;$B$5),$C$27:$PN$27,("&gt;="&amp;$B$4),$C55:$PN55,TabAsistencias[[#Headers],[B]])</f>
        <v>0</v>
      </c>
      <c r="RF55" s="314">
        <f>COUNTIFS($C$27:$PN$27,("&lt;"&amp;$B$5),$C$27:$PN$27,("&gt;="&amp;$B$4),$C$28:$PN$28,1,$C55:$PN55,TabAsistencias[[#Headers],[1]])+
COUNTIFS($C$27:$PN$27,("&lt;"&amp;$B$5),$C$27:$PN$27,("&gt;="&amp;$B$4),$C$28:$PN$28,1,$C55:$PN55,TabAsistencias[[#Headers],[DO]])+
COUNTIFS($C$27:$PN$27,("&lt;"&amp;$B$5),$C$27:$PN$27,("&gt;="&amp;$B$4),$C$28:$PN$28,1,$C55:$PN55,TabAsistencias[[#Headers],[R]])+
COUNTIFS($C$27:$PN$27,("&lt;"&amp;$B$5),$C$27:$PN$27,("&gt;="&amp;$B$4),$C$28:$PN$28,1,$C55:$PN55,TabAsistencias[[#Headers],[NA]])+
COUNTIFS($C$27:$PN$27,("&lt;"&amp;$B$5),$C$27:$PN$27,("&gt;="&amp;$B$4),$C$28:$PN$28,1,$C55:$PN55,TabAsistencias[[#Headers],[DF]])+
COUNTIFS($C$27:$PN$27,("&lt;"&amp;$B$5),$C$27:$PN$27,("&gt;="&amp;$B$4),$C$28:$PN$28,1,$C55:$PN55,TabAsistencias[[#Headers],[3]])+
COUNTIFS($C$27:$PN$27,("&lt;"&amp;$B$5),$C$27:$PN$27,("&gt;="&amp;$B$4),$C$28:$PN$28,1,$C55:$PN55,TabAsistencias[[#Headers],[CP]])+
COUNTIFS($C$27:$PN$27,("&lt;"&amp;$B$5),$C$27:$PN$27,("&gt;="&amp;$B$4),$C$28:$PN$28,1,$C55:$PN55,TabAsistencias[[#Headers],[T/2]])</f>
        <v>11</v>
      </c>
      <c r="RG55" s="320" cm="1">
        <f t="array" ref="RG55">IFERROR(VLOOKUP(
DATEDIF((VLOOKUP(TabAsistencias[[#This Row],[ID]],TabEmpleados[],COLUMN(TabEmpleados[Fecha de alta NSS]),FALSE)),Asistencias!$B$3,"Y"),
TabFactorIntegracion[],COLUMN(TabFactorIntegracion[Días vacacionales
establecidos por ley]),FALSE),0)
-
COUNTIF($AH55:$PN55,TabAsistencias[[#Headers],[V]])</f>
        <v>12</v>
      </c>
    </row>
    <row r="56" spans="1:475" x14ac:dyDescent="0.25">
      <c r="A56" s="92">
        <f t="shared" si="434"/>
        <v>26</v>
      </c>
      <c r="B56" s="30" t="str" cm="1">
        <f t="array" ref="B56">VLOOKUP(TabAsistencias[[#This Row],[ID]],TabEmpleados[],COLUMN(TabEmpleados[Nombre]),FALSE)</f>
        <v>GARCIA MARTINEZ URIEL ALEJANDRO</v>
      </c>
      <c r="C56" s="36" t="s">
        <v>139</v>
      </c>
      <c r="D56" s="36" t="s">
        <v>139</v>
      </c>
      <c r="E56" s="36" t="s">
        <v>139</v>
      </c>
      <c r="F56" s="36" t="s">
        <v>139</v>
      </c>
      <c r="G56" s="36" t="s">
        <v>139</v>
      </c>
      <c r="H56" s="36" t="s">
        <v>139</v>
      </c>
      <c r="I56" s="36" t="s">
        <v>139</v>
      </c>
      <c r="J56" s="36" t="s">
        <v>139</v>
      </c>
      <c r="K56" s="36" t="s">
        <v>139</v>
      </c>
      <c r="L56" s="36" t="s">
        <v>139</v>
      </c>
      <c r="M56" s="36" t="s">
        <v>139</v>
      </c>
      <c r="N56" s="36" t="s">
        <v>139</v>
      </c>
      <c r="O56" s="36" t="s">
        <v>139</v>
      </c>
      <c r="P56" s="36" t="s">
        <v>139</v>
      </c>
      <c r="Q56" s="36" t="s">
        <v>139</v>
      </c>
      <c r="R56" s="36" t="s">
        <v>139</v>
      </c>
      <c r="S56" s="36" t="s">
        <v>139</v>
      </c>
      <c r="T56" s="36" t="s">
        <v>139</v>
      </c>
      <c r="U56" s="36" t="s">
        <v>139</v>
      </c>
      <c r="V56" s="36" t="s">
        <v>139</v>
      </c>
      <c r="W56" s="36" t="s">
        <v>139</v>
      </c>
      <c r="X56" s="36" t="s">
        <v>139</v>
      </c>
      <c r="Y56" s="36" t="s">
        <v>139</v>
      </c>
      <c r="Z56" s="36" t="s">
        <v>139</v>
      </c>
      <c r="AA56" s="36" t="s">
        <v>139</v>
      </c>
      <c r="AB56" s="36" t="s">
        <v>139</v>
      </c>
      <c r="AC56" s="36" t="s">
        <v>139</v>
      </c>
      <c r="AD56" s="36" t="s">
        <v>139</v>
      </c>
      <c r="AE56" s="36" t="s">
        <v>139</v>
      </c>
      <c r="AF56" s="36" t="s">
        <v>139</v>
      </c>
      <c r="AG56" s="36" t="s">
        <v>139</v>
      </c>
      <c r="AH56" s="36" t="s">
        <v>139</v>
      </c>
      <c r="AI56" s="36" t="s">
        <v>139</v>
      </c>
      <c r="AJ56" s="36" t="s">
        <v>139</v>
      </c>
      <c r="AK56" s="36" t="s">
        <v>139</v>
      </c>
      <c r="AL56" s="36" t="s">
        <v>139</v>
      </c>
      <c r="AM56" s="36" t="s">
        <v>139</v>
      </c>
      <c r="AN56" s="36" t="s">
        <v>139</v>
      </c>
      <c r="AO56" s="36" t="s">
        <v>139</v>
      </c>
      <c r="AP56" s="36" t="s">
        <v>139</v>
      </c>
      <c r="AQ56" s="36" t="s">
        <v>139</v>
      </c>
      <c r="AR56" s="36" t="s">
        <v>139</v>
      </c>
      <c r="AS56" s="36" t="s">
        <v>139</v>
      </c>
      <c r="AT56" s="36" t="s">
        <v>139</v>
      </c>
      <c r="AU56" s="36" t="s">
        <v>139</v>
      </c>
      <c r="AV56" s="36" t="s">
        <v>139</v>
      </c>
      <c r="AW56" s="36" t="s">
        <v>139</v>
      </c>
      <c r="AX56" s="36" t="s">
        <v>139</v>
      </c>
      <c r="AY56" s="36" t="s">
        <v>139</v>
      </c>
      <c r="AZ56" s="36" t="s">
        <v>139</v>
      </c>
      <c r="BA56" s="36" t="s">
        <v>139</v>
      </c>
      <c r="BB56" s="36" t="s">
        <v>139</v>
      </c>
      <c r="BC56" s="36" t="s">
        <v>139</v>
      </c>
      <c r="BD56" s="36" t="s">
        <v>139</v>
      </c>
      <c r="BE56" s="36" t="s">
        <v>139</v>
      </c>
      <c r="BF56" s="36" t="s">
        <v>139</v>
      </c>
      <c r="BG56" s="36" t="s">
        <v>139</v>
      </c>
      <c r="BH56" s="36" t="s">
        <v>139</v>
      </c>
      <c r="BI56" s="36" t="s">
        <v>139</v>
      </c>
      <c r="BJ56" s="36" t="s">
        <v>139</v>
      </c>
      <c r="BK56" s="36" t="s">
        <v>139</v>
      </c>
      <c r="BL56" s="36" t="s">
        <v>139</v>
      </c>
      <c r="BM56" s="36" t="s">
        <v>139</v>
      </c>
      <c r="BN56" s="36" t="s">
        <v>139</v>
      </c>
      <c r="BO56" s="36" t="s">
        <v>139</v>
      </c>
      <c r="BP56" s="36" t="s">
        <v>139</v>
      </c>
      <c r="BQ56" s="36" t="s">
        <v>139</v>
      </c>
      <c r="BR56" s="36" t="s">
        <v>139</v>
      </c>
      <c r="BS56" s="36" t="s">
        <v>139</v>
      </c>
      <c r="BT56" s="36" t="s">
        <v>139</v>
      </c>
      <c r="BU56" s="36" t="s">
        <v>139</v>
      </c>
      <c r="BV56" s="36" t="s">
        <v>139</v>
      </c>
      <c r="BW56" s="36" t="s">
        <v>139</v>
      </c>
      <c r="BX56" s="36" t="s">
        <v>139</v>
      </c>
      <c r="BY56" s="36" t="s">
        <v>139</v>
      </c>
      <c r="BZ56" s="36" t="s">
        <v>139</v>
      </c>
      <c r="CA56" s="36" t="s">
        <v>139</v>
      </c>
      <c r="CB56" s="36" t="s">
        <v>139</v>
      </c>
      <c r="CC56" s="36" t="s">
        <v>139</v>
      </c>
      <c r="CD56" s="36" t="s">
        <v>139</v>
      </c>
      <c r="CE56" s="36" t="s">
        <v>139</v>
      </c>
      <c r="CF56" s="36" t="s">
        <v>139</v>
      </c>
      <c r="CG56" s="36" t="s">
        <v>139</v>
      </c>
      <c r="CH56" s="36" t="s">
        <v>139</v>
      </c>
      <c r="CI56" s="36" t="s">
        <v>139</v>
      </c>
      <c r="CJ56" s="36" t="s">
        <v>139</v>
      </c>
      <c r="CK56" s="36" t="s">
        <v>139</v>
      </c>
      <c r="CL56" s="36" t="s">
        <v>139</v>
      </c>
      <c r="CM56" s="36" t="s">
        <v>139</v>
      </c>
      <c r="CN56" s="36" t="s">
        <v>139</v>
      </c>
      <c r="CO56" s="36" t="s">
        <v>139</v>
      </c>
      <c r="CP56" s="36" t="s">
        <v>139</v>
      </c>
      <c r="CQ56" s="36" t="s">
        <v>139</v>
      </c>
      <c r="CR56" s="36" t="s">
        <v>139</v>
      </c>
      <c r="CS56" s="36" t="s">
        <v>139</v>
      </c>
      <c r="CT56" s="36" t="s">
        <v>139</v>
      </c>
      <c r="CU56" s="36" t="s">
        <v>139</v>
      </c>
      <c r="CV56" s="36" t="s">
        <v>139</v>
      </c>
      <c r="CW56" s="36" t="s">
        <v>139</v>
      </c>
      <c r="CX56" s="36" t="s">
        <v>139</v>
      </c>
      <c r="CY56" s="36" t="s">
        <v>139</v>
      </c>
      <c r="CZ56" s="36" t="s">
        <v>139</v>
      </c>
      <c r="DA56" s="36" t="s">
        <v>139</v>
      </c>
      <c r="DB56" s="36" t="s">
        <v>139</v>
      </c>
      <c r="DC56" s="36" t="s">
        <v>139</v>
      </c>
      <c r="DD56" s="36" t="s">
        <v>139</v>
      </c>
      <c r="DE56" s="36" t="s">
        <v>139</v>
      </c>
      <c r="DF56" s="36" t="s">
        <v>139</v>
      </c>
      <c r="DG56" s="36" t="s">
        <v>139</v>
      </c>
      <c r="DH56" s="36" t="s">
        <v>139</v>
      </c>
      <c r="DI56" s="36" t="s">
        <v>139</v>
      </c>
      <c r="DJ56" s="36" t="s">
        <v>139</v>
      </c>
      <c r="DK56" s="36" t="s">
        <v>139</v>
      </c>
      <c r="DL56" s="36" t="s">
        <v>139</v>
      </c>
      <c r="DM56" s="36" t="s">
        <v>139</v>
      </c>
      <c r="DN56" s="36" t="s">
        <v>139</v>
      </c>
      <c r="DO56" s="36" t="s">
        <v>139</v>
      </c>
      <c r="DP56" s="36" t="s">
        <v>139</v>
      </c>
      <c r="DQ56" s="36" t="s">
        <v>139</v>
      </c>
      <c r="DR56" s="36" t="s">
        <v>139</v>
      </c>
      <c r="DS56" s="36" t="s">
        <v>139</v>
      </c>
      <c r="DT56" s="36" t="s">
        <v>139</v>
      </c>
      <c r="DU56" s="36" t="s">
        <v>139</v>
      </c>
      <c r="DV56" s="36" t="s">
        <v>139</v>
      </c>
      <c r="DW56" s="36" t="s">
        <v>139</v>
      </c>
      <c r="DX56" s="36" t="s">
        <v>139</v>
      </c>
      <c r="DY56" s="36" t="s">
        <v>139</v>
      </c>
      <c r="DZ56" s="36" t="s">
        <v>139</v>
      </c>
      <c r="EA56" s="36" t="s">
        <v>139</v>
      </c>
      <c r="EB56" s="36" t="s">
        <v>139</v>
      </c>
      <c r="EC56" s="36" t="s">
        <v>139</v>
      </c>
      <c r="ED56" s="36" t="s">
        <v>139</v>
      </c>
      <c r="EE56" s="36" t="s">
        <v>139</v>
      </c>
      <c r="EF56" s="36" t="s">
        <v>139</v>
      </c>
      <c r="EG56" s="36" t="s">
        <v>139</v>
      </c>
      <c r="EH56" s="36" t="s">
        <v>139</v>
      </c>
      <c r="EI56" s="36" t="s">
        <v>139</v>
      </c>
      <c r="EJ56" s="36" t="s">
        <v>139</v>
      </c>
      <c r="EK56" s="36" t="s">
        <v>139</v>
      </c>
      <c r="EL56" s="36" t="s">
        <v>139</v>
      </c>
      <c r="EM56" s="36" t="s">
        <v>139</v>
      </c>
      <c r="EN56" s="36" t="s">
        <v>139</v>
      </c>
      <c r="EO56" s="36" t="s">
        <v>139</v>
      </c>
      <c r="EP56" s="36" t="s">
        <v>139</v>
      </c>
      <c r="EQ56" s="36" t="s">
        <v>139</v>
      </c>
      <c r="ER56" s="36" t="s">
        <v>139</v>
      </c>
      <c r="ES56" s="36" t="s">
        <v>139</v>
      </c>
      <c r="ET56" s="36" t="s">
        <v>139</v>
      </c>
      <c r="EU56" s="36" t="s">
        <v>139</v>
      </c>
      <c r="EV56" s="36" t="s">
        <v>139</v>
      </c>
      <c r="EW56" s="36" t="s">
        <v>139</v>
      </c>
      <c r="EX56" s="36" t="s">
        <v>139</v>
      </c>
      <c r="EY56" s="36" t="s">
        <v>139</v>
      </c>
      <c r="EZ56" s="36" t="s">
        <v>139</v>
      </c>
      <c r="FA56" s="36" t="s">
        <v>139</v>
      </c>
      <c r="FB56" s="36" t="s">
        <v>139</v>
      </c>
      <c r="FC56" s="36" t="s">
        <v>139</v>
      </c>
      <c r="FD56" s="36" t="s">
        <v>139</v>
      </c>
      <c r="FE56" s="36" t="s">
        <v>139</v>
      </c>
      <c r="FF56" s="36" t="s">
        <v>139</v>
      </c>
      <c r="FG56" s="36" t="s">
        <v>139</v>
      </c>
      <c r="FH56" s="36" t="s">
        <v>139</v>
      </c>
      <c r="FI56" s="36" t="s">
        <v>139</v>
      </c>
      <c r="FJ56" s="36" t="s">
        <v>139</v>
      </c>
      <c r="FK56" s="36" t="s">
        <v>139</v>
      </c>
      <c r="FL56" s="36" t="s">
        <v>139</v>
      </c>
      <c r="FM56" s="36" t="s">
        <v>139</v>
      </c>
      <c r="FN56" s="36" t="s">
        <v>139</v>
      </c>
      <c r="FO56" s="36" t="s">
        <v>139</v>
      </c>
      <c r="FP56" s="36" t="s">
        <v>139</v>
      </c>
      <c r="FQ56" s="36" t="s">
        <v>139</v>
      </c>
      <c r="FR56" s="36" t="s">
        <v>139</v>
      </c>
      <c r="FS56" s="36" t="s">
        <v>139</v>
      </c>
      <c r="FT56" s="36" t="s">
        <v>139</v>
      </c>
      <c r="FU56" s="36" t="s">
        <v>139</v>
      </c>
      <c r="FV56" s="36" t="s">
        <v>139</v>
      </c>
      <c r="FW56" s="36" t="s">
        <v>139</v>
      </c>
      <c r="FX56" s="36" t="s">
        <v>139</v>
      </c>
      <c r="FY56" s="36" t="s">
        <v>139</v>
      </c>
      <c r="FZ56" s="36" t="s">
        <v>139</v>
      </c>
      <c r="GA56" s="36" t="s">
        <v>139</v>
      </c>
      <c r="GB56" s="36" t="s">
        <v>139</v>
      </c>
      <c r="GC56" s="36" t="s">
        <v>139</v>
      </c>
      <c r="GD56" s="36" t="s">
        <v>139</v>
      </c>
      <c r="GE56" s="36" t="s">
        <v>139</v>
      </c>
      <c r="GF56" s="36" t="s">
        <v>139</v>
      </c>
      <c r="GG56" s="36" t="s">
        <v>139</v>
      </c>
      <c r="GH56" s="36" t="s">
        <v>139</v>
      </c>
      <c r="GI56" s="36" t="s">
        <v>139</v>
      </c>
      <c r="GJ56" s="36" t="s">
        <v>139</v>
      </c>
      <c r="GK56" s="36" t="s">
        <v>139</v>
      </c>
      <c r="GL56" s="36" t="s">
        <v>139</v>
      </c>
      <c r="GM56" s="36" t="s">
        <v>139</v>
      </c>
      <c r="GN56" s="36" t="s">
        <v>139</v>
      </c>
      <c r="GO56" s="36" t="s">
        <v>139</v>
      </c>
      <c r="GP56" s="36" t="s">
        <v>139</v>
      </c>
      <c r="GQ56" s="36" t="s">
        <v>139</v>
      </c>
      <c r="GR56" s="36" t="s">
        <v>139</v>
      </c>
      <c r="GS56" s="36" t="s">
        <v>139</v>
      </c>
      <c r="GT56" s="36" t="s">
        <v>139</v>
      </c>
      <c r="GU56" s="36" t="s">
        <v>139</v>
      </c>
      <c r="GV56" s="36" t="s">
        <v>139</v>
      </c>
      <c r="GW56" s="36" t="s">
        <v>139</v>
      </c>
      <c r="GX56" s="36" t="s">
        <v>139</v>
      </c>
      <c r="GY56" s="36" t="s">
        <v>139</v>
      </c>
      <c r="GZ56" s="36" t="s">
        <v>139</v>
      </c>
      <c r="HA56" s="36" t="s">
        <v>139</v>
      </c>
      <c r="HB56" s="36" t="s">
        <v>139</v>
      </c>
      <c r="HC56" s="36" t="s">
        <v>139</v>
      </c>
      <c r="HD56" s="36" t="s">
        <v>139</v>
      </c>
      <c r="HE56" s="36" t="s">
        <v>139</v>
      </c>
      <c r="HF56" s="36" t="s">
        <v>139</v>
      </c>
      <c r="HG56" s="36" t="s">
        <v>139</v>
      </c>
      <c r="HH56" s="36" t="s">
        <v>139</v>
      </c>
      <c r="HI56" s="36" t="s">
        <v>139</v>
      </c>
      <c r="HJ56" s="36" t="s">
        <v>139</v>
      </c>
      <c r="HK56" s="36" t="s">
        <v>139</v>
      </c>
      <c r="HL56" s="36" t="s">
        <v>139</v>
      </c>
      <c r="HM56" s="36" t="s">
        <v>139</v>
      </c>
      <c r="HN56" s="36" t="s">
        <v>139</v>
      </c>
      <c r="HO56" s="36" t="s">
        <v>139</v>
      </c>
      <c r="HP56" s="36" t="s">
        <v>139</v>
      </c>
      <c r="HQ56" s="36" t="s">
        <v>139</v>
      </c>
      <c r="HR56" s="36" t="s">
        <v>139</v>
      </c>
      <c r="HS56" s="36" t="s">
        <v>139</v>
      </c>
      <c r="HT56" s="36" t="s">
        <v>139</v>
      </c>
      <c r="HU56" s="36" t="s">
        <v>139</v>
      </c>
      <c r="HV56" s="36" t="s">
        <v>139</v>
      </c>
      <c r="HW56" s="36" t="s">
        <v>139</v>
      </c>
      <c r="HX56" s="36" t="s">
        <v>139</v>
      </c>
      <c r="HY56" s="36" t="s">
        <v>139</v>
      </c>
      <c r="HZ56" s="36" t="s">
        <v>139</v>
      </c>
      <c r="IA56" s="36" t="s">
        <v>139</v>
      </c>
      <c r="IB56" s="36" t="s">
        <v>139</v>
      </c>
      <c r="IC56" s="36" t="s">
        <v>139</v>
      </c>
      <c r="ID56" s="36" t="s">
        <v>139</v>
      </c>
      <c r="IE56" s="36" t="s">
        <v>139</v>
      </c>
      <c r="IF56" s="36" t="s">
        <v>139</v>
      </c>
      <c r="IG56" s="36" t="s">
        <v>139</v>
      </c>
      <c r="IH56" s="36" t="s">
        <v>139</v>
      </c>
      <c r="II56" s="36" t="s">
        <v>139</v>
      </c>
      <c r="IJ56" s="36" t="s">
        <v>139</v>
      </c>
      <c r="IK56" s="36" t="s">
        <v>139</v>
      </c>
      <c r="IL56" s="36" t="s">
        <v>139</v>
      </c>
      <c r="IM56" s="36" t="s">
        <v>139</v>
      </c>
      <c r="IN56" s="36" t="s">
        <v>139</v>
      </c>
      <c r="IO56" s="36" t="s">
        <v>139</v>
      </c>
      <c r="IP56" s="36" t="s">
        <v>139</v>
      </c>
      <c r="IQ56" s="36" t="s">
        <v>139</v>
      </c>
      <c r="IR56" s="36" t="s">
        <v>139</v>
      </c>
      <c r="IS56" s="36" t="s">
        <v>139</v>
      </c>
      <c r="IT56" s="36" t="s">
        <v>139</v>
      </c>
      <c r="IU56" s="36" t="s">
        <v>139</v>
      </c>
      <c r="IV56" s="36" t="s">
        <v>139</v>
      </c>
      <c r="IW56" s="36" t="s">
        <v>139</v>
      </c>
      <c r="IX56" s="36" t="s">
        <v>139</v>
      </c>
      <c r="IY56" s="36" t="s">
        <v>139</v>
      </c>
      <c r="IZ56" s="36" t="s">
        <v>139</v>
      </c>
      <c r="JA56" s="36" t="s">
        <v>139</v>
      </c>
      <c r="JB56" s="36" t="s">
        <v>139</v>
      </c>
      <c r="JC56" s="36" t="s">
        <v>139</v>
      </c>
      <c r="JD56" s="36" t="s">
        <v>139</v>
      </c>
      <c r="JE56" s="36" t="s">
        <v>139</v>
      </c>
      <c r="JF56" s="36" t="s">
        <v>139</v>
      </c>
      <c r="JG56" s="36" t="s">
        <v>139</v>
      </c>
      <c r="JH56" s="36" t="s">
        <v>139</v>
      </c>
      <c r="JI56" s="36" t="s">
        <v>139</v>
      </c>
      <c r="JJ56" s="36" t="s">
        <v>139</v>
      </c>
      <c r="JK56" s="36" t="s">
        <v>139</v>
      </c>
      <c r="JL56" s="36" t="s">
        <v>139</v>
      </c>
      <c r="JM56" s="36" t="s">
        <v>139</v>
      </c>
      <c r="JN56" s="36" t="s">
        <v>139</v>
      </c>
      <c r="JO56" s="36" t="s">
        <v>139</v>
      </c>
      <c r="JP56" s="36" t="s">
        <v>139</v>
      </c>
      <c r="JQ56" s="36" t="s">
        <v>139</v>
      </c>
      <c r="JR56" s="36" t="s">
        <v>139</v>
      </c>
      <c r="JS56" s="36" t="s">
        <v>139</v>
      </c>
      <c r="JT56" s="36" t="s">
        <v>139</v>
      </c>
      <c r="JU56" s="36" t="s">
        <v>139</v>
      </c>
      <c r="JV56" s="36" t="s">
        <v>139</v>
      </c>
      <c r="JW56" s="36" t="s">
        <v>139</v>
      </c>
      <c r="JX56" s="36" t="s">
        <v>139</v>
      </c>
      <c r="JY56" s="36" t="s">
        <v>139</v>
      </c>
      <c r="JZ56" s="36" t="s">
        <v>139</v>
      </c>
      <c r="KA56" s="36" t="s">
        <v>139</v>
      </c>
      <c r="KB56" s="36" t="s">
        <v>139</v>
      </c>
      <c r="KC56" s="36" t="s">
        <v>139</v>
      </c>
      <c r="KD56" s="36" t="s">
        <v>139</v>
      </c>
      <c r="KE56" s="36" t="s">
        <v>139</v>
      </c>
      <c r="KF56" s="36" t="s">
        <v>139</v>
      </c>
      <c r="KG56" s="36" t="s">
        <v>139</v>
      </c>
      <c r="KH56" s="36" t="s">
        <v>139</v>
      </c>
      <c r="KI56" s="36" t="s">
        <v>139</v>
      </c>
      <c r="KJ56" s="36" t="s">
        <v>139</v>
      </c>
      <c r="KK56" s="36" t="s">
        <v>139</v>
      </c>
      <c r="KL56" s="36" t="s">
        <v>139</v>
      </c>
      <c r="KM56" s="36" t="s">
        <v>139</v>
      </c>
      <c r="KN56" s="36" t="s">
        <v>139</v>
      </c>
      <c r="KO56" s="36" t="s">
        <v>139</v>
      </c>
      <c r="KP56" s="36" t="s">
        <v>139</v>
      </c>
      <c r="KQ56" s="36" t="s">
        <v>139</v>
      </c>
      <c r="KR56" s="36" t="s">
        <v>139</v>
      </c>
      <c r="KS56" s="36" t="s">
        <v>139</v>
      </c>
      <c r="KT56" s="36" t="s">
        <v>139</v>
      </c>
      <c r="KU56" s="36" t="s">
        <v>139</v>
      </c>
      <c r="KV56" s="36" t="s">
        <v>139</v>
      </c>
      <c r="KW56" s="36" t="s">
        <v>139</v>
      </c>
      <c r="KX56" s="36" t="s">
        <v>139</v>
      </c>
      <c r="KY56" s="36" t="s">
        <v>139</v>
      </c>
      <c r="KZ56" s="36" t="s">
        <v>139</v>
      </c>
      <c r="LA56" s="36" t="s">
        <v>139</v>
      </c>
      <c r="LB56" s="36" t="s">
        <v>139</v>
      </c>
      <c r="LC56" s="36" t="s">
        <v>139</v>
      </c>
      <c r="LD56" s="36" t="s">
        <v>139</v>
      </c>
      <c r="LE56" s="36" t="s">
        <v>139</v>
      </c>
      <c r="LF56" s="36" t="s">
        <v>139</v>
      </c>
      <c r="LG56" s="36" t="s">
        <v>139</v>
      </c>
      <c r="LH56" s="36" t="s">
        <v>139</v>
      </c>
      <c r="LI56" s="36" t="s">
        <v>139</v>
      </c>
      <c r="LJ56" s="36" t="s">
        <v>139</v>
      </c>
      <c r="LK56" s="36" t="s">
        <v>139</v>
      </c>
      <c r="LL56" s="36" t="s">
        <v>139</v>
      </c>
      <c r="LM56" s="36" t="s">
        <v>139</v>
      </c>
      <c r="LN56" s="36" t="s">
        <v>139</v>
      </c>
      <c r="LO56" s="36" t="s">
        <v>139</v>
      </c>
      <c r="LP56" s="36" t="s">
        <v>139</v>
      </c>
      <c r="LQ56" s="36" t="s">
        <v>139</v>
      </c>
      <c r="LR56" s="36" t="s">
        <v>139</v>
      </c>
      <c r="LS56" s="36" t="s">
        <v>139</v>
      </c>
      <c r="LT56" s="36" t="s">
        <v>139</v>
      </c>
      <c r="LU56" s="36" t="s">
        <v>139</v>
      </c>
      <c r="LV56" s="36" t="s">
        <v>139</v>
      </c>
      <c r="LW56" s="36" t="s">
        <v>139</v>
      </c>
      <c r="LX56" s="36" t="s">
        <v>139</v>
      </c>
      <c r="LY56" s="36" t="s">
        <v>139</v>
      </c>
      <c r="LZ56" s="36" t="s">
        <v>139</v>
      </c>
      <c r="MA56" s="36" t="s">
        <v>139</v>
      </c>
      <c r="MB56" s="36" t="s">
        <v>139</v>
      </c>
      <c r="MC56" s="36" t="s">
        <v>139</v>
      </c>
      <c r="MD56" s="36" t="s">
        <v>139</v>
      </c>
      <c r="ME56" s="36" t="s">
        <v>139</v>
      </c>
      <c r="MF56" s="36" t="s">
        <v>139</v>
      </c>
      <c r="MG56" s="36" t="s">
        <v>139</v>
      </c>
      <c r="MH56" s="36" t="s">
        <v>139</v>
      </c>
      <c r="MI56" s="36" t="s">
        <v>139</v>
      </c>
      <c r="MJ56" s="36" t="s">
        <v>139</v>
      </c>
      <c r="MK56" s="36" t="s">
        <v>139</v>
      </c>
      <c r="ML56" s="36" t="s">
        <v>139</v>
      </c>
      <c r="MM56" s="36" t="s">
        <v>139</v>
      </c>
      <c r="MN56" s="36" t="s">
        <v>139</v>
      </c>
      <c r="MO56" s="36" t="s">
        <v>139</v>
      </c>
      <c r="MP56" s="36" t="s">
        <v>139</v>
      </c>
      <c r="MQ56" s="36" t="s">
        <v>139</v>
      </c>
      <c r="MR56" s="36" t="s">
        <v>139</v>
      </c>
      <c r="MS56" s="36" t="s">
        <v>139</v>
      </c>
      <c r="MT56" s="36" t="s">
        <v>139</v>
      </c>
      <c r="MU56" s="36" t="s">
        <v>139</v>
      </c>
      <c r="MV56" s="36" t="s">
        <v>139</v>
      </c>
      <c r="MW56" s="36" t="s">
        <v>139</v>
      </c>
      <c r="MX56" s="36" t="s">
        <v>139</v>
      </c>
      <c r="MY56" s="36" t="s">
        <v>139</v>
      </c>
      <c r="MZ56" s="36" t="s">
        <v>139</v>
      </c>
      <c r="NA56" s="36" t="s">
        <v>139</v>
      </c>
      <c r="NB56" s="36" t="s">
        <v>139</v>
      </c>
      <c r="NC56" s="36" t="s">
        <v>139</v>
      </c>
      <c r="ND56" s="36" t="s">
        <v>139</v>
      </c>
      <c r="NE56" s="36" t="s">
        <v>139</v>
      </c>
      <c r="NF56" s="36" t="s">
        <v>139</v>
      </c>
      <c r="NG56" s="36" t="s">
        <v>139</v>
      </c>
      <c r="NH56" s="36" t="s">
        <v>139</v>
      </c>
      <c r="NI56" s="36" t="s">
        <v>139</v>
      </c>
      <c r="NJ56" s="36" t="s">
        <v>139</v>
      </c>
      <c r="NK56" s="36" t="s">
        <v>139</v>
      </c>
      <c r="NL56" s="36" t="s">
        <v>139</v>
      </c>
      <c r="NM56" s="36" t="s">
        <v>139</v>
      </c>
      <c r="NN56" s="36" t="s">
        <v>139</v>
      </c>
      <c r="NO56" s="36" t="s">
        <v>139</v>
      </c>
      <c r="NP56" s="36" t="s">
        <v>139</v>
      </c>
      <c r="NQ56" s="36" t="s">
        <v>139</v>
      </c>
      <c r="NR56" s="36" t="s">
        <v>139</v>
      </c>
      <c r="NS56" s="36" t="s">
        <v>139</v>
      </c>
      <c r="NT56" s="36" t="s">
        <v>139</v>
      </c>
      <c r="NU56" s="36" t="s">
        <v>139</v>
      </c>
      <c r="NV56" s="36" t="s">
        <v>139</v>
      </c>
      <c r="NW56" s="36" t="s">
        <v>139</v>
      </c>
      <c r="NX56" s="36" t="s">
        <v>139</v>
      </c>
      <c r="NY56" s="36" t="s">
        <v>139</v>
      </c>
      <c r="NZ56" s="36" t="s">
        <v>139</v>
      </c>
      <c r="OA56" s="36" t="s">
        <v>139</v>
      </c>
      <c r="OB56" s="36" t="s">
        <v>139</v>
      </c>
      <c r="OC56" s="36" t="s">
        <v>139</v>
      </c>
      <c r="OD56" s="36" t="s">
        <v>139</v>
      </c>
      <c r="OE56" s="36" t="s">
        <v>139</v>
      </c>
      <c r="OF56" s="36" t="s">
        <v>139</v>
      </c>
      <c r="OG56" s="36" t="s">
        <v>139</v>
      </c>
      <c r="OH56" s="36" t="s">
        <v>139</v>
      </c>
      <c r="OI56" s="36" t="s">
        <v>139</v>
      </c>
      <c r="OJ56" s="36" t="s">
        <v>139</v>
      </c>
      <c r="OK56" s="36" t="s">
        <v>139</v>
      </c>
      <c r="OL56" s="36" t="s">
        <v>139</v>
      </c>
      <c r="OM56" s="36" t="s">
        <v>139</v>
      </c>
      <c r="ON56" s="36" t="s">
        <v>139</v>
      </c>
      <c r="OO56" s="36" t="s">
        <v>139</v>
      </c>
      <c r="OP56" s="36" t="s">
        <v>139</v>
      </c>
      <c r="OQ56" s="36" t="s">
        <v>139</v>
      </c>
      <c r="OR56" s="36" t="s">
        <v>139</v>
      </c>
      <c r="OS56" s="36" t="s">
        <v>139</v>
      </c>
      <c r="OT56" s="36" t="s">
        <v>139</v>
      </c>
      <c r="OU56" s="36" t="s">
        <v>139</v>
      </c>
      <c r="OV56" s="36" t="s">
        <v>139</v>
      </c>
      <c r="OW56" s="36" t="s">
        <v>139</v>
      </c>
      <c r="OX56" s="36" t="s">
        <v>139</v>
      </c>
      <c r="OY56" s="36" t="s">
        <v>139</v>
      </c>
      <c r="OZ56" s="36" t="s">
        <v>139</v>
      </c>
      <c r="PA56" s="36" t="s">
        <v>139</v>
      </c>
      <c r="PB56" s="36" t="s">
        <v>139</v>
      </c>
      <c r="PC56" s="36" t="s">
        <v>139</v>
      </c>
      <c r="PD56" s="36" t="s">
        <v>139</v>
      </c>
      <c r="PE56" s="36" t="s">
        <v>139</v>
      </c>
      <c r="PF56" s="36" t="s">
        <v>139</v>
      </c>
      <c r="PG56" s="36" t="s">
        <v>139</v>
      </c>
      <c r="PH56" s="36" t="s">
        <v>139</v>
      </c>
      <c r="PI56" s="36" t="s">
        <v>139</v>
      </c>
      <c r="PJ56" s="36" t="s">
        <v>139</v>
      </c>
      <c r="PK56" s="36" t="s">
        <v>139</v>
      </c>
      <c r="PL56" s="36" t="s">
        <v>139</v>
      </c>
      <c r="PM56" s="36" t="s">
        <v>139</v>
      </c>
      <c r="PN56" s="36" t="s">
        <v>139</v>
      </c>
      <c r="PO56" s="74">
        <f>COUNTIFS($C$27:$PN$27,("&lt;"&amp;$B$3),$C$27:$PN$27,("&gt;="&amp;$B$2),$C56:$PN56,TabAsistencias[[#Headers],[1]])</f>
        <v>30</v>
      </c>
      <c r="PP56" s="74">
        <f>COUNTIFS($C$27:$PN$27,("&lt;"&amp;$B$3),$C$27:$PN$27,("&gt;="&amp;$B$2),$C56:$PN56,TabAsistencias[[#Headers],[E]])</f>
        <v>0</v>
      </c>
      <c r="PQ56" s="74">
        <f>COUNTIFS($C$27:$PN$27,("&lt;"&amp;$B$3),$C$27:$PN$27,("&gt;="&amp;$B$2),$C56:$PN56,TabAsistencias[[#Headers],[DE]])</f>
        <v>0</v>
      </c>
      <c r="PR56" s="74">
        <f>COUNTIFS($C$27:$PN$27,("&lt;"&amp;$B$3),$C$27:$PN$27,("&gt;="&amp;$B$2),$C56:$PN56,TabAsistencias[[#Headers],[V]])</f>
        <v>0</v>
      </c>
      <c r="PS56" s="74">
        <f>COUNTIFS($C$27:$PN$27,("&lt;"&amp;$B$3),$C$27:$PN$27,("&gt;="&amp;$B$2),$C56:$PN56,TabAsistencias[[#Headers],[DO]])</f>
        <v>0</v>
      </c>
      <c r="PT56" s="74">
        <f>COUNTIFS($C$27:$PN$27,("&lt;"&amp;$B$3),$C$27:$PN$27,("&gt;="&amp;$B$2),$C56:$PN56,TabAsistencias[[#Headers],[P]])</f>
        <v>0</v>
      </c>
      <c r="PU56" s="74">
        <f>COUNTIFS($C$27:$PN$27,("&lt;"&amp;$B$3),$C$27:$PN$27,("&gt;="&amp;$B$2),$C56:$PN56,TabAsistencias[[#Headers],[F]])</f>
        <v>0</v>
      </c>
      <c r="PV56" s="74">
        <f>COUNTIFS($C$27:$PN$27,("&lt;"&amp;$B$3),$C$27:$PN$27,("&gt;="&amp;$B$2),$C56:$PN56,TabAsistencias[[#Headers],[R]])</f>
        <v>0</v>
      </c>
      <c r="PW56" s="74">
        <f>COUNTIFS($C$27:$PN$27,("&lt;"&amp;$B$3),$C$27:$PN$27,("&gt;="&amp;$B$2),$C56:$PN56,TabAsistencias[[#Headers],[PP]])</f>
        <v>0</v>
      </c>
      <c r="PX56" s="74">
        <f>COUNTIFS($C$27:$PN$27,("&lt;"&amp;$B$3),$C$27:$PN$27,("&gt;="&amp;$B$2),$C56:$PN56,TabAsistencias[[#Headers],[0]])</f>
        <v>0</v>
      </c>
      <c r="PY56" s="74">
        <f>COUNTIFS($C$27:$PN$27,("&lt;"&amp;$B$3),$C$27:$PN$27,("&gt;="&amp;$B$2),$C56:$PN56,TabAsistencias[[#Headers],[IG]])</f>
        <v>0</v>
      </c>
      <c r="PZ56" s="74">
        <f>COUNTIFS($C$27:$PN$27,("&lt;"&amp;$B$3),$C$27:$PN$27,("&gt;="&amp;$B$2),$C56:$PN56,TabAsistencias[[#Headers],[NA]])</f>
        <v>0</v>
      </c>
      <c r="QA56" s="74">
        <f>COUNTIFS($C$27:$PN$27,("&lt;"&amp;$B$3),$C$27:$PN$27,("&gt;="&amp;$B$2),$C56:$PN56,TabAsistencias[[#Headers],[DF]])</f>
        <v>0</v>
      </c>
      <c r="QB56" s="74">
        <f>COUNTIFS($C$27:$PN$27,("&lt;"&amp;$B$3),$C$27:$PN$27,("&gt;="&amp;$B$2),$C56:$PN56,TabAsistencias[[#Headers],[3]])</f>
        <v>0</v>
      </c>
      <c r="QC56" s="74">
        <f>COUNTIFS($C$27:$PN$27,("&lt;"&amp;$B$3),$C$27:$PN$27,("&gt;="&amp;$B$2),$C56:$PN56,TabAsistencias[[#Headers],[CP]])</f>
        <v>0</v>
      </c>
      <c r="QD56" s="74">
        <f>COUNTIFS($C$27:$PN$27,("&lt;"&amp;$B$3),$C$27:$PN$27,("&gt;="&amp;$B$2),$C56:$PN56,TabAsistencias[[#Headers],[I]])</f>
        <v>0</v>
      </c>
      <c r="QE56" s="74">
        <f>COUNTIFS($C$27:$PN$27,("&lt;"&amp;$B$3),$C$27:$PN$27,("&gt;="&amp;$B$2),$C56:$PN56,TabAsistencias[[#Headers],[T/2]])</f>
        <v>0</v>
      </c>
      <c r="QF56" s="74">
        <f>COUNTIFS($C$27:$PN$27,("&lt;"&amp;$B$3),$C$27:$PN$27,("&gt;="&amp;$B$2),$C56:$PN56,TabAsistencias[[#Headers],[ME]])</f>
        <v>0</v>
      </c>
      <c r="QG56" s="74">
        <f>COUNTIFS($C$27:$PN$27,("&lt;"&amp;$B$3),$C$27:$PN$27,("&gt;="&amp;$B$2),$C56:$PN56,TabAsistencias[[#Headers],[DP]])</f>
        <v>0</v>
      </c>
      <c r="QH56" s="74">
        <f>COUNTIFS($C$27:$PN$27,("&lt;"&amp;$B$3),$C$27:$PN$27,("&gt;="&amp;$B$2),$C56:$PN56,TabAsistencias[[#Headers],[B]])</f>
        <v>0</v>
      </c>
      <c r="QI56" s="74">
        <f>(TabAsistencias[[#This Row],[1]]*'Tablas de informacion'!$C$124)+(TabAsistencias[[#This Row],[E]]*'Tablas de informacion'!$C$125)+(TabAsistencias[[#This Row],[DE]]*'Tablas de informacion'!C$126)+(TabAsistencias[[#This Row],[V]]*'Tablas de informacion'!C$127)+(TabAsistencias[[#This Row],[DO]]*'Tablas de informacion'!C$128)+(TabAsistencias[[#This Row],[P]]*'Tablas de informacion'!C$129)+(TabAsistencias[[#This Row],[F]]*'Tablas de informacion'!C$130)+(TabAsistencias[[#This Row],[R]]*'Tablas de informacion'!C$131)+(TabAsistencias[[#This Row],[PP]]*'Tablas de informacion'!C$132)+(TabAsistencias[[#This Row],[0]]*'Tablas de informacion'!C$133)+(TabAsistencias[[#This Row],[IG]]*'Tablas de informacion'!C$134)+(TabAsistencias[[#This Row],[NA]]*'Tablas de informacion'!C$135)+(TabAsistencias[[#This Row],[DF]]*'Tablas de informacion'!C$136)+(TabAsistencias[[#This Row],[3]]*'Tablas de informacion'!C$137)+(TabAsistencias[[#This Row],[CP]]*'Tablas de informacion'!C$138)+(TabAsistencias[[#This Row],[I]]*'Tablas de informacion'!C$139)+(TabAsistencias[[#This Row],[T/2]]*'Tablas de informacion'!C$140)+(TabAsistencias[[#This Row],[ME]]*'Tablas de informacion'!C$141)+(TabAsistencias[[#This Row],[DP]]*'Tablas de informacion'!C$142)+(TabAsistencias[[#This Row],[B]]*'Tablas de informacion'!C$143)-INT(TabAsistencias[[#This Row],[R]]/3)</f>
        <v>30</v>
      </c>
      <c r="QJ56" s="74">
        <f>COUNTIFS($C$27:$PN$27,("&lt;"&amp;$B$3),$C$27:$PN$27,("&gt;="&amp;$B$2),$C$28:$PN$28,1,$C56:$PN56,TabAsistencias[[#Headers],[1]])+
COUNTIFS($C$27:$PN$27,("&lt;"&amp;$B$3),$C$27:$PN$27,("&gt;="&amp;$B$2),$C$28:$PN$28,1,$C56:$PN56,TabAsistencias[[#Headers],[DO]])+
COUNTIFS($C$27:$PN$27,("&lt;"&amp;$B$3),$C$27:$PN$27,("&gt;="&amp;$B$2),$C$28:$PN$28,1,$C56:$PN56,TabAsistencias[[#Headers],[R]])+
COUNTIFS($C$27:$PN$27,("&lt;"&amp;$B$3),$C$27:$PN$27,("&gt;="&amp;$B$2),$C$28:$PN$28,1,$C56:$PN56,TabAsistencias[[#Headers],[NA]])+
COUNTIFS($C$27:$PN$27,("&lt;"&amp;$B$3),$C$27:$PN$27,("&gt;="&amp;$B$2),$C$28:$PN$28,1,$C56:$PN56,TabAsistencias[[#Headers],[DF]])+
COUNTIFS($C$27:$PN$27,("&lt;"&amp;$B$3),$C$27:$PN$27,("&gt;="&amp;$B$2),$C$28:$PN$28,1,$C56:$PN56,TabAsistencias[[#Headers],[3]])+
COUNTIFS($C$27:$PN$27,("&lt;"&amp;$B$3),$C$27:$PN$27,("&gt;="&amp;$B$2),$C$28:$PN$28,1,$C56:$PN56,TabAsistencias[[#Headers],[CP]])+
COUNTIFS($C$27:$PN$27,("&lt;"&amp;$B$3),$C$27:$PN$27,("&gt;="&amp;$B$2),$C$28:$PN$28,1,$C56:$PN56,TabAsistencias[[#Headers],[T/2]])</f>
        <v>4</v>
      </c>
      <c r="QK56" s="315" cm="1">
        <f t="array" ref="QK56">IFERROR(VLOOKUP(
DATEDIF((VLOOKUP(TabAsistencias[[#This Row],[ID]],TabEmpleados[],COLUMN(TabEmpleados[Fecha de ingreso]),FALSE)),Asistencias!$B$3,"Y"),
TabFactorIntegracion[],COLUMN(TabFactorIntegracion[Días vacacionales
establecidos por ley]),FALSE),0)
-
COUNTIF($AH56:$PN56,TabAsistencias[[#Headers],[V]])</f>
        <v>12</v>
      </c>
      <c r="QL56" s="319">
        <f>SUM(TabAsistencias[[#This Row],[''1]],TabAsistencias[[#This Row],[''DE]],TabAsistencias[[#This Row],[''DO]],TabAsistencias[[#This Row],[''R]],TabAsistencias[[#This Row],[''NA]],TabAsistencias[[#This Row],[''DF]],TabAsistencias[[#This Row],[''3]],TabAsistencias[[#This Row],[''CP]],TabAsistencias[[#This Row],[''T/2]],TabAsistencias[[#This Row],[''DP]])</f>
        <v>73</v>
      </c>
      <c r="QM56" s="314">
        <f>COUNTIFS($C$27:$PN$27,("&lt;"&amp;$B$5),$C$27:$PN$27,("&gt;="&amp;$B$4),$C56:$PN56,TabAsistencias[[#Headers],[1]])</f>
        <v>73</v>
      </c>
      <c r="QN56" s="314">
        <f>COUNTIFS($C$27:$PN$27,("&lt;"&amp;$B$5),$C$27:$PN$27,("&gt;="&amp;$B$4),$C56:$PN56,TabAsistencias[[#Headers],[DE]])</f>
        <v>0</v>
      </c>
      <c r="QO56" s="314">
        <f>COUNTIFS($C$27:$PN$27,("&lt;"&amp;$B$5),$C$27:$PN$27,("&gt;="&amp;$B$4),$C56:$PN56,TabAsistencias[[#Headers],[V]])</f>
        <v>0</v>
      </c>
      <c r="QP56" s="314">
        <f>COUNTIFS($C$27:$PN$27,("&lt;"&amp;$B$5),$C$27:$PN$27,("&gt;="&amp;$B$4),$C56:$PN56,TabAsistencias[[#Headers],[DO]])</f>
        <v>0</v>
      </c>
      <c r="QQ56" s="314">
        <f>COUNTIFS($C$27:$PN$27,("&lt;"&amp;$B$5),$C$27:$PN$27,("&gt;="&amp;$B$4),$C56:$PN56,TabAsistencias[[#Headers],[P]])</f>
        <v>0</v>
      </c>
      <c r="QR56" s="314">
        <f>COUNTIFS($C$27:$PN$27,("&lt;"&amp;$B$5),$C$27:$PN$27,("&gt;="&amp;$B$4),$C56:$PN56,TabAsistencias[[#Headers],[F]])</f>
        <v>0</v>
      </c>
      <c r="QS56" s="314">
        <f>COUNTIFS($C$27:$PN$27,("&lt;"&amp;$B$5),$C$27:$PN$27,("&gt;="&amp;$B$4),$C56:$PN56,TabAsistencias[[#Headers],[R]])</f>
        <v>0</v>
      </c>
      <c r="QT56" s="314">
        <f>COUNTIFS($C$27:$PN$27,("&lt;"&amp;$B$5),$C$27:$PN$27,("&gt;="&amp;$B$4),$C56:$PN56,TabAsistencias[[#Headers],[PP]])</f>
        <v>0</v>
      </c>
      <c r="QU56" s="314">
        <f>COUNTIFS($C$27:$PN$27,("&lt;"&amp;$B$5),$C$27:$PN$27,("&gt;="&amp;$B$4),$C56:$PN56,TabAsistencias[[#Headers],[0]])</f>
        <v>0</v>
      </c>
      <c r="QV56" s="314">
        <f>COUNTIFS($C$27:$PN$27,("&lt;"&amp;$B$5),$C$27:$PN$27,("&gt;="&amp;$B$4),$C56:$PN56,TabAsistencias[[#Headers],[IG]])</f>
        <v>0</v>
      </c>
      <c r="QW56" s="314">
        <f>COUNTIFS($C$27:$PN$27,("&lt;"&amp;$B$5),$C$27:$PN$27,("&gt;="&amp;$B$4),$C56:$PN56,TabAsistencias[[#Headers],[NA]])</f>
        <v>0</v>
      </c>
      <c r="QX56" s="314">
        <f>COUNTIFS($C$27:$PN$27,("&lt;"&amp;$B$5),$C$27:$PN$27,("&gt;="&amp;$B$4),$C56:$PN56,TabAsistencias[[#Headers],[DF]])</f>
        <v>0</v>
      </c>
      <c r="QY56" s="314">
        <f>COUNTIFS($C$27:$PN$27,("&lt;"&amp;$B$5),$C$27:$PN$27,("&gt;="&amp;$B$4),$C56:$PN56,TabAsistencias[[#Headers],[3]])</f>
        <v>0</v>
      </c>
      <c r="QZ56" s="314">
        <f>COUNTIFS($C$27:$PN$27,("&lt;"&amp;$B$5),$C$27:$PN$27,("&gt;="&amp;$B$4),$C56:$PN56,TabAsistencias[[#Headers],[CP]])</f>
        <v>0</v>
      </c>
      <c r="RA56" s="314">
        <f>COUNTIFS($C$27:$PN$27,("&lt;"&amp;$B$5),$C$27:$PN$27,("&gt;="&amp;$B$4),$C56:$PN56,TabAsistencias[[#Headers],[I]])</f>
        <v>0</v>
      </c>
      <c r="RB56" s="314">
        <f>COUNTIFS($C$27:$PN$27,("&lt;"&amp;$B$5),$C$27:$PN$27,("&gt;="&amp;$B$4),$C56:$PN56,TabAsistencias[[#Headers],[T/2]])</f>
        <v>0</v>
      </c>
      <c r="RC56" s="314">
        <f>COUNTIFS($C$27:$PN$27,("&lt;"&amp;$B$5),$C$27:$PN$27,("&gt;="&amp;$B$4),$C56:$PN56,TabAsistencias[[#Headers],[ME]])</f>
        <v>0</v>
      </c>
      <c r="RD56" s="314">
        <f>COUNTIFS($C$27:$PN$27,("&lt;"&amp;$B$5),$C$27:$PN$27,("&gt;="&amp;$B$4),$C56:$PN56,TabAsistencias[[#Headers],[DP]])</f>
        <v>0</v>
      </c>
      <c r="RE56" s="314">
        <f>COUNTIFS($C$27:$PN$27,("&lt;"&amp;$B$5),$C$27:$PN$27,("&gt;="&amp;$B$4),$C56:$PN56,TabAsistencias[[#Headers],[B]])</f>
        <v>0</v>
      </c>
      <c r="RF56" s="314">
        <f>COUNTIFS($C$27:$PN$27,("&lt;"&amp;$B$5),$C$27:$PN$27,("&gt;="&amp;$B$4),$C$28:$PN$28,1,$C56:$PN56,TabAsistencias[[#Headers],[1]])+
COUNTIFS($C$27:$PN$27,("&lt;"&amp;$B$5),$C$27:$PN$27,("&gt;="&amp;$B$4),$C$28:$PN$28,1,$C56:$PN56,TabAsistencias[[#Headers],[DO]])+
COUNTIFS($C$27:$PN$27,("&lt;"&amp;$B$5),$C$27:$PN$27,("&gt;="&amp;$B$4),$C$28:$PN$28,1,$C56:$PN56,TabAsistencias[[#Headers],[R]])+
COUNTIFS($C$27:$PN$27,("&lt;"&amp;$B$5),$C$27:$PN$27,("&gt;="&amp;$B$4),$C$28:$PN$28,1,$C56:$PN56,TabAsistencias[[#Headers],[NA]])+
COUNTIFS($C$27:$PN$27,("&lt;"&amp;$B$5),$C$27:$PN$27,("&gt;="&amp;$B$4),$C$28:$PN$28,1,$C56:$PN56,TabAsistencias[[#Headers],[DF]])+
COUNTIFS($C$27:$PN$27,("&lt;"&amp;$B$5),$C$27:$PN$27,("&gt;="&amp;$B$4),$C$28:$PN$28,1,$C56:$PN56,TabAsistencias[[#Headers],[3]])+
COUNTIFS($C$27:$PN$27,("&lt;"&amp;$B$5),$C$27:$PN$27,("&gt;="&amp;$B$4),$C$28:$PN$28,1,$C56:$PN56,TabAsistencias[[#Headers],[CP]])+
COUNTIFS($C$27:$PN$27,("&lt;"&amp;$B$5),$C$27:$PN$27,("&gt;="&amp;$B$4),$C$28:$PN$28,1,$C56:$PN56,TabAsistencias[[#Headers],[T/2]])</f>
        <v>11</v>
      </c>
      <c r="RG56" s="320" cm="1">
        <f t="array" ref="RG56">IFERROR(VLOOKUP(
DATEDIF((VLOOKUP(TabAsistencias[[#This Row],[ID]],TabEmpleados[],COLUMN(TabEmpleados[Fecha de alta NSS]),FALSE)),Asistencias!$B$3,"Y"),
TabFactorIntegracion[],COLUMN(TabFactorIntegracion[Días vacacionales
establecidos por ley]),FALSE),0)
-
COUNTIF($AH56:$PN56,TabAsistencias[[#Headers],[V]])</f>
        <v>12</v>
      </c>
    </row>
    <row r="57" spans="1:475" x14ac:dyDescent="0.25">
      <c r="A57" s="92">
        <f t="shared" si="434"/>
        <v>27</v>
      </c>
      <c r="B57" s="30" t="str" cm="1">
        <f t="array" ref="B57">VLOOKUP(TabAsistencias[[#This Row],[ID]],TabEmpleados[],COLUMN(TabEmpleados[Nombre]),FALSE)</f>
        <v>GUTIERREZ LAZARO PABLO GABRIEL</v>
      </c>
      <c r="C57" s="36" t="s">
        <v>139</v>
      </c>
      <c r="D57" s="36" t="s">
        <v>139</v>
      </c>
      <c r="E57" s="36" t="s">
        <v>139</v>
      </c>
      <c r="F57" s="36" t="s">
        <v>139</v>
      </c>
      <c r="G57" s="36" t="s">
        <v>139</v>
      </c>
      <c r="H57" s="36" t="s">
        <v>139</v>
      </c>
      <c r="I57" s="36" t="s">
        <v>139</v>
      </c>
      <c r="J57" s="36" t="s">
        <v>139</v>
      </c>
      <c r="K57" s="36" t="s">
        <v>139</v>
      </c>
      <c r="L57" s="36" t="s">
        <v>139</v>
      </c>
      <c r="M57" s="36" t="s">
        <v>139</v>
      </c>
      <c r="N57" s="36" t="s">
        <v>139</v>
      </c>
      <c r="O57" s="36" t="s">
        <v>139</v>
      </c>
      <c r="P57" s="36" t="s">
        <v>139</v>
      </c>
      <c r="Q57" s="36" t="s">
        <v>139</v>
      </c>
      <c r="R57" s="36" t="s">
        <v>139</v>
      </c>
      <c r="S57" s="36" t="s">
        <v>139</v>
      </c>
      <c r="T57" s="36" t="s">
        <v>139</v>
      </c>
      <c r="U57" s="36" t="s">
        <v>139</v>
      </c>
      <c r="V57" s="36" t="s">
        <v>139</v>
      </c>
      <c r="W57" s="36" t="s">
        <v>139</v>
      </c>
      <c r="X57" s="36" t="s">
        <v>139</v>
      </c>
      <c r="Y57" s="36" t="s">
        <v>139</v>
      </c>
      <c r="Z57" s="36" t="s">
        <v>139</v>
      </c>
      <c r="AA57" s="36" t="s">
        <v>139</v>
      </c>
      <c r="AB57" s="36" t="s">
        <v>139</v>
      </c>
      <c r="AC57" s="36" t="s">
        <v>139</v>
      </c>
      <c r="AD57" s="36" t="s">
        <v>139</v>
      </c>
      <c r="AE57" s="36" t="s">
        <v>139</v>
      </c>
      <c r="AF57" s="36" t="s">
        <v>139</v>
      </c>
      <c r="AG57" s="36" t="s">
        <v>139</v>
      </c>
      <c r="AH57" s="36" t="s">
        <v>139</v>
      </c>
      <c r="AI57" s="36" t="s">
        <v>139</v>
      </c>
      <c r="AJ57" s="36" t="s">
        <v>139</v>
      </c>
      <c r="AK57" s="36" t="s">
        <v>139</v>
      </c>
      <c r="AL57" s="36" t="s">
        <v>139</v>
      </c>
      <c r="AM57" s="36" t="s">
        <v>139</v>
      </c>
      <c r="AN57" s="36" t="s">
        <v>139</v>
      </c>
      <c r="AO57" s="36" t="s">
        <v>139</v>
      </c>
      <c r="AP57" s="36" t="s">
        <v>139</v>
      </c>
      <c r="AQ57" s="36" t="s">
        <v>139</v>
      </c>
      <c r="AR57" s="36" t="s">
        <v>139</v>
      </c>
      <c r="AS57" s="36" t="s">
        <v>139</v>
      </c>
      <c r="AT57" s="36" t="s">
        <v>139</v>
      </c>
      <c r="AU57" s="36" t="s">
        <v>139</v>
      </c>
      <c r="AV57" s="36" t="s">
        <v>139</v>
      </c>
      <c r="AW57" s="36" t="s">
        <v>139</v>
      </c>
      <c r="AX57" s="36" t="s">
        <v>139</v>
      </c>
      <c r="AY57" s="36" t="s">
        <v>139</v>
      </c>
      <c r="AZ57" s="36" t="s">
        <v>139</v>
      </c>
      <c r="BA57" s="36" t="s">
        <v>139</v>
      </c>
      <c r="BB57" s="36" t="s">
        <v>139</v>
      </c>
      <c r="BC57" s="36" t="s">
        <v>139</v>
      </c>
      <c r="BD57" s="36" t="s">
        <v>139</v>
      </c>
      <c r="BE57" s="36" t="s">
        <v>139</v>
      </c>
      <c r="BF57" s="36" t="s">
        <v>139</v>
      </c>
      <c r="BG57" s="36" t="s">
        <v>139</v>
      </c>
      <c r="BH57" s="36" t="s">
        <v>139</v>
      </c>
      <c r="BI57" s="36" t="s">
        <v>139</v>
      </c>
      <c r="BJ57" s="36" t="s">
        <v>139</v>
      </c>
      <c r="BK57" s="36" t="s">
        <v>139</v>
      </c>
      <c r="BL57" s="36" t="s">
        <v>139</v>
      </c>
      <c r="BM57" s="36" t="s">
        <v>139</v>
      </c>
      <c r="BN57" s="36" t="s">
        <v>139</v>
      </c>
      <c r="BO57" s="36" t="s">
        <v>139</v>
      </c>
      <c r="BP57" s="36" t="s">
        <v>139</v>
      </c>
      <c r="BQ57" s="36" t="s">
        <v>139</v>
      </c>
      <c r="BR57" s="36" t="s">
        <v>139</v>
      </c>
      <c r="BS57" s="36" t="s">
        <v>139</v>
      </c>
      <c r="BT57" s="36" t="s">
        <v>139</v>
      </c>
      <c r="BU57" s="36" t="s">
        <v>139</v>
      </c>
      <c r="BV57" s="36" t="s">
        <v>139</v>
      </c>
      <c r="BW57" s="36" t="s">
        <v>139</v>
      </c>
      <c r="BX57" s="36" t="s">
        <v>139</v>
      </c>
      <c r="BY57" s="36" t="s">
        <v>139</v>
      </c>
      <c r="BZ57" s="36" t="s">
        <v>139</v>
      </c>
      <c r="CA57" s="36" t="s">
        <v>139</v>
      </c>
      <c r="CB57" s="36" t="s">
        <v>139</v>
      </c>
      <c r="CC57" s="36" t="s">
        <v>139</v>
      </c>
      <c r="CD57" s="36" t="s">
        <v>139</v>
      </c>
      <c r="CE57" s="36" t="s">
        <v>139</v>
      </c>
      <c r="CF57" s="36" t="s">
        <v>139</v>
      </c>
      <c r="CG57" s="36" t="s">
        <v>139</v>
      </c>
      <c r="CH57" s="36" t="s">
        <v>139</v>
      </c>
      <c r="CI57" s="36" t="s">
        <v>139</v>
      </c>
      <c r="CJ57" s="36" t="s">
        <v>139</v>
      </c>
      <c r="CK57" s="36" t="s">
        <v>139</v>
      </c>
      <c r="CL57" s="36" t="s">
        <v>139</v>
      </c>
      <c r="CM57" s="36" t="s">
        <v>139</v>
      </c>
      <c r="CN57" s="36" t="s">
        <v>139</v>
      </c>
      <c r="CO57" s="36" t="s">
        <v>139</v>
      </c>
      <c r="CP57" s="36" t="s">
        <v>139</v>
      </c>
      <c r="CQ57" s="36" t="s">
        <v>139</v>
      </c>
      <c r="CR57" s="36" t="s">
        <v>139</v>
      </c>
      <c r="CS57" s="36" t="s">
        <v>139</v>
      </c>
      <c r="CT57" s="36" t="s">
        <v>139</v>
      </c>
      <c r="CU57" s="36" t="s">
        <v>139</v>
      </c>
      <c r="CV57" s="36" t="s">
        <v>139</v>
      </c>
      <c r="CW57" s="36" t="s">
        <v>139</v>
      </c>
      <c r="CX57" s="36" t="s">
        <v>139</v>
      </c>
      <c r="CY57" s="36" t="s">
        <v>139</v>
      </c>
      <c r="CZ57" s="36" t="s">
        <v>139</v>
      </c>
      <c r="DA57" s="36" t="s">
        <v>139</v>
      </c>
      <c r="DB57" s="36" t="s">
        <v>139</v>
      </c>
      <c r="DC57" s="36" t="s">
        <v>139</v>
      </c>
      <c r="DD57" s="36" t="s">
        <v>139</v>
      </c>
      <c r="DE57" s="36" t="s">
        <v>139</v>
      </c>
      <c r="DF57" s="36" t="s">
        <v>139</v>
      </c>
      <c r="DG57" s="36" t="s">
        <v>139</v>
      </c>
      <c r="DH57" s="36" t="s">
        <v>139</v>
      </c>
      <c r="DI57" s="36" t="s">
        <v>139</v>
      </c>
      <c r="DJ57" s="36" t="s">
        <v>139</v>
      </c>
      <c r="DK57" s="36" t="s">
        <v>139</v>
      </c>
      <c r="DL57" s="36" t="s">
        <v>139</v>
      </c>
      <c r="DM57" s="36" t="s">
        <v>139</v>
      </c>
      <c r="DN57" s="36" t="s">
        <v>139</v>
      </c>
      <c r="DO57" s="36" t="s">
        <v>139</v>
      </c>
      <c r="DP57" s="36" t="s">
        <v>139</v>
      </c>
      <c r="DQ57" s="36" t="s">
        <v>139</v>
      </c>
      <c r="DR57" s="36" t="s">
        <v>139</v>
      </c>
      <c r="DS57" s="36" t="s">
        <v>139</v>
      </c>
      <c r="DT57" s="36" t="s">
        <v>139</v>
      </c>
      <c r="DU57" s="36" t="s">
        <v>139</v>
      </c>
      <c r="DV57" s="36" t="s">
        <v>139</v>
      </c>
      <c r="DW57" s="36" t="s">
        <v>139</v>
      </c>
      <c r="DX57" s="36" t="s">
        <v>139</v>
      </c>
      <c r="DY57" s="36" t="s">
        <v>139</v>
      </c>
      <c r="DZ57" s="36" t="s">
        <v>139</v>
      </c>
      <c r="EA57" s="36" t="s">
        <v>139</v>
      </c>
      <c r="EB57" s="36" t="s">
        <v>139</v>
      </c>
      <c r="EC57" s="36" t="s">
        <v>139</v>
      </c>
      <c r="ED57" s="36" t="s">
        <v>139</v>
      </c>
      <c r="EE57" s="36" t="s">
        <v>139</v>
      </c>
      <c r="EF57" s="36" t="s">
        <v>139</v>
      </c>
      <c r="EG57" s="36" t="s">
        <v>139</v>
      </c>
      <c r="EH57" s="36" t="s">
        <v>139</v>
      </c>
      <c r="EI57" s="36" t="s">
        <v>139</v>
      </c>
      <c r="EJ57" s="36" t="s">
        <v>139</v>
      </c>
      <c r="EK57" s="36" t="s">
        <v>139</v>
      </c>
      <c r="EL57" s="36" t="s">
        <v>139</v>
      </c>
      <c r="EM57" s="36" t="s">
        <v>139</v>
      </c>
      <c r="EN57" s="36" t="s">
        <v>139</v>
      </c>
      <c r="EO57" s="36" t="s">
        <v>139</v>
      </c>
      <c r="EP57" s="36" t="s">
        <v>139</v>
      </c>
      <c r="EQ57" s="36" t="s">
        <v>139</v>
      </c>
      <c r="ER57" s="36" t="s">
        <v>139</v>
      </c>
      <c r="ES57" s="36" t="s">
        <v>139</v>
      </c>
      <c r="ET57" s="36" t="s">
        <v>139</v>
      </c>
      <c r="EU57" s="36" t="s">
        <v>139</v>
      </c>
      <c r="EV57" s="36" t="s">
        <v>139</v>
      </c>
      <c r="EW57" s="36" t="s">
        <v>139</v>
      </c>
      <c r="EX57" s="36" t="s">
        <v>139</v>
      </c>
      <c r="EY57" s="36" t="s">
        <v>139</v>
      </c>
      <c r="EZ57" s="36" t="s">
        <v>139</v>
      </c>
      <c r="FA57" s="36" t="s">
        <v>139</v>
      </c>
      <c r="FB57" s="36" t="s">
        <v>139</v>
      </c>
      <c r="FC57" s="36" t="s">
        <v>139</v>
      </c>
      <c r="FD57" s="36" t="s">
        <v>139</v>
      </c>
      <c r="FE57" s="36" t="s">
        <v>139</v>
      </c>
      <c r="FF57" s="36" t="s">
        <v>139</v>
      </c>
      <c r="FG57" s="36" t="s">
        <v>139</v>
      </c>
      <c r="FH57" s="36" t="s">
        <v>139</v>
      </c>
      <c r="FI57" s="36" t="s">
        <v>139</v>
      </c>
      <c r="FJ57" s="36" t="s">
        <v>139</v>
      </c>
      <c r="FK57" s="36" t="s">
        <v>139</v>
      </c>
      <c r="FL57" s="36" t="s">
        <v>139</v>
      </c>
      <c r="FM57" s="36" t="s">
        <v>139</v>
      </c>
      <c r="FN57" s="36" t="s">
        <v>139</v>
      </c>
      <c r="FO57" s="36" t="s">
        <v>139</v>
      </c>
      <c r="FP57" s="36" t="s">
        <v>139</v>
      </c>
      <c r="FQ57" s="36" t="s">
        <v>139</v>
      </c>
      <c r="FR57" s="36" t="s">
        <v>139</v>
      </c>
      <c r="FS57" s="36" t="s">
        <v>139</v>
      </c>
      <c r="FT57" s="36" t="s">
        <v>139</v>
      </c>
      <c r="FU57" s="36" t="s">
        <v>139</v>
      </c>
      <c r="FV57" s="36" t="s">
        <v>139</v>
      </c>
      <c r="FW57" s="36" t="s">
        <v>139</v>
      </c>
      <c r="FX57" s="36" t="s">
        <v>139</v>
      </c>
      <c r="FY57" s="36" t="s">
        <v>139</v>
      </c>
      <c r="FZ57" s="36" t="s">
        <v>139</v>
      </c>
      <c r="GA57" s="36" t="s">
        <v>139</v>
      </c>
      <c r="GB57" s="36" t="s">
        <v>139</v>
      </c>
      <c r="GC57" s="36" t="s">
        <v>139</v>
      </c>
      <c r="GD57" s="36" t="s">
        <v>139</v>
      </c>
      <c r="GE57" s="36" t="s">
        <v>139</v>
      </c>
      <c r="GF57" s="36" t="s">
        <v>139</v>
      </c>
      <c r="GG57" s="36" t="s">
        <v>139</v>
      </c>
      <c r="GH57" s="36" t="s">
        <v>139</v>
      </c>
      <c r="GI57" s="36" t="s">
        <v>139</v>
      </c>
      <c r="GJ57" s="36" t="s">
        <v>139</v>
      </c>
      <c r="GK57" s="36" t="s">
        <v>139</v>
      </c>
      <c r="GL57" s="36" t="s">
        <v>139</v>
      </c>
      <c r="GM57" s="36" t="s">
        <v>139</v>
      </c>
      <c r="GN57" s="36" t="s">
        <v>139</v>
      </c>
      <c r="GO57" s="36" t="s">
        <v>139</v>
      </c>
      <c r="GP57" s="36" t="s">
        <v>139</v>
      </c>
      <c r="GQ57" s="36" t="s">
        <v>139</v>
      </c>
      <c r="GR57" s="36" t="s">
        <v>139</v>
      </c>
      <c r="GS57" s="36" t="s">
        <v>139</v>
      </c>
      <c r="GT57" s="36" t="s">
        <v>139</v>
      </c>
      <c r="GU57" s="36" t="s">
        <v>139</v>
      </c>
      <c r="GV57" s="36" t="s">
        <v>139</v>
      </c>
      <c r="GW57" s="36" t="s">
        <v>139</v>
      </c>
      <c r="GX57" s="36" t="s">
        <v>139</v>
      </c>
      <c r="GY57" s="36" t="s">
        <v>139</v>
      </c>
      <c r="GZ57" s="36" t="s">
        <v>139</v>
      </c>
      <c r="HA57" s="36" t="s">
        <v>139</v>
      </c>
      <c r="HB57" s="36" t="s">
        <v>139</v>
      </c>
      <c r="HC57" s="36" t="s">
        <v>139</v>
      </c>
      <c r="HD57" s="36" t="s">
        <v>139</v>
      </c>
      <c r="HE57" s="36" t="s">
        <v>139</v>
      </c>
      <c r="HF57" s="36" t="s">
        <v>139</v>
      </c>
      <c r="HG57" s="36" t="s">
        <v>139</v>
      </c>
      <c r="HH57" s="36" t="s">
        <v>139</v>
      </c>
      <c r="HI57" s="36" t="s">
        <v>139</v>
      </c>
      <c r="HJ57" s="36" t="s">
        <v>139</v>
      </c>
      <c r="HK57" s="36" t="s">
        <v>139</v>
      </c>
      <c r="HL57" s="36" t="s">
        <v>139</v>
      </c>
      <c r="HM57" s="36" t="s">
        <v>139</v>
      </c>
      <c r="HN57" s="36" t="s">
        <v>139</v>
      </c>
      <c r="HO57" s="36" t="s">
        <v>139</v>
      </c>
      <c r="HP57" s="36" t="s">
        <v>139</v>
      </c>
      <c r="HQ57" s="36" t="s">
        <v>139</v>
      </c>
      <c r="HR57" s="36" t="s">
        <v>139</v>
      </c>
      <c r="HS57" s="36" t="s">
        <v>139</v>
      </c>
      <c r="HT57" s="36" t="s">
        <v>139</v>
      </c>
      <c r="HU57" s="36" t="s">
        <v>139</v>
      </c>
      <c r="HV57" s="36" t="s">
        <v>139</v>
      </c>
      <c r="HW57" s="36" t="s">
        <v>139</v>
      </c>
      <c r="HX57" s="36" t="s">
        <v>139</v>
      </c>
      <c r="HY57" s="36" t="s">
        <v>139</v>
      </c>
      <c r="HZ57" s="36" t="s">
        <v>139</v>
      </c>
      <c r="IA57" s="36" t="s">
        <v>139</v>
      </c>
      <c r="IB57" s="36" t="s">
        <v>139</v>
      </c>
      <c r="IC57" s="36" t="s">
        <v>139</v>
      </c>
      <c r="ID57" s="36" t="s">
        <v>139</v>
      </c>
      <c r="IE57" s="36" t="s">
        <v>139</v>
      </c>
      <c r="IF57" s="36" t="s">
        <v>139</v>
      </c>
      <c r="IG57" s="36" t="s">
        <v>139</v>
      </c>
      <c r="IH57" s="36" t="s">
        <v>139</v>
      </c>
      <c r="II57" s="36" t="s">
        <v>139</v>
      </c>
      <c r="IJ57" s="36" t="s">
        <v>139</v>
      </c>
      <c r="IK57" s="36" t="s">
        <v>139</v>
      </c>
      <c r="IL57" s="36" t="s">
        <v>139</v>
      </c>
      <c r="IM57" s="36" t="s">
        <v>139</v>
      </c>
      <c r="IN57" s="36" t="s">
        <v>139</v>
      </c>
      <c r="IO57" s="36" t="s">
        <v>139</v>
      </c>
      <c r="IP57" s="36" t="s">
        <v>139</v>
      </c>
      <c r="IQ57" s="36" t="s">
        <v>139</v>
      </c>
      <c r="IR57" s="36" t="s">
        <v>139</v>
      </c>
      <c r="IS57" s="36" t="s">
        <v>139</v>
      </c>
      <c r="IT57" s="36" t="s">
        <v>139</v>
      </c>
      <c r="IU57" s="36" t="s">
        <v>139</v>
      </c>
      <c r="IV57" s="36" t="s">
        <v>139</v>
      </c>
      <c r="IW57" s="36" t="s">
        <v>139</v>
      </c>
      <c r="IX57" s="36" t="s">
        <v>139</v>
      </c>
      <c r="IY57" s="36" t="s">
        <v>139</v>
      </c>
      <c r="IZ57" s="36" t="s">
        <v>139</v>
      </c>
      <c r="JA57" s="36" t="s">
        <v>139</v>
      </c>
      <c r="JB57" s="36" t="s">
        <v>139</v>
      </c>
      <c r="JC57" s="36" t="s">
        <v>139</v>
      </c>
      <c r="JD57" s="36" t="s">
        <v>139</v>
      </c>
      <c r="JE57" s="36" t="s">
        <v>139</v>
      </c>
      <c r="JF57" s="36" t="s">
        <v>139</v>
      </c>
      <c r="JG57" s="36" t="s">
        <v>139</v>
      </c>
      <c r="JH57" s="36" t="s">
        <v>139</v>
      </c>
      <c r="JI57" s="36" t="s">
        <v>139</v>
      </c>
      <c r="JJ57" s="36" t="s">
        <v>139</v>
      </c>
      <c r="JK57" s="36" t="s">
        <v>139</v>
      </c>
      <c r="JL57" s="36" t="s">
        <v>139</v>
      </c>
      <c r="JM57" s="36" t="s">
        <v>139</v>
      </c>
      <c r="JN57" s="36" t="s">
        <v>139</v>
      </c>
      <c r="JO57" s="36" t="s">
        <v>139</v>
      </c>
      <c r="JP57" s="36" t="s">
        <v>139</v>
      </c>
      <c r="JQ57" s="36" t="s">
        <v>139</v>
      </c>
      <c r="JR57" s="36" t="s">
        <v>139</v>
      </c>
      <c r="JS57" s="36" t="s">
        <v>139</v>
      </c>
      <c r="JT57" s="36" t="s">
        <v>139</v>
      </c>
      <c r="JU57" s="36" t="s">
        <v>139</v>
      </c>
      <c r="JV57" s="36" t="s">
        <v>139</v>
      </c>
      <c r="JW57" s="36" t="s">
        <v>139</v>
      </c>
      <c r="JX57" s="36" t="s">
        <v>139</v>
      </c>
      <c r="JY57" s="36" t="s">
        <v>139</v>
      </c>
      <c r="JZ57" s="36" t="s">
        <v>139</v>
      </c>
      <c r="KA57" s="36" t="s">
        <v>139</v>
      </c>
      <c r="KB57" s="36" t="s">
        <v>139</v>
      </c>
      <c r="KC57" s="36" t="s">
        <v>139</v>
      </c>
      <c r="KD57" s="36" t="s">
        <v>139</v>
      </c>
      <c r="KE57" s="36" t="s">
        <v>139</v>
      </c>
      <c r="KF57" s="36" t="s">
        <v>139</v>
      </c>
      <c r="KG57" s="36" t="s">
        <v>139</v>
      </c>
      <c r="KH57" s="36" t="s">
        <v>139</v>
      </c>
      <c r="KI57" s="36" t="s">
        <v>139</v>
      </c>
      <c r="KJ57" s="36" t="s">
        <v>139</v>
      </c>
      <c r="KK57" s="36" t="s">
        <v>139</v>
      </c>
      <c r="KL57" s="36" t="s">
        <v>139</v>
      </c>
      <c r="KM57" s="36" t="s">
        <v>139</v>
      </c>
      <c r="KN57" s="36" t="s">
        <v>139</v>
      </c>
      <c r="KO57" s="36" t="s">
        <v>139</v>
      </c>
      <c r="KP57" s="36" t="s">
        <v>139</v>
      </c>
      <c r="KQ57" s="36" t="s">
        <v>139</v>
      </c>
      <c r="KR57" s="36" t="s">
        <v>139</v>
      </c>
      <c r="KS57" s="36" t="s">
        <v>139</v>
      </c>
      <c r="KT57" s="36" t="s">
        <v>139</v>
      </c>
      <c r="KU57" s="36" t="s">
        <v>139</v>
      </c>
      <c r="KV57" s="36" t="s">
        <v>139</v>
      </c>
      <c r="KW57" s="36" t="s">
        <v>139</v>
      </c>
      <c r="KX57" s="36" t="s">
        <v>139</v>
      </c>
      <c r="KY57" s="36" t="s">
        <v>139</v>
      </c>
      <c r="KZ57" s="36" t="s">
        <v>139</v>
      </c>
      <c r="LA57" s="36" t="s">
        <v>139</v>
      </c>
      <c r="LB57" s="36" t="s">
        <v>139</v>
      </c>
      <c r="LC57" s="36" t="s">
        <v>139</v>
      </c>
      <c r="LD57" s="36" t="s">
        <v>139</v>
      </c>
      <c r="LE57" s="36" t="s">
        <v>139</v>
      </c>
      <c r="LF57" s="36" t="s">
        <v>139</v>
      </c>
      <c r="LG57" s="36" t="s">
        <v>139</v>
      </c>
      <c r="LH57" s="36" t="s">
        <v>139</v>
      </c>
      <c r="LI57" s="36" t="s">
        <v>139</v>
      </c>
      <c r="LJ57" s="36" t="s">
        <v>139</v>
      </c>
      <c r="LK57" s="36" t="s">
        <v>139</v>
      </c>
      <c r="LL57" s="36" t="s">
        <v>139</v>
      </c>
      <c r="LM57" s="36" t="s">
        <v>139</v>
      </c>
      <c r="LN57" s="36" t="s">
        <v>139</v>
      </c>
      <c r="LO57" s="36" t="s">
        <v>139</v>
      </c>
      <c r="LP57" s="36" t="s">
        <v>139</v>
      </c>
      <c r="LQ57" s="36" t="s">
        <v>139</v>
      </c>
      <c r="LR57" s="36" t="s">
        <v>139</v>
      </c>
      <c r="LS57" s="36" t="s">
        <v>139</v>
      </c>
      <c r="LT57" s="36" t="s">
        <v>139</v>
      </c>
      <c r="LU57" s="36" t="s">
        <v>139</v>
      </c>
      <c r="LV57" s="36" t="s">
        <v>139</v>
      </c>
      <c r="LW57" s="36" t="s">
        <v>139</v>
      </c>
      <c r="LX57" s="36" t="s">
        <v>139</v>
      </c>
      <c r="LY57" s="36" t="s">
        <v>139</v>
      </c>
      <c r="LZ57" s="36" t="s">
        <v>139</v>
      </c>
      <c r="MA57" s="36" t="s">
        <v>139</v>
      </c>
      <c r="MB57" s="36" t="s">
        <v>139</v>
      </c>
      <c r="MC57" s="36" t="s">
        <v>139</v>
      </c>
      <c r="MD57" s="36" t="s">
        <v>139</v>
      </c>
      <c r="ME57" s="36" t="s">
        <v>139</v>
      </c>
      <c r="MF57" s="36" t="s">
        <v>139</v>
      </c>
      <c r="MG57" s="36" t="s">
        <v>139</v>
      </c>
      <c r="MH57" s="36" t="s">
        <v>139</v>
      </c>
      <c r="MI57" s="36" t="s">
        <v>139</v>
      </c>
      <c r="MJ57" s="36" t="s">
        <v>139</v>
      </c>
      <c r="MK57" s="36" t="s">
        <v>139</v>
      </c>
      <c r="ML57" s="36" t="s">
        <v>139</v>
      </c>
      <c r="MM57" s="36" t="s">
        <v>139</v>
      </c>
      <c r="MN57" s="36" t="s">
        <v>139</v>
      </c>
      <c r="MO57" s="36" t="s">
        <v>139</v>
      </c>
      <c r="MP57" s="36" t="s">
        <v>139</v>
      </c>
      <c r="MQ57" s="36" t="s">
        <v>139</v>
      </c>
      <c r="MR57" s="36" t="s">
        <v>139</v>
      </c>
      <c r="MS57" s="36" t="s">
        <v>139</v>
      </c>
      <c r="MT57" s="36" t="s">
        <v>139</v>
      </c>
      <c r="MU57" s="36" t="s">
        <v>139</v>
      </c>
      <c r="MV57" s="36" t="s">
        <v>139</v>
      </c>
      <c r="MW57" s="36" t="s">
        <v>139</v>
      </c>
      <c r="MX57" s="36" t="s">
        <v>139</v>
      </c>
      <c r="MY57" s="36" t="s">
        <v>139</v>
      </c>
      <c r="MZ57" s="36" t="s">
        <v>139</v>
      </c>
      <c r="NA57" s="36" t="s">
        <v>139</v>
      </c>
      <c r="NB57" s="36" t="s">
        <v>139</v>
      </c>
      <c r="NC57" s="36" t="s">
        <v>139</v>
      </c>
      <c r="ND57" s="36" t="s">
        <v>139</v>
      </c>
      <c r="NE57" s="36" t="s">
        <v>139</v>
      </c>
      <c r="NF57" s="36" t="s">
        <v>139</v>
      </c>
      <c r="NG57" s="36" t="s">
        <v>139</v>
      </c>
      <c r="NH57" s="36" t="s">
        <v>139</v>
      </c>
      <c r="NI57" s="36" t="s">
        <v>139</v>
      </c>
      <c r="NJ57" s="36" t="s">
        <v>139</v>
      </c>
      <c r="NK57" s="36" t="s">
        <v>139</v>
      </c>
      <c r="NL57" s="36" t="s">
        <v>139</v>
      </c>
      <c r="NM57" s="36" t="s">
        <v>139</v>
      </c>
      <c r="NN57" s="36" t="s">
        <v>139</v>
      </c>
      <c r="NO57" s="36" t="s">
        <v>139</v>
      </c>
      <c r="NP57" s="36" t="s">
        <v>139</v>
      </c>
      <c r="NQ57" s="36" t="s">
        <v>139</v>
      </c>
      <c r="NR57" s="36" t="s">
        <v>139</v>
      </c>
      <c r="NS57" s="36" t="s">
        <v>139</v>
      </c>
      <c r="NT57" s="36" t="s">
        <v>139</v>
      </c>
      <c r="NU57" s="36" t="s">
        <v>139</v>
      </c>
      <c r="NV57" s="36" t="s">
        <v>139</v>
      </c>
      <c r="NW57" s="36" t="s">
        <v>139</v>
      </c>
      <c r="NX57" s="36" t="s">
        <v>139</v>
      </c>
      <c r="NY57" s="36" t="s">
        <v>139</v>
      </c>
      <c r="NZ57" s="36" t="s">
        <v>139</v>
      </c>
      <c r="OA57" s="36" t="s">
        <v>139</v>
      </c>
      <c r="OB57" s="36" t="s">
        <v>139</v>
      </c>
      <c r="OC57" s="36" t="s">
        <v>139</v>
      </c>
      <c r="OD57" s="36" t="s">
        <v>139</v>
      </c>
      <c r="OE57" s="36" t="s">
        <v>139</v>
      </c>
      <c r="OF57" s="36" t="s">
        <v>139</v>
      </c>
      <c r="OG57" s="36" t="s">
        <v>139</v>
      </c>
      <c r="OH57" s="36" t="s">
        <v>139</v>
      </c>
      <c r="OI57" s="36" t="s">
        <v>139</v>
      </c>
      <c r="OJ57" s="36" t="s">
        <v>139</v>
      </c>
      <c r="OK57" s="36" t="s">
        <v>139</v>
      </c>
      <c r="OL57" s="36" t="s">
        <v>139</v>
      </c>
      <c r="OM57" s="36" t="s">
        <v>139</v>
      </c>
      <c r="ON57" s="36" t="s">
        <v>139</v>
      </c>
      <c r="OO57" s="36" t="s">
        <v>139</v>
      </c>
      <c r="OP57" s="36" t="s">
        <v>139</v>
      </c>
      <c r="OQ57" s="36" t="s">
        <v>139</v>
      </c>
      <c r="OR57" s="36" t="s">
        <v>139</v>
      </c>
      <c r="OS57" s="36" t="s">
        <v>139</v>
      </c>
      <c r="OT57" s="36" t="s">
        <v>139</v>
      </c>
      <c r="OU57" s="36" t="s">
        <v>139</v>
      </c>
      <c r="OV57" s="36" t="s">
        <v>139</v>
      </c>
      <c r="OW57" s="36" t="s">
        <v>139</v>
      </c>
      <c r="OX57" s="36" t="s">
        <v>139</v>
      </c>
      <c r="OY57" s="36" t="s">
        <v>139</v>
      </c>
      <c r="OZ57" s="36" t="s">
        <v>139</v>
      </c>
      <c r="PA57" s="36" t="s">
        <v>139</v>
      </c>
      <c r="PB57" s="36" t="s">
        <v>139</v>
      </c>
      <c r="PC57" s="36" t="s">
        <v>139</v>
      </c>
      <c r="PD57" s="36" t="s">
        <v>139</v>
      </c>
      <c r="PE57" s="36" t="s">
        <v>139</v>
      </c>
      <c r="PF57" s="36" t="s">
        <v>139</v>
      </c>
      <c r="PG57" s="36" t="s">
        <v>139</v>
      </c>
      <c r="PH57" s="36" t="s">
        <v>139</v>
      </c>
      <c r="PI57" s="36" t="s">
        <v>139</v>
      </c>
      <c r="PJ57" s="36" t="s">
        <v>139</v>
      </c>
      <c r="PK57" s="36" t="s">
        <v>139</v>
      </c>
      <c r="PL57" s="36" t="s">
        <v>139</v>
      </c>
      <c r="PM57" s="36" t="s">
        <v>139</v>
      </c>
      <c r="PN57" s="36" t="s">
        <v>139</v>
      </c>
      <c r="PO57" s="74">
        <f>COUNTIFS($C$27:$PN$27,("&lt;"&amp;$B$3),$C$27:$PN$27,("&gt;="&amp;$B$2),$C57:$PN57,TabAsistencias[[#Headers],[1]])</f>
        <v>30</v>
      </c>
      <c r="PP57" s="74">
        <f>COUNTIFS($C$27:$PN$27,("&lt;"&amp;$B$3),$C$27:$PN$27,("&gt;="&amp;$B$2),$C57:$PN57,TabAsistencias[[#Headers],[E]])</f>
        <v>0</v>
      </c>
      <c r="PQ57" s="74">
        <f>COUNTIFS($C$27:$PN$27,("&lt;"&amp;$B$3),$C$27:$PN$27,("&gt;="&amp;$B$2),$C57:$PN57,TabAsistencias[[#Headers],[DE]])</f>
        <v>0</v>
      </c>
      <c r="PR57" s="74">
        <f>COUNTIFS($C$27:$PN$27,("&lt;"&amp;$B$3),$C$27:$PN$27,("&gt;="&amp;$B$2),$C57:$PN57,TabAsistencias[[#Headers],[V]])</f>
        <v>0</v>
      </c>
      <c r="PS57" s="74">
        <f>COUNTIFS($C$27:$PN$27,("&lt;"&amp;$B$3),$C$27:$PN$27,("&gt;="&amp;$B$2),$C57:$PN57,TabAsistencias[[#Headers],[DO]])</f>
        <v>0</v>
      </c>
      <c r="PT57" s="74">
        <f>COUNTIFS($C$27:$PN$27,("&lt;"&amp;$B$3),$C$27:$PN$27,("&gt;="&amp;$B$2),$C57:$PN57,TabAsistencias[[#Headers],[P]])</f>
        <v>0</v>
      </c>
      <c r="PU57" s="74">
        <f>COUNTIFS($C$27:$PN$27,("&lt;"&amp;$B$3),$C$27:$PN$27,("&gt;="&amp;$B$2),$C57:$PN57,TabAsistencias[[#Headers],[F]])</f>
        <v>0</v>
      </c>
      <c r="PV57" s="74">
        <f>COUNTIFS($C$27:$PN$27,("&lt;"&amp;$B$3),$C$27:$PN$27,("&gt;="&amp;$B$2),$C57:$PN57,TabAsistencias[[#Headers],[R]])</f>
        <v>0</v>
      </c>
      <c r="PW57" s="74">
        <f>COUNTIFS($C$27:$PN$27,("&lt;"&amp;$B$3),$C$27:$PN$27,("&gt;="&amp;$B$2),$C57:$PN57,TabAsistencias[[#Headers],[PP]])</f>
        <v>0</v>
      </c>
      <c r="PX57" s="74">
        <f>COUNTIFS($C$27:$PN$27,("&lt;"&amp;$B$3),$C$27:$PN$27,("&gt;="&amp;$B$2),$C57:$PN57,TabAsistencias[[#Headers],[0]])</f>
        <v>0</v>
      </c>
      <c r="PY57" s="74">
        <f>COUNTIFS($C$27:$PN$27,("&lt;"&amp;$B$3),$C$27:$PN$27,("&gt;="&amp;$B$2),$C57:$PN57,TabAsistencias[[#Headers],[IG]])</f>
        <v>0</v>
      </c>
      <c r="PZ57" s="74">
        <f>COUNTIFS($C$27:$PN$27,("&lt;"&amp;$B$3),$C$27:$PN$27,("&gt;="&amp;$B$2),$C57:$PN57,TabAsistencias[[#Headers],[NA]])</f>
        <v>0</v>
      </c>
      <c r="QA57" s="74">
        <f>COUNTIFS($C$27:$PN$27,("&lt;"&amp;$B$3),$C$27:$PN$27,("&gt;="&amp;$B$2),$C57:$PN57,TabAsistencias[[#Headers],[DF]])</f>
        <v>0</v>
      </c>
      <c r="QB57" s="74">
        <f>COUNTIFS($C$27:$PN$27,("&lt;"&amp;$B$3),$C$27:$PN$27,("&gt;="&amp;$B$2),$C57:$PN57,TabAsistencias[[#Headers],[3]])</f>
        <v>0</v>
      </c>
      <c r="QC57" s="74">
        <f>COUNTIFS($C$27:$PN$27,("&lt;"&amp;$B$3),$C$27:$PN$27,("&gt;="&amp;$B$2),$C57:$PN57,TabAsistencias[[#Headers],[CP]])</f>
        <v>0</v>
      </c>
      <c r="QD57" s="74">
        <f>COUNTIFS($C$27:$PN$27,("&lt;"&amp;$B$3),$C$27:$PN$27,("&gt;="&amp;$B$2),$C57:$PN57,TabAsistencias[[#Headers],[I]])</f>
        <v>0</v>
      </c>
      <c r="QE57" s="74">
        <f>COUNTIFS($C$27:$PN$27,("&lt;"&amp;$B$3),$C$27:$PN$27,("&gt;="&amp;$B$2),$C57:$PN57,TabAsistencias[[#Headers],[T/2]])</f>
        <v>0</v>
      </c>
      <c r="QF57" s="74">
        <f>COUNTIFS($C$27:$PN$27,("&lt;"&amp;$B$3),$C$27:$PN$27,("&gt;="&amp;$B$2),$C57:$PN57,TabAsistencias[[#Headers],[ME]])</f>
        <v>0</v>
      </c>
      <c r="QG57" s="74">
        <f>COUNTIFS($C$27:$PN$27,("&lt;"&amp;$B$3),$C$27:$PN$27,("&gt;="&amp;$B$2),$C57:$PN57,TabAsistencias[[#Headers],[DP]])</f>
        <v>0</v>
      </c>
      <c r="QH57" s="74">
        <f>COUNTIFS($C$27:$PN$27,("&lt;"&amp;$B$3),$C$27:$PN$27,("&gt;="&amp;$B$2),$C57:$PN57,TabAsistencias[[#Headers],[B]])</f>
        <v>0</v>
      </c>
      <c r="QI57" s="74">
        <f>(TabAsistencias[[#This Row],[1]]*'Tablas de informacion'!$C$124)+(TabAsistencias[[#This Row],[E]]*'Tablas de informacion'!$C$125)+(TabAsistencias[[#This Row],[DE]]*'Tablas de informacion'!C$126)+(TabAsistencias[[#This Row],[V]]*'Tablas de informacion'!C$127)+(TabAsistencias[[#This Row],[DO]]*'Tablas de informacion'!C$128)+(TabAsistencias[[#This Row],[P]]*'Tablas de informacion'!C$129)+(TabAsistencias[[#This Row],[F]]*'Tablas de informacion'!C$130)+(TabAsistencias[[#This Row],[R]]*'Tablas de informacion'!C$131)+(TabAsistencias[[#This Row],[PP]]*'Tablas de informacion'!C$132)+(TabAsistencias[[#This Row],[0]]*'Tablas de informacion'!C$133)+(TabAsistencias[[#This Row],[IG]]*'Tablas de informacion'!C$134)+(TabAsistencias[[#This Row],[NA]]*'Tablas de informacion'!C$135)+(TabAsistencias[[#This Row],[DF]]*'Tablas de informacion'!C$136)+(TabAsistencias[[#This Row],[3]]*'Tablas de informacion'!C$137)+(TabAsistencias[[#This Row],[CP]]*'Tablas de informacion'!C$138)+(TabAsistencias[[#This Row],[I]]*'Tablas de informacion'!C$139)+(TabAsistencias[[#This Row],[T/2]]*'Tablas de informacion'!C$140)+(TabAsistencias[[#This Row],[ME]]*'Tablas de informacion'!C$141)+(TabAsistencias[[#This Row],[DP]]*'Tablas de informacion'!C$142)+(TabAsistencias[[#This Row],[B]]*'Tablas de informacion'!C$143)-INT(TabAsistencias[[#This Row],[R]]/3)</f>
        <v>30</v>
      </c>
      <c r="QJ57" s="74">
        <f>COUNTIFS($C$27:$PN$27,("&lt;"&amp;$B$3),$C$27:$PN$27,("&gt;="&amp;$B$2),$C$28:$PN$28,1,$C57:$PN57,TabAsistencias[[#Headers],[1]])+
COUNTIFS($C$27:$PN$27,("&lt;"&amp;$B$3),$C$27:$PN$27,("&gt;="&amp;$B$2),$C$28:$PN$28,1,$C57:$PN57,TabAsistencias[[#Headers],[DO]])+
COUNTIFS($C$27:$PN$27,("&lt;"&amp;$B$3),$C$27:$PN$27,("&gt;="&amp;$B$2),$C$28:$PN$28,1,$C57:$PN57,TabAsistencias[[#Headers],[R]])+
COUNTIFS($C$27:$PN$27,("&lt;"&amp;$B$3),$C$27:$PN$27,("&gt;="&amp;$B$2),$C$28:$PN$28,1,$C57:$PN57,TabAsistencias[[#Headers],[NA]])+
COUNTIFS($C$27:$PN$27,("&lt;"&amp;$B$3),$C$27:$PN$27,("&gt;="&amp;$B$2),$C$28:$PN$28,1,$C57:$PN57,TabAsistencias[[#Headers],[DF]])+
COUNTIFS($C$27:$PN$27,("&lt;"&amp;$B$3),$C$27:$PN$27,("&gt;="&amp;$B$2),$C$28:$PN$28,1,$C57:$PN57,TabAsistencias[[#Headers],[3]])+
COUNTIFS($C$27:$PN$27,("&lt;"&amp;$B$3),$C$27:$PN$27,("&gt;="&amp;$B$2),$C$28:$PN$28,1,$C57:$PN57,TabAsistencias[[#Headers],[CP]])+
COUNTIFS($C$27:$PN$27,("&lt;"&amp;$B$3),$C$27:$PN$27,("&gt;="&amp;$B$2),$C$28:$PN$28,1,$C57:$PN57,TabAsistencias[[#Headers],[T/2]])</f>
        <v>4</v>
      </c>
      <c r="QK57" s="315" cm="1">
        <f t="array" ref="QK57">IFERROR(VLOOKUP(
DATEDIF((VLOOKUP(TabAsistencias[[#This Row],[ID]],TabEmpleados[],COLUMN(TabEmpleados[Fecha de ingreso]),FALSE)),Asistencias!$B$3,"Y"),
TabFactorIntegracion[],COLUMN(TabFactorIntegracion[Días vacacionales
establecidos por ley]),FALSE),0)
-
COUNTIF($AH57:$PN57,TabAsistencias[[#Headers],[V]])</f>
        <v>12</v>
      </c>
      <c r="QL57" s="319">
        <f>SUM(TabAsistencias[[#This Row],[''1]],TabAsistencias[[#This Row],[''DE]],TabAsistencias[[#This Row],[''DO]],TabAsistencias[[#This Row],[''R]],TabAsistencias[[#This Row],[''NA]],TabAsistencias[[#This Row],[''DF]],TabAsistencias[[#This Row],[''3]],TabAsistencias[[#This Row],[''CP]],TabAsistencias[[#This Row],[''T/2]],TabAsistencias[[#This Row],[''DP]])</f>
        <v>73</v>
      </c>
      <c r="QM57" s="314">
        <f>COUNTIFS($C$27:$PN$27,("&lt;"&amp;$B$5),$C$27:$PN$27,("&gt;="&amp;$B$4),$C57:$PN57,TabAsistencias[[#Headers],[1]])</f>
        <v>73</v>
      </c>
      <c r="QN57" s="314">
        <f>COUNTIFS($C$27:$PN$27,("&lt;"&amp;$B$5),$C$27:$PN$27,("&gt;="&amp;$B$4),$C57:$PN57,TabAsistencias[[#Headers],[DE]])</f>
        <v>0</v>
      </c>
      <c r="QO57" s="314">
        <f>COUNTIFS($C$27:$PN$27,("&lt;"&amp;$B$5),$C$27:$PN$27,("&gt;="&amp;$B$4),$C57:$PN57,TabAsistencias[[#Headers],[V]])</f>
        <v>0</v>
      </c>
      <c r="QP57" s="314">
        <f>COUNTIFS($C$27:$PN$27,("&lt;"&amp;$B$5),$C$27:$PN$27,("&gt;="&amp;$B$4),$C57:$PN57,TabAsistencias[[#Headers],[DO]])</f>
        <v>0</v>
      </c>
      <c r="QQ57" s="314">
        <f>COUNTIFS($C$27:$PN$27,("&lt;"&amp;$B$5),$C$27:$PN$27,("&gt;="&amp;$B$4),$C57:$PN57,TabAsistencias[[#Headers],[P]])</f>
        <v>0</v>
      </c>
      <c r="QR57" s="314">
        <f>COUNTIFS($C$27:$PN$27,("&lt;"&amp;$B$5),$C$27:$PN$27,("&gt;="&amp;$B$4),$C57:$PN57,TabAsistencias[[#Headers],[F]])</f>
        <v>0</v>
      </c>
      <c r="QS57" s="314">
        <f>COUNTIFS($C$27:$PN$27,("&lt;"&amp;$B$5),$C$27:$PN$27,("&gt;="&amp;$B$4),$C57:$PN57,TabAsistencias[[#Headers],[R]])</f>
        <v>0</v>
      </c>
      <c r="QT57" s="314">
        <f>COUNTIFS($C$27:$PN$27,("&lt;"&amp;$B$5),$C$27:$PN$27,("&gt;="&amp;$B$4),$C57:$PN57,TabAsistencias[[#Headers],[PP]])</f>
        <v>0</v>
      </c>
      <c r="QU57" s="314">
        <f>COUNTIFS($C$27:$PN$27,("&lt;"&amp;$B$5),$C$27:$PN$27,("&gt;="&amp;$B$4),$C57:$PN57,TabAsistencias[[#Headers],[0]])</f>
        <v>0</v>
      </c>
      <c r="QV57" s="314">
        <f>COUNTIFS($C$27:$PN$27,("&lt;"&amp;$B$5),$C$27:$PN$27,("&gt;="&amp;$B$4),$C57:$PN57,TabAsistencias[[#Headers],[IG]])</f>
        <v>0</v>
      </c>
      <c r="QW57" s="314">
        <f>COUNTIFS($C$27:$PN$27,("&lt;"&amp;$B$5),$C$27:$PN$27,("&gt;="&amp;$B$4),$C57:$PN57,TabAsistencias[[#Headers],[NA]])</f>
        <v>0</v>
      </c>
      <c r="QX57" s="314">
        <f>COUNTIFS($C$27:$PN$27,("&lt;"&amp;$B$5),$C$27:$PN$27,("&gt;="&amp;$B$4),$C57:$PN57,TabAsistencias[[#Headers],[DF]])</f>
        <v>0</v>
      </c>
      <c r="QY57" s="314">
        <f>COUNTIFS($C$27:$PN$27,("&lt;"&amp;$B$5),$C$27:$PN$27,("&gt;="&amp;$B$4),$C57:$PN57,TabAsistencias[[#Headers],[3]])</f>
        <v>0</v>
      </c>
      <c r="QZ57" s="314">
        <f>COUNTIFS($C$27:$PN$27,("&lt;"&amp;$B$5),$C$27:$PN$27,("&gt;="&amp;$B$4),$C57:$PN57,TabAsistencias[[#Headers],[CP]])</f>
        <v>0</v>
      </c>
      <c r="RA57" s="314">
        <f>COUNTIFS($C$27:$PN$27,("&lt;"&amp;$B$5),$C$27:$PN$27,("&gt;="&amp;$B$4),$C57:$PN57,TabAsistencias[[#Headers],[I]])</f>
        <v>0</v>
      </c>
      <c r="RB57" s="314">
        <f>COUNTIFS($C$27:$PN$27,("&lt;"&amp;$B$5),$C$27:$PN$27,("&gt;="&amp;$B$4),$C57:$PN57,TabAsistencias[[#Headers],[T/2]])</f>
        <v>0</v>
      </c>
      <c r="RC57" s="314">
        <f>COUNTIFS($C$27:$PN$27,("&lt;"&amp;$B$5),$C$27:$PN$27,("&gt;="&amp;$B$4),$C57:$PN57,TabAsistencias[[#Headers],[ME]])</f>
        <v>0</v>
      </c>
      <c r="RD57" s="314">
        <f>COUNTIFS($C$27:$PN$27,("&lt;"&amp;$B$5),$C$27:$PN$27,("&gt;="&amp;$B$4),$C57:$PN57,TabAsistencias[[#Headers],[DP]])</f>
        <v>0</v>
      </c>
      <c r="RE57" s="314">
        <f>COUNTIFS($C$27:$PN$27,("&lt;"&amp;$B$5),$C$27:$PN$27,("&gt;="&amp;$B$4),$C57:$PN57,TabAsistencias[[#Headers],[B]])</f>
        <v>0</v>
      </c>
      <c r="RF57" s="314">
        <f>COUNTIFS($C$27:$PN$27,("&lt;"&amp;$B$5),$C$27:$PN$27,("&gt;="&amp;$B$4),$C$28:$PN$28,1,$C57:$PN57,TabAsistencias[[#Headers],[1]])+
COUNTIFS($C$27:$PN$27,("&lt;"&amp;$B$5),$C$27:$PN$27,("&gt;="&amp;$B$4),$C$28:$PN$28,1,$C57:$PN57,TabAsistencias[[#Headers],[DO]])+
COUNTIFS($C$27:$PN$27,("&lt;"&amp;$B$5),$C$27:$PN$27,("&gt;="&amp;$B$4),$C$28:$PN$28,1,$C57:$PN57,TabAsistencias[[#Headers],[R]])+
COUNTIFS($C$27:$PN$27,("&lt;"&amp;$B$5),$C$27:$PN$27,("&gt;="&amp;$B$4),$C$28:$PN$28,1,$C57:$PN57,TabAsistencias[[#Headers],[NA]])+
COUNTIFS($C$27:$PN$27,("&lt;"&amp;$B$5),$C$27:$PN$27,("&gt;="&amp;$B$4),$C$28:$PN$28,1,$C57:$PN57,TabAsistencias[[#Headers],[DF]])+
COUNTIFS($C$27:$PN$27,("&lt;"&amp;$B$5),$C$27:$PN$27,("&gt;="&amp;$B$4),$C$28:$PN$28,1,$C57:$PN57,TabAsistencias[[#Headers],[3]])+
COUNTIFS($C$27:$PN$27,("&lt;"&amp;$B$5),$C$27:$PN$27,("&gt;="&amp;$B$4),$C$28:$PN$28,1,$C57:$PN57,TabAsistencias[[#Headers],[CP]])+
COUNTIFS($C$27:$PN$27,("&lt;"&amp;$B$5),$C$27:$PN$27,("&gt;="&amp;$B$4),$C$28:$PN$28,1,$C57:$PN57,TabAsistencias[[#Headers],[T/2]])</f>
        <v>11</v>
      </c>
      <c r="RG57" s="320" cm="1">
        <f t="array" ref="RG57">IFERROR(VLOOKUP(
DATEDIF((VLOOKUP(TabAsistencias[[#This Row],[ID]],TabEmpleados[],COLUMN(TabEmpleados[Fecha de alta NSS]),FALSE)),Asistencias!$B$3,"Y"),
TabFactorIntegracion[],COLUMN(TabFactorIntegracion[Días vacacionales
establecidos por ley]),FALSE),0)
-
COUNTIF($AH57:$PN57,TabAsistencias[[#Headers],[V]])</f>
        <v>12</v>
      </c>
    </row>
    <row r="58" spans="1:475" x14ac:dyDescent="0.25">
      <c r="A58" s="92">
        <f t="shared" si="434"/>
        <v>28</v>
      </c>
      <c r="B58" s="30" t="str" cm="1">
        <f t="array" ref="B58">VLOOKUP(TabAsistencias[[#This Row],[ID]],TabEmpleados[],COLUMN(TabEmpleados[Nombre]),FALSE)</f>
        <v>AGUILAR ROJAS OSCAR</v>
      </c>
      <c r="C58" s="36" t="s">
        <v>139</v>
      </c>
      <c r="D58" s="36" t="s">
        <v>139</v>
      </c>
      <c r="E58" s="36" t="s">
        <v>139</v>
      </c>
      <c r="F58" s="36" t="s">
        <v>139</v>
      </c>
      <c r="G58" s="36" t="s">
        <v>139</v>
      </c>
      <c r="H58" s="36" t="s">
        <v>139</v>
      </c>
      <c r="I58" s="36" t="s">
        <v>139</v>
      </c>
      <c r="J58" s="36" t="s">
        <v>139</v>
      </c>
      <c r="K58" s="36" t="s">
        <v>139</v>
      </c>
      <c r="L58" s="36" t="s">
        <v>139</v>
      </c>
      <c r="M58" s="36" t="s">
        <v>139</v>
      </c>
      <c r="N58" s="36" t="s">
        <v>139</v>
      </c>
      <c r="O58" s="36" t="s">
        <v>139</v>
      </c>
      <c r="P58" s="36" t="s">
        <v>139</v>
      </c>
      <c r="Q58" s="36" t="s">
        <v>139</v>
      </c>
      <c r="R58" s="36" t="s">
        <v>139</v>
      </c>
      <c r="S58" s="36" t="s">
        <v>139</v>
      </c>
      <c r="T58" s="36" t="s">
        <v>139</v>
      </c>
      <c r="U58" s="36" t="s">
        <v>139</v>
      </c>
      <c r="V58" s="36" t="s">
        <v>139</v>
      </c>
      <c r="W58" s="36" t="s">
        <v>139</v>
      </c>
      <c r="X58" s="36" t="s">
        <v>139</v>
      </c>
      <c r="Y58" s="36" t="s">
        <v>139</v>
      </c>
      <c r="Z58" s="36" t="s">
        <v>139</v>
      </c>
      <c r="AA58" s="36" t="s">
        <v>139</v>
      </c>
      <c r="AB58" s="36" t="s">
        <v>139</v>
      </c>
      <c r="AC58" s="36" t="s">
        <v>139</v>
      </c>
      <c r="AD58" s="36" t="s">
        <v>139</v>
      </c>
      <c r="AE58" s="36" t="s">
        <v>139</v>
      </c>
      <c r="AF58" s="36" t="s">
        <v>139</v>
      </c>
      <c r="AG58" s="36" t="s">
        <v>139</v>
      </c>
      <c r="AH58" s="36" t="s">
        <v>139</v>
      </c>
      <c r="AI58" s="36" t="s">
        <v>139</v>
      </c>
      <c r="AJ58" s="36" t="s">
        <v>139</v>
      </c>
      <c r="AK58" s="36" t="s">
        <v>139</v>
      </c>
      <c r="AL58" s="36" t="s">
        <v>139</v>
      </c>
      <c r="AM58" s="36" t="s">
        <v>139</v>
      </c>
      <c r="AN58" s="36" t="s">
        <v>139</v>
      </c>
      <c r="AO58" s="36" t="s">
        <v>139</v>
      </c>
      <c r="AP58" s="36" t="s">
        <v>139</v>
      </c>
      <c r="AQ58" s="36" t="s">
        <v>139</v>
      </c>
      <c r="AR58" s="36" t="s">
        <v>139</v>
      </c>
      <c r="AS58" s="36" t="s">
        <v>139</v>
      </c>
      <c r="AT58" s="36" t="s">
        <v>139</v>
      </c>
      <c r="AU58" s="36" t="s">
        <v>139</v>
      </c>
      <c r="AV58" s="36" t="s">
        <v>139</v>
      </c>
      <c r="AW58" s="36" t="s">
        <v>139</v>
      </c>
      <c r="AX58" s="36" t="s">
        <v>139</v>
      </c>
      <c r="AY58" s="36" t="s">
        <v>139</v>
      </c>
      <c r="AZ58" s="36" t="s">
        <v>139</v>
      </c>
      <c r="BA58" s="36" t="s">
        <v>139</v>
      </c>
      <c r="BB58" s="36" t="s">
        <v>139</v>
      </c>
      <c r="BC58" s="36" t="s">
        <v>139</v>
      </c>
      <c r="BD58" s="36" t="s">
        <v>139</v>
      </c>
      <c r="BE58" s="36" t="s">
        <v>139</v>
      </c>
      <c r="BF58" s="36" t="s">
        <v>139</v>
      </c>
      <c r="BG58" s="36" t="s">
        <v>139</v>
      </c>
      <c r="BH58" s="36" t="s">
        <v>139</v>
      </c>
      <c r="BI58" s="36" t="s">
        <v>139</v>
      </c>
      <c r="BJ58" s="36" t="s">
        <v>139</v>
      </c>
      <c r="BK58" s="36" t="s">
        <v>139</v>
      </c>
      <c r="BL58" s="36" t="s">
        <v>139</v>
      </c>
      <c r="BM58" s="36" t="s">
        <v>139</v>
      </c>
      <c r="BN58" s="36" t="s">
        <v>139</v>
      </c>
      <c r="BO58" s="36" t="s">
        <v>139</v>
      </c>
      <c r="BP58" s="36" t="s">
        <v>139</v>
      </c>
      <c r="BQ58" s="36" t="s">
        <v>139</v>
      </c>
      <c r="BR58" s="36" t="s">
        <v>139</v>
      </c>
      <c r="BS58" s="36" t="s">
        <v>139</v>
      </c>
      <c r="BT58" s="36" t="s">
        <v>139</v>
      </c>
      <c r="BU58" s="36" t="s">
        <v>139</v>
      </c>
      <c r="BV58" s="36" t="s">
        <v>139</v>
      </c>
      <c r="BW58" s="36" t="s">
        <v>139</v>
      </c>
      <c r="BX58" s="36" t="s">
        <v>139</v>
      </c>
      <c r="BY58" s="36" t="s">
        <v>139</v>
      </c>
      <c r="BZ58" s="36" t="s">
        <v>139</v>
      </c>
      <c r="CA58" s="36" t="s">
        <v>139</v>
      </c>
      <c r="CB58" s="36" t="s">
        <v>139</v>
      </c>
      <c r="CC58" s="36" t="s">
        <v>139</v>
      </c>
      <c r="CD58" s="36" t="s">
        <v>139</v>
      </c>
      <c r="CE58" s="36" t="s">
        <v>139</v>
      </c>
      <c r="CF58" s="36" t="s">
        <v>139</v>
      </c>
      <c r="CG58" s="36" t="s">
        <v>139</v>
      </c>
      <c r="CH58" s="36" t="s">
        <v>139</v>
      </c>
      <c r="CI58" s="36" t="s">
        <v>139</v>
      </c>
      <c r="CJ58" s="36" t="s">
        <v>139</v>
      </c>
      <c r="CK58" s="36" t="s">
        <v>139</v>
      </c>
      <c r="CL58" s="36" t="s">
        <v>139</v>
      </c>
      <c r="CM58" s="36" t="s">
        <v>139</v>
      </c>
      <c r="CN58" s="36" t="s">
        <v>139</v>
      </c>
      <c r="CO58" s="36" t="s">
        <v>139</v>
      </c>
      <c r="CP58" s="36" t="s">
        <v>139</v>
      </c>
      <c r="CQ58" s="36" t="s">
        <v>139</v>
      </c>
      <c r="CR58" s="36" t="s">
        <v>139</v>
      </c>
      <c r="CS58" s="36" t="s">
        <v>139</v>
      </c>
      <c r="CT58" s="36" t="s">
        <v>139</v>
      </c>
      <c r="CU58" s="36" t="s">
        <v>139</v>
      </c>
      <c r="CV58" s="36" t="s">
        <v>139</v>
      </c>
      <c r="CW58" s="36" t="s">
        <v>139</v>
      </c>
      <c r="CX58" s="36" t="s">
        <v>139</v>
      </c>
      <c r="CY58" s="36" t="s">
        <v>139</v>
      </c>
      <c r="CZ58" s="36" t="s">
        <v>139</v>
      </c>
      <c r="DA58" s="36" t="s">
        <v>139</v>
      </c>
      <c r="DB58" s="36" t="s">
        <v>139</v>
      </c>
      <c r="DC58" s="36" t="s">
        <v>139</v>
      </c>
      <c r="DD58" s="36" t="s">
        <v>139</v>
      </c>
      <c r="DE58" s="36" t="s">
        <v>139</v>
      </c>
      <c r="DF58" s="36" t="s">
        <v>139</v>
      </c>
      <c r="DG58" s="36" t="s">
        <v>139</v>
      </c>
      <c r="DH58" s="36" t="s">
        <v>139</v>
      </c>
      <c r="DI58" s="36" t="s">
        <v>139</v>
      </c>
      <c r="DJ58" s="36" t="s">
        <v>139</v>
      </c>
      <c r="DK58" s="36" t="s">
        <v>139</v>
      </c>
      <c r="DL58" s="36" t="s">
        <v>139</v>
      </c>
      <c r="DM58" s="36" t="s">
        <v>139</v>
      </c>
      <c r="DN58" s="36" t="s">
        <v>139</v>
      </c>
      <c r="DO58" s="36" t="s">
        <v>139</v>
      </c>
      <c r="DP58" s="36" t="s">
        <v>139</v>
      </c>
      <c r="DQ58" s="36" t="s">
        <v>139</v>
      </c>
      <c r="DR58" s="36" t="s">
        <v>139</v>
      </c>
      <c r="DS58" s="36" t="s">
        <v>139</v>
      </c>
      <c r="DT58" s="36" t="s">
        <v>139</v>
      </c>
      <c r="DU58" s="36" t="s">
        <v>139</v>
      </c>
      <c r="DV58" s="36" t="s">
        <v>139</v>
      </c>
      <c r="DW58" s="36" t="s">
        <v>139</v>
      </c>
      <c r="DX58" s="36" t="s">
        <v>139</v>
      </c>
      <c r="DY58" s="36" t="s">
        <v>139</v>
      </c>
      <c r="DZ58" s="36" t="s">
        <v>139</v>
      </c>
      <c r="EA58" s="36" t="s">
        <v>139</v>
      </c>
      <c r="EB58" s="36" t="s">
        <v>139</v>
      </c>
      <c r="EC58" s="36" t="s">
        <v>139</v>
      </c>
      <c r="ED58" s="36" t="s">
        <v>139</v>
      </c>
      <c r="EE58" s="36" t="s">
        <v>139</v>
      </c>
      <c r="EF58" s="36" t="s">
        <v>139</v>
      </c>
      <c r="EG58" s="36" t="s">
        <v>139</v>
      </c>
      <c r="EH58" s="36" t="s">
        <v>139</v>
      </c>
      <c r="EI58" s="36" t="s">
        <v>139</v>
      </c>
      <c r="EJ58" s="36" t="s">
        <v>139</v>
      </c>
      <c r="EK58" s="36" t="s">
        <v>139</v>
      </c>
      <c r="EL58" s="36" t="s">
        <v>139</v>
      </c>
      <c r="EM58" s="36" t="s">
        <v>139</v>
      </c>
      <c r="EN58" s="36" t="s">
        <v>139</v>
      </c>
      <c r="EO58" s="36" t="s">
        <v>139</v>
      </c>
      <c r="EP58" s="36" t="s">
        <v>139</v>
      </c>
      <c r="EQ58" s="36" t="s">
        <v>139</v>
      </c>
      <c r="ER58" s="36" t="s">
        <v>139</v>
      </c>
      <c r="ES58" s="36" t="s">
        <v>139</v>
      </c>
      <c r="ET58" s="36" t="s">
        <v>139</v>
      </c>
      <c r="EU58" s="36" t="s">
        <v>139</v>
      </c>
      <c r="EV58" s="36" t="s">
        <v>139</v>
      </c>
      <c r="EW58" s="36" t="s">
        <v>139</v>
      </c>
      <c r="EX58" s="36" t="s">
        <v>139</v>
      </c>
      <c r="EY58" s="36" t="s">
        <v>139</v>
      </c>
      <c r="EZ58" s="36" t="s">
        <v>139</v>
      </c>
      <c r="FA58" s="36" t="s">
        <v>139</v>
      </c>
      <c r="FB58" s="36" t="s">
        <v>139</v>
      </c>
      <c r="FC58" s="36" t="s">
        <v>139</v>
      </c>
      <c r="FD58" s="36" t="s">
        <v>139</v>
      </c>
      <c r="FE58" s="36" t="s">
        <v>139</v>
      </c>
      <c r="FF58" s="36" t="s">
        <v>139</v>
      </c>
      <c r="FG58" s="36" t="s">
        <v>139</v>
      </c>
      <c r="FH58" s="36" t="s">
        <v>139</v>
      </c>
      <c r="FI58" s="36" t="s">
        <v>139</v>
      </c>
      <c r="FJ58" s="36" t="s">
        <v>139</v>
      </c>
      <c r="FK58" s="36" t="s">
        <v>139</v>
      </c>
      <c r="FL58" s="36" t="s">
        <v>139</v>
      </c>
      <c r="FM58" s="36" t="s">
        <v>139</v>
      </c>
      <c r="FN58" s="36" t="s">
        <v>139</v>
      </c>
      <c r="FO58" s="36" t="s">
        <v>139</v>
      </c>
      <c r="FP58" s="36" t="s">
        <v>139</v>
      </c>
      <c r="FQ58" s="36" t="s">
        <v>139</v>
      </c>
      <c r="FR58" s="36" t="s">
        <v>139</v>
      </c>
      <c r="FS58" s="36" t="s">
        <v>139</v>
      </c>
      <c r="FT58" s="36" t="s">
        <v>139</v>
      </c>
      <c r="FU58" s="36" t="s">
        <v>139</v>
      </c>
      <c r="FV58" s="36" t="s">
        <v>139</v>
      </c>
      <c r="FW58" s="36" t="s">
        <v>139</v>
      </c>
      <c r="FX58" s="36" t="s">
        <v>139</v>
      </c>
      <c r="FY58" s="36" t="s">
        <v>139</v>
      </c>
      <c r="FZ58" s="36" t="s">
        <v>139</v>
      </c>
      <c r="GA58" s="36" t="s">
        <v>139</v>
      </c>
      <c r="GB58" s="36" t="s">
        <v>139</v>
      </c>
      <c r="GC58" s="36" t="s">
        <v>139</v>
      </c>
      <c r="GD58" s="36" t="s">
        <v>139</v>
      </c>
      <c r="GE58" s="36" t="s">
        <v>139</v>
      </c>
      <c r="GF58" s="36" t="s">
        <v>139</v>
      </c>
      <c r="GG58" s="36" t="s">
        <v>139</v>
      </c>
      <c r="GH58" s="36" t="s">
        <v>139</v>
      </c>
      <c r="GI58" s="36" t="s">
        <v>139</v>
      </c>
      <c r="GJ58" s="36" t="s">
        <v>139</v>
      </c>
      <c r="GK58" s="36" t="s">
        <v>139</v>
      </c>
      <c r="GL58" s="36" t="s">
        <v>139</v>
      </c>
      <c r="GM58" s="36" t="s">
        <v>139</v>
      </c>
      <c r="GN58" s="36" t="s">
        <v>139</v>
      </c>
      <c r="GO58" s="36" t="s">
        <v>139</v>
      </c>
      <c r="GP58" s="36" t="s">
        <v>139</v>
      </c>
      <c r="GQ58" s="36" t="s">
        <v>139</v>
      </c>
      <c r="GR58" s="36" t="s">
        <v>139</v>
      </c>
      <c r="GS58" s="36" t="s">
        <v>139</v>
      </c>
      <c r="GT58" s="36" t="s">
        <v>139</v>
      </c>
      <c r="GU58" s="36" t="s">
        <v>139</v>
      </c>
      <c r="GV58" s="36" t="s">
        <v>139</v>
      </c>
      <c r="GW58" s="36" t="s">
        <v>139</v>
      </c>
      <c r="GX58" s="36" t="s">
        <v>139</v>
      </c>
      <c r="GY58" s="36" t="s">
        <v>139</v>
      </c>
      <c r="GZ58" s="36" t="s">
        <v>139</v>
      </c>
      <c r="HA58" s="36" t="s">
        <v>139</v>
      </c>
      <c r="HB58" s="36" t="s">
        <v>139</v>
      </c>
      <c r="HC58" s="36" t="s">
        <v>139</v>
      </c>
      <c r="HD58" s="36" t="s">
        <v>139</v>
      </c>
      <c r="HE58" s="36" t="s">
        <v>139</v>
      </c>
      <c r="HF58" s="36" t="s">
        <v>139</v>
      </c>
      <c r="HG58" s="36" t="s">
        <v>139</v>
      </c>
      <c r="HH58" s="36" t="s">
        <v>139</v>
      </c>
      <c r="HI58" s="36" t="s">
        <v>139</v>
      </c>
      <c r="HJ58" s="36" t="s">
        <v>139</v>
      </c>
      <c r="HK58" s="36" t="s">
        <v>139</v>
      </c>
      <c r="HL58" s="36" t="s">
        <v>139</v>
      </c>
      <c r="HM58" s="36" t="s">
        <v>139</v>
      </c>
      <c r="HN58" s="36" t="s">
        <v>139</v>
      </c>
      <c r="HO58" s="36" t="s">
        <v>139</v>
      </c>
      <c r="HP58" s="36" t="s">
        <v>139</v>
      </c>
      <c r="HQ58" s="36" t="s">
        <v>139</v>
      </c>
      <c r="HR58" s="36" t="s">
        <v>139</v>
      </c>
      <c r="HS58" s="36" t="s">
        <v>139</v>
      </c>
      <c r="HT58" s="36" t="s">
        <v>139</v>
      </c>
      <c r="HU58" s="36" t="s">
        <v>139</v>
      </c>
      <c r="HV58" s="36" t="s">
        <v>139</v>
      </c>
      <c r="HW58" s="36" t="s">
        <v>139</v>
      </c>
      <c r="HX58" s="36" t="s">
        <v>139</v>
      </c>
      <c r="HY58" s="36" t="s">
        <v>139</v>
      </c>
      <c r="HZ58" s="36" t="s">
        <v>139</v>
      </c>
      <c r="IA58" s="36" t="s">
        <v>139</v>
      </c>
      <c r="IB58" s="36" t="s">
        <v>139</v>
      </c>
      <c r="IC58" s="36" t="s">
        <v>139</v>
      </c>
      <c r="ID58" s="36" t="s">
        <v>139</v>
      </c>
      <c r="IE58" s="36" t="s">
        <v>139</v>
      </c>
      <c r="IF58" s="36" t="s">
        <v>139</v>
      </c>
      <c r="IG58" s="36" t="s">
        <v>139</v>
      </c>
      <c r="IH58" s="36" t="s">
        <v>139</v>
      </c>
      <c r="II58" s="36" t="s">
        <v>139</v>
      </c>
      <c r="IJ58" s="36" t="s">
        <v>139</v>
      </c>
      <c r="IK58" s="36" t="s">
        <v>139</v>
      </c>
      <c r="IL58" s="36" t="s">
        <v>139</v>
      </c>
      <c r="IM58" s="36" t="s">
        <v>139</v>
      </c>
      <c r="IN58" s="36" t="s">
        <v>139</v>
      </c>
      <c r="IO58" s="36" t="s">
        <v>139</v>
      </c>
      <c r="IP58" s="36" t="s">
        <v>139</v>
      </c>
      <c r="IQ58" s="36" t="s">
        <v>139</v>
      </c>
      <c r="IR58" s="36" t="s">
        <v>139</v>
      </c>
      <c r="IS58" s="36" t="s">
        <v>139</v>
      </c>
      <c r="IT58" s="36" t="s">
        <v>139</v>
      </c>
      <c r="IU58" s="36" t="s">
        <v>139</v>
      </c>
      <c r="IV58" s="36" t="s">
        <v>139</v>
      </c>
      <c r="IW58" s="36" t="s">
        <v>139</v>
      </c>
      <c r="IX58" s="36" t="s">
        <v>139</v>
      </c>
      <c r="IY58" s="36" t="s">
        <v>139</v>
      </c>
      <c r="IZ58" s="36" t="s">
        <v>139</v>
      </c>
      <c r="JA58" s="36" t="s">
        <v>139</v>
      </c>
      <c r="JB58" s="36" t="s">
        <v>139</v>
      </c>
      <c r="JC58" s="36" t="s">
        <v>139</v>
      </c>
      <c r="JD58" s="36" t="s">
        <v>139</v>
      </c>
      <c r="JE58" s="36" t="s">
        <v>139</v>
      </c>
      <c r="JF58" s="36" t="s">
        <v>139</v>
      </c>
      <c r="JG58" s="36" t="s">
        <v>139</v>
      </c>
      <c r="JH58" s="36" t="s">
        <v>139</v>
      </c>
      <c r="JI58" s="36" t="s">
        <v>139</v>
      </c>
      <c r="JJ58" s="36" t="s">
        <v>139</v>
      </c>
      <c r="JK58" s="36" t="s">
        <v>139</v>
      </c>
      <c r="JL58" s="36" t="s">
        <v>139</v>
      </c>
      <c r="JM58" s="36" t="s">
        <v>139</v>
      </c>
      <c r="JN58" s="36" t="s">
        <v>139</v>
      </c>
      <c r="JO58" s="36" t="s">
        <v>139</v>
      </c>
      <c r="JP58" s="36" t="s">
        <v>139</v>
      </c>
      <c r="JQ58" s="36" t="s">
        <v>139</v>
      </c>
      <c r="JR58" s="36" t="s">
        <v>139</v>
      </c>
      <c r="JS58" s="36" t="s">
        <v>139</v>
      </c>
      <c r="JT58" s="36" t="s">
        <v>139</v>
      </c>
      <c r="JU58" s="36" t="s">
        <v>139</v>
      </c>
      <c r="JV58" s="36" t="s">
        <v>139</v>
      </c>
      <c r="JW58" s="36" t="s">
        <v>139</v>
      </c>
      <c r="JX58" s="36" t="s">
        <v>139</v>
      </c>
      <c r="JY58" s="36" t="s">
        <v>139</v>
      </c>
      <c r="JZ58" s="36" t="s">
        <v>139</v>
      </c>
      <c r="KA58" s="36" t="s">
        <v>139</v>
      </c>
      <c r="KB58" s="36" t="s">
        <v>139</v>
      </c>
      <c r="KC58" s="36" t="s">
        <v>139</v>
      </c>
      <c r="KD58" s="36" t="s">
        <v>139</v>
      </c>
      <c r="KE58" s="36" t="s">
        <v>139</v>
      </c>
      <c r="KF58" s="36" t="s">
        <v>139</v>
      </c>
      <c r="KG58" s="36" t="s">
        <v>139</v>
      </c>
      <c r="KH58" s="36" t="s">
        <v>139</v>
      </c>
      <c r="KI58" s="36" t="s">
        <v>139</v>
      </c>
      <c r="KJ58" s="36" t="s">
        <v>139</v>
      </c>
      <c r="KK58" s="36" t="s">
        <v>139</v>
      </c>
      <c r="KL58" s="36" t="s">
        <v>139</v>
      </c>
      <c r="KM58" s="36" t="s">
        <v>139</v>
      </c>
      <c r="KN58" s="36" t="s">
        <v>139</v>
      </c>
      <c r="KO58" s="36" t="s">
        <v>139</v>
      </c>
      <c r="KP58" s="36" t="s">
        <v>139</v>
      </c>
      <c r="KQ58" s="36" t="s">
        <v>139</v>
      </c>
      <c r="KR58" s="36" t="s">
        <v>139</v>
      </c>
      <c r="KS58" s="36" t="s">
        <v>139</v>
      </c>
      <c r="KT58" s="36" t="s">
        <v>139</v>
      </c>
      <c r="KU58" s="36" t="s">
        <v>139</v>
      </c>
      <c r="KV58" s="36" t="s">
        <v>139</v>
      </c>
      <c r="KW58" s="36" t="s">
        <v>139</v>
      </c>
      <c r="KX58" s="36" t="s">
        <v>139</v>
      </c>
      <c r="KY58" s="36" t="s">
        <v>139</v>
      </c>
      <c r="KZ58" s="36" t="s">
        <v>139</v>
      </c>
      <c r="LA58" s="36" t="s">
        <v>139</v>
      </c>
      <c r="LB58" s="36" t="s">
        <v>139</v>
      </c>
      <c r="LC58" s="36" t="s">
        <v>139</v>
      </c>
      <c r="LD58" s="36" t="s">
        <v>139</v>
      </c>
      <c r="LE58" s="36" t="s">
        <v>139</v>
      </c>
      <c r="LF58" s="36" t="s">
        <v>139</v>
      </c>
      <c r="LG58" s="36" t="s">
        <v>139</v>
      </c>
      <c r="LH58" s="36" t="s">
        <v>139</v>
      </c>
      <c r="LI58" s="36" t="s">
        <v>139</v>
      </c>
      <c r="LJ58" s="36" t="s">
        <v>139</v>
      </c>
      <c r="LK58" s="36" t="s">
        <v>139</v>
      </c>
      <c r="LL58" s="36" t="s">
        <v>139</v>
      </c>
      <c r="LM58" s="36" t="s">
        <v>139</v>
      </c>
      <c r="LN58" s="36" t="s">
        <v>139</v>
      </c>
      <c r="LO58" s="36" t="s">
        <v>139</v>
      </c>
      <c r="LP58" s="36" t="s">
        <v>139</v>
      </c>
      <c r="LQ58" s="36" t="s">
        <v>139</v>
      </c>
      <c r="LR58" s="36" t="s">
        <v>139</v>
      </c>
      <c r="LS58" s="36" t="s">
        <v>139</v>
      </c>
      <c r="LT58" s="36" t="s">
        <v>139</v>
      </c>
      <c r="LU58" s="36" t="s">
        <v>139</v>
      </c>
      <c r="LV58" s="36" t="s">
        <v>139</v>
      </c>
      <c r="LW58" s="36" t="s">
        <v>139</v>
      </c>
      <c r="LX58" s="36" t="s">
        <v>139</v>
      </c>
      <c r="LY58" s="36" t="s">
        <v>139</v>
      </c>
      <c r="LZ58" s="36" t="s">
        <v>139</v>
      </c>
      <c r="MA58" s="36" t="s">
        <v>139</v>
      </c>
      <c r="MB58" s="36" t="s">
        <v>139</v>
      </c>
      <c r="MC58" s="36" t="s">
        <v>139</v>
      </c>
      <c r="MD58" s="36" t="s">
        <v>139</v>
      </c>
      <c r="ME58" s="36" t="s">
        <v>139</v>
      </c>
      <c r="MF58" s="36" t="s">
        <v>139</v>
      </c>
      <c r="MG58" s="36" t="s">
        <v>139</v>
      </c>
      <c r="MH58" s="36" t="s">
        <v>139</v>
      </c>
      <c r="MI58" s="36" t="s">
        <v>139</v>
      </c>
      <c r="MJ58" s="36" t="s">
        <v>139</v>
      </c>
      <c r="MK58" s="36" t="s">
        <v>139</v>
      </c>
      <c r="ML58" s="36" t="s">
        <v>139</v>
      </c>
      <c r="MM58" s="36" t="s">
        <v>139</v>
      </c>
      <c r="MN58" s="36" t="s">
        <v>139</v>
      </c>
      <c r="MO58" s="36" t="s">
        <v>139</v>
      </c>
      <c r="MP58" s="36" t="s">
        <v>139</v>
      </c>
      <c r="MQ58" s="36" t="s">
        <v>139</v>
      </c>
      <c r="MR58" s="36" t="s">
        <v>139</v>
      </c>
      <c r="MS58" s="36" t="s">
        <v>139</v>
      </c>
      <c r="MT58" s="36" t="s">
        <v>139</v>
      </c>
      <c r="MU58" s="36" t="s">
        <v>139</v>
      </c>
      <c r="MV58" s="36" t="s">
        <v>139</v>
      </c>
      <c r="MW58" s="36" t="s">
        <v>139</v>
      </c>
      <c r="MX58" s="36" t="s">
        <v>139</v>
      </c>
      <c r="MY58" s="36" t="s">
        <v>139</v>
      </c>
      <c r="MZ58" s="36" t="s">
        <v>139</v>
      </c>
      <c r="NA58" s="36" t="s">
        <v>139</v>
      </c>
      <c r="NB58" s="36" t="s">
        <v>139</v>
      </c>
      <c r="NC58" s="36" t="s">
        <v>139</v>
      </c>
      <c r="ND58" s="36" t="s">
        <v>139</v>
      </c>
      <c r="NE58" s="36" t="s">
        <v>139</v>
      </c>
      <c r="NF58" s="36" t="s">
        <v>139</v>
      </c>
      <c r="NG58" s="36" t="s">
        <v>139</v>
      </c>
      <c r="NH58" s="36" t="s">
        <v>139</v>
      </c>
      <c r="NI58" s="36" t="s">
        <v>139</v>
      </c>
      <c r="NJ58" s="36" t="s">
        <v>139</v>
      </c>
      <c r="NK58" s="36" t="s">
        <v>139</v>
      </c>
      <c r="NL58" s="36" t="s">
        <v>139</v>
      </c>
      <c r="NM58" s="36" t="s">
        <v>139</v>
      </c>
      <c r="NN58" s="36" t="s">
        <v>139</v>
      </c>
      <c r="NO58" s="36" t="s">
        <v>139</v>
      </c>
      <c r="NP58" s="36" t="s">
        <v>139</v>
      </c>
      <c r="NQ58" s="36" t="s">
        <v>139</v>
      </c>
      <c r="NR58" s="36" t="s">
        <v>139</v>
      </c>
      <c r="NS58" s="36" t="s">
        <v>139</v>
      </c>
      <c r="NT58" s="36" t="s">
        <v>139</v>
      </c>
      <c r="NU58" s="36" t="s">
        <v>139</v>
      </c>
      <c r="NV58" s="36" t="s">
        <v>139</v>
      </c>
      <c r="NW58" s="36" t="s">
        <v>139</v>
      </c>
      <c r="NX58" s="36" t="s">
        <v>139</v>
      </c>
      <c r="NY58" s="36" t="s">
        <v>139</v>
      </c>
      <c r="NZ58" s="36" t="s">
        <v>139</v>
      </c>
      <c r="OA58" s="36" t="s">
        <v>139</v>
      </c>
      <c r="OB58" s="36" t="s">
        <v>139</v>
      </c>
      <c r="OC58" s="36" t="s">
        <v>139</v>
      </c>
      <c r="OD58" s="36" t="s">
        <v>139</v>
      </c>
      <c r="OE58" s="36" t="s">
        <v>139</v>
      </c>
      <c r="OF58" s="36" t="s">
        <v>139</v>
      </c>
      <c r="OG58" s="36" t="s">
        <v>139</v>
      </c>
      <c r="OH58" s="36" t="s">
        <v>139</v>
      </c>
      <c r="OI58" s="36" t="s">
        <v>139</v>
      </c>
      <c r="OJ58" s="36" t="s">
        <v>139</v>
      </c>
      <c r="OK58" s="36" t="s">
        <v>139</v>
      </c>
      <c r="OL58" s="36" t="s">
        <v>139</v>
      </c>
      <c r="OM58" s="36" t="s">
        <v>139</v>
      </c>
      <c r="ON58" s="36" t="s">
        <v>139</v>
      </c>
      <c r="OO58" s="36" t="s">
        <v>139</v>
      </c>
      <c r="OP58" s="36" t="s">
        <v>139</v>
      </c>
      <c r="OQ58" s="36" t="s">
        <v>139</v>
      </c>
      <c r="OR58" s="36" t="s">
        <v>139</v>
      </c>
      <c r="OS58" s="36" t="s">
        <v>139</v>
      </c>
      <c r="OT58" s="36" t="s">
        <v>139</v>
      </c>
      <c r="OU58" s="36" t="s">
        <v>139</v>
      </c>
      <c r="OV58" s="36" t="s">
        <v>139</v>
      </c>
      <c r="OW58" s="36" t="s">
        <v>139</v>
      </c>
      <c r="OX58" s="36" t="s">
        <v>139</v>
      </c>
      <c r="OY58" s="36" t="s">
        <v>139</v>
      </c>
      <c r="OZ58" s="36" t="s">
        <v>139</v>
      </c>
      <c r="PA58" s="36" t="s">
        <v>139</v>
      </c>
      <c r="PB58" s="36" t="s">
        <v>139</v>
      </c>
      <c r="PC58" s="36" t="s">
        <v>139</v>
      </c>
      <c r="PD58" s="36" t="s">
        <v>139</v>
      </c>
      <c r="PE58" s="36" t="s">
        <v>139</v>
      </c>
      <c r="PF58" s="36" t="s">
        <v>139</v>
      </c>
      <c r="PG58" s="36" t="s">
        <v>139</v>
      </c>
      <c r="PH58" s="36" t="s">
        <v>139</v>
      </c>
      <c r="PI58" s="36" t="s">
        <v>139</v>
      </c>
      <c r="PJ58" s="36" t="s">
        <v>139</v>
      </c>
      <c r="PK58" s="36" t="s">
        <v>139</v>
      </c>
      <c r="PL58" s="36" t="s">
        <v>139</v>
      </c>
      <c r="PM58" s="36" t="s">
        <v>139</v>
      </c>
      <c r="PN58" s="36" t="s">
        <v>139</v>
      </c>
      <c r="PO58" s="74">
        <f>COUNTIFS($C$27:$PN$27,("&lt;"&amp;$B$3),$C$27:$PN$27,("&gt;="&amp;$B$2),$C58:$PN58,TabAsistencias[[#Headers],[1]])</f>
        <v>30</v>
      </c>
      <c r="PP58" s="74">
        <f>COUNTIFS($C$27:$PN$27,("&lt;"&amp;$B$3),$C$27:$PN$27,("&gt;="&amp;$B$2),$C58:$PN58,TabAsistencias[[#Headers],[E]])</f>
        <v>0</v>
      </c>
      <c r="PQ58" s="74">
        <f>COUNTIFS($C$27:$PN$27,("&lt;"&amp;$B$3),$C$27:$PN$27,("&gt;="&amp;$B$2),$C58:$PN58,TabAsistencias[[#Headers],[DE]])</f>
        <v>0</v>
      </c>
      <c r="PR58" s="74">
        <f>COUNTIFS($C$27:$PN$27,("&lt;"&amp;$B$3),$C$27:$PN$27,("&gt;="&amp;$B$2),$C58:$PN58,TabAsistencias[[#Headers],[V]])</f>
        <v>0</v>
      </c>
      <c r="PS58" s="74">
        <f>COUNTIFS($C$27:$PN$27,("&lt;"&amp;$B$3),$C$27:$PN$27,("&gt;="&amp;$B$2),$C58:$PN58,TabAsistencias[[#Headers],[DO]])</f>
        <v>0</v>
      </c>
      <c r="PT58" s="74">
        <f>COUNTIFS($C$27:$PN$27,("&lt;"&amp;$B$3),$C$27:$PN$27,("&gt;="&amp;$B$2),$C58:$PN58,TabAsistencias[[#Headers],[P]])</f>
        <v>0</v>
      </c>
      <c r="PU58" s="74">
        <f>COUNTIFS($C$27:$PN$27,("&lt;"&amp;$B$3),$C$27:$PN$27,("&gt;="&amp;$B$2),$C58:$PN58,TabAsistencias[[#Headers],[F]])</f>
        <v>0</v>
      </c>
      <c r="PV58" s="74">
        <f>COUNTIFS($C$27:$PN$27,("&lt;"&amp;$B$3),$C$27:$PN$27,("&gt;="&amp;$B$2),$C58:$PN58,TabAsistencias[[#Headers],[R]])</f>
        <v>0</v>
      </c>
      <c r="PW58" s="74">
        <f>COUNTIFS($C$27:$PN$27,("&lt;"&amp;$B$3),$C$27:$PN$27,("&gt;="&amp;$B$2),$C58:$PN58,TabAsistencias[[#Headers],[PP]])</f>
        <v>0</v>
      </c>
      <c r="PX58" s="74">
        <f>COUNTIFS($C$27:$PN$27,("&lt;"&amp;$B$3),$C$27:$PN$27,("&gt;="&amp;$B$2),$C58:$PN58,TabAsistencias[[#Headers],[0]])</f>
        <v>0</v>
      </c>
      <c r="PY58" s="74">
        <f>COUNTIFS($C$27:$PN$27,("&lt;"&amp;$B$3),$C$27:$PN$27,("&gt;="&amp;$B$2),$C58:$PN58,TabAsistencias[[#Headers],[IG]])</f>
        <v>0</v>
      </c>
      <c r="PZ58" s="74">
        <f>COUNTIFS($C$27:$PN$27,("&lt;"&amp;$B$3),$C$27:$PN$27,("&gt;="&amp;$B$2),$C58:$PN58,TabAsistencias[[#Headers],[NA]])</f>
        <v>0</v>
      </c>
      <c r="QA58" s="74">
        <f>COUNTIFS($C$27:$PN$27,("&lt;"&amp;$B$3),$C$27:$PN$27,("&gt;="&amp;$B$2),$C58:$PN58,TabAsistencias[[#Headers],[DF]])</f>
        <v>0</v>
      </c>
      <c r="QB58" s="74">
        <f>COUNTIFS($C$27:$PN$27,("&lt;"&amp;$B$3),$C$27:$PN$27,("&gt;="&amp;$B$2),$C58:$PN58,TabAsistencias[[#Headers],[3]])</f>
        <v>0</v>
      </c>
      <c r="QC58" s="74">
        <f>COUNTIFS($C$27:$PN$27,("&lt;"&amp;$B$3),$C$27:$PN$27,("&gt;="&amp;$B$2),$C58:$PN58,TabAsistencias[[#Headers],[CP]])</f>
        <v>0</v>
      </c>
      <c r="QD58" s="74">
        <f>COUNTIFS($C$27:$PN$27,("&lt;"&amp;$B$3),$C$27:$PN$27,("&gt;="&amp;$B$2),$C58:$PN58,TabAsistencias[[#Headers],[I]])</f>
        <v>0</v>
      </c>
      <c r="QE58" s="74">
        <f>COUNTIFS($C$27:$PN$27,("&lt;"&amp;$B$3),$C$27:$PN$27,("&gt;="&amp;$B$2),$C58:$PN58,TabAsistencias[[#Headers],[T/2]])</f>
        <v>0</v>
      </c>
      <c r="QF58" s="74">
        <f>COUNTIFS($C$27:$PN$27,("&lt;"&amp;$B$3),$C$27:$PN$27,("&gt;="&amp;$B$2),$C58:$PN58,TabAsistencias[[#Headers],[ME]])</f>
        <v>0</v>
      </c>
      <c r="QG58" s="74">
        <f>COUNTIFS($C$27:$PN$27,("&lt;"&amp;$B$3),$C$27:$PN$27,("&gt;="&amp;$B$2),$C58:$PN58,TabAsistencias[[#Headers],[DP]])</f>
        <v>0</v>
      </c>
      <c r="QH58" s="74">
        <f>COUNTIFS($C$27:$PN$27,("&lt;"&amp;$B$3),$C$27:$PN$27,("&gt;="&amp;$B$2),$C58:$PN58,TabAsistencias[[#Headers],[B]])</f>
        <v>0</v>
      </c>
      <c r="QI58" s="74">
        <f>(TabAsistencias[[#This Row],[1]]*'Tablas de informacion'!$C$124)+(TabAsistencias[[#This Row],[E]]*'Tablas de informacion'!$C$125)+(TabAsistencias[[#This Row],[DE]]*'Tablas de informacion'!C$126)+(TabAsistencias[[#This Row],[V]]*'Tablas de informacion'!C$127)+(TabAsistencias[[#This Row],[DO]]*'Tablas de informacion'!C$128)+(TabAsistencias[[#This Row],[P]]*'Tablas de informacion'!C$129)+(TabAsistencias[[#This Row],[F]]*'Tablas de informacion'!C$130)+(TabAsistencias[[#This Row],[R]]*'Tablas de informacion'!C$131)+(TabAsistencias[[#This Row],[PP]]*'Tablas de informacion'!C$132)+(TabAsistencias[[#This Row],[0]]*'Tablas de informacion'!C$133)+(TabAsistencias[[#This Row],[IG]]*'Tablas de informacion'!C$134)+(TabAsistencias[[#This Row],[NA]]*'Tablas de informacion'!C$135)+(TabAsistencias[[#This Row],[DF]]*'Tablas de informacion'!C$136)+(TabAsistencias[[#This Row],[3]]*'Tablas de informacion'!C$137)+(TabAsistencias[[#This Row],[CP]]*'Tablas de informacion'!C$138)+(TabAsistencias[[#This Row],[I]]*'Tablas de informacion'!C$139)+(TabAsistencias[[#This Row],[T/2]]*'Tablas de informacion'!C$140)+(TabAsistencias[[#This Row],[ME]]*'Tablas de informacion'!C$141)+(TabAsistencias[[#This Row],[DP]]*'Tablas de informacion'!C$142)+(TabAsistencias[[#This Row],[B]]*'Tablas de informacion'!C$143)-INT(TabAsistencias[[#This Row],[R]]/3)</f>
        <v>30</v>
      </c>
      <c r="QJ58" s="74">
        <f>COUNTIFS($C$27:$PN$27,("&lt;"&amp;$B$3),$C$27:$PN$27,("&gt;="&amp;$B$2),$C$28:$PN$28,1,$C58:$PN58,TabAsistencias[[#Headers],[1]])+
COUNTIFS($C$27:$PN$27,("&lt;"&amp;$B$3),$C$27:$PN$27,("&gt;="&amp;$B$2),$C$28:$PN$28,1,$C58:$PN58,TabAsistencias[[#Headers],[DO]])+
COUNTIFS($C$27:$PN$27,("&lt;"&amp;$B$3),$C$27:$PN$27,("&gt;="&amp;$B$2),$C$28:$PN$28,1,$C58:$PN58,TabAsistencias[[#Headers],[R]])+
COUNTIFS($C$27:$PN$27,("&lt;"&amp;$B$3),$C$27:$PN$27,("&gt;="&amp;$B$2),$C$28:$PN$28,1,$C58:$PN58,TabAsistencias[[#Headers],[NA]])+
COUNTIFS($C$27:$PN$27,("&lt;"&amp;$B$3),$C$27:$PN$27,("&gt;="&amp;$B$2),$C$28:$PN$28,1,$C58:$PN58,TabAsistencias[[#Headers],[DF]])+
COUNTIFS($C$27:$PN$27,("&lt;"&amp;$B$3),$C$27:$PN$27,("&gt;="&amp;$B$2),$C$28:$PN$28,1,$C58:$PN58,TabAsistencias[[#Headers],[3]])+
COUNTIFS($C$27:$PN$27,("&lt;"&amp;$B$3),$C$27:$PN$27,("&gt;="&amp;$B$2),$C$28:$PN$28,1,$C58:$PN58,TabAsistencias[[#Headers],[CP]])+
COUNTIFS($C$27:$PN$27,("&lt;"&amp;$B$3),$C$27:$PN$27,("&gt;="&amp;$B$2),$C$28:$PN$28,1,$C58:$PN58,TabAsistencias[[#Headers],[T/2]])</f>
        <v>4</v>
      </c>
      <c r="QK58" s="315" cm="1">
        <f t="array" ref="QK58">IFERROR(VLOOKUP(
DATEDIF((VLOOKUP(TabAsistencias[[#This Row],[ID]],TabEmpleados[],COLUMN(TabEmpleados[Fecha de ingreso]),FALSE)),Asistencias!$B$3,"Y"),
TabFactorIntegracion[],COLUMN(TabFactorIntegracion[Días vacacionales
establecidos por ley]),FALSE),0)
-
COUNTIF($AH58:$PN58,TabAsistencias[[#Headers],[V]])</f>
        <v>12</v>
      </c>
      <c r="QL58" s="319">
        <f>SUM(TabAsistencias[[#This Row],[''1]],TabAsistencias[[#This Row],[''DE]],TabAsistencias[[#This Row],[''DO]],TabAsistencias[[#This Row],[''R]],TabAsistencias[[#This Row],[''NA]],TabAsistencias[[#This Row],[''DF]],TabAsistencias[[#This Row],[''3]],TabAsistencias[[#This Row],[''CP]],TabAsistencias[[#This Row],[''T/2]],TabAsistencias[[#This Row],[''DP]])</f>
        <v>73</v>
      </c>
      <c r="QM58" s="314">
        <f>COUNTIFS($C$27:$PN$27,("&lt;"&amp;$B$5),$C$27:$PN$27,("&gt;="&amp;$B$4),$C58:$PN58,TabAsistencias[[#Headers],[1]])</f>
        <v>73</v>
      </c>
      <c r="QN58" s="314">
        <f>COUNTIFS($C$27:$PN$27,("&lt;"&amp;$B$5),$C$27:$PN$27,("&gt;="&amp;$B$4),$C58:$PN58,TabAsistencias[[#Headers],[DE]])</f>
        <v>0</v>
      </c>
      <c r="QO58" s="314">
        <f>COUNTIFS($C$27:$PN$27,("&lt;"&amp;$B$5),$C$27:$PN$27,("&gt;="&amp;$B$4),$C58:$PN58,TabAsistencias[[#Headers],[V]])</f>
        <v>0</v>
      </c>
      <c r="QP58" s="314">
        <f>COUNTIFS($C$27:$PN$27,("&lt;"&amp;$B$5),$C$27:$PN$27,("&gt;="&amp;$B$4),$C58:$PN58,TabAsistencias[[#Headers],[DO]])</f>
        <v>0</v>
      </c>
      <c r="QQ58" s="314">
        <f>COUNTIFS($C$27:$PN$27,("&lt;"&amp;$B$5),$C$27:$PN$27,("&gt;="&amp;$B$4),$C58:$PN58,TabAsistencias[[#Headers],[P]])</f>
        <v>0</v>
      </c>
      <c r="QR58" s="314">
        <f>COUNTIFS($C$27:$PN$27,("&lt;"&amp;$B$5),$C$27:$PN$27,("&gt;="&amp;$B$4),$C58:$PN58,TabAsistencias[[#Headers],[F]])</f>
        <v>0</v>
      </c>
      <c r="QS58" s="314">
        <f>COUNTIFS($C$27:$PN$27,("&lt;"&amp;$B$5),$C$27:$PN$27,("&gt;="&amp;$B$4),$C58:$PN58,TabAsistencias[[#Headers],[R]])</f>
        <v>0</v>
      </c>
      <c r="QT58" s="314">
        <f>COUNTIFS($C$27:$PN$27,("&lt;"&amp;$B$5),$C$27:$PN$27,("&gt;="&amp;$B$4),$C58:$PN58,TabAsistencias[[#Headers],[PP]])</f>
        <v>0</v>
      </c>
      <c r="QU58" s="314">
        <f>COUNTIFS($C$27:$PN$27,("&lt;"&amp;$B$5),$C$27:$PN$27,("&gt;="&amp;$B$4),$C58:$PN58,TabAsistencias[[#Headers],[0]])</f>
        <v>0</v>
      </c>
      <c r="QV58" s="314">
        <f>COUNTIFS($C$27:$PN$27,("&lt;"&amp;$B$5),$C$27:$PN$27,("&gt;="&amp;$B$4),$C58:$PN58,TabAsistencias[[#Headers],[IG]])</f>
        <v>0</v>
      </c>
      <c r="QW58" s="314">
        <f>COUNTIFS($C$27:$PN$27,("&lt;"&amp;$B$5),$C$27:$PN$27,("&gt;="&amp;$B$4),$C58:$PN58,TabAsistencias[[#Headers],[NA]])</f>
        <v>0</v>
      </c>
      <c r="QX58" s="314">
        <f>COUNTIFS($C$27:$PN$27,("&lt;"&amp;$B$5),$C$27:$PN$27,("&gt;="&amp;$B$4),$C58:$PN58,TabAsistencias[[#Headers],[DF]])</f>
        <v>0</v>
      </c>
      <c r="QY58" s="314">
        <f>COUNTIFS($C$27:$PN$27,("&lt;"&amp;$B$5),$C$27:$PN$27,("&gt;="&amp;$B$4),$C58:$PN58,TabAsistencias[[#Headers],[3]])</f>
        <v>0</v>
      </c>
      <c r="QZ58" s="314">
        <f>COUNTIFS($C$27:$PN$27,("&lt;"&amp;$B$5),$C$27:$PN$27,("&gt;="&amp;$B$4),$C58:$PN58,TabAsistencias[[#Headers],[CP]])</f>
        <v>0</v>
      </c>
      <c r="RA58" s="314">
        <f>COUNTIFS($C$27:$PN$27,("&lt;"&amp;$B$5),$C$27:$PN$27,("&gt;="&amp;$B$4),$C58:$PN58,TabAsistencias[[#Headers],[I]])</f>
        <v>0</v>
      </c>
      <c r="RB58" s="314">
        <f>COUNTIFS($C$27:$PN$27,("&lt;"&amp;$B$5),$C$27:$PN$27,("&gt;="&amp;$B$4),$C58:$PN58,TabAsistencias[[#Headers],[T/2]])</f>
        <v>0</v>
      </c>
      <c r="RC58" s="314">
        <f>COUNTIFS($C$27:$PN$27,("&lt;"&amp;$B$5),$C$27:$PN$27,("&gt;="&amp;$B$4),$C58:$PN58,TabAsistencias[[#Headers],[ME]])</f>
        <v>0</v>
      </c>
      <c r="RD58" s="314">
        <f>COUNTIFS($C$27:$PN$27,("&lt;"&amp;$B$5),$C$27:$PN$27,("&gt;="&amp;$B$4),$C58:$PN58,TabAsistencias[[#Headers],[DP]])</f>
        <v>0</v>
      </c>
      <c r="RE58" s="314">
        <f>COUNTIFS($C$27:$PN$27,("&lt;"&amp;$B$5),$C$27:$PN$27,("&gt;="&amp;$B$4),$C58:$PN58,TabAsistencias[[#Headers],[B]])</f>
        <v>0</v>
      </c>
      <c r="RF58" s="314">
        <f>COUNTIFS($C$27:$PN$27,("&lt;"&amp;$B$5),$C$27:$PN$27,("&gt;="&amp;$B$4),$C$28:$PN$28,1,$C58:$PN58,TabAsistencias[[#Headers],[1]])+
COUNTIFS($C$27:$PN$27,("&lt;"&amp;$B$5),$C$27:$PN$27,("&gt;="&amp;$B$4),$C$28:$PN$28,1,$C58:$PN58,TabAsistencias[[#Headers],[DO]])+
COUNTIFS($C$27:$PN$27,("&lt;"&amp;$B$5),$C$27:$PN$27,("&gt;="&amp;$B$4),$C$28:$PN$28,1,$C58:$PN58,TabAsistencias[[#Headers],[R]])+
COUNTIFS($C$27:$PN$27,("&lt;"&amp;$B$5),$C$27:$PN$27,("&gt;="&amp;$B$4),$C$28:$PN$28,1,$C58:$PN58,TabAsistencias[[#Headers],[NA]])+
COUNTIFS($C$27:$PN$27,("&lt;"&amp;$B$5),$C$27:$PN$27,("&gt;="&amp;$B$4),$C$28:$PN$28,1,$C58:$PN58,TabAsistencias[[#Headers],[DF]])+
COUNTIFS($C$27:$PN$27,("&lt;"&amp;$B$5),$C$27:$PN$27,("&gt;="&amp;$B$4),$C$28:$PN$28,1,$C58:$PN58,TabAsistencias[[#Headers],[3]])+
COUNTIFS($C$27:$PN$27,("&lt;"&amp;$B$5),$C$27:$PN$27,("&gt;="&amp;$B$4),$C$28:$PN$28,1,$C58:$PN58,TabAsistencias[[#Headers],[CP]])+
COUNTIFS($C$27:$PN$27,("&lt;"&amp;$B$5),$C$27:$PN$27,("&gt;="&amp;$B$4),$C$28:$PN$28,1,$C58:$PN58,TabAsistencias[[#Headers],[T/2]])</f>
        <v>11</v>
      </c>
      <c r="RG58" s="320" cm="1">
        <f t="array" ref="RG58">IFERROR(VLOOKUP(
DATEDIF((VLOOKUP(TabAsistencias[[#This Row],[ID]],TabEmpleados[],COLUMN(TabEmpleados[Fecha de alta NSS]),FALSE)),Asistencias!$B$3,"Y"),
TabFactorIntegracion[],COLUMN(TabFactorIntegracion[Días vacacionales
establecidos por ley]),FALSE),0)
-
COUNTIF($AH58:$PN58,TabAsistencias[[#Headers],[V]])</f>
        <v>12</v>
      </c>
    </row>
    <row r="59" spans="1:475" x14ac:dyDescent="0.25">
      <c r="A59" s="92">
        <f t="shared" si="434"/>
        <v>29</v>
      </c>
      <c r="B59" s="30" t="str" cm="1">
        <f t="array" ref="B59">VLOOKUP(TabAsistencias[[#This Row],[ID]],TabEmpleados[],COLUMN(TabEmpleados[Nombre]),FALSE)</f>
        <v>TOLENTINO MEJIA CYNTHIA NINET</v>
      </c>
      <c r="C59" s="36" t="s">
        <v>139</v>
      </c>
      <c r="D59" s="36" t="s">
        <v>139</v>
      </c>
      <c r="E59" s="36" t="s">
        <v>139</v>
      </c>
      <c r="F59" s="36" t="s">
        <v>139</v>
      </c>
      <c r="G59" s="36" t="s">
        <v>139</v>
      </c>
      <c r="H59" s="36" t="s">
        <v>139</v>
      </c>
      <c r="I59" s="36" t="s">
        <v>139</v>
      </c>
      <c r="J59" s="36" t="s">
        <v>139</v>
      </c>
      <c r="K59" s="36" t="s">
        <v>139</v>
      </c>
      <c r="L59" s="36" t="s">
        <v>139</v>
      </c>
      <c r="M59" s="36" t="s">
        <v>139</v>
      </c>
      <c r="N59" s="36" t="s">
        <v>139</v>
      </c>
      <c r="O59" s="36" t="s">
        <v>139</v>
      </c>
      <c r="P59" s="36" t="s">
        <v>139</v>
      </c>
      <c r="Q59" s="36" t="s">
        <v>139</v>
      </c>
      <c r="R59" s="36" t="s">
        <v>139</v>
      </c>
      <c r="S59" s="36" t="s">
        <v>139</v>
      </c>
      <c r="T59" s="36" t="s">
        <v>139</v>
      </c>
      <c r="U59" s="36" t="s">
        <v>139</v>
      </c>
      <c r="V59" s="36" t="s">
        <v>139</v>
      </c>
      <c r="W59" s="36" t="s">
        <v>139</v>
      </c>
      <c r="X59" s="36" t="s">
        <v>139</v>
      </c>
      <c r="Y59" s="36" t="s">
        <v>139</v>
      </c>
      <c r="Z59" s="36" t="s">
        <v>139</v>
      </c>
      <c r="AA59" s="36" t="s">
        <v>139</v>
      </c>
      <c r="AB59" s="36" t="s">
        <v>139</v>
      </c>
      <c r="AC59" s="36" t="s">
        <v>139</v>
      </c>
      <c r="AD59" s="36" t="s">
        <v>139</v>
      </c>
      <c r="AE59" s="36" t="s">
        <v>139</v>
      </c>
      <c r="AF59" s="36" t="s">
        <v>139</v>
      </c>
      <c r="AG59" s="36" t="s">
        <v>139</v>
      </c>
      <c r="AH59" s="36" t="s">
        <v>139</v>
      </c>
      <c r="AI59" s="36" t="s">
        <v>139</v>
      </c>
      <c r="AJ59" s="36" t="s">
        <v>139</v>
      </c>
      <c r="AK59" s="36" t="s">
        <v>139</v>
      </c>
      <c r="AL59" s="36" t="s">
        <v>139</v>
      </c>
      <c r="AM59" s="36" t="s">
        <v>139</v>
      </c>
      <c r="AN59" s="36" t="s">
        <v>139</v>
      </c>
      <c r="AO59" s="36" t="s">
        <v>139</v>
      </c>
      <c r="AP59" s="36" t="s">
        <v>139</v>
      </c>
      <c r="AQ59" s="36" t="s">
        <v>139</v>
      </c>
      <c r="AR59" s="36" t="s">
        <v>139</v>
      </c>
      <c r="AS59" s="36" t="s">
        <v>139</v>
      </c>
      <c r="AT59" s="36" t="s">
        <v>139</v>
      </c>
      <c r="AU59" s="36" t="s">
        <v>139</v>
      </c>
      <c r="AV59" s="36" t="s">
        <v>139</v>
      </c>
      <c r="AW59" s="36" t="s">
        <v>139</v>
      </c>
      <c r="AX59" s="36" t="s">
        <v>139</v>
      </c>
      <c r="AY59" s="36" t="s">
        <v>139</v>
      </c>
      <c r="AZ59" s="36" t="s">
        <v>139</v>
      </c>
      <c r="BA59" s="36" t="s">
        <v>139</v>
      </c>
      <c r="BB59" s="36" t="s">
        <v>139</v>
      </c>
      <c r="BC59" s="36" t="s">
        <v>139</v>
      </c>
      <c r="BD59" s="36" t="s">
        <v>139</v>
      </c>
      <c r="BE59" s="36" t="s">
        <v>139</v>
      </c>
      <c r="BF59" s="36" t="s">
        <v>139</v>
      </c>
      <c r="BG59" s="36" t="s">
        <v>139</v>
      </c>
      <c r="BH59" s="36" t="s">
        <v>139</v>
      </c>
      <c r="BI59" s="36" t="s">
        <v>139</v>
      </c>
      <c r="BJ59" s="36" t="s">
        <v>139</v>
      </c>
      <c r="BK59" s="36" t="s">
        <v>139</v>
      </c>
      <c r="BL59" s="36" t="s">
        <v>139</v>
      </c>
      <c r="BM59" s="36" t="s">
        <v>139</v>
      </c>
      <c r="BN59" s="36" t="s">
        <v>139</v>
      </c>
      <c r="BO59" s="36" t="s">
        <v>139</v>
      </c>
      <c r="BP59" s="36" t="s">
        <v>139</v>
      </c>
      <c r="BQ59" s="36" t="s">
        <v>139</v>
      </c>
      <c r="BR59" s="36" t="s">
        <v>139</v>
      </c>
      <c r="BS59" s="36" t="s">
        <v>139</v>
      </c>
      <c r="BT59" s="36" t="s">
        <v>139</v>
      </c>
      <c r="BU59" s="36" t="s">
        <v>139</v>
      </c>
      <c r="BV59" s="36" t="s">
        <v>139</v>
      </c>
      <c r="BW59" s="36" t="s">
        <v>139</v>
      </c>
      <c r="BX59" s="36" t="s">
        <v>139</v>
      </c>
      <c r="BY59" s="36" t="s">
        <v>139</v>
      </c>
      <c r="BZ59" s="36" t="s">
        <v>139</v>
      </c>
      <c r="CA59" s="36" t="s">
        <v>139</v>
      </c>
      <c r="CB59" s="36" t="s">
        <v>139</v>
      </c>
      <c r="CC59" s="36" t="s">
        <v>139</v>
      </c>
      <c r="CD59" s="36" t="s">
        <v>139</v>
      </c>
      <c r="CE59" s="36" t="s">
        <v>139</v>
      </c>
      <c r="CF59" s="36" t="s">
        <v>139</v>
      </c>
      <c r="CG59" s="36" t="s">
        <v>139</v>
      </c>
      <c r="CH59" s="36" t="s">
        <v>139</v>
      </c>
      <c r="CI59" s="36" t="s">
        <v>139</v>
      </c>
      <c r="CJ59" s="36" t="s">
        <v>139</v>
      </c>
      <c r="CK59" s="36" t="s">
        <v>139</v>
      </c>
      <c r="CL59" s="36" t="s">
        <v>139</v>
      </c>
      <c r="CM59" s="36" t="s">
        <v>139</v>
      </c>
      <c r="CN59" s="36" t="s">
        <v>139</v>
      </c>
      <c r="CO59" s="36" t="s">
        <v>139</v>
      </c>
      <c r="CP59" s="36" t="s">
        <v>139</v>
      </c>
      <c r="CQ59" s="36" t="s">
        <v>139</v>
      </c>
      <c r="CR59" s="36" t="s">
        <v>139</v>
      </c>
      <c r="CS59" s="36" t="s">
        <v>139</v>
      </c>
      <c r="CT59" s="36" t="s">
        <v>139</v>
      </c>
      <c r="CU59" s="36" t="s">
        <v>139</v>
      </c>
      <c r="CV59" s="36" t="s">
        <v>139</v>
      </c>
      <c r="CW59" s="36" t="s">
        <v>139</v>
      </c>
      <c r="CX59" s="36" t="s">
        <v>139</v>
      </c>
      <c r="CY59" s="36" t="s">
        <v>139</v>
      </c>
      <c r="CZ59" s="36" t="s">
        <v>139</v>
      </c>
      <c r="DA59" s="36" t="s">
        <v>139</v>
      </c>
      <c r="DB59" s="36" t="s">
        <v>139</v>
      </c>
      <c r="DC59" s="36" t="s">
        <v>139</v>
      </c>
      <c r="DD59" s="36" t="s">
        <v>139</v>
      </c>
      <c r="DE59" s="36" t="s">
        <v>139</v>
      </c>
      <c r="DF59" s="36" t="s">
        <v>139</v>
      </c>
      <c r="DG59" s="36" t="s">
        <v>139</v>
      </c>
      <c r="DH59" s="36" t="s">
        <v>139</v>
      </c>
      <c r="DI59" s="36" t="s">
        <v>139</v>
      </c>
      <c r="DJ59" s="36" t="s">
        <v>139</v>
      </c>
      <c r="DK59" s="36" t="s">
        <v>139</v>
      </c>
      <c r="DL59" s="36" t="s">
        <v>139</v>
      </c>
      <c r="DM59" s="36" t="s">
        <v>139</v>
      </c>
      <c r="DN59" s="36" t="s">
        <v>139</v>
      </c>
      <c r="DO59" s="36" t="s">
        <v>139</v>
      </c>
      <c r="DP59" s="36" t="s">
        <v>139</v>
      </c>
      <c r="DQ59" s="36" t="s">
        <v>139</v>
      </c>
      <c r="DR59" s="36" t="s">
        <v>139</v>
      </c>
      <c r="DS59" s="36" t="s">
        <v>139</v>
      </c>
      <c r="DT59" s="36" t="s">
        <v>139</v>
      </c>
      <c r="DU59" s="36" t="s">
        <v>139</v>
      </c>
      <c r="DV59" s="36" t="s">
        <v>139</v>
      </c>
      <c r="DW59" s="36" t="s">
        <v>139</v>
      </c>
      <c r="DX59" s="36" t="s">
        <v>139</v>
      </c>
      <c r="DY59" s="36" t="s">
        <v>139</v>
      </c>
      <c r="DZ59" s="36" t="s">
        <v>139</v>
      </c>
      <c r="EA59" s="36" t="s">
        <v>139</v>
      </c>
      <c r="EB59" s="36" t="s">
        <v>139</v>
      </c>
      <c r="EC59" s="36" t="s">
        <v>139</v>
      </c>
      <c r="ED59" s="36" t="s">
        <v>139</v>
      </c>
      <c r="EE59" s="36" t="s">
        <v>139</v>
      </c>
      <c r="EF59" s="36" t="s">
        <v>139</v>
      </c>
      <c r="EG59" s="36" t="s">
        <v>139</v>
      </c>
      <c r="EH59" s="36" t="s">
        <v>139</v>
      </c>
      <c r="EI59" s="36" t="s">
        <v>139</v>
      </c>
      <c r="EJ59" s="36" t="s">
        <v>139</v>
      </c>
      <c r="EK59" s="36" t="s">
        <v>139</v>
      </c>
      <c r="EL59" s="36" t="s">
        <v>139</v>
      </c>
      <c r="EM59" s="36" t="s">
        <v>139</v>
      </c>
      <c r="EN59" s="36" t="s">
        <v>139</v>
      </c>
      <c r="EO59" s="36" t="s">
        <v>139</v>
      </c>
      <c r="EP59" s="36" t="s">
        <v>139</v>
      </c>
      <c r="EQ59" s="36" t="s">
        <v>139</v>
      </c>
      <c r="ER59" s="36" t="s">
        <v>139</v>
      </c>
      <c r="ES59" s="36" t="s">
        <v>139</v>
      </c>
      <c r="ET59" s="36" t="s">
        <v>139</v>
      </c>
      <c r="EU59" s="36" t="s">
        <v>139</v>
      </c>
      <c r="EV59" s="36" t="s">
        <v>139</v>
      </c>
      <c r="EW59" s="36" t="s">
        <v>139</v>
      </c>
      <c r="EX59" s="36" t="s">
        <v>139</v>
      </c>
      <c r="EY59" s="36" t="s">
        <v>139</v>
      </c>
      <c r="EZ59" s="36" t="s">
        <v>139</v>
      </c>
      <c r="FA59" s="36" t="s">
        <v>139</v>
      </c>
      <c r="FB59" s="36" t="s">
        <v>139</v>
      </c>
      <c r="FC59" s="36" t="s">
        <v>139</v>
      </c>
      <c r="FD59" s="36" t="s">
        <v>139</v>
      </c>
      <c r="FE59" s="36" t="s">
        <v>139</v>
      </c>
      <c r="FF59" s="36" t="s">
        <v>139</v>
      </c>
      <c r="FG59" s="36" t="s">
        <v>139</v>
      </c>
      <c r="FH59" s="36" t="s">
        <v>139</v>
      </c>
      <c r="FI59" s="36" t="s">
        <v>139</v>
      </c>
      <c r="FJ59" s="36" t="s">
        <v>139</v>
      </c>
      <c r="FK59" s="36" t="s">
        <v>139</v>
      </c>
      <c r="FL59" s="36" t="s">
        <v>139</v>
      </c>
      <c r="FM59" s="36" t="s">
        <v>139</v>
      </c>
      <c r="FN59" s="36" t="s">
        <v>139</v>
      </c>
      <c r="FO59" s="36" t="s">
        <v>139</v>
      </c>
      <c r="FP59" s="36" t="s">
        <v>139</v>
      </c>
      <c r="FQ59" s="36" t="s">
        <v>139</v>
      </c>
      <c r="FR59" s="36" t="s">
        <v>139</v>
      </c>
      <c r="FS59" s="36" t="s">
        <v>139</v>
      </c>
      <c r="FT59" s="36" t="s">
        <v>139</v>
      </c>
      <c r="FU59" s="36" t="s">
        <v>139</v>
      </c>
      <c r="FV59" s="36" t="s">
        <v>139</v>
      </c>
      <c r="FW59" s="36" t="s">
        <v>139</v>
      </c>
      <c r="FX59" s="36" t="s">
        <v>139</v>
      </c>
      <c r="FY59" s="36" t="s">
        <v>139</v>
      </c>
      <c r="FZ59" s="36" t="s">
        <v>139</v>
      </c>
      <c r="GA59" s="36" t="s">
        <v>139</v>
      </c>
      <c r="GB59" s="36" t="s">
        <v>139</v>
      </c>
      <c r="GC59" s="36" t="s">
        <v>139</v>
      </c>
      <c r="GD59" s="36" t="s">
        <v>139</v>
      </c>
      <c r="GE59" s="36" t="s">
        <v>139</v>
      </c>
      <c r="GF59" s="36" t="s">
        <v>139</v>
      </c>
      <c r="GG59" s="36" t="s">
        <v>139</v>
      </c>
      <c r="GH59" s="36" t="s">
        <v>139</v>
      </c>
      <c r="GI59" s="36" t="s">
        <v>139</v>
      </c>
      <c r="GJ59" s="36" t="s">
        <v>139</v>
      </c>
      <c r="GK59" s="36" t="s">
        <v>139</v>
      </c>
      <c r="GL59" s="36" t="s">
        <v>139</v>
      </c>
      <c r="GM59" s="36" t="s">
        <v>139</v>
      </c>
      <c r="GN59" s="36" t="s">
        <v>139</v>
      </c>
      <c r="GO59" s="36" t="s">
        <v>139</v>
      </c>
      <c r="GP59" s="36" t="s">
        <v>139</v>
      </c>
      <c r="GQ59" s="36" t="s">
        <v>139</v>
      </c>
      <c r="GR59" s="36" t="s">
        <v>139</v>
      </c>
      <c r="GS59" s="36" t="s">
        <v>139</v>
      </c>
      <c r="GT59" s="36" t="s">
        <v>139</v>
      </c>
      <c r="GU59" s="36" t="s">
        <v>139</v>
      </c>
      <c r="GV59" s="36" t="s">
        <v>139</v>
      </c>
      <c r="GW59" s="36" t="s">
        <v>139</v>
      </c>
      <c r="GX59" s="36" t="s">
        <v>139</v>
      </c>
      <c r="GY59" s="36" t="s">
        <v>139</v>
      </c>
      <c r="GZ59" s="36" t="s">
        <v>139</v>
      </c>
      <c r="HA59" s="36" t="s">
        <v>139</v>
      </c>
      <c r="HB59" s="36" t="s">
        <v>139</v>
      </c>
      <c r="HC59" s="36" t="s">
        <v>139</v>
      </c>
      <c r="HD59" s="36" t="s">
        <v>139</v>
      </c>
      <c r="HE59" s="36" t="s">
        <v>139</v>
      </c>
      <c r="HF59" s="36" t="s">
        <v>139</v>
      </c>
      <c r="HG59" s="36" t="s">
        <v>139</v>
      </c>
      <c r="HH59" s="36" t="s">
        <v>139</v>
      </c>
      <c r="HI59" s="36" t="s">
        <v>139</v>
      </c>
      <c r="HJ59" s="36" t="s">
        <v>139</v>
      </c>
      <c r="HK59" s="36" t="s">
        <v>139</v>
      </c>
      <c r="HL59" s="36" t="s">
        <v>139</v>
      </c>
      <c r="HM59" s="36" t="s">
        <v>139</v>
      </c>
      <c r="HN59" s="36" t="s">
        <v>139</v>
      </c>
      <c r="HO59" s="36" t="s">
        <v>139</v>
      </c>
      <c r="HP59" s="36" t="s">
        <v>139</v>
      </c>
      <c r="HQ59" s="36" t="s">
        <v>139</v>
      </c>
      <c r="HR59" s="36" t="s">
        <v>139</v>
      </c>
      <c r="HS59" s="36" t="s">
        <v>139</v>
      </c>
      <c r="HT59" s="36" t="s">
        <v>139</v>
      </c>
      <c r="HU59" s="36" t="s">
        <v>139</v>
      </c>
      <c r="HV59" s="36" t="s">
        <v>139</v>
      </c>
      <c r="HW59" s="36" t="s">
        <v>139</v>
      </c>
      <c r="HX59" s="36" t="s">
        <v>139</v>
      </c>
      <c r="HY59" s="36" t="s">
        <v>139</v>
      </c>
      <c r="HZ59" s="36" t="s">
        <v>139</v>
      </c>
      <c r="IA59" s="36" t="s">
        <v>139</v>
      </c>
      <c r="IB59" s="36" t="s">
        <v>139</v>
      </c>
      <c r="IC59" s="36" t="s">
        <v>139</v>
      </c>
      <c r="ID59" s="36" t="s">
        <v>139</v>
      </c>
      <c r="IE59" s="36" t="s">
        <v>139</v>
      </c>
      <c r="IF59" s="36" t="s">
        <v>139</v>
      </c>
      <c r="IG59" s="36" t="s">
        <v>139</v>
      </c>
      <c r="IH59" s="36" t="s">
        <v>139</v>
      </c>
      <c r="II59" s="36" t="s">
        <v>139</v>
      </c>
      <c r="IJ59" s="36" t="s">
        <v>139</v>
      </c>
      <c r="IK59" s="36" t="s">
        <v>139</v>
      </c>
      <c r="IL59" s="36" t="s">
        <v>139</v>
      </c>
      <c r="IM59" s="36" t="s">
        <v>139</v>
      </c>
      <c r="IN59" s="36" t="s">
        <v>139</v>
      </c>
      <c r="IO59" s="36" t="s">
        <v>139</v>
      </c>
      <c r="IP59" s="36" t="s">
        <v>139</v>
      </c>
      <c r="IQ59" s="36" t="s">
        <v>139</v>
      </c>
      <c r="IR59" s="36" t="s">
        <v>139</v>
      </c>
      <c r="IS59" s="36" t="s">
        <v>139</v>
      </c>
      <c r="IT59" s="36" t="s">
        <v>139</v>
      </c>
      <c r="IU59" s="36" t="s">
        <v>139</v>
      </c>
      <c r="IV59" s="36" t="s">
        <v>139</v>
      </c>
      <c r="IW59" s="36" t="s">
        <v>139</v>
      </c>
      <c r="IX59" s="36" t="s">
        <v>139</v>
      </c>
      <c r="IY59" s="36" t="s">
        <v>139</v>
      </c>
      <c r="IZ59" s="36" t="s">
        <v>139</v>
      </c>
      <c r="JA59" s="36" t="s">
        <v>139</v>
      </c>
      <c r="JB59" s="36" t="s">
        <v>139</v>
      </c>
      <c r="JC59" s="36" t="s">
        <v>139</v>
      </c>
      <c r="JD59" s="36" t="s">
        <v>139</v>
      </c>
      <c r="JE59" s="36" t="s">
        <v>139</v>
      </c>
      <c r="JF59" s="36" t="s">
        <v>139</v>
      </c>
      <c r="JG59" s="36" t="s">
        <v>139</v>
      </c>
      <c r="JH59" s="36" t="s">
        <v>139</v>
      </c>
      <c r="JI59" s="36" t="s">
        <v>139</v>
      </c>
      <c r="JJ59" s="36" t="s">
        <v>139</v>
      </c>
      <c r="JK59" s="36" t="s">
        <v>139</v>
      </c>
      <c r="JL59" s="36" t="s">
        <v>139</v>
      </c>
      <c r="JM59" s="36" t="s">
        <v>139</v>
      </c>
      <c r="JN59" s="36" t="s">
        <v>139</v>
      </c>
      <c r="JO59" s="36" t="s">
        <v>139</v>
      </c>
      <c r="JP59" s="36" t="s">
        <v>139</v>
      </c>
      <c r="JQ59" s="36" t="s">
        <v>139</v>
      </c>
      <c r="JR59" s="36" t="s">
        <v>139</v>
      </c>
      <c r="JS59" s="36" t="s">
        <v>139</v>
      </c>
      <c r="JT59" s="36" t="s">
        <v>139</v>
      </c>
      <c r="JU59" s="36" t="s">
        <v>139</v>
      </c>
      <c r="JV59" s="36" t="s">
        <v>139</v>
      </c>
      <c r="JW59" s="36" t="s">
        <v>139</v>
      </c>
      <c r="JX59" s="36" t="s">
        <v>139</v>
      </c>
      <c r="JY59" s="36" t="s">
        <v>139</v>
      </c>
      <c r="JZ59" s="36" t="s">
        <v>139</v>
      </c>
      <c r="KA59" s="36" t="s">
        <v>139</v>
      </c>
      <c r="KB59" s="36" t="s">
        <v>139</v>
      </c>
      <c r="KC59" s="36" t="s">
        <v>139</v>
      </c>
      <c r="KD59" s="36" t="s">
        <v>139</v>
      </c>
      <c r="KE59" s="36" t="s">
        <v>139</v>
      </c>
      <c r="KF59" s="36" t="s">
        <v>139</v>
      </c>
      <c r="KG59" s="36" t="s">
        <v>139</v>
      </c>
      <c r="KH59" s="36" t="s">
        <v>139</v>
      </c>
      <c r="KI59" s="36" t="s">
        <v>139</v>
      </c>
      <c r="KJ59" s="36" t="s">
        <v>139</v>
      </c>
      <c r="KK59" s="36" t="s">
        <v>139</v>
      </c>
      <c r="KL59" s="36" t="s">
        <v>139</v>
      </c>
      <c r="KM59" s="36" t="s">
        <v>139</v>
      </c>
      <c r="KN59" s="36" t="s">
        <v>139</v>
      </c>
      <c r="KO59" s="36" t="s">
        <v>139</v>
      </c>
      <c r="KP59" s="36" t="s">
        <v>139</v>
      </c>
      <c r="KQ59" s="36" t="s">
        <v>139</v>
      </c>
      <c r="KR59" s="36" t="s">
        <v>139</v>
      </c>
      <c r="KS59" s="36" t="s">
        <v>139</v>
      </c>
      <c r="KT59" s="36" t="s">
        <v>139</v>
      </c>
      <c r="KU59" s="36" t="s">
        <v>139</v>
      </c>
      <c r="KV59" s="36" t="s">
        <v>139</v>
      </c>
      <c r="KW59" s="36" t="s">
        <v>139</v>
      </c>
      <c r="KX59" s="36" t="s">
        <v>139</v>
      </c>
      <c r="KY59" s="36" t="s">
        <v>139</v>
      </c>
      <c r="KZ59" s="36" t="s">
        <v>139</v>
      </c>
      <c r="LA59" s="36" t="s">
        <v>139</v>
      </c>
      <c r="LB59" s="36" t="s">
        <v>139</v>
      </c>
      <c r="LC59" s="36" t="s">
        <v>139</v>
      </c>
      <c r="LD59" s="36" t="s">
        <v>139</v>
      </c>
      <c r="LE59" s="36" t="s">
        <v>139</v>
      </c>
      <c r="LF59" s="36" t="s">
        <v>139</v>
      </c>
      <c r="LG59" s="36" t="s">
        <v>139</v>
      </c>
      <c r="LH59" s="36" t="s">
        <v>139</v>
      </c>
      <c r="LI59" s="36" t="s">
        <v>139</v>
      </c>
      <c r="LJ59" s="36" t="s">
        <v>139</v>
      </c>
      <c r="LK59" s="36" t="s">
        <v>139</v>
      </c>
      <c r="LL59" s="36" t="s">
        <v>139</v>
      </c>
      <c r="LM59" s="36" t="s">
        <v>139</v>
      </c>
      <c r="LN59" s="36" t="s">
        <v>139</v>
      </c>
      <c r="LO59" s="36" t="s">
        <v>139</v>
      </c>
      <c r="LP59" s="36" t="s">
        <v>139</v>
      </c>
      <c r="LQ59" s="36" t="s">
        <v>139</v>
      </c>
      <c r="LR59" s="36" t="s">
        <v>139</v>
      </c>
      <c r="LS59" s="36" t="s">
        <v>139</v>
      </c>
      <c r="LT59" s="36" t="s">
        <v>139</v>
      </c>
      <c r="LU59" s="36" t="s">
        <v>139</v>
      </c>
      <c r="LV59" s="36" t="s">
        <v>139</v>
      </c>
      <c r="LW59" s="36" t="s">
        <v>139</v>
      </c>
      <c r="LX59" s="36" t="s">
        <v>139</v>
      </c>
      <c r="LY59" s="36" t="s">
        <v>139</v>
      </c>
      <c r="LZ59" s="36" t="s">
        <v>139</v>
      </c>
      <c r="MA59" s="36" t="s">
        <v>139</v>
      </c>
      <c r="MB59" s="36" t="s">
        <v>139</v>
      </c>
      <c r="MC59" s="36" t="s">
        <v>139</v>
      </c>
      <c r="MD59" s="36" t="s">
        <v>139</v>
      </c>
      <c r="ME59" s="36" t="s">
        <v>139</v>
      </c>
      <c r="MF59" s="36" t="s">
        <v>139</v>
      </c>
      <c r="MG59" s="36" t="s">
        <v>139</v>
      </c>
      <c r="MH59" s="36" t="s">
        <v>139</v>
      </c>
      <c r="MI59" s="36" t="s">
        <v>139</v>
      </c>
      <c r="MJ59" s="36" t="s">
        <v>139</v>
      </c>
      <c r="MK59" s="36" t="s">
        <v>139</v>
      </c>
      <c r="ML59" s="36" t="s">
        <v>139</v>
      </c>
      <c r="MM59" s="36" t="s">
        <v>139</v>
      </c>
      <c r="MN59" s="36" t="s">
        <v>139</v>
      </c>
      <c r="MO59" s="36" t="s">
        <v>139</v>
      </c>
      <c r="MP59" s="36" t="s">
        <v>139</v>
      </c>
      <c r="MQ59" s="36" t="s">
        <v>139</v>
      </c>
      <c r="MR59" s="36" t="s">
        <v>139</v>
      </c>
      <c r="MS59" s="36" t="s">
        <v>139</v>
      </c>
      <c r="MT59" s="36" t="s">
        <v>139</v>
      </c>
      <c r="MU59" s="36" t="s">
        <v>139</v>
      </c>
      <c r="MV59" s="36" t="s">
        <v>139</v>
      </c>
      <c r="MW59" s="36" t="s">
        <v>139</v>
      </c>
      <c r="MX59" s="36" t="s">
        <v>139</v>
      </c>
      <c r="MY59" s="36" t="s">
        <v>139</v>
      </c>
      <c r="MZ59" s="36" t="s">
        <v>139</v>
      </c>
      <c r="NA59" s="36" t="s">
        <v>139</v>
      </c>
      <c r="NB59" s="36" t="s">
        <v>139</v>
      </c>
      <c r="NC59" s="36" t="s">
        <v>139</v>
      </c>
      <c r="ND59" s="36" t="s">
        <v>139</v>
      </c>
      <c r="NE59" s="36" t="s">
        <v>139</v>
      </c>
      <c r="NF59" s="36" t="s">
        <v>139</v>
      </c>
      <c r="NG59" s="36" t="s">
        <v>139</v>
      </c>
      <c r="NH59" s="36" t="s">
        <v>139</v>
      </c>
      <c r="NI59" s="36" t="s">
        <v>139</v>
      </c>
      <c r="NJ59" s="36" t="s">
        <v>139</v>
      </c>
      <c r="NK59" s="36" t="s">
        <v>139</v>
      </c>
      <c r="NL59" s="36" t="s">
        <v>139</v>
      </c>
      <c r="NM59" s="36" t="s">
        <v>139</v>
      </c>
      <c r="NN59" s="36" t="s">
        <v>139</v>
      </c>
      <c r="NO59" s="36" t="s">
        <v>139</v>
      </c>
      <c r="NP59" s="36" t="s">
        <v>139</v>
      </c>
      <c r="NQ59" s="36" t="s">
        <v>139</v>
      </c>
      <c r="NR59" s="36" t="s">
        <v>139</v>
      </c>
      <c r="NS59" s="36" t="s">
        <v>139</v>
      </c>
      <c r="NT59" s="36" t="s">
        <v>139</v>
      </c>
      <c r="NU59" s="36" t="s">
        <v>139</v>
      </c>
      <c r="NV59" s="36" t="s">
        <v>139</v>
      </c>
      <c r="NW59" s="36" t="s">
        <v>139</v>
      </c>
      <c r="NX59" s="36" t="s">
        <v>139</v>
      </c>
      <c r="NY59" s="36" t="s">
        <v>139</v>
      </c>
      <c r="NZ59" s="36" t="s">
        <v>139</v>
      </c>
      <c r="OA59" s="36" t="s">
        <v>139</v>
      </c>
      <c r="OB59" s="36" t="s">
        <v>139</v>
      </c>
      <c r="OC59" s="36" t="s">
        <v>139</v>
      </c>
      <c r="OD59" s="36" t="s">
        <v>139</v>
      </c>
      <c r="OE59" s="36" t="s">
        <v>139</v>
      </c>
      <c r="OF59" s="36" t="s">
        <v>139</v>
      </c>
      <c r="OG59" s="36" t="s">
        <v>139</v>
      </c>
      <c r="OH59" s="36" t="s">
        <v>139</v>
      </c>
      <c r="OI59" s="36" t="s">
        <v>139</v>
      </c>
      <c r="OJ59" s="36" t="s">
        <v>139</v>
      </c>
      <c r="OK59" s="36" t="s">
        <v>139</v>
      </c>
      <c r="OL59" s="36" t="s">
        <v>139</v>
      </c>
      <c r="OM59" s="36" t="s">
        <v>139</v>
      </c>
      <c r="ON59" s="36" t="s">
        <v>139</v>
      </c>
      <c r="OO59" s="36" t="s">
        <v>139</v>
      </c>
      <c r="OP59" s="36" t="s">
        <v>139</v>
      </c>
      <c r="OQ59" s="36" t="s">
        <v>139</v>
      </c>
      <c r="OR59" s="36" t="s">
        <v>139</v>
      </c>
      <c r="OS59" s="36" t="s">
        <v>139</v>
      </c>
      <c r="OT59" s="36" t="s">
        <v>139</v>
      </c>
      <c r="OU59" s="36" t="s">
        <v>139</v>
      </c>
      <c r="OV59" s="36" t="s">
        <v>139</v>
      </c>
      <c r="OW59" s="36" t="s">
        <v>139</v>
      </c>
      <c r="OX59" s="36" t="s">
        <v>139</v>
      </c>
      <c r="OY59" s="36" t="s">
        <v>139</v>
      </c>
      <c r="OZ59" s="36" t="s">
        <v>139</v>
      </c>
      <c r="PA59" s="36" t="s">
        <v>139</v>
      </c>
      <c r="PB59" s="36" t="s">
        <v>139</v>
      </c>
      <c r="PC59" s="36" t="s">
        <v>139</v>
      </c>
      <c r="PD59" s="36" t="s">
        <v>139</v>
      </c>
      <c r="PE59" s="36" t="s">
        <v>139</v>
      </c>
      <c r="PF59" s="36" t="s">
        <v>139</v>
      </c>
      <c r="PG59" s="36" t="s">
        <v>139</v>
      </c>
      <c r="PH59" s="36" t="s">
        <v>139</v>
      </c>
      <c r="PI59" s="36" t="s">
        <v>139</v>
      </c>
      <c r="PJ59" s="36" t="s">
        <v>139</v>
      </c>
      <c r="PK59" s="36" t="s">
        <v>139</v>
      </c>
      <c r="PL59" s="36" t="s">
        <v>139</v>
      </c>
      <c r="PM59" s="36" t="s">
        <v>139</v>
      </c>
      <c r="PN59" s="36" t="s">
        <v>139</v>
      </c>
      <c r="PO59" s="74">
        <f>COUNTIFS($C$27:$PN$27,("&lt;"&amp;$B$3),$C$27:$PN$27,("&gt;="&amp;$B$2),$C59:$PN59,TabAsistencias[[#Headers],[1]])</f>
        <v>30</v>
      </c>
      <c r="PP59" s="74">
        <f>COUNTIFS($C$27:$PN$27,("&lt;"&amp;$B$3),$C$27:$PN$27,("&gt;="&amp;$B$2),$C59:$PN59,TabAsistencias[[#Headers],[E]])</f>
        <v>0</v>
      </c>
      <c r="PQ59" s="74">
        <f>COUNTIFS($C$27:$PN$27,("&lt;"&amp;$B$3),$C$27:$PN$27,("&gt;="&amp;$B$2),$C59:$PN59,TabAsistencias[[#Headers],[DE]])</f>
        <v>0</v>
      </c>
      <c r="PR59" s="74">
        <f>COUNTIFS($C$27:$PN$27,("&lt;"&amp;$B$3),$C$27:$PN$27,("&gt;="&amp;$B$2),$C59:$PN59,TabAsistencias[[#Headers],[V]])</f>
        <v>0</v>
      </c>
      <c r="PS59" s="74">
        <f>COUNTIFS($C$27:$PN$27,("&lt;"&amp;$B$3),$C$27:$PN$27,("&gt;="&amp;$B$2),$C59:$PN59,TabAsistencias[[#Headers],[DO]])</f>
        <v>0</v>
      </c>
      <c r="PT59" s="74">
        <f>COUNTIFS($C$27:$PN$27,("&lt;"&amp;$B$3),$C$27:$PN$27,("&gt;="&amp;$B$2),$C59:$PN59,TabAsistencias[[#Headers],[P]])</f>
        <v>0</v>
      </c>
      <c r="PU59" s="74">
        <f>COUNTIFS($C$27:$PN$27,("&lt;"&amp;$B$3),$C$27:$PN$27,("&gt;="&amp;$B$2),$C59:$PN59,TabAsistencias[[#Headers],[F]])</f>
        <v>0</v>
      </c>
      <c r="PV59" s="74">
        <f>COUNTIFS($C$27:$PN$27,("&lt;"&amp;$B$3),$C$27:$PN$27,("&gt;="&amp;$B$2),$C59:$PN59,TabAsistencias[[#Headers],[R]])</f>
        <v>0</v>
      </c>
      <c r="PW59" s="74">
        <f>COUNTIFS($C$27:$PN$27,("&lt;"&amp;$B$3),$C$27:$PN$27,("&gt;="&amp;$B$2),$C59:$PN59,TabAsistencias[[#Headers],[PP]])</f>
        <v>0</v>
      </c>
      <c r="PX59" s="74">
        <f>COUNTIFS($C$27:$PN$27,("&lt;"&amp;$B$3),$C$27:$PN$27,("&gt;="&amp;$B$2),$C59:$PN59,TabAsistencias[[#Headers],[0]])</f>
        <v>0</v>
      </c>
      <c r="PY59" s="74">
        <f>COUNTIFS($C$27:$PN$27,("&lt;"&amp;$B$3),$C$27:$PN$27,("&gt;="&amp;$B$2),$C59:$PN59,TabAsistencias[[#Headers],[IG]])</f>
        <v>0</v>
      </c>
      <c r="PZ59" s="74">
        <f>COUNTIFS($C$27:$PN$27,("&lt;"&amp;$B$3),$C$27:$PN$27,("&gt;="&amp;$B$2),$C59:$PN59,TabAsistencias[[#Headers],[NA]])</f>
        <v>0</v>
      </c>
      <c r="QA59" s="74">
        <f>COUNTIFS($C$27:$PN$27,("&lt;"&amp;$B$3),$C$27:$PN$27,("&gt;="&amp;$B$2),$C59:$PN59,TabAsistencias[[#Headers],[DF]])</f>
        <v>0</v>
      </c>
      <c r="QB59" s="74">
        <f>COUNTIFS($C$27:$PN$27,("&lt;"&amp;$B$3),$C$27:$PN$27,("&gt;="&amp;$B$2),$C59:$PN59,TabAsistencias[[#Headers],[3]])</f>
        <v>0</v>
      </c>
      <c r="QC59" s="74">
        <f>COUNTIFS($C$27:$PN$27,("&lt;"&amp;$B$3),$C$27:$PN$27,("&gt;="&amp;$B$2),$C59:$PN59,TabAsistencias[[#Headers],[CP]])</f>
        <v>0</v>
      </c>
      <c r="QD59" s="74">
        <f>COUNTIFS($C$27:$PN$27,("&lt;"&amp;$B$3),$C$27:$PN$27,("&gt;="&amp;$B$2),$C59:$PN59,TabAsistencias[[#Headers],[I]])</f>
        <v>0</v>
      </c>
      <c r="QE59" s="74">
        <f>COUNTIFS($C$27:$PN$27,("&lt;"&amp;$B$3),$C$27:$PN$27,("&gt;="&amp;$B$2),$C59:$PN59,TabAsistencias[[#Headers],[T/2]])</f>
        <v>0</v>
      </c>
      <c r="QF59" s="74">
        <f>COUNTIFS($C$27:$PN$27,("&lt;"&amp;$B$3),$C$27:$PN$27,("&gt;="&amp;$B$2),$C59:$PN59,TabAsistencias[[#Headers],[ME]])</f>
        <v>0</v>
      </c>
      <c r="QG59" s="74">
        <f>COUNTIFS($C$27:$PN$27,("&lt;"&amp;$B$3),$C$27:$PN$27,("&gt;="&amp;$B$2),$C59:$PN59,TabAsistencias[[#Headers],[DP]])</f>
        <v>0</v>
      </c>
      <c r="QH59" s="74">
        <f>COUNTIFS($C$27:$PN$27,("&lt;"&amp;$B$3),$C$27:$PN$27,("&gt;="&amp;$B$2),$C59:$PN59,TabAsistencias[[#Headers],[B]])</f>
        <v>0</v>
      </c>
      <c r="QI59" s="74">
        <f>(TabAsistencias[[#This Row],[1]]*'Tablas de informacion'!$C$124)+(TabAsistencias[[#This Row],[E]]*'Tablas de informacion'!$C$125)+(TabAsistencias[[#This Row],[DE]]*'Tablas de informacion'!C$126)+(TabAsistencias[[#This Row],[V]]*'Tablas de informacion'!C$127)+(TabAsistencias[[#This Row],[DO]]*'Tablas de informacion'!C$128)+(TabAsistencias[[#This Row],[P]]*'Tablas de informacion'!C$129)+(TabAsistencias[[#This Row],[F]]*'Tablas de informacion'!C$130)+(TabAsistencias[[#This Row],[R]]*'Tablas de informacion'!C$131)+(TabAsistencias[[#This Row],[PP]]*'Tablas de informacion'!C$132)+(TabAsistencias[[#This Row],[0]]*'Tablas de informacion'!C$133)+(TabAsistencias[[#This Row],[IG]]*'Tablas de informacion'!C$134)+(TabAsistencias[[#This Row],[NA]]*'Tablas de informacion'!C$135)+(TabAsistencias[[#This Row],[DF]]*'Tablas de informacion'!C$136)+(TabAsistencias[[#This Row],[3]]*'Tablas de informacion'!C$137)+(TabAsistencias[[#This Row],[CP]]*'Tablas de informacion'!C$138)+(TabAsistencias[[#This Row],[I]]*'Tablas de informacion'!C$139)+(TabAsistencias[[#This Row],[T/2]]*'Tablas de informacion'!C$140)+(TabAsistencias[[#This Row],[ME]]*'Tablas de informacion'!C$141)+(TabAsistencias[[#This Row],[DP]]*'Tablas de informacion'!C$142)+(TabAsistencias[[#This Row],[B]]*'Tablas de informacion'!C$143)-INT(TabAsistencias[[#This Row],[R]]/3)</f>
        <v>30</v>
      </c>
      <c r="QJ59" s="74">
        <f>COUNTIFS($C$27:$PN$27,("&lt;"&amp;$B$3),$C$27:$PN$27,("&gt;="&amp;$B$2),$C$28:$PN$28,1,$C59:$PN59,TabAsistencias[[#Headers],[1]])+
COUNTIFS($C$27:$PN$27,("&lt;"&amp;$B$3),$C$27:$PN$27,("&gt;="&amp;$B$2),$C$28:$PN$28,1,$C59:$PN59,TabAsistencias[[#Headers],[DO]])+
COUNTIFS($C$27:$PN$27,("&lt;"&amp;$B$3),$C$27:$PN$27,("&gt;="&amp;$B$2),$C$28:$PN$28,1,$C59:$PN59,TabAsistencias[[#Headers],[R]])+
COUNTIFS($C$27:$PN$27,("&lt;"&amp;$B$3),$C$27:$PN$27,("&gt;="&amp;$B$2),$C$28:$PN$28,1,$C59:$PN59,TabAsistencias[[#Headers],[NA]])+
COUNTIFS($C$27:$PN$27,("&lt;"&amp;$B$3),$C$27:$PN$27,("&gt;="&amp;$B$2),$C$28:$PN$28,1,$C59:$PN59,TabAsistencias[[#Headers],[DF]])+
COUNTIFS($C$27:$PN$27,("&lt;"&amp;$B$3),$C$27:$PN$27,("&gt;="&amp;$B$2),$C$28:$PN$28,1,$C59:$PN59,TabAsistencias[[#Headers],[3]])+
COUNTIFS($C$27:$PN$27,("&lt;"&amp;$B$3),$C$27:$PN$27,("&gt;="&amp;$B$2),$C$28:$PN$28,1,$C59:$PN59,TabAsistencias[[#Headers],[CP]])+
COUNTIFS($C$27:$PN$27,("&lt;"&amp;$B$3),$C$27:$PN$27,("&gt;="&amp;$B$2),$C$28:$PN$28,1,$C59:$PN59,TabAsistencias[[#Headers],[T/2]])</f>
        <v>4</v>
      </c>
      <c r="QK59" s="315" cm="1">
        <f t="array" ref="QK59">IFERROR(VLOOKUP(
DATEDIF((VLOOKUP(TabAsistencias[[#This Row],[ID]],TabEmpleados[],COLUMN(TabEmpleados[Fecha de ingreso]),FALSE)),Asistencias!$B$3,"Y"),
TabFactorIntegracion[],COLUMN(TabFactorIntegracion[Días vacacionales
establecidos por ley]),FALSE),0)
-
COUNTIF($AH59:$PN59,TabAsistencias[[#Headers],[V]])</f>
        <v>12</v>
      </c>
      <c r="QL59" s="319">
        <f>SUM(TabAsistencias[[#This Row],[''1]],TabAsistencias[[#This Row],[''DE]],TabAsistencias[[#This Row],[''DO]],TabAsistencias[[#This Row],[''R]],TabAsistencias[[#This Row],[''NA]],TabAsistencias[[#This Row],[''DF]],TabAsistencias[[#This Row],[''3]],TabAsistencias[[#This Row],[''CP]],TabAsistencias[[#This Row],[''T/2]],TabAsistencias[[#This Row],[''DP]])</f>
        <v>73</v>
      </c>
      <c r="QM59" s="314">
        <f>COUNTIFS($C$27:$PN$27,("&lt;"&amp;$B$5),$C$27:$PN$27,("&gt;="&amp;$B$4),$C59:$PN59,TabAsistencias[[#Headers],[1]])</f>
        <v>73</v>
      </c>
      <c r="QN59" s="314">
        <f>COUNTIFS($C$27:$PN$27,("&lt;"&amp;$B$5),$C$27:$PN$27,("&gt;="&amp;$B$4),$C59:$PN59,TabAsistencias[[#Headers],[DE]])</f>
        <v>0</v>
      </c>
      <c r="QO59" s="314">
        <f>COUNTIFS($C$27:$PN$27,("&lt;"&amp;$B$5),$C$27:$PN$27,("&gt;="&amp;$B$4),$C59:$PN59,TabAsistencias[[#Headers],[V]])</f>
        <v>0</v>
      </c>
      <c r="QP59" s="314">
        <f>COUNTIFS($C$27:$PN$27,("&lt;"&amp;$B$5),$C$27:$PN$27,("&gt;="&amp;$B$4),$C59:$PN59,TabAsistencias[[#Headers],[DO]])</f>
        <v>0</v>
      </c>
      <c r="QQ59" s="314">
        <f>COUNTIFS($C$27:$PN$27,("&lt;"&amp;$B$5),$C$27:$PN$27,("&gt;="&amp;$B$4),$C59:$PN59,TabAsistencias[[#Headers],[P]])</f>
        <v>0</v>
      </c>
      <c r="QR59" s="314">
        <f>COUNTIFS($C$27:$PN$27,("&lt;"&amp;$B$5),$C$27:$PN$27,("&gt;="&amp;$B$4),$C59:$PN59,TabAsistencias[[#Headers],[F]])</f>
        <v>0</v>
      </c>
      <c r="QS59" s="314">
        <f>COUNTIFS($C$27:$PN$27,("&lt;"&amp;$B$5),$C$27:$PN$27,("&gt;="&amp;$B$4),$C59:$PN59,TabAsistencias[[#Headers],[R]])</f>
        <v>0</v>
      </c>
      <c r="QT59" s="314">
        <f>COUNTIFS($C$27:$PN$27,("&lt;"&amp;$B$5),$C$27:$PN$27,("&gt;="&amp;$B$4),$C59:$PN59,TabAsistencias[[#Headers],[PP]])</f>
        <v>0</v>
      </c>
      <c r="QU59" s="314">
        <f>COUNTIFS($C$27:$PN$27,("&lt;"&amp;$B$5),$C$27:$PN$27,("&gt;="&amp;$B$4),$C59:$PN59,TabAsistencias[[#Headers],[0]])</f>
        <v>0</v>
      </c>
      <c r="QV59" s="314">
        <f>COUNTIFS($C$27:$PN$27,("&lt;"&amp;$B$5),$C$27:$PN$27,("&gt;="&amp;$B$4),$C59:$PN59,TabAsistencias[[#Headers],[IG]])</f>
        <v>0</v>
      </c>
      <c r="QW59" s="314">
        <f>COUNTIFS($C$27:$PN$27,("&lt;"&amp;$B$5),$C$27:$PN$27,("&gt;="&amp;$B$4),$C59:$PN59,TabAsistencias[[#Headers],[NA]])</f>
        <v>0</v>
      </c>
      <c r="QX59" s="314">
        <f>COUNTIFS($C$27:$PN$27,("&lt;"&amp;$B$5),$C$27:$PN$27,("&gt;="&amp;$B$4),$C59:$PN59,TabAsistencias[[#Headers],[DF]])</f>
        <v>0</v>
      </c>
      <c r="QY59" s="314">
        <f>COUNTIFS($C$27:$PN$27,("&lt;"&amp;$B$5),$C$27:$PN$27,("&gt;="&amp;$B$4),$C59:$PN59,TabAsistencias[[#Headers],[3]])</f>
        <v>0</v>
      </c>
      <c r="QZ59" s="314">
        <f>COUNTIFS($C$27:$PN$27,("&lt;"&amp;$B$5),$C$27:$PN$27,("&gt;="&amp;$B$4),$C59:$PN59,TabAsistencias[[#Headers],[CP]])</f>
        <v>0</v>
      </c>
      <c r="RA59" s="314">
        <f>COUNTIFS($C$27:$PN$27,("&lt;"&amp;$B$5),$C$27:$PN$27,("&gt;="&amp;$B$4),$C59:$PN59,TabAsistencias[[#Headers],[I]])</f>
        <v>0</v>
      </c>
      <c r="RB59" s="314">
        <f>COUNTIFS($C$27:$PN$27,("&lt;"&amp;$B$5),$C$27:$PN$27,("&gt;="&amp;$B$4),$C59:$PN59,TabAsistencias[[#Headers],[T/2]])</f>
        <v>0</v>
      </c>
      <c r="RC59" s="314">
        <f>COUNTIFS($C$27:$PN$27,("&lt;"&amp;$B$5),$C$27:$PN$27,("&gt;="&amp;$B$4),$C59:$PN59,TabAsistencias[[#Headers],[ME]])</f>
        <v>0</v>
      </c>
      <c r="RD59" s="314">
        <f>COUNTIFS($C$27:$PN$27,("&lt;"&amp;$B$5),$C$27:$PN$27,("&gt;="&amp;$B$4),$C59:$PN59,TabAsistencias[[#Headers],[DP]])</f>
        <v>0</v>
      </c>
      <c r="RE59" s="314">
        <f>COUNTIFS($C$27:$PN$27,("&lt;"&amp;$B$5),$C$27:$PN$27,("&gt;="&amp;$B$4),$C59:$PN59,TabAsistencias[[#Headers],[B]])</f>
        <v>0</v>
      </c>
      <c r="RF59" s="314">
        <f>COUNTIFS($C$27:$PN$27,("&lt;"&amp;$B$5),$C$27:$PN$27,("&gt;="&amp;$B$4),$C$28:$PN$28,1,$C59:$PN59,TabAsistencias[[#Headers],[1]])+
COUNTIFS($C$27:$PN$27,("&lt;"&amp;$B$5),$C$27:$PN$27,("&gt;="&amp;$B$4),$C$28:$PN$28,1,$C59:$PN59,TabAsistencias[[#Headers],[DO]])+
COUNTIFS($C$27:$PN$27,("&lt;"&amp;$B$5),$C$27:$PN$27,("&gt;="&amp;$B$4),$C$28:$PN$28,1,$C59:$PN59,TabAsistencias[[#Headers],[R]])+
COUNTIFS($C$27:$PN$27,("&lt;"&amp;$B$5),$C$27:$PN$27,("&gt;="&amp;$B$4),$C$28:$PN$28,1,$C59:$PN59,TabAsistencias[[#Headers],[NA]])+
COUNTIFS($C$27:$PN$27,("&lt;"&amp;$B$5),$C$27:$PN$27,("&gt;="&amp;$B$4),$C$28:$PN$28,1,$C59:$PN59,TabAsistencias[[#Headers],[DF]])+
COUNTIFS($C$27:$PN$27,("&lt;"&amp;$B$5),$C$27:$PN$27,("&gt;="&amp;$B$4),$C$28:$PN$28,1,$C59:$PN59,TabAsistencias[[#Headers],[3]])+
COUNTIFS($C$27:$PN$27,("&lt;"&amp;$B$5),$C$27:$PN$27,("&gt;="&amp;$B$4),$C$28:$PN$28,1,$C59:$PN59,TabAsistencias[[#Headers],[CP]])+
COUNTIFS($C$27:$PN$27,("&lt;"&amp;$B$5),$C$27:$PN$27,("&gt;="&amp;$B$4),$C$28:$PN$28,1,$C59:$PN59,TabAsistencias[[#Headers],[T/2]])</f>
        <v>11</v>
      </c>
      <c r="RG59" s="320" cm="1">
        <f t="array" ref="RG59">IFERROR(VLOOKUP(
DATEDIF((VLOOKUP(TabAsistencias[[#This Row],[ID]],TabEmpleados[],COLUMN(TabEmpleados[Fecha de alta NSS]),FALSE)),Asistencias!$B$3,"Y"),
TabFactorIntegracion[],COLUMN(TabFactorIntegracion[Días vacacionales
establecidos por ley]),FALSE),0)
-
COUNTIF($AH59:$PN59,TabAsistencias[[#Headers],[V]])</f>
        <v>12</v>
      </c>
    </row>
    <row r="60" spans="1:475" x14ac:dyDescent="0.25">
      <c r="A60" s="92">
        <f t="shared" si="434"/>
        <v>30</v>
      </c>
      <c r="B60" s="30" t="str" cm="1">
        <f t="array" ref="B60">VLOOKUP(TabAsistencias[[#This Row],[ID]],TabEmpleados[],COLUMN(TabEmpleados[Nombre]),FALSE)</f>
        <v xml:space="preserve">RUIZ RAMOS ANGEL </v>
      </c>
      <c r="C60" s="36" t="s">
        <v>139</v>
      </c>
      <c r="D60" s="36" t="s">
        <v>139</v>
      </c>
      <c r="E60" s="36" t="s">
        <v>139</v>
      </c>
      <c r="F60" s="36" t="s">
        <v>139</v>
      </c>
      <c r="G60" s="36" t="s">
        <v>139</v>
      </c>
      <c r="H60" s="36" t="s">
        <v>139</v>
      </c>
      <c r="I60" s="36" t="s">
        <v>139</v>
      </c>
      <c r="J60" s="36" t="s">
        <v>139</v>
      </c>
      <c r="K60" s="36" t="s">
        <v>139</v>
      </c>
      <c r="L60" s="36" t="s">
        <v>139</v>
      </c>
      <c r="M60" s="36" t="s">
        <v>139</v>
      </c>
      <c r="N60" s="36" t="s">
        <v>139</v>
      </c>
      <c r="O60" s="36" t="s">
        <v>139</v>
      </c>
      <c r="P60" s="36" t="s">
        <v>139</v>
      </c>
      <c r="Q60" s="36" t="s">
        <v>139</v>
      </c>
      <c r="R60" s="36" t="s">
        <v>139</v>
      </c>
      <c r="S60" s="36" t="s">
        <v>139</v>
      </c>
      <c r="T60" s="36" t="s">
        <v>139</v>
      </c>
      <c r="U60" s="36" t="s">
        <v>139</v>
      </c>
      <c r="V60" s="36" t="s">
        <v>139</v>
      </c>
      <c r="W60" s="36" t="s">
        <v>139</v>
      </c>
      <c r="X60" s="36" t="s">
        <v>139</v>
      </c>
      <c r="Y60" s="36" t="s">
        <v>139</v>
      </c>
      <c r="Z60" s="36" t="s">
        <v>139</v>
      </c>
      <c r="AA60" s="36" t="s">
        <v>139</v>
      </c>
      <c r="AB60" s="36" t="s">
        <v>139</v>
      </c>
      <c r="AC60" s="36" t="s">
        <v>139</v>
      </c>
      <c r="AD60" s="36" t="s">
        <v>139</v>
      </c>
      <c r="AE60" s="36" t="s">
        <v>139</v>
      </c>
      <c r="AF60" s="36" t="s">
        <v>139</v>
      </c>
      <c r="AG60" s="36" t="s">
        <v>139</v>
      </c>
      <c r="AH60" s="36" t="s">
        <v>139</v>
      </c>
      <c r="AI60" s="36" t="s">
        <v>139</v>
      </c>
      <c r="AJ60" s="36" t="s">
        <v>139</v>
      </c>
      <c r="AK60" s="36" t="s">
        <v>139</v>
      </c>
      <c r="AL60" s="36" t="s">
        <v>139</v>
      </c>
      <c r="AM60" s="36" t="s">
        <v>139</v>
      </c>
      <c r="AN60" s="36" t="s">
        <v>139</v>
      </c>
      <c r="AO60" s="36" t="s">
        <v>139</v>
      </c>
      <c r="AP60" s="36" t="s">
        <v>139</v>
      </c>
      <c r="AQ60" s="36" t="s">
        <v>139</v>
      </c>
      <c r="AR60" s="36" t="s">
        <v>139</v>
      </c>
      <c r="AS60" s="36" t="s">
        <v>139</v>
      </c>
      <c r="AT60" s="36" t="s">
        <v>139</v>
      </c>
      <c r="AU60" s="36" t="s">
        <v>139</v>
      </c>
      <c r="AV60" s="36" t="s">
        <v>139</v>
      </c>
      <c r="AW60" s="36" t="s">
        <v>139</v>
      </c>
      <c r="AX60" s="36" t="s">
        <v>139</v>
      </c>
      <c r="AY60" s="36" t="s">
        <v>139</v>
      </c>
      <c r="AZ60" s="36" t="s">
        <v>139</v>
      </c>
      <c r="BA60" s="36" t="s">
        <v>139</v>
      </c>
      <c r="BB60" s="36" t="s">
        <v>139</v>
      </c>
      <c r="BC60" s="36" t="s">
        <v>139</v>
      </c>
      <c r="BD60" s="36" t="s">
        <v>139</v>
      </c>
      <c r="BE60" s="36" t="s">
        <v>139</v>
      </c>
      <c r="BF60" s="36" t="s">
        <v>139</v>
      </c>
      <c r="BG60" s="36" t="s">
        <v>139</v>
      </c>
      <c r="BH60" s="36" t="s">
        <v>139</v>
      </c>
      <c r="BI60" s="36" t="s">
        <v>139</v>
      </c>
      <c r="BJ60" s="36" t="s">
        <v>139</v>
      </c>
      <c r="BK60" s="36" t="s">
        <v>139</v>
      </c>
      <c r="BL60" s="36" t="s">
        <v>139</v>
      </c>
      <c r="BM60" s="36" t="s">
        <v>139</v>
      </c>
      <c r="BN60" s="36" t="s">
        <v>139</v>
      </c>
      <c r="BO60" s="36" t="s">
        <v>139</v>
      </c>
      <c r="BP60" s="36" t="s">
        <v>139</v>
      </c>
      <c r="BQ60" s="36" t="s">
        <v>139</v>
      </c>
      <c r="BR60" s="36" t="s">
        <v>139</v>
      </c>
      <c r="BS60" s="36" t="s">
        <v>139</v>
      </c>
      <c r="BT60" s="36" t="s">
        <v>139</v>
      </c>
      <c r="BU60" s="36" t="s">
        <v>139</v>
      </c>
      <c r="BV60" s="36" t="s">
        <v>139</v>
      </c>
      <c r="BW60" s="36" t="s">
        <v>139</v>
      </c>
      <c r="BX60" s="36" t="s">
        <v>139</v>
      </c>
      <c r="BY60" s="36" t="s">
        <v>139</v>
      </c>
      <c r="BZ60" s="36" t="s">
        <v>139</v>
      </c>
      <c r="CA60" s="36" t="s">
        <v>139</v>
      </c>
      <c r="CB60" s="36" t="s">
        <v>139</v>
      </c>
      <c r="CC60" s="36" t="s">
        <v>139</v>
      </c>
      <c r="CD60" s="36" t="s">
        <v>139</v>
      </c>
      <c r="CE60" s="36" t="s">
        <v>139</v>
      </c>
      <c r="CF60" s="36" t="s">
        <v>139</v>
      </c>
      <c r="CG60" s="36" t="s">
        <v>139</v>
      </c>
      <c r="CH60" s="36" t="s">
        <v>139</v>
      </c>
      <c r="CI60" s="36" t="s">
        <v>139</v>
      </c>
      <c r="CJ60" s="36" t="s">
        <v>139</v>
      </c>
      <c r="CK60" s="36" t="s">
        <v>139</v>
      </c>
      <c r="CL60" s="36" t="s">
        <v>139</v>
      </c>
      <c r="CM60" s="36" t="s">
        <v>139</v>
      </c>
      <c r="CN60" s="36" t="s">
        <v>139</v>
      </c>
      <c r="CO60" s="36" t="s">
        <v>139</v>
      </c>
      <c r="CP60" s="36" t="s">
        <v>139</v>
      </c>
      <c r="CQ60" s="36" t="s">
        <v>139</v>
      </c>
      <c r="CR60" s="36" t="s">
        <v>139</v>
      </c>
      <c r="CS60" s="36" t="s">
        <v>139</v>
      </c>
      <c r="CT60" s="36" t="s">
        <v>139</v>
      </c>
      <c r="CU60" s="36" t="s">
        <v>139</v>
      </c>
      <c r="CV60" s="36" t="s">
        <v>139</v>
      </c>
      <c r="CW60" s="36" t="s">
        <v>139</v>
      </c>
      <c r="CX60" s="36" t="s">
        <v>139</v>
      </c>
      <c r="CY60" s="36" t="s">
        <v>139</v>
      </c>
      <c r="CZ60" s="36" t="s">
        <v>139</v>
      </c>
      <c r="DA60" s="36" t="s">
        <v>139</v>
      </c>
      <c r="DB60" s="36" t="s">
        <v>139</v>
      </c>
      <c r="DC60" s="36" t="s">
        <v>139</v>
      </c>
      <c r="DD60" s="36" t="s">
        <v>139</v>
      </c>
      <c r="DE60" s="36" t="s">
        <v>139</v>
      </c>
      <c r="DF60" s="36" t="s">
        <v>139</v>
      </c>
      <c r="DG60" s="36" t="s">
        <v>139</v>
      </c>
      <c r="DH60" s="36" t="s">
        <v>139</v>
      </c>
      <c r="DI60" s="36" t="s">
        <v>139</v>
      </c>
      <c r="DJ60" s="36" t="s">
        <v>139</v>
      </c>
      <c r="DK60" s="36" t="s">
        <v>139</v>
      </c>
      <c r="DL60" s="36" t="s">
        <v>139</v>
      </c>
      <c r="DM60" s="36" t="s">
        <v>139</v>
      </c>
      <c r="DN60" s="36" t="s">
        <v>139</v>
      </c>
      <c r="DO60" s="36" t="s">
        <v>139</v>
      </c>
      <c r="DP60" s="36" t="s">
        <v>139</v>
      </c>
      <c r="DQ60" s="36" t="s">
        <v>139</v>
      </c>
      <c r="DR60" s="36" t="s">
        <v>139</v>
      </c>
      <c r="DS60" s="36" t="s">
        <v>139</v>
      </c>
      <c r="DT60" s="36" t="s">
        <v>139</v>
      </c>
      <c r="DU60" s="36" t="s">
        <v>139</v>
      </c>
      <c r="DV60" s="36" t="s">
        <v>139</v>
      </c>
      <c r="DW60" s="36" t="s">
        <v>139</v>
      </c>
      <c r="DX60" s="36" t="s">
        <v>139</v>
      </c>
      <c r="DY60" s="36" t="s">
        <v>139</v>
      </c>
      <c r="DZ60" s="36" t="s">
        <v>139</v>
      </c>
      <c r="EA60" s="36" t="s">
        <v>139</v>
      </c>
      <c r="EB60" s="36" t="s">
        <v>139</v>
      </c>
      <c r="EC60" s="36" t="s">
        <v>139</v>
      </c>
      <c r="ED60" s="36" t="s">
        <v>139</v>
      </c>
      <c r="EE60" s="36" t="s">
        <v>139</v>
      </c>
      <c r="EF60" s="36" t="s">
        <v>139</v>
      </c>
      <c r="EG60" s="36" t="s">
        <v>139</v>
      </c>
      <c r="EH60" s="36" t="s">
        <v>139</v>
      </c>
      <c r="EI60" s="36" t="s">
        <v>139</v>
      </c>
      <c r="EJ60" s="36" t="s">
        <v>139</v>
      </c>
      <c r="EK60" s="36" t="s">
        <v>139</v>
      </c>
      <c r="EL60" s="36" t="s">
        <v>139</v>
      </c>
      <c r="EM60" s="36" t="s">
        <v>139</v>
      </c>
      <c r="EN60" s="36" t="s">
        <v>139</v>
      </c>
      <c r="EO60" s="36" t="s">
        <v>139</v>
      </c>
      <c r="EP60" s="36" t="s">
        <v>139</v>
      </c>
      <c r="EQ60" s="36" t="s">
        <v>139</v>
      </c>
      <c r="ER60" s="36" t="s">
        <v>139</v>
      </c>
      <c r="ES60" s="36" t="s">
        <v>139</v>
      </c>
      <c r="ET60" s="36" t="s">
        <v>139</v>
      </c>
      <c r="EU60" s="36" t="s">
        <v>139</v>
      </c>
      <c r="EV60" s="36" t="s">
        <v>139</v>
      </c>
      <c r="EW60" s="36" t="s">
        <v>139</v>
      </c>
      <c r="EX60" s="36" t="s">
        <v>139</v>
      </c>
      <c r="EY60" s="36" t="s">
        <v>139</v>
      </c>
      <c r="EZ60" s="36" t="s">
        <v>139</v>
      </c>
      <c r="FA60" s="36" t="s">
        <v>139</v>
      </c>
      <c r="FB60" s="36" t="s">
        <v>139</v>
      </c>
      <c r="FC60" s="36" t="s">
        <v>139</v>
      </c>
      <c r="FD60" s="36" t="s">
        <v>139</v>
      </c>
      <c r="FE60" s="36" t="s">
        <v>139</v>
      </c>
      <c r="FF60" s="36" t="s">
        <v>139</v>
      </c>
      <c r="FG60" s="36" t="s">
        <v>139</v>
      </c>
      <c r="FH60" s="36" t="s">
        <v>139</v>
      </c>
      <c r="FI60" s="36" t="s">
        <v>139</v>
      </c>
      <c r="FJ60" s="36" t="s">
        <v>139</v>
      </c>
      <c r="FK60" s="36" t="s">
        <v>139</v>
      </c>
      <c r="FL60" s="36" t="s">
        <v>139</v>
      </c>
      <c r="FM60" s="36" t="s">
        <v>139</v>
      </c>
      <c r="FN60" s="36" t="s">
        <v>139</v>
      </c>
      <c r="FO60" s="36" t="s">
        <v>139</v>
      </c>
      <c r="FP60" s="36" t="s">
        <v>139</v>
      </c>
      <c r="FQ60" s="36" t="s">
        <v>139</v>
      </c>
      <c r="FR60" s="36" t="s">
        <v>139</v>
      </c>
      <c r="FS60" s="36" t="s">
        <v>139</v>
      </c>
      <c r="FT60" s="36" t="s">
        <v>139</v>
      </c>
      <c r="FU60" s="36" t="s">
        <v>139</v>
      </c>
      <c r="FV60" s="36" t="s">
        <v>139</v>
      </c>
      <c r="FW60" s="36" t="s">
        <v>139</v>
      </c>
      <c r="FX60" s="36" t="s">
        <v>139</v>
      </c>
      <c r="FY60" s="36" t="s">
        <v>139</v>
      </c>
      <c r="FZ60" s="36" t="s">
        <v>139</v>
      </c>
      <c r="GA60" s="36" t="s">
        <v>139</v>
      </c>
      <c r="GB60" s="36" t="s">
        <v>139</v>
      </c>
      <c r="GC60" s="36" t="s">
        <v>139</v>
      </c>
      <c r="GD60" s="36" t="s">
        <v>139</v>
      </c>
      <c r="GE60" s="36" t="s">
        <v>139</v>
      </c>
      <c r="GF60" s="36" t="s">
        <v>139</v>
      </c>
      <c r="GG60" s="36" t="s">
        <v>139</v>
      </c>
      <c r="GH60" s="36" t="s">
        <v>139</v>
      </c>
      <c r="GI60" s="36" t="s">
        <v>139</v>
      </c>
      <c r="GJ60" s="36" t="s">
        <v>139</v>
      </c>
      <c r="GK60" s="36" t="s">
        <v>139</v>
      </c>
      <c r="GL60" s="36" t="s">
        <v>139</v>
      </c>
      <c r="GM60" s="36" t="s">
        <v>139</v>
      </c>
      <c r="GN60" s="36" t="s">
        <v>139</v>
      </c>
      <c r="GO60" s="36" t="s">
        <v>139</v>
      </c>
      <c r="GP60" s="36" t="s">
        <v>139</v>
      </c>
      <c r="GQ60" s="36" t="s">
        <v>139</v>
      </c>
      <c r="GR60" s="36" t="s">
        <v>139</v>
      </c>
      <c r="GS60" s="36" t="s">
        <v>139</v>
      </c>
      <c r="GT60" s="36" t="s">
        <v>139</v>
      </c>
      <c r="GU60" s="36" t="s">
        <v>139</v>
      </c>
      <c r="GV60" s="36" t="s">
        <v>139</v>
      </c>
      <c r="GW60" s="36" t="s">
        <v>139</v>
      </c>
      <c r="GX60" s="36" t="s">
        <v>139</v>
      </c>
      <c r="GY60" s="36" t="s">
        <v>139</v>
      </c>
      <c r="GZ60" s="36" t="s">
        <v>139</v>
      </c>
      <c r="HA60" s="36" t="s">
        <v>139</v>
      </c>
      <c r="HB60" s="36" t="s">
        <v>139</v>
      </c>
      <c r="HC60" s="36" t="s">
        <v>139</v>
      </c>
      <c r="HD60" s="36" t="s">
        <v>139</v>
      </c>
      <c r="HE60" s="36" t="s">
        <v>139</v>
      </c>
      <c r="HF60" s="36" t="s">
        <v>139</v>
      </c>
      <c r="HG60" s="36" t="s">
        <v>139</v>
      </c>
      <c r="HH60" s="36" t="s">
        <v>139</v>
      </c>
      <c r="HI60" s="36" t="s">
        <v>139</v>
      </c>
      <c r="HJ60" s="36" t="s">
        <v>139</v>
      </c>
      <c r="HK60" s="36" t="s">
        <v>139</v>
      </c>
      <c r="HL60" s="36" t="s">
        <v>139</v>
      </c>
      <c r="HM60" s="36" t="s">
        <v>139</v>
      </c>
      <c r="HN60" s="36" t="s">
        <v>139</v>
      </c>
      <c r="HO60" s="36" t="s">
        <v>139</v>
      </c>
      <c r="HP60" s="36" t="s">
        <v>139</v>
      </c>
      <c r="HQ60" s="36" t="s">
        <v>139</v>
      </c>
      <c r="HR60" s="36" t="s">
        <v>139</v>
      </c>
      <c r="HS60" s="36" t="s">
        <v>139</v>
      </c>
      <c r="HT60" s="36" t="s">
        <v>139</v>
      </c>
      <c r="HU60" s="36" t="s">
        <v>139</v>
      </c>
      <c r="HV60" s="36" t="s">
        <v>139</v>
      </c>
      <c r="HW60" s="36" t="s">
        <v>139</v>
      </c>
      <c r="HX60" s="36" t="s">
        <v>139</v>
      </c>
      <c r="HY60" s="36" t="s">
        <v>139</v>
      </c>
      <c r="HZ60" s="36" t="s">
        <v>139</v>
      </c>
      <c r="IA60" s="36" t="s">
        <v>139</v>
      </c>
      <c r="IB60" s="36" t="s">
        <v>139</v>
      </c>
      <c r="IC60" s="36" t="s">
        <v>139</v>
      </c>
      <c r="ID60" s="36" t="s">
        <v>139</v>
      </c>
      <c r="IE60" s="36" t="s">
        <v>139</v>
      </c>
      <c r="IF60" s="36" t="s">
        <v>139</v>
      </c>
      <c r="IG60" s="36" t="s">
        <v>139</v>
      </c>
      <c r="IH60" s="36" t="s">
        <v>139</v>
      </c>
      <c r="II60" s="36" t="s">
        <v>139</v>
      </c>
      <c r="IJ60" s="36" t="s">
        <v>139</v>
      </c>
      <c r="IK60" s="36" t="s">
        <v>139</v>
      </c>
      <c r="IL60" s="36" t="s">
        <v>139</v>
      </c>
      <c r="IM60" s="36" t="s">
        <v>139</v>
      </c>
      <c r="IN60" s="36" t="s">
        <v>139</v>
      </c>
      <c r="IO60" s="36" t="s">
        <v>139</v>
      </c>
      <c r="IP60" s="36" t="s">
        <v>139</v>
      </c>
      <c r="IQ60" s="36" t="s">
        <v>139</v>
      </c>
      <c r="IR60" s="36" t="s">
        <v>139</v>
      </c>
      <c r="IS60" s="36" t="s">
        <v>139</v>
      </c>
      <c r="IT60" s="36" t="s">
        <v>139</v>
      </c>
      <c r="IU60" s="36" t="s">
        <v>139</v>
      </c>
      <c r="IV60" s="36" t="s">
        <v>139</v>
      </c>
      <c r="IW60" s="36" t="s">
        <v>139</v>
      </c>
      <c r="IX60" s="36" t="s">
        <v>139</v>
      </c>
      <c r="IY60" s="36" t="s">
        <v>139</v>
      </c>
      <c r="IZ60" s="36" t="s">
        <v>139</v>
      </c>
      <c r="JA60" s="36" t="s">
        <v>139</v>
      </c>
      <c r="JB60" s="36" t="s">
        <v>139</v>
      </c>
      <c r="JC60" s="36" t="s">
        <v>139</v>
      </c>
      <c r="JD60" s="36" t="s">
        <v>139</v>
      </c>
      <c r="JE60" s="36" t="s">
        <v>139</v>
      </c>
      <c r="JF60" s="36" t="s">
        <v>139</v>
      </c>
      <c r="JG60" s="36" t="s">
        <v>139</v>
      </c>
      <c r="JH60" s="36" t="s">
        <v>139</v>
      </c>
      <c r="JI60" s="36" t="s">
        <v>139</v>
      </c>
      <c r="JJ60" s="36" t="s">
        <v>139</v>
      </c>
      <c r="JK60" s="36" t="s">
        <v>139</v>
      </c>
      <c r="JL60" s="36" t="s">
        <v>139</v>
      </c>
      <c r="JM60" s="36" t="s">
        <v>139</v>
      </c>
      <c r="JN60" s="36" t="s">
        <v>139</v>
      </c>
      <c r="JO60" s="36" t="s">
        <v>139</v>
      </c>
      <c r="JP60" s="36" t="s">
        <v>139</v>
      </c>
      <c r="JQ60" s="36" t="s">
        <v>139</v>
      </c>
      <c r="JR60" s="36" t="s">
        <v>139</v>
      </c>
      <c r="JS60" s="36" t="s">
        <v>139</v>
      </c>
      <c r="JT60" s="36" t="s">
        <v>139</v>
      </c>
      <c r="JU60" s="36" t="s">
        <v>139</v>
      </c>
      <c r="JV60" s="36" t="s">
        <v>139</v>
      </c>
      <c r="JW60" s="36" t="s">
        <v>139</v>
      </c>
      <c r="JX60" s="36" t="s">
        <v>139</v>
      </c>
      <c r="JY60" s="36" t="s">
        <v>139</v>
      </c>
      <c r="JZ60" s="36" t="s">
        <v>139</v>
      </c>
      <c r="KA60" s="36" t="s">
        <v>139</v>
      </c>
      <c r="KB60" s="36" t="s">
        <v>139</v>
      </c>
      <c r="KC60" s="36" t="s">
        <v>139</v>
      </c>
      <c r="KD60" s="36" t="s">
        <v>139</v>
      </c>
      <c r="KE60" s="36" t="s">
        <v>139</v>
      </c>
      <c r="KF60" s="36" t="s">
        <v>139</v>
      </c>
      <c r="KG60" s="36" t="s">
        <v>139</v>
      </c>
      <c r="KH60" s="36" t="s">
        <v>139</v>
      </c>
      <c r="KI60" s="36" t="s">
        <v>139</v>
      </c>
      <c r="KJ60" s="36" t="s">
        <v>139</v>
      </c>
      <c r="KK60" s="36" t="s">
        <v>139</v>
      </c>
      <c r="KL60" s="36" t="s">
        <v>139</v>
      </c>
      <c r="KM60" s="36" t="s">
        <v>139</v>
      </c>
      <c r="KN60" s="36" t="s">
        <v>139</v>
      </c>
      <c r="KO60" s="36" t="s">
        <v>139</v>
      </c>
      <c r="KP60" s="36" t="s">
        <v>139</v>
      </c>
      <c r="KQ60" s="36" t="s">
        <v>139</v>
      </c>
      <c r="KR60" s="36" t="s">
        <v>139</v>
      </c>
      <c r="KS60" s="36" t="s">
        <v>139</v>
      </c>
      <c r="KT60" s="36" t="s">
        <v>139</v>
      </c>
      <c r="KU60" s="36" t="s">
        <v>139</v>
      </c>
      <c r="KV60" s="36" t="s">
        <v>139</v>
      </c>
      <c r="KW60" s="36" t="s">
        <v>139</v>
      </c>
      <c r="KX60" s="36" t="s">
        <v>139</v>
      </c>
      <c r="KY60" s="36" t="s">
        <v>139</v>
      </c>
      <c r="KZ60" s="36" t="s">
        <v>139</v>
      </c>
      <c r="LA60" s="36" t="s">
        <v>139</v>
      </c>
      <c r="LB60" s="36" t="s">
        <v>139</v>
      </c>
      <c r="LC60" s="36" t="s">
        <v>139</v>
      </c>
      <c r="LD60" s="36" t="s">
        <v>139</v>
      </c>
      <c r="LE60" s="36" t="s">
        <v>139</v>
      </c>
      <c r="LF60" s="36" t="s">
        <v>139</v>
      </c>
      <c r="LG60" s="36" t="s">
        <v>139</v>
      </c>
      <c r="LH60" s="36" t="s">
        <v>139</v>
      </c>
      <c r="LI60" s="36" t="s">
        <v>139</v>
      </c>
      <c r="LJ60" s="36" t="s">
        <v>139</v>
      </c>
      <c r="LK60" s="36" t="s">
        <v>139</v>
      </c>
      <c r="LL60" s="36" t="s">
        <v>139</v>
      </c>
      <c r="LM60" s="36" t="s">
        <v>139</v>
      </c>
      <c r="LN60" s="36" t="s">
        <v>139</v>
      </c>
      <c r="LO60" s="36" t="s">
        <v>139</v>
      </c>
      <c r="LP60" s="36" t="s">
        <v>139</v>
      </c>
      <c r="LQ60" s="36" t="s">
        <v>139</v>
      </c>
      <c r="LR60" s="36" t="s">
        <v>139</v>
      </c>
      <c r="LS60" s="36" t="s">
        <v>139</v>
      </c>
      <c r="LT60" s="36" t="s">
        <v>139</v>
      </c>
      <c r="LU60" s="36" t="s">
        <v>139</v>
      </c>
      <c r="LV60" s="36" t="s">
        <v>139</v>
      </c>
      <c r="LW60" s="36" t="s">
        <v>139</v>
      </c>
      <c r="LX60" s="36" t="s">
        <v>139</v>
      </c>
      <c r="LY60" s="36" t="s">
        <v>139</v>
      </c>
      <c r="LZ60" s="36" t="s">
        <v>139</v>
      </c>
      <c r="MA60" s="36" t="s">
        <v>139</v>
      </c>
      <c r="MB60" s="36" t="s">
        <v>139</v>
      </c>
      <c r="MC60" s="36" t="s">
        <v>139</v>
      </c>
      <c r="MD60" s="36" t="s">
        <v>139</v>
      </c>
      <c r="ME60" s="36" t="s">
        <v>139</v>
      </c>
      <c r="MF60" s="36" t="s">
        <v>139</v>
      </c>
      <c r="MG60" s="36" t="s">
        <v>139</v>
      </c>
      <c r="MH60" s="36" t="s">
        <v>139</v>
      </c>
      <c r="MI60" s="36" t="s">
        <v>139</v>
      </c>
      <c r="MJ60" s="36" t="s">
        <v>139</v>
      </c>
      <c r="MK60" s="36" t="s">
        <v>139</v>
      </c>
      <c r="ML60" s="36" t="s">
        <v>139</v>
      </c>
      <c r="MM60" s="36" t="s">
        <v>139</v>
      </c>
      <c r="MN60" s="36" t="s">
        <v>139</v>
      </c>
      <c r="MO60" s="36" t="s">
        <v>139</v>
      </c>
      <c r="MP60" s="36" t="s">
        <v>139</v>
      </c>
      <c r="MQ60" s="36" t="s">
        <v>139</v>
      </c>
      <c r="MR60" s="36" t="s">
        <v>139</v>
      </c>
      <c r="MS60" s="36" t="s">
        <v>139</v>
      </c>
      <c r="MT60" s="36" t="s">
        <v>139</v>
      </c>
      <c r="MU60" s="36" t="s">
        <v>139</v>
      </c>
      <c r="MV60" s="36" t="s">
        <v>139</v>
      </c>
      <c r="MW60" s="36" t="s">
        <v>139</v>
      </c>
      <c r="MX60" s="36" t="s">
        <v>139</v>
      </c>
      <c r="MY60" s="36" t="s">
        <v>139</v>
      </c>
      <c r="MZ60" s="36" t="s">
        <v>139</v>
      </c>
      <c r="NA60" s="36" t="s">
        <v>139</v>
      </c>
      <c r="NB60" s="36" t="s">
        <v>139</v>
      </c>
      <c r="NC60" s="36" t="s">
        <v>139</v>
      </c>
      <c r="ND60" s="36" t="s">
        <v>139</v>
      </c>
      <c r="NE60" s="36" t="s">
        <v>139</v>
      </c>
      <c r="NF60" s="36" t="s">
        <v>139</v>
      </c>
      <c r="NG60" s="36" t="s">
        <v>139</v>
      </c>
      <c r="NH60" s="36" t="s">
        <v>139</v>
      </c>
      <c r="NI60" s="36" t="s">
        <v>139</v>
      </c>
      <c r="NJ60" s="36" t="s">
        <v>139</v>
      </c>
      <c r="NK60" s="36" t="s">
        <v>139</v>
      </c>
      <c r="NL60" s="36" t="s">
        <v>139</v>
      </c>
      <c r="NM60" s="36" t="s">
        <v>139</v>
      </c>
      <c r="NN60" s="36" t="s">
        <v>139</v>
      </c>
      <c r="NO60" s="36" t="s">
        <v>139</v>
      </c>
      <c r="NP60" s="36" t="s">
        <v>139</v>
      </c>
      <c r="NQ60" s="36" t="s">
        <v>139</v>
      </c>
      <c r="NR60" s="36" t="s">
        <v>139</v>
      </c>
      <c r="NS60" s="36" t="s">
        <v>139</v>
      </c>
      <c r="NT60" s="36" t="s">
        <v>139</v>
      </c>
      <c r="NU60" s="36" t="s">
        <v>139</v>
      </c>
      <c r="NV60" s="36" t="s">
        <v>139</v>
      </c>
      <c r="NW60" s="36" t="s">
        <v>139</v>
      </c>
      <c r="NX60" s="36" t="s">
        <v>139</v>
      </c>
      <c r="NY60" s="36" t="s">
        <v>139</v>
      </c>
      <c r="NZ60" s="36" t="s">
        <v>139</v>
      </c>
      <c r="OA60" s="36" t="s">
        <v>139</v>
      </c>
      <c r="OB60" s="36" t="s">
        <v>139</v>
      </c>
      <c r="OC60" s="36" t="s">
        <v>139</v>
      </c>
      <c r="OD60" s="36" t="s">
        <v>139</v>
      </c>
      <c r="OE60" s="36" t="s">
        <v>139</v>
      </c>
      <c r="OF60" s="36" t="s">
        <v>139</v>
      </c>
      <c r="OG60" s="36" t="s">
        <v>139</v>
      </c>
      <c r="OH60" s="36" t="s">
        <v>139</v>
      </c>
      <c r="OI60" s="36" t="s">
        <v>139</v>
      </c>
      <c r="OJ60" s="36" t="s">
        <v>139</v>
      </c>
      <c r="OK60" s="36" t="s">
        <v>139</v>
      </c>
      <c r="OL60" s="36" t="s">
        <v>139</v>
      </c>
      <c r="OM60" s="36" t="s">
        <v>139</v>
      </c>
      <c r="ON60" s="36" t="s">
        <v>139</v>
      </c>
      <c r="OO60" s="36" t="s">
        <v>139</v>
      </c>
      <c r="OP60" s="36" t="s">
        <v>139</v>
      </c>
      <c r="OQ60" s="36" t="s">
        <v>139</v>
      </c>
      <c r="OR60" s="36" t="s">
        <v>139</v>
      </c>
      <c r="OS60" s="36" t="s">
        <v>139</v>
      </c>
      <c r="OT60" s="36" t="s">
        <v>139</v>
      </c>
      <c r="OU60" s="36" t="s">
        <v>139</v>
      </c>
      <c r="OV60" s="36" t="s">
        <v>139</v>
      </c>
      <c r="OW60" s="36" t="s">
        <v>139</v>
      </c>
      <c r="OX60" s="36" t="s">
        <v>139</v>
      </c>
      <c r="OY60" s="36" t="s">
        <v>139</v>
      </c>
      <c r="OZ60" s="36" t="s">
        <v>139</v>
      </c>
      <c r="PA60" s="36" t="s">
        <v>139</v>
      </c>
      <c r="PB60" s="36" t="s">
        <v>139</v>
      </c>
      <c r="PC60" s="36" t="s">
        <v>139</v>
      </c>
      <c r="PD60" s="36" t="s">
        <v>139</v>
      </c>
      <c r="PE60" s="36" t="s">
        <v>139</v>
      </c>
      <c r="PF60" s="36" t="s">
        <v>139</v>
      </c>
      <c r="PG60" s="36" t="s">
        <v>139</v>
      </c>
      <c r="PH60" s="36" t="s">
        <v>139</v>
      </c>
      <c r="PI60" s="36" t="s">
        <v>139</v>
      </c>
      <c r="PJ60" s="36" t="s">
        <v>139</v>
      </c>
      <c r="PK60" s="36" t="s">
        <v>139</v>
      </c>
      <c r="PL60" s="36" t="s">
        <v>139</v>
      </c>
      <c r="PM60" s="36" t="s">
        <v>139</v>
      </c>
      <c r="PN60" s="36" t="s">
        <v>139</v>
      </c>
      <c r="PO60" s="74">
        <f>COUNTIFS($C$27:$PN$27,("&lt;"&amp;$B$3),$C$27:$PN$27,("&gt;="&amp;$B$2),$C60:$PN60,TabAsistencias[[#Headers],[1]])</f>
        <v>30</v>
      </c>
      <c r="PP60" s="74">
        <f>COUNTIFS($C$27:$PN$27,("&lt;"&amp;$B$3),$C$27:$PN$27,("&gt;="&amp;$B$2),$C60:$PN60,TabAsistencias[[#Headers],[E]])</f>
        <v>0</v>
      </c>
      <c r="PQ60" s="74">
        <f>COUNTIFS($C$27:$PN$27,("&lt;"&amp;$B$3),$C$27:$PN$27,("&gt;="&amp;$B$2),$C60:$PN60,TabAsistencias[[#Headers],[DE]])</f>
        <v>0</v>
      </c>
      <c r="PR60" s="74">
        <f>COUNTIFS($C$27:$PN$27,("&lt;"&amp;$B$3),$C$27:$PN$27,("&gt;="&amp;$B$2),$C60:$PN60,TabAsistencias[[#Headers],[V]])</f>
        <v>0</v>
      </c>
      <c r="PS60" s="74">
        <f>COUNTIFS($C$27:$PN$27,("&lt;"&amp;$B$3),$C$27:$PN$27,("&gt;="&amp;$B$2),$C60:$PN60,TabAsistencias[[#Headers],[DO]])</f>
        <v>0</v>
      </c>
      <c r="PT60" s="74">
        <f>COUNTIFS($C$27:$PN$27,("&lt;"&amp;$B$3),$C$27:$PN$27,("&gt;="&amp;$B$2),$C60:$PN60,TabAsistencias[[#Headers],[P]])</f>
        <v>0</v>
      </c>
      <c r="PU60" s="74">
        <f>COUNTIFS($C$27:$PN$27,("&lt;"&amp;$B$3),$C$27:$PN$27,("&gt;="&amp;$B$2),$C60:$PN60,TabAsistencias[[#Headers],[F]])</f>
        <v>0</v>
      </c>
      <c r="PV60" s="74">
        <f>COUNTIFS($C$27:$PN$27,("&lt;"&amp;$B$3),$C$27:$PN$27,("&gt;="&amp;$B$2),$C60:$PN60,TabAsistencias[[#Headers],[R]])</f>
        <v>0</v>
      </c>
      <c r="PW60" s="74">
        <f>COUNTIFS($C$27:$PN$27,("&lt;"&amp;$B$3),$C$27:$PN$27,("&gt;="&amp;$B$2),$C60:$PN60,TabAsistencias[[#Headers],[PP]])</f>
        <v>0</v>
      </c>
      <c r="PX60" s="74">
        <f>COUNTIFS($C$27:$PN$27,("&lt;"&amp;$B$3),$C$27:$PN$27,("&gt;="&amp;$B$2),$C60:$PN60,TabAsistencias[[#Headers],[0]])</f>
        <v>0</v>
      </c>
      <c r="PY60" s="74">
        <f>COUNTIFS($C$27:$PN$27,("&lt;"&amp;$B$3),$C$27:$PN$27,("&gt;="&amp;$B$2),$C60:$PN60,TabAsistencias[[#Headers],[IG]])</f>
        <v>0</v>
      </c>
      <c r="PZ60" s="74">
        <f>COUNTIFS($C$27:$PN$27,("&lt;"&amp;$B$3),$C$27:$PN$27,("&gt;="&amp;$B$2),$C60:$PN60,TabAsistencias[[#Headers],[NA]])</f>
        <v>0</v>
      </c>
      <c r="QA60" s="74">
        <f>COUNTIFS($C$27:$PN$27,("&lt;"&amp;$B$3),$C$27:$PN$27,("&gt;="&amp;$B$2),$C60:$PN60,TabAsistencias[[#Headers],[DF]])</f>
        <v>0</v>
      </c>
      <c r="QB60" s="74">
        <f>COUNTIFS($C$27:$PN$27,("&lt;"&amp;$B$3),$C$27:$PN$27,("&gt;="&amp;$B$2),$C60:$PN60,TabAsistencias[[#Headers],[3]])</f>
        <v>0</v>
      </c>
      <c r="QC60" s="74">
        <f>COUNTIFS($C$27:$PN$27,("&lt;"&amp;$B$3),$C$27:$PN$27,("&gt;="&amp;$B$2),$C60:$PN60,TabAsistencias[[#Headers],[CP]])</f>
        <v>0</v>
      </c>
      <c r="QD60" s="74">
        <f>COUNTIFS($C$27:$PN$27,("&lt;"&amp;$B$3),$C$27:$PN$27,("&gt;="&amp;$B$2),$C60:$PN60,TabAsistencias[[#Headers],[I]])</f>
        <v>0</v>
      </c>
      <c r="QE60" s="74">
        <f>COUNTIFS($C$27:$PN$27,("&lt;"&amp;$B$3),$C$27:$PN$27,("&gt;="&amp;$B$2),$C60:$PN60,TabAsistencias[[#Headers],[T/2]])</f>
        <v>0</v>
      </c>
      <c r="QF60" s="74">
        <f>COUNTIFS($C$27:$PN$27,("&lt;"&amp;$B$3),$C$27:$PN$27,("&gt;="&amp;$B$2),$C60:$PN60,TabAsistencias[[#Headers],[ME]])</f>
        <v>0</v>
      </c>
      <c r="QG60" s="74">
        <f>COUNTIFS($C$27:$PN$27,("&lt;"&amp;$B$3),$C$27:$PN$27,("&gt;="&amp;$B$2),$C60:$PN60,TabAsistencias[[#Headers],[DP]])</f>
        <v>0</v>
      </c>
      <c r="QH60" s="74">
        <f>COUNTIFS($C$27:$PN$27,("&lt;"&amp;$B$3),$C$27:$PN$27,("&gt;="&amp;$B$2),$C60:$PN60,TabAsistencias[[#Headers],[B]])</f>
        <v>0</v>
      </c>
      <c r="QI60" s="74">
        <f>(TabAsistencias[[#This Row],[1]]*'Tablas de informacion'!$C$124)+(TabAsistencias[[#This Row],[E]]*'Tablas de informacion'!$C$125)+(TabAsistencias[[#This Row],[DE]]*'Tablas de informacion'!C$126)+(TabAsistencias[[#This Row],[V]]*'Tablas de informacion'!C$127)+(TabAsistencias[[#This Row],[DO]]*'Tablas de informacion'!C$128)+(TabAsistencias[[#This Row],[P]]*'Tablas de informacion'!C$129)+(TabAsistencias[[#This Row],[F]]*'Tablas de informacion'!C$130)+(TabAsistencias[[#This Row],[R]]*'Tablas de informacion'!C$131)+(TabAsistencias[[#This Row],[PP]]*'Tablas de informacion'!C$132)+(TabAsistencias[[#This Row],[0]]*'Tablas de informacion'!C$133)+(TabAsistencias[[#This Row],[IG]]*'Tablas de informacion'!C$134)+(TabAsistencias[[#This Row],[NA]]*'Tablas de informacion'!C$135)+(TabAsistencias[[#This Row],[DF]]*'Tablas de informacion'!C$136)+(TabAsistencias[[#This Row],[3]]*'Tablas de informacion'!C$137)+(TabAsistencias[[#This Row],[CP]]*'Tablas de informacion'!C$138)+(TabAsistencias[[#This Row],[I]]*'Tablas de informacion'!C$139)+(TabAsistencias[[#This Row],[T/2]]*'Tablas de informacion'!C$140)+(TabAsistencias[[#This Row],[ME]]*'Tablas de informacion'!C$141)+(TabAsistencias[[#This Row],[DP]]*'Tablas de informacion'!C$142)+(TabAsistencias[[#This Row],[B]]*'Tablas de informacion'!C$143)-INT(TabAsistencias[[#This Row],[R]]/3)</f>
        <v>30</v>
      </c>
      <c r="QJ60" s="74">
        <f>COUNTIFS($C$27:$PN$27,("&lt;"&amp;$B$3),$C$27:$PN$27,("&gt;="&amp;$B$2),$C$28:$PN$28,1,$C60:$PN60,TabAsistencias[[#Headers],[1]])+
COUNTIFS($C$27:$PN$27,("&lt;"&amp;$B$3),$C$27:$PN$27,("&gt;="&amp;$B$2),$C$28:$PN$28,1,$C60:$PN60,TabAsistencias[[#Headers],[DO]])+
COUNTIFS($C$27:$PN$27,("&lt;"&amp;$B$3),$C$27:$PN$27,("&gt;="&amp;$B$2),$C$28:$PN$28,1,$C60:$PN60,TabAsistencias[[#Headers],[R]])+
COUNTIFS($C$27:$PN$27,("&lt;"&amp;$B$3),$C$27:$PN$27,("&gt;="&amp;$B$2),$C$28:$PN$28,1,$C60:$PN60,TabAsistencias[[#Headers],[NA]])+
COUNTIFS($C$27:$PN$27,("&lt;"&amp;$B$3),$C$27:$PN$27,("&gt;="&amp;$B$2),$C$28:$PN$28,1,$C60:$PN60,TabAsistencias[[#Headers],[DF]])+
COUNTIFS($C$27:$PN$27,("&lt;"&amp;$B$3),$C$27:$PN$27,("&gt;="&amp;$B$2),$C$28:$PN$28,1,$C60:$PN60,TabAsistencias[[#Headers],[3]])+
COUNTIFS($C$27:$PN$27,("&lt;"&amp;$B$3),$C$27:$PN$27,("&gt;="&amp;$B$2),$C$28:$PN$28,1,$C60:$PN60,TabAsistencias[[#Headers],[CP]])+
COUNTIFS($C$27:$PN$27,("&lt;"&amp;$B$3),$C$27:$PN$27,("&gt;="&amp;$B$2),$C$28:$PN$28,1,$C60:$PN60,TabAsistencias[[#Headers],[T/2]])</f>
        <v>4</v>
      </c>
      <c r="QK60" s="315" cm="1">
        <f t="array" ref="QK60">IFERROR(VLOOKUP(
DATEDIF((VLOOKUP(TabAsistencias[[#This Row],[ID]],TabEmpleados[],COLUMN(TabEmpleados[Fecha de ingreso]),FALSE)),Asistencias!$B$3,"Y"),
TabFactorIntegracion[],COLUMN(TabFactorIntegracion[Días vacacionales
establecidos por ley]),FALSE),0)
-
COUNTIF($AH60:$PN60,TabAsistencias[[#Headers],[V]])</f>
        <v>12</v>
      </c>
      <c r="QL60" s="319">
        <f>SUM(TabAsistencias[[#This Row],[''1]],TabAsistencias[[#This Row],[''DE]],TabAsistencias[[#This Row],[''DO]],TabAsistencias[[#This Row],[''R]],TabAsistencias[[#This Row],[''NA]],TabAsistencias[[#This Row],[''DF]],TabAsistencias[[#This Row],[''3]],TabAsistencias[[#This Row],[''CP]],TabAsistencias[[#This Row],[''T/2]],TabAsistencias[[#This Row],[''DP]])</f>
        <v>73</v>
      </c>
      <c r="QM60" s="314">
        <f>COUNTIFS($C$27:$PN$27,("&lt;"&amp;$B$5),$C$27:$PN$27,("&gt;="&amp;$B$4),$C60:$PN60,TabAsistencias[[#Headers],[1]])</f>
        <v>73</v>
      </c>
      <c r="QN60" s="314">
        <f>COUNTIFS($C$27:$PN$27,("&lt;"&amp;$B$5),$C$27:$PN$27,("&gt;="&amp;$B$4),$C60:$PN60,TabAsistencias[[#Headers],[DE]])</f>
        <v>0</v>
      </c>
      <c r="QO60" s="314">
        <f>COUNTIFS($C$27:$PN$27,("&lt;"&amp;$B$5),$C$27:$PN$27,("&gt;="&amp;$B$4),$C60:$PN60,TabAsistencias[[#Headers],[V]])</f>
        <v>0</v>
      </c>
      <c r="QP60" s="314">
        <f>COUNTIFS($C$27:$PN$27,("&lt;"&amp;$B$5),$C$27:$PN$27,("&gt;="&amp;$B$4),$C60:$PN60,TabAsistencias[[#Headers],[DO]])</f>
        <v>0</v>
      </c>
      <c r="QQ60" s="314">
        <f>COUNTIFS($C$27:$PN$27,("&lt;"&amp;$B$5),$C$27:$PN$27,("&gt;="&amp;$B$4),$C60:$PN60,TabAsistencias[[#Headers],[P]])</f>
        <v>0</v>
      </c>
      <c r="QR60" s="314">
        <f>COUNTIFS($C$27:$PN$27,("&lt;"&amp;$B$5),$C$27:$PN$27,("&gt;="&amp;$B$4),$C60:$PN60,TabAsistencias[[#Headers],[F]])</f>
        <v>0</v>
      </c>
      <c r="QS60" s="314">
        <f>COUNTIFS($C$27:$PN$27,("&lt;"&amp;$B$5),$C$27:$PN$27,("&gt;="&amp;$B$4),$C60:$PN60,TabAsistencias[[#Headers],[R]])</f>
        <v>0</v>
      </c>
      <c r="QT60" s="314">
        <f>COUNTIFS($C$27:$PN$27,("&lt;"&amp;$B$5),$C$27:$PN$27,("&gt;="&amp;$B$4),$C60:$PN60,TabAsistencias[[#Headers],[PP]])</f>
        <v>0</v>
      </c>
      <c r="QU60" s="314">
        <f>COUNTIFS($C$27:$PN$27,("&lt;"&amp;$B$5),$C$27:$PN$27,("&gt;="&amp;$B$4),$C60:$PN60,TabAsistencias[[#Headers],[0]])</f>
        <v>0</v>
      </c>
      <c r="QV60" s="314">
        <f>COUNTIFS($C$27:$PN$27,("&lt;"&amp;$B$5),$C$27:$PN$27,("&gt;="&amp;$B$4),$C60:$PN60,TabAsistencias[[#Headers],[IG]])</f>
        <v>0</v>
      </c>
      <c r="QW60" s="314">
        <f>COUNTIFS($C$27:$PN$27,("&lt;"&amp;$B$5),$C$27:$PN$27,("&gt;="&amp;$B$4),$C60:$PN60,TabAsistencias[[#Headers],[NA]])</f>
        <v>0</v>
      </c>
      <c r="QX60" s="314">
        <f>COUNTIFS($C$27:$PN$27,("&lt;"&amp;$B$5),$C$27:$PN$27,("&gt;="&amp;$B$4),$C60:$PN60,TabAsistencias[[#Headers],[DF]])</f>
        <v>0</v>
      </c>
      <c r="QY60" s="314">
        <f>COUNTIFS($C$27:$PN$27,("&lt;"&amp;$B$5),$C$27:$PN$27,("&gt;="&amp;$B$4),$C60:$PN60,TabAsistencias[[#Headers],[3]])</f>
        <v>0</v>
      </c>
      <c r="QZ60" s="314">
        <f>COUNTIFS($C$27:$PN$27,("&lt;"&amp;$B$5),$C$27:$PN$27,("&gt;="&amp;$B$4),$C60:$PN60,TabAsistencias[[#Headers],[CP]])</f>
        <v>0</v>
      </c>
      <c r="RA60" s="314">
        <f>COUNTIFS($C$27:$PN$27,("&lt;"&amp;$B$5),$C$27:$PN$27,("&gt;="&amp;$B$4),$C60:$PN60,TabAsistencias[[#Headers],[I]])</f>
        <v>0</v>
      </c>
      <c r="RB60" s="314">
        <f>COUNTIFS($C$27:$PN$27,("&lt;"&amp;$B$5),$C$27:$PN$27,("&gt;="&amp;$B$4),$C60:$PN60,TabAsistencias[[#Headers],[T/2]])</f>
        <v>0</v>
      </c>
      <c r="RC60" s="314">
        <f>COUNTIFS($C$27:$PN$27,("&lt;"&amp;$B$5),$C$27:$PN$27,("&gt;="&amp;$B$4),$C60:$PN60,TabAsistencias[[#Headers],[ME]])</f>
        <v>0</v>
      </c>
      <c r="RD60" s="314">
        <f>COUNTIFS($C$27:$PN$27,("&lt;"&amp;$B$5),$C$27:$PN$27,("&gt;="&amp;$B$4),$C60:$PN60,TabAsistencias[[#Headers],[DP]])</f>
        <v>0</v>
      </c>
      <c r="RE60" s="314">
        <f>COUNTIFS($C$27:$PN$27,("&lt;"&amp;$B$5),$C$27:$PN$27,("&gt;="&amp;$B$4),$C60:$PN60,TabAsistencias[[#Headers],[B]])</f>
        <v>0</v>
      </c>
      <c r="RF60" s="314">
        <f>COUNTIFS($C$27:$PN$27,("&lt;"&amp;$B$5),$C$27:$PN$27,("&gt;="&amp;$B$4),$C$28:$PN$28,1,$C60:$PN60,TabAsistencias[[#Headers],[1]])+
COUNTIFS($C$27:$PN$27,("&lt;"&amp;$B$5),$C$27:$PN$27,("&gt;="&amp;$B$4),$C$28:$PN$28,1,$C60:$PN60,TabAsistencias[[#Headers],[DO]])+
COUNTIFS($C$27:$PN$27,("&lt;"&amp;$B$5),$C$27:$PN$27,("&gt;="&amp;$B$4),$C$28:$PN$28,1,$C60:$PN60,TabAsistencias[[#Headers],[R]])+
COUNTIFS($C$27:$PN$27,("&lt;"&amp;$B$5),$C$27:$PN$27,("&gt;="&amp;$B$4),$C$28:$PN$28,1,$C60:$PN60,TabAsistencias[[#Headers],[NA]])+
COUNTIFS($C$27:$PN$27,("&lt;"&amp;$B$5),$C$27:$PN$27,("&gt;="&amp;$B$4),$C$28:$PN$28,1,$C60:$PN60,TabAsistencias[[#Headers],[DF]])+
COUNTIFS($C$27:$PN$27,("&lt;"&amp;$B$5),$C$27:$PN$27,("&gt;="&amp;$B$4),$C$28:$PN$28,1,$C60:$PN60,TabAsistencias[[#Headers],[3]])+
COUNTIFS($C$27:$PN$27,("&lt;"&amp;$B$5),$C$27:$PN$27,("&gt;="&amp;$B$4),$C$28:$PN$28,1,$C60:$PN60,TabAsistencias[[#Headers],[CP]])+
COUNTIFS($C$27:$PN$27,("&lt;"&amp;$B$5),$C$27:$PN$27,("&gt;="&amp;$B$4),$C$28:$PN$28,1,$C60:$PN60,TabAsistencias[[#Headers],[T/2]])</f>
        <v>11</v>
      </c>
      <c r="RG60" s="320" cm="1">
        <f t="array" ref="RG60">IFERROR(VLOOKUP(
DATEDIF((VLOOKUP(TabAsistencias[[#This Row],[ID]],TabEmpleados[],COLUMN(TabEmpleados[Fecha de alta NSS]),FALSE)),Asistencias!$B$3,"Y"),
TabFactorIntegracion[],COLUMN(TabFactorIntegracion[Días vacacionales
establecidos por ley]),FALSE),0)
-
COUNTIF($AH60:$PN60,TabAsistencias[[#Headers],[V]])</f>
        <v>12</v>
      </c>
    </row>
    <row r="61" spans="1:475" x14ac:dyDescent="0.25">
      <c r="A61" s="92">
        <f t="shared" si="434"/>
        <v>31</v>
      </c>
      <c r="B61" s="30" t="str" cm="1">
        <f t="array" ref="B61">VLOOKUP(TabAsistencias[[#This Row],[ID]],TabEmpleados[],COLUMN(TabEmpleados[Nombre]),FALSE)</f>
        <v>RIOS LUIS OSVALDO</v>
      </c>
      <c r="C61" s="36" t="s">
        <v>139</v>
      </c>
      <c r="D61" s="36" t="s">
        <v>139</v>
      </c>
      <c r="E61" s="36" t="s">
        <v>139</v>
      </c>
      <c r="F61" s="36" t="s">
        <v>139</v>
      </c>
      <c r="G61" s="36" t="s">
        <v>139</v>
      </c>
      <c r="H61" s="36" t="s">
        <v>139</v>
      </c>
      <c r="I61" s="36" t="s">
        <v>139</v>
      </c>
      <c r="J61" s="36" t="s">
        <v>139</v>
      </c>
      <c r="K61" s="36" t="s">
        <v>139</v>
      </c>
      <c r="L61" s="36" t="s">
        <v>139</v>
      </c>
      <c r="M61" s="36" t="s">
        <v>139</v>
      </c>
      <c r="N61" s="36" t="s">
        <v>139</v>
      </c>
      <c r="O61" s="36" t="s">
        <v>139</v>
      </c>
      <c r="P61" s="36" t="s">
        <v>139</v>
      </c>
      <c r="Q61" s="36" t="s">
        <v>139</v>
      </c>
      <c r="R61" s="36" t="s">
        <v>139</v>
      </c>
      <c r="S61" s="36" t="s">
        <v>139</v>
      </c>
      <c r="T61" s="36" t="s">
        <v>139</v>
      </c>
      <c r="U61" s="36" t="s">
        <v>139</v>
      </c>
      <c r="V61" s="36" t="s">
        <v>139</v>
      </c>
      <c r="W61" s="36" t="s">
        <v>139</v>
      </c>
      <c r="X61" s="36" t="s">
        <v>139</v>
      </c>
      <c r="Y61" s="36" t="s">
        <v>139</v>
      </c>
      <c r="Z61" s="36" t="s">
        <v>139</v>
      </c>
      <c r="AA61" s="36" t="s">
        <v>139</v>
      </c>
      <c r="AB61" s="36" t="s">
        <v>139</v>
      </c>
      <c r="AC61" s="36" t="s">
        <v>139</v>
      </c>
      <c r="AD61" s="36" t="s">
        <v>139</v>
      </c>
      <c r="AE61" s="36" t="s">
        <v>139</v>
      </c>
      <c r="AF61" s="36" t="s">
        <v>139</v>
      </c>
      <c r="AG61" s="36" t="s">
        <v>139</v>
      </c>
      <c r="AH61" s="36" t="s">
        <v>139</v>
      </c>
      <c r="AI61" s="36" t="s">
        <v>139</v>
      </c>
      <c r="AJ61" s="36" t="s">
        <v>139</v>
      </c>
      <c r="AK61" s="36" t="s">
        <v>139</v>
      </c>
      <c r="AL61" s="36" t="s">
        <v>139</v>
      </c>
      <c r="AM61" s="36" t="s">
        <v>139</v>
      </c>
      <c r="AN61" s="36" t="s">
        <v>139</v>
      </c>
      <c r="AO61" s="36" t="s">
        <v>139</v>
      </c>
      <c r="AP61" s="36" t="s">
        <v>139</v>
      </c>
      <c r="AQ61" s="36" t="s">
        <v>139</v>
      </c>
      <c r="AR61" s="36" t="s">
        <v>139</v>
      </c>
      <c r="AS61" s="36" t="s">
        <v>139</v>
      </c>
      <c r="AT61" s="36" t="s">
        <v>139</v>
      </c>
      <c r="AU61" s="36" t="s">
        <v>139</v>
      </c>
      <c r="AV61" s="36" t="s">
        <v>139</v>
      </c>
      <c r="AW61" s="36" t="s">
        <v>139</v>
      </c>
      <c r="AX61" s="36" t="s">
        <v>139</v>
      </c>
      <c r="AY61" s="36" t="s">
        <v>139</v>
      </c>
      <c r="AZ61" s="36" t="s">
        <v>139</v>
      </c>
      <c r="BA61" s="36" t="s">
        <v>139</v>
      </c>
      <c r="BB61" s="36" t="s">
        <v>139</v>
      </c>
      <c r="BC61" s="36" t="s">
        <v>139</v>
      </c>
      <c r="BD61" s="36" t="s">
        <v>139</v>
      </c>
      <c r="BE61" s="36" t="s">
        <v>139</v>
      </c>
      <c r="BF61" s="36" t="s">
        <v>139</v>
      </c>
      <c r="BG61" s="36" t="s">
        <v>139</v>
      </c>
      <c r="BH61" s="36" t="s">
        <v>139</v>
      </c>
      <c r="BI61" s="36" t="s">
        <v>139</v>
      </c>
      <c r="BJ61" s="36" t="s">
        <v>139</v>
      </c>
      <c r="BK61" s="36" t="s">
        <v>139</v>
      </c>
      <c r="BL61" s="36" t="s">
        <v>139</v>
      </c>
      <c r="BM61" s="36" t="s">
        <v>139</v>
      </c>
      <c r="BN61" s="36" t="s">
        <v>139</v>
      </c>
      <c r="BO61" s="36" t="s">
        <v>139</v>
      </c>
      <c r="BP61" s="36" t="s">
        <v>139</v>
      </c>
      <c r="BQ61" s="36" t="s">
        <v>139</v>
      </c>
      <c r="BR61" s="36" t="s">
        <v>139</v>
      </c>
      <c r="BS61" s="36" t="s">
        <v>139</v>
      </c>
      <c r="BT61" s="36" t="s">
        <v>139</v>
      </c>
      <c r="BU61" s="36" t="s">
        <v>139</v>
      </c>
      <c r="BV61" s="36" t="s">
        <v>139</v>
      </c>
      <c r="BW61" s="36" t="s">
        <v>139</v>
      </c>
      <c r="BX61" s="36" t="s">
        <v>139</v>
      </c>
      <c r="BY61" s="36" t="s">
        <v>139</v>
      </c>
      <c r="BZ61" s="36" t="s">
        <v>139</v>
      </c>
      <c r="CA61" s="36" t="s">
        <v>139</v>
      </c>
      <c r="CB61" s="36" t="s">
        <v>139</v>
      </c>
      <c r="CC61" s="36" t="s">
        <v>139</v>
      </c>
      <c r="CD61" s="36" t="s">
        <v>139</v>
      </c>
      <c r="CE61" s="36" t="s">
        <v>139</v>
      </c>
      <c r="CF61" s="36" t="s">
        <v>139</v>
      </c>
      <c r="CG61" s="36" t="s">
        <v>139</v>
      </c>
      <c r="CH61" s="36" t="s">
        <v>139</v>
      </c>
      <c r="CI61" s="36" t="s">
        <v>139</v>
      </c>
      <c r="CJ61" s="36" t="s">
        <v>139</v>
      </c>
      <c r="CK61" s="36" t="s">
        <v>139</v>
      </c>
      <c r="CL61" s="36" t="s">
        <v>139</v>
      </c>
      <c r="CM61" s="36" t="s">
        <v>139</v>
      </c>
      <c r="CN61" s="36" t="s">
        <v>139</v>
      </c>
      <c r="CO61" s="36" t="s">
        <v>139</v>
      </c>
      <c r="CP61" s="36" t="s">
        <v>139</v>
      </c>
      <c r="CQ61" s="36" t="s">
        <v>139</v>
      </c>
      <c r="CR61" s="36" t="s">
        <v>139</v>
      </c>
      <c r="CS61" s="36" t="s">
        <v>139</v>
      </c>
      <c r="CT61" s="36" t="s">
        <v>139</v>
      </c>
      <c r="CU61" s="36" t="s">
        <v>139</v>
      </c>
      <c r="CV61" s="36" t="s">
        <v>139</v>
      </c>
      <c r="CW61" s="36" t="s">
        <v>139</v>
      </c>
      <c r="CX61" s="36" t="s">
        <v>139</v>
      </c>
      <c r="CY61" s="36" t="s">
        <v>139</v>
      </c>
      <c r="CZ61" s="36" t="s">
        <v>139</v>
      </c>
      <c r="DA61" s="36" t="s">
        <v>139</v>
      </c>
      <c r="DB61" s="36" t="s">
        <v>139</v>
      </c>
      <c r="DC61" s="36" t="s">
        <v>139</v>
      </c>
      <c r="DD61" s="36" t="s">
        <v>139</v>
      </c>
      <c r="DE61" s="36" t="s">
        <v>139</v>
      </c>
      <c r="DF61" s="36" t="s">
        <v>139</v>
      </c>
      <c r="DG61" s="36" t="s">
        <v>139</v>
      </c>
      <c r="DH61" s="36" t="s">
        <v>139</v>
      </c>
      <c r="DI61" s="36" t="s">
        <v>139</v>
      </c>
      <c r="DJ61" s="36" t="s">
        <v>139</v>
      </c>
      <c r="DK61" s="36" t="s">
        <v>139</v>
      </c>
      <c r="DL61" s="36" t="s">
        <v>139</v>
      </c>
      <c r="DM61" s="36" t="s">
        <v>139</v>
      </c>
      <c r="DN61" s="36" t="s">
        <v>139</v>
      </c>
      <c r="DO61" s="36" t="s">
        <v>139</v>
      </c>
      <c r="DP61" s="36" t="s">
        <v>139</v>
      </c>
      <c r="DQ61" s="36" t="s">
        <v>139</v>
      </c>
      <c r="DR61" s="36" t="s">
        <v>139</v>
      </c>
      <c r="DS61" s="36" t="s">
        <v>139</v>
      </c>
      <c r="DT61" s="36" t="s">
        <v>139</v>
      </c>
      <c r="DU61" s="36" t="s">
        <v>139</v>
      </c>
      <c r="DV61" s="36" t="s">
        <v>139</v>
      </c>
      <c r="DW61" s="36" t="s">
        <v>139</v>
      </c>
      <c r="DX61" s="36" t="s">
        <v>139</v>
      </c>
      <c r="DY61" s="36" t="s">
        <v>139</v>
      </c>
      <c r="DZ61" s="36" t="s">
        <v>139</v>
      </c>
      <c r="EA61" s="36" t="s">
        <v>139</v>
      </c>
      <c r="EB61" s="36" t="s">
        <v>139</v>
      </c>
      <c r="EC61" s="36" t="s">
        <v>139</v>
      </c>
      <c r="ED61" s="36" t="s">
        <v>139</v>
      </c>
      <c r="EE61" s="36" t="s">
        <v>139</v>
      </c>
      <c r="EF61" s="36" t="s">
        <v>139</v>
      </c>
      <c r="EG61" s="36" t="s">
        <v>139</v>
      </c>
      <c r="EH61" s="36" t="s">
        <v>139</v>
      </c>
      <c r="EI61" s="36" t="s">
        <v>139</v>
      </c>
      <c r="EJ61" s="36" t="s">
        <v>139</v>
      </c>
      <c r="EK61" s="36" t="s">
        <v>139</v>
      </c>
      <c r="EL61" s="36" t="s">
        <v>139</v>
      </c>
      <c r="EM61" s="36" t="s">
        <v>139</v>
      </c>
      <c r="EN61" s="36" t="s">
        <v>139</v>
      </c>
      <c r="EO61" s="36" t="s">
        <v>139</v>
      </c>
      <c r="EP61" s="36" t="s">
        <v>139</v>
      </c>
      <c r="EQ61" s="36" t="s">
        <v>139</v>
      </c>
      <c r="ER61" s="36" t="s">
        <v>139</v>
      </c>
      <c r="ES61" s="36" t="s">
        <v>139</v>
      </c>
      <c r="ET61" s="36" t="s">
        <v>139</v>
      </c>
      <c r="EU61" s="36" t="s">
        <v>139</v>
      </c>
      <c r="EV61" s="36" t="s">
        <v>139</v>
      </c>
      <c r="EW61" s="36" t="s">
        <v>139</v>
      </c>
      <c r="EX61" s="36" t="s">
        <v>139</v>
      </c>
      <c r="EY61" s="36" t="s">
        <v>139</v>
      </c>
      <c r="EZ61" s="36" t="s">
        <v>139</v>
      </c>
      <c r="FA61" s="36" t="s">
        <v>139</v>
      </c>
      <c r="FB61" s="36" t="s">
        <v>139</v>
      </c>
      <c r="FC61" s="36" t="s">
        <v>139</v>
      </c>
      <c r="FD61" s="36" t="s">
        <v>139</v>
      </c>
      <c r="FE61" s="36" t="s">
        <v>139</v>
      </c>
      <c r="FF61" s="36" t="s">
        <v>139</v>
      </c>
      <c r="FG61" s="36" t="s">
        <v>139</v>
      </c>
      <c r="FH61" s="36" t="s">
        <v>139</v>
      </c>
      <c r="FI61" s="36" t="s">
        <v>139</v>
      </c>
      <c r="FJ61" s="36" t="s">
        <v>139</v>
      </c>
      <c r="FK61" s="36" t="s">
        <v>139</v>
      </c>
      <c r="FL61" s="36" t="s">
        <v>139</v>
      </c>
      <c r="FM61" s="36" t="s">
        <v>139</v>
      </c>
      <c r="FN61" s="36" t="s">
        <v>139</v>
      </c>
      <c r="FO61" s="36" t="s">
        <v>139</v>
      </c>
      <c r="FP61" s="36" t="s">
        <v>139</v>
      </c>
      <c r="FQ61" s="36" t="s">
        <v>139</v>
      </c>
      <c r="FR61" s="36" t="s">
        <v>139</v>
      </c>
      <c r="FS61" s="36" t="s">
        <v>139</v>
      </c>
      <c r="FT61" s="36" t="s">
        <v>139</v>
      </c>
      <c r="FU61" s="36" t="s">
        <v>139</v>
      </c>
      <c r="FV61" s="36" t="s">
        <v>139</v>
      </c>
      <c r="FW61" s="36" t="s">
        <v>139</v>
      </c>
      <c r="FX61" s="36" t="s">
        <v>139</v>
      </c>
      <c r="FY61" s="36" t="s">
        <v>139</v>
      </c>
      <c r="FZ61" s="36" t="s">
        <v>139</v>
      </c>
      <c r="GA61" s="36" t="s">
        <v>139</v>
      </c>
      <c r="GB61" s="36" t="s">
        <v>139</v>
      </c>
      <c r="GC61" s="36" t="s">
        <v>139</v>
      </c>
      <c r="GD61" s="36" t="s">
        <v>139</v>
      </c>
      <c r="GE61" s="36" t="s">
        <v>139</v>
      </c>
      <c r="GF61" s="36" t="s">
        <v>139</v>
      </c>
      <c r="GG61" s="36" t="s">
        <v>139</v>
      </c>
      <c r="GH61" s="36" t="s">
        <v>139</v>
      </c>
      <c r="GI61" s="36" t="s">
        <v>139</v>
      </c>
      <c r="GJ61" s="36" t="s">
        <v>139</v>
      </c>
      <c r="GK61" s="36" t="s">
        <v>139</v>
      </c>
      <c r="GL61" s="36" t="s">
        <v>139</v>
      </c>
      <c r="GM61" s="36" t="s">
        <v>139</v>
      </c>
      <c r="GN61" s="36" t="s">
        <v>139</v>
      </c>
      <c r="GO61" s="36" t="s">
        <v>139</v>
      </c>
      <c r="GP61" s="36" t="s">
        <v>139</v>
      </c>
      <c r="GQ61" s="36" t="s">
        <v>139</v>
      </c>
      <c r="GR61" s="36" t="s">
        <v>139</v>
      </c>
      <c r="GS61" s="36" t="s">
        <v>139</v>
      </c>
      <c r="GT61" s="36" t="s">
        <v>139</v>
      </c>
      <c r="GU61" s="36" t="s">
        <v>139</v>
      </c>
      <c r="GV61" s="36" t="s">
        <v>139</v>
      </c>
      <c r="GW61" s="36" t="s">
        <v>139</v>
      </c>
      <c r="GX61" s="36" t="s">
        <v>139</v>
      </c>
      <c r="GY61" s="36" t="s">
        <v>139</v>
      </c>
      <c r="GZ61" s="36" t="s">
        <v>139</v>
      </c>
      <c r="HA61" s="36" t="s">
        <v>139</v>
      </c>
      <c r="HB61" s="36" t="s">
        <v>139</v>
      </c>
      <c r="HC61" s="36" t="s">
        <v>139</v>
      </c>
      <c r="HD61" s="36" t="s">
        <v>139</v>
      </c>
      <c r="HE61" s="36" t="s">
        <v>139</v>
      </c>
      <c r="HF61" s="36" t="s">
        <v>139</v>
      </c>
      <c r="HG61" s="36" t="s">
        <v>139</v>
      </c>
      <c r="HH61" s="36" t="s">
        <v>139</v>
      </c>
      <c r="HI61" s="36" t="s">
        <v>139</v>
      </c>
      <c r="HJ61" s="36" t="s">
        <v>139</v>
      </c>
      <c r="HK61" s="36" t="s">
        <v>139</v>
      </c>
      <c r="HL61" s="36" t="s">
        <v>139</v>
      </c>
      <c r="HM61" s="36" t="s">
        <v>139</v>
      </c>
      <c r="HN61" s="36" t="s">
        <v>139</v>
      </c>
      <c r="HO61" s="36" t="s">
        <v>139</v>
      </c>
      <c r="HP61" s="36" t="s">
        <v>139</v>
      </c>
      <c r="HQ61" s="36" t="s">
        <v>139</v>
      </c>
      <c r="HR61" s="36" t="s">
        <v>139</v>
      </c>
      <c r="HS61" s="36" t="s">
        <v>139</v>
      </c>
      <c r="HT61" s="36" t="s">
        <v>139</v>
      </c>
      <c r="HU61" s="36" t="s">
        <v>139</v>
      </c>
      <c r="HV61" s="36" t="s">
        <v>139</v>
      </c>
      <c r="HW61" s="36" t="s">
        <v>139</v>
      </c>
      <c r="HX61" s="36" t="s">
        <v>139</v>
      </c>
      <c r="HY61" s="36" t="s">
        <v>139</v>
      </c>
      <c r="HZ61" s="36" t="s">
        <v>139</v>
      </c>
      <c r="IA61" s="36" t="s">
        <v>139</v>
      </c>
      <c r="IB61" s="36" t="s">
        <v>139</v>
      </c>
      <c r="IC61" s="36" t="s">
        <v>139</v>
      </c>
      <c r="ID61" s="36" t="s">
        <v>139</v>
      </c>
      <c r="IE61" s="36" t="s">
        <v>139</v>
      </c>
      <c r="IF61" s="36" t="s">
        <v>139</v>
      </c>
      <c r="IG61" s="36" t="s">
        <v>139</v>
      </c>
      <c r="IH61" s="36" t="s">
        <v>139</v>
      </c>
      <c r="II61" s="36" t="s">
        <v>139</v>
      </c>
      <c r="IJ61" s="36" t="s">
        <v>139</v>
      </c>
      <c r="IK61" s="36" t="s">
        <v>139</v>
      </c>
      <c r="IL61" s="36" t="s">
        <v>139</v>
      </c>
      <c r="IM61" s="36" t="s">
        <v>139</v>
      </c>
      <c r="IN61" s="36" t="s">
        <v>139</v>
      </c>
      <c r="IO61" s="36" t="s">
        <v>139</v>
      </c>
      <c r="IP61" s="36" t="s">
        <v>139</v>
      </c>
      <c r="IQ61" s="36" t="s">
        <v>139</v>
      </c>
      <c r="IR61" s="36" t="s">
        <v>139</v>
      </c>
      <c r="IS61" s="36" t="s">
        <v>139</v>
      </c>
      <c r="IT61" s="36" t="s">
        <v>139</v>
      </c>
      <c r="IU61" s="36" t="s">
        <v>139</v>
      </c>
      <c r="IV61" s="36" t="s">
        <v>139</v>
      </c>
      <c r="IW61" s="36" t="s">
        <v>139</v>
      </c>
      <c r="IX61" s="36" t="s">
        <v>139</v>
      </c>
      <c r="IY61" s="36" t="s">
        <v>139</v>
      </c>
      <c r="IZ61" s="36" t="s">
        <v>139</v>
      </c>
      <c r="JA61" s="36" t="s">
        <v>139</v>
      </c>
      <c r="JB61" s="36" t="s">
        <v>139</v>
      </c>
      <c r="JC61" s="36" t="s">
        <v>139</v>
      </c>
      <c r="JD61" s="36" t="s">
        <v>139</v>
      </c>
      <c r="JE61" s="36" t="s">
        <v>139</v>
      </c>
      <c r="JF61" s="36" t="s">
        <v>139</v>
      </c>
      <c r="JG61" s="36" t="s">
        <v>139</v>
      </c>
      <c r="JH61" s="36" t="s">
        <v>139</v>
      </c>
      <c r="JI61" s="36" t="s">
        <v>139</v>
      </c>
      <c r="JJ61" s="36" t="s">
        <v>139</v>
      </c>
      <c r="JK61" s="36" t="s">
        <v>139</v>
      </c>
      <c r="JL61" s="36" t="s">
        <v>139</v>
      </c>
      <c r="JM61" s="36" t="s">
        <v>139</v>
      </c>
      <c r="JN61" s="36" t="s">
        <v>139</v>
      </c>
      <c r="JO61" s="36" t="s">
        <v>139</v>
      </c>
      <c r="JP61" s="36" t="s">
        <v>139</v>
      </c>
      <c r="JQ61" s="36" t="s">
        <v>139</v>
      </c>
      <c r="JR61" s="36" t="s">
        <v>139</v>
      </c>
      <c r="JS61" s="36" t="s">
        <v>139</v>
      </c>
      <c r="JT61" s="36" t="s">
        <v>139</v>
      </c>
      <c r="JU61" s="36" t="s">
        <v>139</v>
      </c>
      <c r="JV61" s="36" t="s">
        <v>139</v>
      </c>
      <c r="JW61" s="36" t="s">
        <v>139</v>
      </c>
      <c r="JX61" s="36" t="s">
        <v>139</v>
      </c>
      <c r="JY61" s="36" t="s">
        <v>139</v>
      </c>
      <c r="JZ61" s="36" t="s">
        <v>139</v>
      </c>
      <c r="KA61" s="36" t="s">
        <v>139</v>
      </c>
      <c r="KB61" s="36" t="s">
        <v>139</v>
      </c>
      <c r="KC61" s="36" t="s">
        <v>139</v>
      </c>
      <c r="KD61" s="36" t="s">
        <v>139</v>
      </c>
      <c r="KE61" s="36" t="s">
        <v>139</v>
      </c>
      <c r="KF61" s="36" t="s">
        <v>139</v>
      </c>
      <c r="KG61" s="36" t="s">
        <v>139</v>
      </c>
      <c r="KH61" s="36" t="s">
        <v>139</v>
      </c>
      <c r="KI61" s="36" t="s">
        <v>139</v>
      </c>
      <c r="KJ61" s="36" t="s">
        <v>139</v>
      </c>
      <c r="KK61" s="36" t="s">
        <v>139</v>
      </c>
      <c r="KL61" s="36" t="s">
        <v>139</v>
      </c>
      <c r="KM61" s="36" t="s">
        <v>139</v>
      </c>
      <c r="KN61" s="36" t="s">
        <v>139</v>
      </c>
      <c r="KO61" s="36" t="s">
        <v>139</v>
      </c>
      <c r="KP61" s="36" t="s">
        <v>139</v>
      </c>
      <c r="KQ61" s="36" t="s">
        <v>139</v>
      </c>
      <c r="KR61" s="36" t="s">
        <v>139</v>
      </c>
      <c r="KS61" s="36" t="s">
        <v>139</v>
      </c>
      <c r="KT61" s="36" t="s">
        <v>139</v>
      </c>
      <c r="KU61" s="36" t="s">
        <v>139</v>
      </c>
      <c r="KV61" s="36" t="s">
        <v>139</v>
      </c>
      <c r="KW61" s="36" t="s">
        <v>139</v>
      </c>
      <c r="KX61" s="36" t="s">
        <v>139</v>
      </c>
      <c r="KY61" s="36" t="s">
        <v>139</v>
      </c>
      <c r="KZ61" s="36" t="s">
        <v>139</v>
      </c>
      <c r="LA61" s="36" t="s">
        <v>139</v>
      </c>
      <c r="LB61" s="36" t="s">
        <v>139</v>
      </c>
      <c r="LC61" s="36" t="s">
        <v>139</v>
      </c>
      <c r="LD61" s="36" t="s">
        <v>139</v>
      </c>
      <c r="LE61" s="36" t="s">
        <v>139</v>
      </c>
      <c r="LF61" s="36" t="s">
        <v>139</v>
      </c>
      <c r="LG61" s="36" t="s">
        <v>139</v>
      </c>
      <c r="LH61" s="36" t="s">
        <v>139</v>
      </c>
      <c r="LI61" s="36" t="s">
        <v>139</v>
      </c>
      <c r="LJ61" s="36" t="s">
        <v>139</v>
      </c>
      <c r="LK61" s="36" t="s">
        <v>139</v>
      </c>
      <c r="LL61" s="36" t="s">
        <v>139</v>
      </c>
      <c r="LM61" s="36" t="s">
        <v>139</v>
      </c>
      <c r="LN61" s="36" t="s">
        <v>139</v>
      </c>
      <c r="LO61" s="36" t="s">
        <v>139</v>
      </c>
      <c r="LP61" s="36" t="s">
        <v>139</v>
      </c>
      <c r="LQ61" s="36" t="s">
        <v>139</v>
      </c>
      <c r="LR61" s="36" t="s">
        <v>139</v>
      </c>
      <c r="LS61" s="36" t="s">
        <v>139</v>
      </c>
      <c r="LT61" s="36" t="s">
        <v>139</v>
      </c>
      <c r="LU61" s="36" t="s">
        <v>139</v>
      </c>
      <c r="LV61" s="36" t="s">
        <v>139</v>
      </c>
      <c r="LW61" s="36" t="s">
        <v>139</v>
      </c>
      <c r="LX61" s="36" t="s">
        <v>139</v>
      </c>
      <c r="LY61" s="36" t="s">
        <v>139</v>
      </c>
      <c r="LZ61" s="36" t="s">
        <v>139</v>
      </c>
      <c r="MA61" s="36" t="s">
        <v>139</v>
      </c>
      <c r="MB61" s="36" t="s">
        <v>139</v>
      </c>
      <c r="MC61" s="36" t="s">
        <v>139</v>
      </c>
      <c r="MD61" s="36" t="s">
        <v>139</v>
      </c>
      <c r="ME61" s="36" t="s">
        <v>139</v>
      </c>
      <c r="MF61" s="36" t="s">
        <v>139</v>
      </c>
      <c r="MG61" s="36" t="s">
        <v>139</v>
      </c>
      <c r="MH61" s="36" t="s">
        <v>139</v>
      </c>
      <c r="MI61" s="36" t="s">
        <v>139</v>
      </c>
      <c r="MJ61" s="36" t="s">
        <v>139</v>
      </c>
      <c r="MK61" s="36" t="s">
        <v>139</v>
      </c>
      <c r="ML61" s="36" t="s">
        <v>139</v>
      </c>
      <c r="MM61" s="36" t="s">
        <v>139</v>
      </c>
      <c r="MN61" s="36" t="s">
        <v>139</v>
      </c>
      <c r="MO61" s="36" t="s">
        <v>139</v>
      </c>
      <c r="MP61" s="36" t="s">
        <v>139</v>
      </c>
      <c r="MQ61" s="36" t="s">
        <v>139</v>
      </c>
      <c r="MR61" s="36" t="s">
        <v>139</v>
      </c>
      <c r="MS61" s="36" t="s">
        <v>139</v>
      </c>
      <c r="MT61" s="36" t="s">
        <v>139</v>
      </c>
      <c r="MU61" s="36" t="s">
        <v>139</v>
      </c>
      <c r="MV61" s="36" t="s">
        <v>139</v>
      </c>
      <c r="MW61" s="36" t="s">
        <v>139</v>
      </c>
      <c r="MX61" s="36" t="s">
        <v>139</v>
      </c>
      <c r="MY61" s="36" t="s">
        <v>139</v>
      </c>
      <c r="MZ61" s="36" t="s">
        <v>139</v>
      </c>
      <c r="NA61" s="36" t="s">
        <v>139</v>
      </c>
      <c r="NB61" s="36" t="s">
        <v>139</v>
      </c>
      <c r="NC61" s="36" t="s">
        <v>139</v>
      </c>
      <c r="ND61" s="36" t="s">
        <v>139</v>
      </c>
      <c r="NE61" s="36" t="s">
        <v>139</v>
      </c>
      <c r="NF61" s="36" t="s">
        <v>139</v>
      </c>
      <c r="NG61" s="36" t="s">
        <v>139</v>
      </c>
      <c r="NH61" s="36" t="s">
        <v>139</v>
      </c>
      <c r="NI61" s="36" t="s">
        <v>139</v>
      </c>
      <c r="NJ61" s="36" t="s">
        <v>139</v>
      </c>
      <c r="NK61" s="36" t="s">
        <v>139</v>
      </c>
      <c r="NL61" s="36" t="s">
        <v>139</v>
      </c>
      <c r="NM61" s="36" t="s">
        <v>139</v>
      </c>
      <c r="NN61" s="36" t="s">
        <v>139</v>
      </c>
      <c r="NO61" s="36" t="s">
        <v>139</v>
      </c>
      <c r="NP61" s="36" t="s">
        <v>139</v>
      </c>
      <c r="NQ61" s="36" t="s">
        <v>139</v>
      </c>
      <c r="NR61" s="36" t="s">
        <v>139</v>
      </c>
      <c r="NS61" s="36" t="s">
        <v>139</v>
      </c>
      <c r="NT61" s="36" t="s">
        <v>139</v>
      </c>
      <c r="NU61" s="36" t="s">
        <v>139</v>
      </c>
      <c r="NV61" s="36" t="s">
        <v>139</v>
      </c>
      <c r="NW61" s="36" t="s">
        <v>139</v>
      </c>
      <c r="NX61" s="36" t="s">
        <v>139</v>
      </c>
      <c r="NY61" s="36" t="s">
        <v>139</v>
      </c>
      <c r="NZ61" s="36" t="s">
        <v>139</v>
      </c>
      <c r="OA61" s="36" t="s">
        <v>139</v>
      </c>
      <c r="OB61" s="36" t="s">
        <v>139</v>
      </c>
      <c r="OC61" s="36" t="s">
        <v>139</v>
      </c>
      <c r="OD61" s="36" t="s">
        <v>139</v>
      </c>
      <c r="OE61" s="36" t="s">
        <v>139</v>
      </c>
      <c r="OF61" s="36" t="s">
        <v>139</v>
      </c>
      <c r="OG61" s="36" t="s">
        <v>139</v>
      </c>
      <c r="OH61" s="36" t="s">
        <v>139</v>
      </c>
      <c r="OI61" s="36" t="s">
        <v>139</v>
      </c>
      <c r="OJ61" s="36" t="s">
        <v>139</v>
      </c>
      <c r="OK61" s="36" t="s">
        <v>139</v>
      </c>
      <c r="OL61" s="36" t="s">
        <v>139</v>
      </c>
      <c r="OM61" s="36" t="s">
        <v>139</v>
      </c>
      <c r="ON61" s="36" t="s">
        <v>139</v>
      </c>
      <c r="OO61" s="36" t="s">
        <v>139</v>
      </c>
      <c r="OP61" s="36" t="s">
        <v>139</v>
      </c>
      <c r="OQ61" s="36" t="s">
        <v>139</v>
      </c>
      <c r="OR61" s="36" t="s">
        <v>139</v>
      </c>
      <c r="OS61" s="36" t="s">
        <v>139</v>
      </c>
      <c r="OT61" s="36" t="s">
        <v>139</v>
      </c>
      <c r="OU61" s="36" t="s">
        <v>139</v>
      </c>
      <c r="OV61" s="36" t="s">
        <v>139</v>
      </c>
      <c r="OW61" s="36" t="s">
        <v>139</v>
      </c>
      <c r="OX61" s="36" t="s">
        <v>139</v>
      </c>
      <c r="OY61" s="36" t="s">
        <v>139</v>
      </c>
      <c r="OZ61" s="36" t="s">
        <v>139</v>
      </c>
      <c r="PA61" s="36" t="s">
        <v>139</v>
      </c>
      <c r="PB61" s="36" t="s">
        <v>139</v>
      </c>
      <c r="PC61" s="36" t="s">
        <v>139</v>
      </c>
      <c r="PD61" s="36" t="s">
        <v>139</v>
      </c>
      <c r="PE61" s="36" t="s">
        <v>139</v>
      </c>
      <c r="PF61" s="36" t="s">
        <v>139</v>
      </c>
      <c r="PG61" s="36" t="s">
        <v>139</v>
      </c>
      <c r="PH61" s="36" t="s">
        <v>139</v>
      </c>
      <c r="PI61" s="36" t="s">
        <v>139</v>
      </c>
      <c r="PJ61" s="36" t="s">
        <v>139</v>
      </c>
      <c r="PK61" s="36" t="s">
        <v>139</v>
      </c>
      <c r="PL61" s="36" t="s">
        <v>139</v>
      </c>
      <c r="PM61" s="36" t="s">
        <v>139</v>
      </c>
      <c r="PN61" s="36" t="s">
        <v>139</v>
      </c>
      <c r="PO61" s="74">
        <f>COUNTIFS($C$27:$PN$27,("&lt;"&amp;$B$3),$C$27:$PN$27,("&gt;="&amp;$B$2),$C61:$PN61,TabAsistencias[[#Headers],[1]])</f>
        <v>30</v>
      </c>
      <c r="PP61" s="74">
        <f>COUNTIFS($C$27:$PN$27,("&lt;"&amp;$B$3),$C$27:$PN$27,("&gt;="&amp;$B$2),$C61:$PN61,TabAsistencias[[#Headers],[E]])</f>
        <v>0</v>
      </c>
      <c r="PQ61" s="74">
        <f>COUNTIFS($C$27:$PN$27,("&lt;"&amp;$B$3),$C$27:$PN$27,("&gt;="&amp;$B$2),$C61:$PN61,TabAsistencias[[#Headers],[DE]])</f>
        <v>0</v>
      </c>
      <c r="PR61" s="74">
        <f>COUNTIFS($C$27:$PN$27,("&lt;"&amp;$B$3),$C$27:$PN$27,("&gt;="&amp;$B$2),$C61:$PN61,TabAsistencias[[#Headers],[V]])</f>
        <v>0</v>
      </c>
      <c r="PS61" s="74">
        <f>COUNTIFS($C$27:$PN$27,("&lt;"&amp;$B$3),$C$27:$PN$27,("&gt;="&amp;$B$2),$C61:$PN61,TabAsistencias[[#Headers],[DO]])</f>
        <v>0</v>
      </c>
      <c r="PT61" s="74">
        <f>COUNTIFS($C$27:$PN$27,("&lt;"&amp;$B$3),$C$27:$PN$27,("&gt;="&amp;$B$2),$C61:$PN61,TabAsistencias[[#Headers],[P]])</f>
        <v>0</v>
      </c>
      <c r="PU61" s="74">
        <f>COUNTIFS($C$27:$PN$27,("&lt;"&amp;$B$3),$C$27:$PN$27,("&gt;="&amp;$B$2),$C61:$PN61,TabAsistencias[[#Headers],[F]])</f>
        <v>0</v>
      </c>
      <c r="PV61" s="74">
        <f>COUNTIFS($C$27:$PN$27,("&lt;"&amp;$B$3),$C$27:$PN$27,("&gt;="&amp;$B$2),$C61:$PN61,TabAsistencias[[#Headers],[R]])</f>
        <v>0</v>
      </c>
      <c r="PW61" s="74">
        <f>COUNTIFS($C$27:$PN$27,("&lt;"&amp;$B$3),$C$27:$PN$27,("&gt;="&amp;$B$2),$C61:$PN61,TabAsistencias[[#Headers],[PP]])</f>
        <v>0</v>
      </c>
      <c r="PX61" s="74">
        <f>COUNTIFS($C$27:$PN$27,("&lt;"&amp;$B$3),$C$27:$PN$27,("&gt;="&amp;$B$2),$C61:$PN61,TabAsistencias[[#Headers],[0]])</f>
        <v>0</v>
      </c>
      <c r="PY61" s="74">
        <f>COUNTIFS($C$27:$PN$27,("&lt;"&amp;$B$3),$C$27:$PN$27,("&gt;="&amp;$B$2),$C61:$PN61,TabAsistencias[[#Headers],[IG]])</f>
        <v>0</v>
      </c>
      <c r="PZ61" s="74">
        <f>COUNTIFS($C$27:$PN$27,("&lt;"&amp;$B$3),$C$27:$PN$27,("&gt;="&amp;$B$2),$C61:$PN61,TabAsistencias[[#Headers],[NA]])</f>
        <v>0</v>
      </c>
      <c r="QA61" s="74">
        <f>COUNTIFS($C$27:$PN$27,("&lt;"&amp;$B$3),$C$27:$PN$27,("&gt;="&amp;$B$2),$C61:$PN61,TabAsistencias[[#Headers],[DF]])</f>
        <v>0</v>
      </c>
      <c r="QB61" s="74">
        <f>COUNTIFS($C$27:$PN$27,("&lt;"&amp;$B$3),$C$27:$PN$27,("&gt;="&amp;$B$2),$C61:$PN61,TabAsistencias[[#Headers],[3]])</f>
        <v>0</v>
      </c>
      <c r="QC61" s="74">
        <f>COUNTIFS($C$27:$PN$27,("&lt;"&amp;$B$3),$C$27:$PN$27,("&gt;="&amp;$B$2),$C61:$PN61,TabAsistencias[[#Headers],[CP]])</f>
        <v>0</v>
      </c>
      <c r="QD61" s="74">
        <f>COUNTIFS($C$27:$PN$27,("&lt;"&amp;$B$3),$C$27:$PN$27,("&gt;="&amp;$B$2),$C61:$PN61,TabAsistencias[[#Headers],[I]])</f>
        <v>0</v>
      </c>
      <c r="QE61" s="74">
        <f>COUNTIFS($C$27:$PN$27,("&lt;"&amp;$B$3),$C$27:$PN$27,("&gt;="&amp;$B$2),$C61:$PN61,TabAsistencias[[#Headers],[T/2]])</f>
        <v>0</v>
      </c>
      <c r="QF61" s="74">
        <f>COUNTIFS($C$27:$PN$27,("&lt;"&amp;$B$3),$C$27:$PN$27,("&gt;="&amp;$B$2),$C61:$PN61,TabAsistencias[[#Headers],[ME]])</f>
        <v>0</v>
      </c>
      <c r="QG61" s="74">
        <f>COUNTIFS($C$27:$PN$27,("&lt;"&amp;$B$3),$C$27:$PN$27,("&gt;="&amp;$B$2),$C61:$PN61,TabAsistencias[[#Headers],[DP]])</f>
        <v>0</v>
      </c>
      <c r="QH61" s="74">
        <f>COUNTIFS($C$27:$PN$27,("&lt;"&amp;$B$3),$C$27:$PN$27,("&gt;="&amp;$B$2),$C61:$PN61,TabAsistencias[[#Headers],[B]])</f>
        <v>0</v>
      </c>
      <c r="QI61" s="74">
        <f>(TabAsistencias[[#This Row],[1]]*'Tablas de informacion'!$C$124)+(TabAsistencias[[#This Row],[E]]*'Tablas de informacion'!$C$125)+(TabAsistencias[[#This Row],[DE]]*'Tablas de informacion'!C$126)+(TabAsistencias[[#This Row],[V]]*'Tablas de informacion'!C$127)+(TabAsistencias[[#This Row],[DO]]*'Tablas de informacion'!C$128)+(TabAsistencias[[#This Row],[P]]*'Tablas de informacion'!C$129)+(TabAsistencias[[#This Row],[F]]*'Tablas de informacion'!C$130)+(TabAsistencias[[#This Row],[R]]*'Tablas de informacion'!C$131)+(TabAsistencias[[#This Row],[PP]]*'Tablas de informacion'!C$132)+(TabAsistencias[[#This Row],[0]]*'Tablas de informacion'!C$133)+(TabAsistencias[[#This Row],[IG]]*'Tablas de informacion'!C$134)+(TabAsistencias[[#This Row],[NA]]*'Tablas de informacion'!C$135)+(TabAsistencias[[#This Row],[DF]]*'Tablas de informacion'!C$136)+(TabAsistencias[[#This Row],[3]]*'Tablas de informacion'!C$137)+(TabAsistencias[[#This Row],[CP]]*'Tablas de informacion'!C$138)+(TabAsistencias[[#This Row],[I]]*'Tablas de informacion'!C$139)+(TabAsistencias[[#This Row],[T/2]]*'Tablas de informacion'!C$140)+(TabAsistencias[[#This Row],[ME]]*'Tablas de informacion'!C$141)+(TabAsistencias[[#This Row],[DP]]*'Tablas de informacion'!C$142)+(TabAsistencias[[#This Row],[B]]*'Tablas de informacion'!C$143)-INT(TabAsistencias[[#This Row],[R]]/3)</f>
        <v>30</v>
      </c>
      <c r="QJ61" s="74">
        <f>COUNTIFS($C$27:$PN$27,("&lt;"&amp;$B$3),$C$27:$PN$27,("&gt;="&amp;$B$2),$C$28:$PN$28,1,$C61:$PN61,TabAsistencias[[#Headers],[1]])+
COUNTIFS($C$27:$PN$27,("&lt;"&amp;$B$3),$C$27:$PN$27,("&gt;="&amp;$B$2),$C$28:$PN$28,1,$C61:$PN61,TabAsistencias[[#Headers],[DO]])+
COUNTIFS($C$27:$PN$27,("&lt;"&amp;$B$3),$C$27:$PN$27,("&gt;="&amp;$B$2),$C$28:$PN$28,1,$C61:$PN61,TabAsistencias[[#Headers],[R]])+
COUNTIFS($C$27:$PN$27,("&lt;"&amp;$B$3),$C$27:$PN$27,("&gt;="&amp;$B$2),$C$28:$PN$28,1,$C61:$PN61,TabAsistencias[[#Headers],[NA]])+
COUNTIFS($C$27:$PN$27,("&lt;"&amp;$B$3),$C$27:$PN$27,("&gt;="&amp;$B$2),$C$28:$PN$28,1,$C61:$PN61,TabAsistencias[[#Headers],[DF]])+
COUNTIFS($C$27:$PN$27,("&lt;"&amp;$B$3),$C$27:$PN$27,("&gt;="&amp;$B$2),$C$28:$PN$28,1,$C61:$PN61,TabAsistencias[[#Headers],[3]])+
COUNTIFS($C$27:$PN$27,("&lt;"&amp;$B$3),$C$27:$PN$27,("&gt;="&amp;$B$2),$C$28:$PN$28,1,$C61:$PN61,TabAsistencias[[#Headers],[CP]])+
COUNTIFS($C$27:$PN$27,("&lt;"&amp;$B$3),$C$27:$PN$27,("&gt;="&amp;$B$2),$C$28:$PN$28,1,$C61:$PN61,TabAsistencias[[#Headers],[T/2]])</f>
        <v>4</v>
      </c>
      <c r="QK61" s="315" cm="1">
        <f t="array" ref="QK61">IFERROR(VLOOKUP(
DATEDIF((VLOOKUP(TabAsistencias[[#This Row],[ID]],TabEmpleados[],COLUMN(TabEmpleados[Fecha de ingreso]),FALSE)),Asistencias!$B$3,"Y"),
TabFactorIntegracion[],COLUMN(TabFactorIntegracion[Días vacacionales
establecidos por ley]),FALSE),0)
-
COUNTIF($AH61:$PN61,TabAsistencias[[#Headers],[V]])</f>
        <v>26</v>
      </c>
      <c r="QL61" s="319">
        <f>SUM(TabAsistencias[[#This Row],[''1]],TabAsistencias[[#This Row],[''DE]],TabAsistencias[[#This Row],[''DO]],TabAsistencias[[#This Row],[''R]],TabAsistencias[[#This Row],[''NA]],TabAsistencias[[#This Row],[''DF]],TabAsistencias[[#This Row],[''3]],TabAsistencias[[#This Row],[''CP]],TabAsistencias[[#This Row],[''T/2]],TabAsistencias[[#This Row],[''DP]])</f>
        <v>73</v>
      </c>
      <c r="QM61" s="314">
        <f>COUNTIFS($C$27:$PN$27,("&lt;"&amp;$B$5),$C$27:$PN$27,("&gt;="&amp;$B$4),$C61:$PN61,TabAsistencias[[#Headers],[1]])</f>
        <v>73</v>
      </c>
      <c r="QN61" s="314">
        <f>COUNTIFS($C$27:$PN$27,("&lt;"&amp;$B$5),$C$27:$PN$27,("&gt;="&amp;$B$4),$C61:$PN61,TabAsistencias[[#Headers],[DE]])</f>
        <v>0</v>
      </c>
      <c r="QO61" s="314">
        <f>COUNTIFS($C$27:$PN$27,("&lt;"&amp;$B$5),$C$27:$PN$27,("&gt;="&amp;$B$4),$C61:$PN61,TabAsistencias[[#Headers],[V]])</f>
        <v>0</v>
      </c>
      <c r="QP61" s="314">
        <f>COUNTIFS($C$27:$PN$27,("&lt;"&amp;$B$5),$C$27:$PN$27,("&gt;="&amp;$B$4),$C61:$PN61,TabAsistencias[[#Headers],[DO]])</f>
        <v>0</v>
      </c>
      <c r="QQ61" s="314">
        <f>COUNTIFS($C$27:$PN$27,("&lt;"&amp;$B$5),$C$27:$PN$27,("&gt;="&amp;$B$4),$C61:$PN61,TabAsistencias[[#Headers],[P]])</f>
        <v>0</v>
      </c>
      <c r="QR61" s="314">
        <f>COUNTIFS($C$27:$PN$27,("&lt;"&amp;$B$5),$C$27:$PN$27,("&gt;="&amp;$B$4),$C61:$PN61,TabAsistencias[[#Headers],[F]])</f>
        <v>0</v>
      </c>
      <c r="QS61" s="314">
        <f>COUNTIFS($C$27:$PN$27,("&lt;"&amp;$B$5),$C$27:$PN$27,("&gt;="&amp;$B$4),$C61:$PN61,TabAsistencias[[#Headers],[R]])</f>
        <v>0</v>
      </c>
      <c r="QT61" s="314">
        <f>COUNTIFS($C$27:$PN$27,("&lt;"&amp;$B$5),$C$27:$PN$27,("&gt;="&amp;$B$4),$C61:$PN61,TabAsistencias[[#Headers],[PP]])</f>
        <v>0</v>
      </c>
      <c r="QU61" s="314">
        <f>COUNTIFS($C$27:$PN$27,("&lt;"&amp;$B$5),$C$27:$PN$27,("&gt;="&amp;$B$4),$C61:$PN61,TabAsistencias[[#Headers],[0]])</f>
        <v>0</v>
      </c>
      <c r="QV61" s="314">
        <f>COUNTIFS($C$27:$PN$27,("&lt;"&amp;$B$5),$C$27:$PN$27,("&gt;="&amp;$B$4),$C61:$PN61,TabAsistencias[[#Headers],[IG]])</f>
        <v>0</v>
      </c>
      <c r="QW61" s="314">
        <f>COUNTIFS($C$27:$PN$27,("&lt;"&amp;$B$5),$C$27:$PN$27,("&gt;="&amp;$B$4),$C61:$PN61,TabAsistencias[[#Headers],[NA]])</f>
        <v>0</v>
      </c>
      <c r="QX61" s="314">
        <f>COUNTIFS($C$27:$PN$27,("&lt;"&amp;$B$5),$C$27:$PN$27,("&gt;="&amp;$B$4),$C61:$PN61,TabAsistencias[[#Headers],[DF]])</f>
        <v>0</v>
      </c>
      <c r="QY61" s="314">
        <f>COUNTIFS($C$27:$PN$27,("&lt;"&amp;$B$5),$C$27:$PN$27,("&gt;="&amp;$B$4),$C61:$PN61,TabAsistencias[[#Headers],[3]])</f>
        <v>0</v>
      </c>
      <c r="QZ61" s="314">
        <f>COUNTIFS($C$27:$PN$27,("&lt;"&amp;$B$5),$C$27:$PN$27,("&gt;="&amp;$B$4),$C61:$PN61,TabAsistencias[[#Headers],[CP]])</f>
        <v>0</v>
      </c>
      <c r="RA61" s="314">
        <f>COUNTIFS($C$27:$PN$27,("&lt;"&amp;$B$5),$C$27:$PN$27,("&gt;="&amp;$B$4),$C61:$PN61,TabAsistencias[[#Headers],[I]])</f>
        <v>0</v>
      </c>
      <c r="RB61" s="314">
        <f>COUNTIFS($C$27:$PN$27,("&lt;"&amp;$B$5),$C$27:$PN$27,("&gt;="&amp;$B$4),$C61:$PN61,TabAsistencias[[#Headers],[T/2]])</f>
        <v>0</v>
      </c>
      <c r="RC61" s="314">
        <f>COUNTIFS($C$27:$PN$27,("&lt;"&amp;$B$5),$C$27:$PN$27,("&gt;="&amp;$B$4),$C61:$PN61,TabAsistencias[[#Headers],[ME]])</f>
        <v>0</v>
      </c>
      <c r="RD61" s="314">
        <f>COUNTIFS($C$27:$PN$27,("&lt;"&amp;$B$5),$C$27:$PN$27,("&gt;="&amp;$B$4),$C61:$PN61,TabAsistencias[[#Headers],[DP]])</f>
        <v>0</v>
      </c>
      <c r="RE61" s="314">
        <f>COUNTIFS($C$27:$PN$27,("&lt;"&amp;$B$5),$C$27:$PN$27,("&gt;="&amp;$B$4),$C61:$PN61,TabAsistencias[[#Headers],[B]])</f>
        <v>0</v>
      </c>
      <c r="RF61" s="314">
        <f>COUNTIFS($C$27:$PN$27,("&lt;"&amp;$B$5),$C$27:$PN$27,("&gt;="&amp;$B$4),$C$28:$PN$28,1,$C61:$PN61,TabAsistencias[[#Headers],[1]])+
COUNTIFS($C$27:$PN$27,("&lt;"&amp;$B$5),$C$27:$PN$27,("&gt;="&amp;$B$4),$C$28:$PN$28,1,$C61:$PN61,TabAsistencias[[#Headers],[DO]])+
COUNTIFS($C$27:$PN$27,("&lt;"&amp;$B$5),$C$27:$PN$27,("&gt;="&amp;$B$4),$C$28:$PN$28,1,$C61:$PN61,TabAsistencias[[#Headers],[R]])+
COUNTIFS($C$27:$PN$27,("&lt;"&amp;$B$5),$C$27:$PN$27,("&gt;="&amp;$B$4),$C$28:$PN$28,1,$C61:$PN61,TabAsistencias[[#Headers],[NA]])+
COUNTIFS($C$27:$PN$27,("&lt;"&amp;$B$5),$C$27:$PN$27,("&gt;="&amp;$B$4),$C$28:$PN$28,1,$C61:$PN61,TabAsistencias[[#Headers],[DF]])+
COUNTIFS($C$27:$PN$27,("&lt;"&amp;$B$5),$C$27:$PN$27,("&gt;="&amp;$B$4),$C$28:$PN$28,1,$C61:$PN61,TabAsistencias[[#Headers],[3]])+
COUNTIFS($C$27:$PN$27,("&lt;"&amp;$B$5),$C$27:$PN$27,("&gt;="&amp;$B$4),$C$28:$PN$28,1,$C61:$PN61,TabAsistencias[[#Headers],[CP]])+
COUNTIFS($C$27:$PN$27,("&lt;"&amp;$B$5),$C$27:$PN$27,("&gt;="&amp;$B$4),$C$28:$PN$28,1,$C61:$PN61,TabAsistencias[[#Headers],[T/2]])</f>
        <v>11</v>
      </c>
      <c r="RG61" s="320" cm="1">
        <f t="array" ref="RG61">IFERROR(VLOOKUP(
DATEDIF((VLOOKUP(TabAsistencias[[#This Row],[ID]],TabEmpleados[],COLUMN(TabEmpleados[Fecha de alta NSS]),FALSE)),Asistencias!$B$3,"Y"),
TabFactorIntegracion[],COLUMN(TabFactorIntegracion[Días vacacionales
establecidos por ley]),FALSE),0)
-
COUNTIF($AH61:$PN61,TabAsistencias[[#Headers],[V]])</f>
        <v>26</v>
      </c>
    </row>
    <row r="62" spans="1:475" x14ac:dyDescent="0.25">
      <c r="A62" s="92">
        <f t="shared" si="434"/>
        <v>32</v>
      </c>
      <c r="B62" s="30" t="str" cm="1">
        <f t="array" ref="B62">VLOOKUP(TabAsistencias[[#This Row],[ID]],TabEmpleados[],COLUMN(TabEmpleados[Nombre]),FALSE)</f>
        <v>PEREZ RUIZ NADIA LIZBETH</v>
      </c>
      <c r="C62" s="36" t="s">
        <v>139</v>
      </c>
      <c r="D62" s="36" t="s">
        <v>139</v>
      </c>
      <c r="E62" s="36" t="s">
        <v>139</v>
      </c>
      <c r="F62" s="36" t="s">
        <v>139</v>
      </c>
      <c r="G62" s="36" t="s">
        <v>139</v>
      </c>
      <c r="H62" s="36" t="s">
        <v>139</v>
      </c>
      <c r="I62" s="36" t="s">
        <v>139</v>
      </c>
      <c r="J62" s="36" t="s">
        <v>139</v>
      </c>
      <c r="K62" s="36" t="s">
        <v>139</v>
      </c>
      <c r="L62" s="36" t="s">
        <v>139</v>
      </c>
      <c r="M62" s="36" t="s">
        <v>139</v>
      </c>
      <c r="N62" s="36" t="s">
        <v>139</v>
      </c>
      <c r="O62" s="36" t="s">
        <v>139</v>
      </c>
      <c r="P62" s="36" t="s">
        <v>139</v>
      </c>
      <c r="Q62" s="36" t="s">
        <v>139</v>
      </c>
      <c r="R62" s="36" t="s">
        <v>139</v>
      </c>
      <c r="S62" s="36" t="s">
        <v>139</v>
      </c>
      <c r="T62" s="36" t="s">
        <v>139</v>
      </c>
      <c r="U62" s="36" t="s">
        <v>139</v>
      </c>
      <c r="V62" s="36" t="s">
        <v>139</v>
      </c>
      <c r="W62" s="36" t="s">
        <v>139</v>
      </c>
      <c r="X62" s="36" t="s">
        <v>139</v>
      </c>
      <c r="Y62" s="36" t="s">
        <v>139</v>
      </c>
      <c r="Z62" s="36" t="s">
        <v>139</v>
      </c>
      <c r="AA62" s="36" t="s">
        <v>139</v>
      </c>
      <c r="AB62" s="36" t="s">
        <v>139</v>
      </c>
      <c r="AC62" s="36" t="s">
        <v>139</v>
      </c>
      <c r="AD62" s="36" t="s">
        <v>139</v>
      </c>
      <c r="AE62" s="36" t="s">
        <v>139</v>
      </c>
      <c r="AF62" s="36" t="s">
        <v>139</v>
      </c>
      <c r="AG62" s="36" t="s">
        <v>139</v>
      </c>
      <c r="AH62" s="36" t="s">
        <v>139</v>
      </c>
      <c r="AI62" s="36" t="s">
        <v>139</v>
      </c>
      <c r="AJ62" s="36" t="s">
        <v>139</v>
      </c>
      <c r="AK62" s="36" t="s">
        <v>139</v>
      </c>
      <c r="AL62" s="36" t="s">
        <v>139</v>
      </c>
      <c r="AM62" s="36" t="s">
        <v>139</v>
      </c>
      <c r="AN62" s="36" t="s">
        <v>139</v>
      </c>
      <c r="AO62" s="36" t="s">
        <v>139</v>
      </c>
      <c r="AP62" s="36" t="s">
        <v>139</v>
      </c>
      <c r="AQ62" s="36" t="s">
        <v>139</v>
      </c>
      <c r="AR62" s="36" t="s">
        <v>139</v>
      </c>
      <c r="AS62" s="36" t="s">
        <v>139</v>
      </c>
      <c r="AT62" s="36" t="s">
        <v>139</v>
      </c>
      <c r="AU62" s="36" t="s">
        <v>139</v>
      </c>
      <c r="AV62" s="36" t="s">
        <v>139</v>
      </c>
      <c r="AW62" s="36" t="s">
        <v>139</v>
      </c>
      <c r="AX62" s="36" t="s">
        <v>139</v>
      </c>
      <c r="AY62" s="36" t="s">
        <v>139</v>
      </c>
      <c r="AZ62" s="36" t="s">
        <v>139</v>
      </c>
      <c r="BA62" s="36" t="s">
        <v>139</v>
      </c>
      <c r="BB62" s="36" t="s">
        <v>139</v>
      </c>
      <c r="BC62" s="36" t="s">
        <v>139</v>
      </c>
      <c r="BD62" s="36" t="s">
        <v>139</v>
      </c>
      <c r="BE62" s="36" t="s">
        <v>139</v>
      </c>
      <c r="BF62" s="36" t="s">
        <v>139</v>
      </c>
      <c r="BG62" s="36" t="s">
        <v>139</v>
      </c>
      <c r="BH62" s="36" t="s">
        <v>139</v>
      </c>
      <c r="BI62" s="36" t="s">
        <v>139</v>
      </c>
      <c r="BJ62" s="36" t="s">
        <v>139</v>
      </c>
      <c r="BK62" s="36" t="s">
        <v>139</v>
      </c>
      <c r="BL62" s="36" t="s">
        <v>139</v>
      </c>
      <c r="BM62" s="36" t="s">
        <v>139</v>
      </c>
      <c r="BN62" s="36" t="s">
        <v>139</v>
      </c>
      <c r="BO62" s="36" t="s">
        <v>139</v>
      </c>
      <c r="BP62" s="36" t="s">
        <v>139</v>
      </c>
      <c r="BQ62" s="36" t="s">
        <v>139</v>
      </c>
      <c r="BR62" s="36" t="s">
        <v>139</v>
      </c>
      <c r="BS62" s="36" t="s">
        <v>139</v>
      </c>
      <c r="BT62" s="36" t="s">
        <v>139</v>
      </c>
      <c r="BU62" s="36" t="s">
        <v>139</v>
      </c>
      <c r="BV62" s="36" t="s">
        <v>139</v>
      </c>
      <c r="BW62" s="36" t="s">
        <v>139</v>
      </c>
      <c r="BX62" s="36" t="s">
        <v>139</v>
      </c>
      <c r="BY62" s="36" t="s">
        <v>139</v>
      </c>
      <c r="BZ62" s="36" t="s">
        <v>139</v>
      </c>
      <c r="CA62" s="36" t="s">
        <v>139</v>
      </c>
      <c r="CB62" s="36" t="s">
        <v>139</v>
      </c>
      <c r="CC62" s="36" t="s">
        <v>139</v>
      </c>
      <c r="CD62" s="36" t="s">
        <v>139</v>
      </c>
      <c r="CE62" s="36" t="s">
        <v>139</v>
      </c>
      <c r="CF62" s="36" t="s">
        <v>139</v>
      </c>
      <c r="CG62" s="36" t="s">
        <v>139</v>
      </c>
      <c r="CH62" s="36" t="s">
        <v>139</v>
      </c>
      <c r="CI62" s="36" t="s">
        <v>139</v>
      </c>
      <c r="CJ62" s="36" t="s">
        <v>139</v>
      </c>
      <c r="CK62" s="36" t="s">
        <v>139</v>
      </c>
      <c r="CL62" s="36" t="s">
        <v>139</v>
      </c>
      <c r="CM62" s="36" t="s">
        <v>139</v>
      </c>
      <c r="CN62" s="36" t="s">
        <v>139</v>
      </c>
      <c r="CO62" s="36" t="s">
        <v>139</v>
      </c>
      <c r="CP62" s="36" t="s">
        <v>139</v>
      </c>
      <c r="CQ62" s="36" t="s">
        <v>139</v>
      </c>
      <c r="CR62" s="36" t="s">
        <v>139</v>
      </c>
      <c r="CS62" s="36" t="s">
        <v>139</v>
      </c>
      <c r="CT62" s="36" t="s">
        <v>139</v>
      </c>
      <c r="CU62" s="36" t="s">
        <v>139</v>
      </c>
      <c r="CV62" s="36" t="s">
        <v>139</v>
      </c>
      <c r="CW62" s="36" t="s">
        <v>139</v>
      </c>
      <c r="CX62" s="36" t="s">
        <v>139</v>
      </c>
      <c r="CY62" s="36" t="s">
        <v>139</v>
      </c>
      <c r="CZ62" s="36" t="s">
        <v>139</v>
      </c>
      <c r="DA62" s="36" t="s">
        <v>139</v>
      </c>
      <c r="DB62" s="36" t="s">
        <v>139</v>
      </c>
      <c r="DC62" s="36" t="s">
        <v>139</v>
      </c>
      <c r="DD62" s="36" t="s">
        <v>139</v>
      </c>
      <c r="DE62" s="36" t="s">
        <v>139</v>
      </c>
      <c r="DF62" s="36" t="s">
        <v>139</v>
      </c>
      <c r="DG62" s="36" t="s">
        <v>139</v>
      </c>
      <c r="DH62" s="36" t="s">
        <v>139</v>
      </c>
      <c r="DI62" s="36" t="s">
        <v>139</v>
      </c>
      <c r="DJ62" s="36" t="s">
        <v>139</v>
      </c>
      <c r="DK62" s="36" t="s">
        <v>139</v>
      </c>
      <c r="DL62" s="36" t="s">
        <v>139</v>
      </c>
      <c r="DM62" s="36" t="s">
        <v>139</v>
      </c>
      <c r="DN62" s="36" t="s">
        <v>139</v>
      </c>
      <c r="DO62" s="36" t="s">
        <v>139</v>
      </c>
      <c r="DP62" s="36" t="s">
        <v>139</v>
      </c>
      <c r="DQ62" s="36" t="s">
        <v>139</v>
      </c>
      <c r="DR62" s="36" t="s">
        <v>139</v>
      </c>
      <c r="DS62" s="36" t="s">
        <v>139</v>
      </c>
      <c r="DT62" s="36" t="s">
        <v>139</v>
      </c>
      <c r="DU62" s="36" t="s">
        <v>139</v>
      </c>
      <c r="DV62" s="36" t="s">
        <v>139</v>
      </c>
      <c r="DW62" s="36" t="s">
        <v>139</v>
      </c>
      <c r="DX62" s="36" t="s">
        <v>139</v>
      </c>
      <c r="DY62" s="36" t="s">
        <v>139</v>
      </c>
      <c r="DZ62" s="36" t="s">
        <v>139</v>
      </c>
      <c r="EA62" s="36" t="s">
        <v>139</v>
      </c>
      <c r="EB62" s="36" t="s">
        <v>139</v>
      </c>
      <c r="EC62" s="36" t="s">
        <v>139</v>
      </c>
      <c r="ED62" s="36" t="s">
        <v>139</v>
      </c>
      <c r="EE62" s="36" t="s">
        <v>139</v>
      </c>
      <c r="EF62" s="36" t="s">
        <v>139</v>
      </c>
      <c r="EG62" s="36" t="s">
        <v>139</v>
      </c>
      <c r="EH62" s="36" t="s">
        <v>139</v>
      </c>
      <c r="EI62" s="36" t="s">
        <v>139</v>
      </c>
      <c r="EJ62" s="36" t="s">
        <v>139</v>
      </c>
      <c r="EK62" s="36" t="s">
        <v>139</v>
      </c>
      <c r="EL62" s="36" t="s">
        <v>139</v>
      </c>
      <c r="EM62" s="36" t="s">
        <v>139</v>
      </c>
      <c r="EN62" s="36" t="s">
        <v>139</v>
      </c>
      <c r="EO62" s="36" t="s">
        <v>139</v>
      </c>
      <c r="EP62" s="36" t="s">
        <v>139</v>
      </c>
      <c r="EQ62" s="36" t="s">
        <v>139</v>
      </c>
      <c r="ER62" s="36" t="s">
        <v>139</v>
      </c>
      <c r="ES62" s="36" t="s">
        <v>139</v>
      </c>
      <c r="ET62" s="36" t="s">
        <v>139</v>
      </c>
      <c r="EU62" s="36" t="s">
        <v>139</v>
      </c>
      <c r="EV62" s="36" t="s">
        <v>139</v>
      </c>
      <c r="EW62" s="36" t="s">
        <v>139</v>
      </c>
      <c r="EX62" s="36" t="s">
        <v>139</v>
      </c>
      <c r="EY62" s="36" t="s">
        <v>139</v>
      </c>
      <c r="EZ62" s="36" t="s">
        <v>139</v>
      </c>
      <c r="FA62" s="36" t="s">
        <v>139</v>
      </c>
      <c r="FB62" s="36" t="s">
        <v>139</v>
      </c>
      <c r="FC62" s="36" t="s">
        <v>139</v>
      </c>
      <c r="FD62" s="36" t="s">
        <v>139</v>
      </c>
      <c r="FE62" s="36" t="s">
        <v>139</v>
      </c>
      <c r="FF62" s="36" t="s">
        <v>139</v>
      </c>
      <c r="FG62" s="36" t="s">
        <v>139</v>
      </c>
      <c r="FH62" s="36" t="s">
        <v>139</v>
      </c>
      <c r="FI62" s="36" t="s">
        <v>139</v>
      </c>
      <c r="FJ62" s="36" t="s">
        <v>139</v>
      </c>
      <c r="FK62" s="36" t="s">
        <v>139</v>
      </c>
      <c r="FL62" s="36" t="s">
        <v>139</v>
      </c>
      <c r="FM62" s="36" t="s">
        <v>139</v>
      </c>
      <c r="FN62" s="36" t="s">
        <v>139</v>
      </c>
      <c r="FO62" s="36" t="s">
        <v>139</v>
      </c>
      <c r="FP62" s="36" t="s">
        <v>139</v>
      </c>
      <c r="FQ62" s="36" t="s">
        <v>139</v>
      </c>
      <c r="FR62" s="36" t="s">
        <v>139</v>
      </c>
      <c r="FS62" s="36" t="s">
        <v>139</v>
      </c>
      <c r="FT62" s="36" t="s">
        <v>139</v>
      </c>
      <c r="FU62" s="36" t="s">
        <v>139</v>
      </c>
      <c r="FV62" s="36" t="s">
        <v>139</v>
      </c>
      <c r="FW62" s="36" t="s">
        <v>139</v>
      </c>
      <c r="FX62" s="36" t="s">
        <v>139</v>
      </c>
      <c r="FY62" s="36" t="s">
        <v>139</v>
      </c>
      <c r="FZ62" s="36" t="s">
        <v>139</v>
      </c>
      <c r="GA62" s="36" t="s">
        <v>139</v>
      </c>
      <c r="GB62" s="36" t="s">
        <v>139</v>
      </c>
      <c r="GC62" s="36" t="s">
        <v>139</v>
      </c>
      <c r="GD62" s="36" t="s">
        <v>139</v>
      </c>
      <c r="GE62" s="36" t="s">
        <v>139</v>
      </c>
      <c r="GF62" s="36" t="s">
        <v>139</v>
      </c>
      <c r="GG62" s="36" t="s">
        <v>139</v>
      </c>
      <c r="GH62" s="36" t="s">
        <v>139</v>
      </c>
      <c r="GI62" s="36" t="s">
        <v>139</v>
      </c>
      <c r="GJ62" s="36" t="s">
        <v>139</v>
      </c>
      <c r="GK62" s="36" t="s">
        <v>139</v>
      </c>
      <c r="GL62" s="36" t="s">
        <v>139</v>
      </c>
      <c r="GM62" s="36" t="s">
        <v>139</v>
      </c>
      <c r="GN62" s="36" t="s">
        <v>139</v>
      </c>
      <c r="GO62" s="36" t="s">
        <v>139</v>
      </c>
      <c r="GP62" s="36" t="s">
        <v>139</v>
      </c>
      <c r="GQ62" s="36" t="s">
        <v>139</v>
      </c>
      <c r="GR62" s="36" t="s">
        <v>139</v>
      </c>
      <c r="GS62" s="36" t="s">
        <v>139</v>
      </c>
      <c r="GT62" s="36" t="s">
        <v>139</v>
      </c>
      <c r="GU62" s="36" t="s">
        <v>139</v>
      </c>
      <c r="GV62" s="36" t="s">
        <v>139</v>
      </c>
      <c r="GW62" s="36" t="s">
        <v>139</v>
      </c>
      <c r="GX62" s="36" t="s">
        <v>139</v>
      </c>
      <c r="GY62" s="36" t="s">
        <v>139</v>
      </c>
      <c r="GZ62" s="36" t="s">
        <v>139</v>
      </c>
      <c r="HA62" s="36" t="s">
        <v>139</v>
      </c>
      <c r="HB62" s="36" t="s">
        <v>139</v>
      </c>
      <c r="HC62" s="36" t="s">
        <v>139</v>
      </c>
      <c r="HD62" s="36" t="s">
        <v>139</v>
      </c>
      <c r="HE62" s="36" t="s">
        <v>139</v>
      </c>
      <c r="HF62" s="36" t="s">
        <v>139</v>
      </c>
      <c r="HG62" s="36" t="s">
        <v>139</v>
      </c>
      <c r="HH62" s="36" t="s">
        <v>139</v>
      </c>
      <c r="HI62" s="36" t="s">
        <v>139</v>
      </c>
      <c r="HJ62" s="36" t="s">
        <v>139</v>
      </c>
      <c r="HK62" s="36" t="s">
        <v>139</v>
      </c>
      <c r="HL62" s="36" t="s">
        <v>139</v>
      </c>
      <c r="HM62" s="36" t="s">
        <v>139</v>
      </c>
      <c r="HN62" s="36" t="s">
        <v>139</v>
      </c>
      <c r="HO62" s="36" t="s">
        <v>139</v>
      </c>
      <c r="HP62" s="36" t="s">
        <v>139</v>
      </c>
      <c r="HQ62" s="36" t="s">
        <v>139</v>
      </c>
      <c r="HR62" s="36" t="s">
        <v>139</v>
      </c>
      <c r="HS62" s="36" t="s">
        <v>139</v>
      </c>
      <c r="HT62" s="36" t="s">
        <v>139</v>
      </c>
      <c r="HU62" s="36" t="s">
        <v>139</v>
      </c>
      <c r="HV62" s="36" t="s">
        <v>139</v>
      </c>
      <c r="HW62" s="36" t="s">
        <v>139</v>
      </c>
      <c r="HX62" s="36" t="s">
        <v>139</v>
      </c>
      <c r="HY62" s="36" t="s">
        <v>139</v>
      </c>
      <c r="HZ62" s="36" t="s">
        <v>139</v>
      </c>
      <c r="IA62" s="36" t="s">
        <v>139</v>
      </c>
      <c r="IB62" s="36" t="s">
        <v>139</v>
      </c>
      <c r="IC62" s="36" t="s">
        <v>139</v>
      </c>
      <c r="ID62" s="36" t="s">
        <v>139</v>
      </c>
      <c r="IE62" s="36" t="s">
        <v>139</v>
      </c>
      <c r="IF62" s="36" t="s">
        <v>139</v>
      </c>
      <c r="IG62" s="36" t="s">
        <v>139</v>
      </c>
      <c r="IH62" s="36" t="s">
        <v>139</v>
      </c>
      <c r="II62" s="36" t="s">
        <v>139</v>
      </c>
      <c r="IJ62" s="36" t="s">
        <v>139</v>
      </c>
      <c r="IK62" s="36" t="s">
        <v>139</v>
      </c>
      <c r="IL62" s="36" t="s">
        <v>139</v>
      </c>
      <c r="IM62" s="36" t="s">
        <v>139</v>
      </c>
      <c r="IN62" s="36" t="s">
        <v>139</v>
      </c>
      <c r="IO62" s="36" t="s">
        <v>139</v>
      </c>
      <c r="IP62" s="36" t="s">
        <v>139</v>
      </c>
      <c r="IQ62" s="36" t="s">
        <v>139</v>
      </c>
      <c r="IR62" s="36" t="s">
        <v>139</v>
      </c>
      <c r="IS62" s="36" t="s">
        <v>139</v>
      </c>
      <c r="IT62" s="36" t="s">
        <v>139</v>
      </c>
      <c r="IU62" s="36" t="s">
        <v>139</v>
      </c>
      <c r="IV62" s="36" t="s">
        <v>139</v>
      </c>
      <c r="IW62" s="36" t="s">
        <v>139</v>
      </c>
      <c r="IX62" s="36" t="s">
        <v>139</v>
      </c>
      <c r="IY62" s="36" t="s">
        <v>139</v>
      </c>
      <c r="IZ62" s="36" t="s">
        <v>139</v>
      </c>
      <c r="JA62" s="36" t="s">
        <v>139</v>
      </c>
      <c r="JB62" s="36" t="s">
        <v>139</v>
      </c>
      <c r="JC62" s="36" t="s">
        <v>139</v>
      </c>
      <c r="JD62" s="36" t="s">
        <v>139</v>
      </c>
      <c r="JE62" s="36" t="s">
        <v>139</v>
      </c>
      <c r="JF62" s="36" t="s">
        <v>139</v>
      </c>
      <c r="JG62" s="36" t="s">
        <v>139</v>
      </c>
      <c r="JH62" s="36" t="s">
        <v>139</v>
      </c>
      <c r="JI62" s="36" t="s">
        <v>139</v>
      </c>
      <c r="JJ62" s="36" t="s">
        <v>139</v>
      </c>
      <c r="JK62" s="36" t="s">
        <v>139</v>
      </c>
      <c r="JL62" s="36" t="s">
        <v>139</v>
      </c>
      <c r="JM62" s="36" t="s">
        <v>139</v>
      </c>
      <c r="JN62" s="36" t="s">
        <v>139</v>
      </c>
      <c r="JO62" s="36" t="s">
        <v>139</v>
      </c>
      <c r="JP62" s="36" t="s">
        <v>139</v>
      </c>
      <c r="JQ62" s="36" t="s">
        <v>139</v>
      </c>
      <c r="JR62" s="36" t="s">
        <v>139</v>
      </c>
      <c r="JS62" s="36" t="s">
        <v>139</v>
      </c>
      <c r="JT62" s="36" t="s">
        <v>139</v>
      </c>
      <c r="JU62" s="36" t="s">
        <v>139</v>
      </c>
      <c r="JV62" s="36" t="s">
        <v>139</v>
      </c>
      <c r="JW62" s="36" t="s">
        <v>139</v>
      </c>
      <c r="JX62" s="36" t="s">
        <v>139</v>
      </c>
      <c r="JY62" s="36" t="s">
        <v>139</v>
      </c>
      <c r="JZ62" s="36" t="s">
        <v>139</v>
      </c>
      <c r="KA62" s="36" t="s">
        <v>139</v>
      </c>
      <c r="KB62" s="36" t="s">
        <v>139</v>
      </c>
      <c r="KC62" s="36" t="s">
        <v>139</v>
      </c>
      <c r="KD62" s="36" t="s">
        <v>139</v>
      </c>
      <c r="KE62" s="36" t="s">
        <v>139</v>
      </c>
      <c r="KF62" s="36" t="s">
        <v>139</v>
      </c>
      <c r="KG62" s="36" t="s">
        <v>139</v>
      </c>
      <c r="KH62" s="36" t="s">
        <v>139</v>
      </c>
      <c r="KI62" s="36" t="s">
        <v>139</v>
      </c>
      <c r="KJ62" s="36" t="s">
        <v>139</v>
      </c>
      <c r="KK62" s="36" t="s">
        <v>139</v>
      </c>
      <c r="KL62" s="36" t="s">
        <v>139</v>
      </c>
      <c r="KM62" s="36" t="s">
        <v>139</v>
      </c>
      <c r="KN62" s="36" t="s">
        <v>139</v>
      </c>
      <c r="KO62" s="36" t="s">
        <v>139</v>
      </c>
      <c r="KP62" s="36" t="s">
        <v>139</v>
      </c>
      <c r="KQ62" s="36" t="s">
        <v>139</v>
      </c>
      <c r="KR62" s="36" t="s">
        <v>139</v>
      </c>
      <c r="KS62" s="36" t="s">
        <v>139</v>
      </c>
      <c r="KT62" s="36" t="s">
        <v>139</v>
      </c>
      <c r="KU62" s="36" t="s">
        <v>139</v>
      </c>
      <c r="KV62" s="36" t="s">
        <v>139</v>
      </c>
      <c r="KW62" s="36" t="s">
        <v>139</v>
      </c>
      <c r="KX62" s="36" t="s">
        <v>139</v>
      </c>
      <c r="KY62" s="36" t="s">
        <v>139</v>
      </c>
      <c r="KZ62" s="36" t="s">
        <v>139</v>
      </c>
      <c r="LA62" s="36" t="s">
        <v>139</v>
      </c>
      <c r="LB62" s="36" t="s">
        <v>139</v>
      </c>
      <c r="LC62" s="36" t="s">
        <v>139</v>
      </c>
      <c r="LD62" s="36" t="s">
        <v>139</v>
      </c>
      <c r="LE62" s="36" t="s">
        <v>139</v>
      </c>
      <c r="LF62" s="36" t="s">
        <v>139</v>
      </c>
      <c r="LG62" s="36" t="s">
        <v>139</v>
      </c>
      <c r="LH62" s="36" t="s">
        <v>139</v>
      </c>
      <c r="LI62" s="36" t="s">
        <v>139</v>
      </c>
      <c r="LJ62" s="36" t="s">
        <v>139</v>
      </c>
      <c r="LK62" s="36" t="s">
        <v>139</v>
      </c>
      <c r="LL62" s="36" t="s">
        <v>139</v>
      </c>
      <c r="LM62" s="36" t="s">
        <v>139</v>
      </c>
      <c r="LN62" s="36" t="s">
        <v>139</v>
      </c>
      <c r="LO62" s="36" t="s">
        <v>139</v>
      </c>
      <c r="LP62" s="36" t="s">
        <v>139</v>
      </c>
      <c r="LQ62" s="36" t="s">
        <v>139</v>
      </c>
      <c r="LR62" s="36" t="s">
        <v>139</v>
      </c>
      <c r="LS62" s="36" t="s">
        <v>139</v>
      </c>
      <c r="LT62" s="36" t="s">
        <v>139</v>
      </c>
      <c r="LU62" s="36" t="s">
        <v>139</v>
      </c>
      <c r="LV62" s="36" t="s">
        <v>139</v>
      </c>
      <c r="LW62" s="36" t="s">
        <v>139</v>
      </c>
      <c r="LX62" s="36" t="s">
        <v>139</v>
      </c>
      <c r="LY62" s="36" t="s">
        <v>139</v>
      </c>
      <c r="LZ62" s="36" t="s">
        <v>139</v>
      </c>
      <c r="MA62" s="36" t="s">
        <v>139</v>
      </c>
      <c r="MB62" s="36" t="s">
        <v>139</v>
      </c>
      <c r="MC62" s="36" t="s">
        <v>139</v>
      </c>
      <c r="MD62" s="36" t="s">
        <v>139</v>
      </c>
      <c r="ME62" s="36" t="s">
        <v>139</v>
      </c>
      <c r="MF62" s="36" t="s">
        <v>139</v>
      </c>
      <c r="MG62" s="36" t="s">
        <v>139</v>
      </c>
      <c r="MH62" s="36" t="s">
        <v>139</v>
      </c>
      <c r="MI62" s="36" t="s">
        <v>139</v>
      </c>
      <c r="MJ62" s="36" t="s">
        <v>139</v>
      </c>
      <c r="MK62" s="36" t="s">
        <v>139</v>
      </c>
      <c r="ML62" s="36" t="s">
        <v>139</v>
      </c>
      <c r="MM62" s="36" t="s">
        <v>139</v>
      </c>
      <c r="MN62" s="36" t="s">
        <v>139</v>
      </c>
      <c r="MO62" s="36" t="s">
        <v>139</v>
      </c>
      <c r="MP62" s="36" t="s">
        <v>139</v>
      </c>
      <c r="MQ62" s="36" t="s">
        <v>139</v>
      </c>
      <c r="MR62" s="36" t="s">
        <v>139</v>
      </c>
      <c r="MS62" s="36" t="s">
        <v>139</v>
      </c>
      <c r="MT62" s="36" t="s">
        <v>139</v>
      </c>
      <c r="MU62" s="36" t="s">
        <v>139</v>
      </c>
      <c r="MV62" s="36" t="s">
        <v>139</v>
      </c>
      <c r="MW62" s="36" t="s">
        <v>139</v>
      </c>
      <c r="MX62" s="36" t="s">
        <v>139</v>
      </c>
      <c r="MY62" s="36" t="s">
        <v>139</v>
      </c>
      <c r="MZ62" s="36" t="s">
        <v>139</v>
      </c>
      <c r="NA62" s="36" t="s">
        <v>139</v>
      </c>
      <c r="NB62" s="36" t="s">
        <v>139</v>
      </c>
      <c r="NC62" s="36" t="s">
        <v>139</v>
      </c>
      <c r="ND62" s="36" t="s">
        <v>139</v>
      </c>
      <c r="NE62" s="36" t="s">
        <v>139</v>
      </c>
      <c r="NF62" s="36" t="s">
        <v>139</v>
      </c>
      <c r="NG62" s="36" t="s">
        <v>139</v>
      </c>
      <c r="NH62" s="36" t="s">
        <v>139</v>
      </c>
      <c r="NI62" s="36" t="s">
        <v>139</v>
      </c>
      <c r="NJ62" s="36" t="s">
        <v>139</v>
      </c>
      <c r="NK62" s="36" t="s">
        <v>139</v>
      </c>
      <c r="NL62" s="36" t="s">
        <v>139</v>
      </c>
      <c r="NM62" s="36" t="s">
        <v>139</v>
      </c>
      <c r="NN62" s="36" t="s">
        <v>139</v>
      </c>
      <c r="NO62" s="36" t="s">
        <v>139</v>
      </c>
      <c r="NP62" s="36" t="s">
        <v>139</v>
      </c>
      <c r="NQ62" s="36" t="s">
        <v>139</v>
      </c>
      <c r="NR62" s="36" t="s">
        <v>139</v>
      </c>
      <c r="NS62" s="36" t="s">
        <v>139</v>
      </c>
      <c r="NT62" s="36" t="s">
        <v>139</v>
      </c>
      <c r="NU62" s="36" t="s">
        <v>139</v>
      </c>
      <c r="NV62" s="36" t="s">
        <v>139</v>
      </c>
      <c r="NW62" s="36" t="s">
        <v>139</v>
      </c>
      <c r="NX62" s="36" t="s">
        <v>139</v>
      </c>
      <c r="NY62" s="36" t="s">
        <v>139</v>
      </c>
      <c r="NZ62" s="36" t="s">
        <v>139</v>
      </c>
      <c r="OA62" s="36" t="s">
        <v>139</v>
      </c>
      <c r="OB62" s="36" t="s">
        <v>139</v>
      </c>
      <c r="OC62" s="36" t="s">
        <v>139</v>
      </c>
      <c r="OD62" s="36" t="s">
        <v>139</v>
      </c>
      <c r="OE62" s="36" t="s">
        <v>139</v>
      </c>
      <c r="OF62" s="36" t="s">
        <v>139</v>
      </c>
      <c r="OG62" s="36" t="s">
        <v>139</v>
      </c>
      <c r="OH62" s="36" t="s">
        <v>139</v>
      </c>
      <c r="OI62" s="36" t="s">
        <v>139</v>
      </c>
      <c r="OJ62" s="36" t="s">
        <v>139</v>
      </c>
      <c r="OK62" s="36" t="s">
        <v>139</v>
      </c>
      <c r="OL62" s="36" t="s">
        <v>139</v>
      </c>
      <c r="OM62" s="36" t="s">
        <v>139</v>
      </c>
      <c r="ON62" s="36" t="s">
        <v>139</v>
      </c>
      <c r="OO62" s="36" t="s">
        <v>139</v>
      </c>
      <c r="OP62" s="36" t="s">
        <v>139</v>
      </c>
      <c r="OQ62" s="36" t="s">
        <v>139</v>
      </c>
      <c r="OR62" s="36" t="s">
        <v>139</v>
      </c>
      <c r="OS62" s="36" t="s">
        <v>139</v>
      </c>
      <c r="OT62" s="36" t="s">
        <v>139</v>
      </c>
      <c r="OU62" s="36" t="s">
        <v>139</v>
      </c>
      <c r="OV62" s="36" t="s">
        <v>139</v>
      </c>
      <c r="OW62" s="36" t="s">
        <v>139</v>
      </c>
      <c r="OX62" s="36" t="s">
        <v>139</v>
      </c>
      <c r="OY62" s="36" t="s">
        <v>139</v>
      </c>
      <c r="OZ62" s="36" t="s">
        <v>139</v>
      </c>
      <c r="PA62" s="36" t="s">
        <v>139</v>
      </c>
      <c r="PB62" s="36" t="s">
        <v>139</v>
      </c>
      <c r="PC62" s="36" t="s">
        <v>139</v>
      </c>
      <c r="PD62" s="36" t="s">
        <v>139</v>
      </c>
      <c r="PE62" s="36" t="s">
        <v>139</v>
      </c>
      <c r="PF62" s="36" t="s">
        <v>139</v>
      </c>
      <c r="PG62" s="36" t="s">
        <v>139</v>
      </c>
      <c r="PH62" s="36" t="s">
        <v>139</v>
      </c>
      <c r="PI62" s="36" t="s">
        <v>139</v>
      </c>
      <c r="PJ62" s="36" t="s">
        <v>139</v>
      </c>
      <c r="PK62" s="36" t="s">
        <v>139</v>
      </c>
      <c r="PL62" s="36" t="s">
        <v>139</v>
      </c>
      <c r="PM62" s="36" t="s">
        <v>139</v>
      </c>
      <c r="PN62" s="36" t="s">
        <v>139</v>
      </c>
      <c r="PO62" s="74">
        <f>COUNTIFS($C$27:$PN$27,("&lt;"&amp;$B$3),$C$27:$PN$27,("&gt;="&amp;$B$2),$C62:$PN62,TabAsistencias[[#Headers],[1]])</f>
        <v>30</v>
      </c>
      <c r="PP62" s="74">
        <f>COUNTIFS($C$27:$PN$27,("&lt;"&amp;$B$3),$C$27:$PN$27,("&gt;="&amp;$B$2),$C62:$PN62,TabAsistencias[[#Headers],[E]])</f>
        <v>0</v>
      </c>
      <c r="PQ62" s="74">
        <f>COUNTIFS($C$27:$PN$27,("&lt;"&amp;$B$3),$C$27:$PN$27,("&gt;="&amp;$B$2),$C62:$PN62,TabAsistencias[[#Headers],[DE]])</f>
        <v>0</v>
      </c>
      <c r="PR62" s="74">
        <f>COUNTIFS($C$27:$PN$27,("&lt;"&amp;$B$3),$C$27:$PN$27,("&gt;="&amp;$B$2),$C62:$PN62,TabAsistencias[[#Headers],[V]])</f>
        <v>0</v>
      </c>
      <c r="PS62" s="74">
        <f>COUNTIFS($C$27:$PN$27,("&lt;"&amp;$B$3),$C$27:$PN$27,("&gt;="&amp;$B$2),$C62:$PN62,TabAsistencias[[#Headers],[DO]])</f>
        <v>0</v>
      </c>
      <c r="PT62" s="74">
        <f>COUNTIFS($C$27:$PN$27,("&lt;"&amp;$B$3),$C$27:$PN$27,("&gt;="&amp;$B$2),$C62:$PN62,TabAsistencias[[#Headers],[P]])</f>
        <v>0</v>
      </c>
      <c r="PU62" s="74">
        <f>COUNTIFS($C$27:$PN$27,("&lt;"&amp;$B$3),$C$27:$PN$27,("&gt;="&amp;$B$2),$C62:$PN62,TabAsistencias[[#Headers],[F]])</f>
        <v>0</v>
      </c>
      <c r="PV62" s="74">
        <f>COUNTIFS($C$27:$PN$27,("&lt;"&amp;$B$3),$C$27:$PN$27,("&gt;="&amp;$B$2),$C62:$PN62,TabAsistencias[[#Headers],[R]])</f>
        <v>0</v>
      </c>
      <c r="PW62" s="74">
        <f>COUNTIFS($C$27:$PN$27,("&lt;"&amp;$B$3),$C$27:$PN$27,("&gt;="&amp;$B$2),$C62:$PN62,TabAsistencias[[#Headers],[PP]])</f>
        <v>0</v>
      </c>
      <c r="PX62" s="74">
        <f>COUNTIFS($C$27:$PN$27,("&lt;"&amp;$B$3),$C$27:$PN$27,("&gt;="&amp;$B$2),$C62:$PN62,TabAsistencias[[#Headers],[0]])</f>
        <v>0</v>
      </c>
      <c r="PY62" s="74">
        <f>COUNTIFS($C$27:$PN$27,("&lt;"&amp;$B$3),$C$27:$PN$27,("&gt;="&amp;$B$2),$C62:$PN62,TabAsistencias[[#Headers],[IG]])</f>
        <v>0</v>
      </c>
      <c r="PZ62" s="74">
        <f>COUNTIFS($C$27:$PN$27,("&lt;"&amp;$B$3),$C$27:$PN$27,("&gt;="&amp;$B$2),$C62:$PN62,TabAsistencias[[#Headers],[NA]])</f>
        <v>0</v>
      </c>
      <c r="QA62" s="74">
        <f>COUNTIFS($C$27:$PN$27,("&lt;"&amp;$B$3),$C$27:$PN$27,("&gt;="&amp;$B$2),$C62:$PN62,TabAsistencias[[#Headers],[DF]])</f>
        <v>0</v>
      </c>
      <c r="QB62" s="74">
        <f>COUNTIFS($C$27:$PN$27,("&lt;"&amp;$B$3),$C$27:$PN$27,("&gt;="&amp;$B$2),$C62:$PN62,TabAsistencias[[#Headers],[3]])</f>
        <v>0</v>
      </c>
      <c r="QC62" s="74">
        <f>COUNTIFS($C$27:$PN$27,("&lt;"&amp;$B$3),$C$27:$PN$27,("&gt;="&amp;$B$2),$C62:$PN62,TabAsistencias[[#Headers],[CP]])</f>
        <v>0</v>
      </c>
      <c r="QD62" s="74">
        <f>COUNTIFS($C$27:$PN$27,("&lt;"&amp;$B$3),$C$27:$PN$27,("&gt;="&amp;$B$2),$C62:$PN62,TabAsistencias[[#Headers],[I]])</f>
        <v>0</v>
      </c>
      <c r="QE62" s="74">
        <f>COUNTIFS($C$27:$PN$27,("&lt;"&amp;$B$3),$C$27:$PN$27,("&gt;="&amp;$B$2),$C62:$PN62,TabAsistencias[[#Headers],[T/2]])</f>
        <v>0</v>
      </c>
      <c r="QF62" s="74">
        <f>COUNTIFS($C$27:$PN$27,("&lt;"&amp;$B$3),$C$27:$PN$27,("&gt;="&amp;$B$2),$C62:$PN62,TabAsistencias[[#Headers],[ME]])</f>
        <v>0</v>
      </c>
      <c r="QG62" s="74">
        <f>COUNTIFS($C$27:$PN$27,("&lt;"&amp;$B$3),$C$27:$PN$27,("&gt;="&amp;$B$2),$C62:$PN62,TabAsistencias[[#Headers],[DP]])</f>
        <v>0</v>
      </c>
      <c r="QH62" s="74">
        <f>COUNTIFS($C$27:$PN$27,("&lt;"&amp;$B$3),$C$27:$PN$27,("&gt;="&amp;$B$2),$C62:$PN62,TabAsistencias[[#Headers],[B]])</f>
        <v>0</v>
      </c>
      <c r="QI62" s="74">
        <f>(TabAsistencias[[#This Row],[1]]*'Tablas de informacion'!$C$124)+(TabAsistencias[[#This Row],[E]]*'Tablas de informacion'!$C$125)+(TabAsistencias[[#This Row],[DE]]*'Tablas de informacion'!C$126)+(TabAsistencias[[#This Row],[V]]*'Tablas de informacion'!C$127)+(TabAsistencias[[#This Row],[DO]]*'Tablas de informacion'!C$128)+(TabAsistencias[[#This Row],[P]]*'Tablas de informacion'!C$129)+(TabAsistencias[[#This Row],[F]]*'Tablas de informacion'!C$130)+(TabAsistencias[[#This Row],[R]]*'Tablas de informacion'!C$131)+(TabAsistencias[[#This Row],[PP]]*'Tablas de informacion'!C$132)+(TabAsistencias[[#This Row],[0]]*'Tablas de informacion'!C$133)+(TabAsistencias[[#This Row],[IG]]*'Tablas de informacion'!C$134)+(TabAsistencias[[#This Row],[NA]]*'Tablas de informacion'!C$135)+(TabAsistencias[[#This Row],[DF]]*'Tablas de informacion'!C$136)+(TabAsistencias[[#This Row],[3]]*'Tablas de informacion'!C$137)+(TabAsistencias[[#This Row],[CP]]*'Tablas de informacion'!C$138)+(TabAsistencias[[#This Row],[I]]*'Tablas de informacion'!C$139)+(TabAsistencias[[#This Row],[T/2]]*'Tablas de informacion'!C$140)+(TabAsistencias[[#This Row],[ME]]*'Tablas de informacion'!C$141)+(TabAsistencias[[#This Row],[DP]]*'Tablas de informacion'!C$142)+(TabAsistencias[[#This Row],[B]]*'Tablas de informacion'!C$143)-INT(TabAsistencias[[#This Row],[R]]/3)</f>
        <v>30</v>
      </c>
      <c r="QJ62" s="74">
        <f>COUNTIFS($C$27:$PN$27,("&lt;"&amp;$B$3),$C$27:$PN$27,("&gt;="&amp;$B$2),$C$28:$PN$28,1,$C62:$PN62,TabAsistencias[[#Headers],[1]])+
COUNTIFS($C$27:$PN$27,("&lt;"&amp;$B$3),$C$27:$PN$27,("&gt;="&amp;$B$2),$C$28:$PN$28,1,$C62:$PN62,TabAsistencias[[#Headers],[DO]])+
COUNTIFS($C$27:$PN$27,("&lt;"&amp;$B$3),$C$27:$PN$27,("&gt;="&amp;$B$2),$C$28:$PN$28,1,$C62:$PN62,TabAsistencias[[#Headers],[R]])+
COUNTIFS($C$27:$PN$27,("&lt;"&amp;$B$3),$C$27:$PN$27,("&gt;="&amp;$B$2),$C$28:$PN$28,1,$C62:$PN62,TabAsistencias[[#Headers],[NA]])+
COUNTIFS($C$27:$PN$27,("&lt;"&amp;$B$3),$C$27:$PN$27,("&gt;="&amp;$B$2),$C$28:$PN$28,1,$C62:$PN62,TabAsistencias[[#Headers],[DF]])+
COUNTIFS($C$27:$PN$27,("&lt;"&amp;$B$3),$C$27:$PN$27,("&gt;="&amp;$B$2),$C$28:$PN$28,1,$C62:$PN62,TabAsistencias[[#Headers],[3]])+
COUNTIFS($C$27:$PN$27,("&lt;"&amp;$B$3),$C$27:$PN$27,("&gt;="&amp;$B$2),$C$28:$PN$28,1,$C62:$PN62,TabAsistencias[[#Headers],[CP]])+
COUNTIFS($C$27:$PN$27,("&lt;"&amp;$B$3),$C$27:$PN$27,("&gt;="&amp;$B$2),$C$28:$PN$28,1,$C62:$PN62,TabAsistencias[[#Headers],[T/2]])</f>
        <v>4</v>
      </c>
      <c r="QK62" s="315" cm="1">
        <f t="array" ref="QK62">IFERROR(VLOOKUP(
DATEDIF((VLOOKUP(TabAsistencias[[#This Row],[ID]],TabEmpleados[],COLUMN(TabEmpleados[Fecha de ingreso]),FALSE)),Asistencias!$B$3,"Y"),
TabFactorIntegracion[],COLUMN(TabFactorIntegracion[Días vacacionales
establecidos por ley]),FALSE),0)
-
COUNTIF($AH62:$PN62,TabAsistencias[[#Headers],[V]])</f>
        <v>12</v>
      </c>
      <c r="QL62" s="319">
        <f>SUM(TabAsistencias[[#This Row],[''1]],TabAsistencias[[#This Row],[''DE]],TabAsistencias[[#This Row],[''DO]],TabAsistencias[[#This Row],[''R]],TabAsistencias[[#This Row],[''NA]],TabAsistencias[[#This Row],[''DF]],TabAsistencias[[#This Row],[''3]],TabAsistencias[[#This Row],[''CP]],TabAsistencias[[#This Row],[''T/2]],TabAsistencias[[#This Row],[''DP]])</f>
        <v>73</v>
      </c>
      <c r="QM62" s="314">
        <f>COUNTIFS($C$27:$PN$27,("&lt;"&amp;$B$5),$C$27:$PN$27,("&gt;="&amp;$B$4),$C62:$PN62,TabAsistencias[[#Headers],[1]])</f>
        <v>73</v>
      </c>
      <c r="QN62" s="314">
        <f>COUNTIFS($C$27:$PN$27,("&lt;"&amp;$B$5),$C$27:$PN$27,("&gt;="&amp;$B$4),$C62:$PN62,TabAsistencias[[#Headers],[DE]])</f>
        <v>0</v>
      </c>
      <c r="QO62" s="314">
        <f>COUNTIFS($C$27:$PN$27,("&lt;"&amp;$B$5),$C$27:$PN$27,("&gt;="&amp;$B$4),$C62:$PN62,TabAsistencias[[#Headers],[V]])</f>
        <v>0</v>
      </c>
      <c r="QP62" s="314">
        <f>COUNTIFS($C$27:$PN$27,("&lt;"&amp;$B$5),$C$27:$PN$27,("&gt;="&amp;$B$4),$C62:$PN62,TabAsistencias[[#Headers],[DO]])</f>
        <v>0</v>
      </c>
      <c r="QQ62" s="314">
        <f>COUNTIFS($C$27:$PN$27,("&lt;"&amp;$B$5),$C$27:$PN$27,("&gt;="&amp;$B$4),$C62:$PN62,TabAsistencias[[#Headers],[P]])</f>
        <v>0</v>
      </c>
      <c r="QR62" s="314">
        <f>COUNTIFS($C$27:$PN$27,("&lt;"&amp;$B$5),$C$27:$PN$27,("&gt;="&amp;$B$4),$C62:$PN62,TabAsistencias[[#Headers],[F]])</f>
        <v>0</v>
      </c>
      <c r="QS62" s="314">
        <f>COUNTIFS($C$27:$PN$27,("&lt;"&amp;$B$5),$C$27:$PN$27,("&gt;="&amp;$B$4),$C62:$PN62,TabAsistencias[[#Headers],[R]])</f>
        <v>0</v>
      </c>
      <c r="QT62" s="314">
        <f>COUNTIFS($C$27:$PN$27,("&lt;"&amp;$B$5),$C$27:$PN$27,("&gt;="&amp;$B$4),$C62:$PN62,TabAsistencias[[#Headers],[PP]])</f>
        <v>0</v>
      </c>
      <c r="QU62" s="314">
        <f>COUNTIFS($C$27:$PN$27,("&lt;"&amp;$B$5),$C$27:$PN$27,("&gt;="&amp;$B$4),$C62:$PN62,TabAsistencias[[#Headers],[0]])</f>
        <v>0</v>
      </c>
      <c r="QV62" s="314">
        <f>COUNTIFS($C$27:$PN$27,("&lt;"&amp;$B$5),$C$27:$PN$27,("&gt;="&amp;$B$4),$C62:$PN62,TabAsistencias[[#Headers],[IG]])</f>
        <v>0</v>
      </c>
      <c r="QW62" s="314">
        <f>COUNTIFS($C$27:$PN$27,("&lt;"&amp;$B$5),$C$27:$PN$27,("&gt;="&amp;$B$4),$C62:$PN62,TabAsistencias[[#Headers],[NA]])</f>
        <v>0</v>
      </c>
      <c r="QX62" s="314">
        <f>COUNTIFS($C$27:$PN$27,("&lt;"&amp;$B$5),$C$27:$PN$27,("&gt;="&amp;$B$4),$C62:$PN62,TabAsistencias[[#Headers],[DF]])</f>
        <v>0</v>
      </c>
      <c r="QY62" s="314">
        <f>COUNTIFS($C$27:$PN$27,("&lt;"&amp;$B$5),$C$27:$PN$27,("&gt;="&amp;$B$4),$C62:$PN62,TabAsistencias[[#Headers],[3]])</f>
        <v>0</v>
      </c>
      <c r="QZ62" s="314">
        <f>COUNTIFS($C$27:$PN$27,("&lt;"&amp;$B$5),$C$27:$PN$27,("&gt;="&amp;$B$4),$C62:$PN62,TabAsistencias[[#Headers],[CP]])</f>
        <v>0</v>
      </c>
      <c r="RA62" s="314">
        <f>COUNTIFS($C$27:$PN$27,("&lt;"&amp;$B$5),$C$27:$PN$27,("&gt;="&amp;$B$4),$C62:$PN62,TabAsistencias[[#Headers],[I]])</f>
        <v>0</v>
      </c>
      <c r="RB62" s="314">
        <f>COUNTIFS($C$27:$PN$27,("&lt;"&amp;$B$5),$C$27:$PN$27,("&gt;="&amp;$B$4),$C62:$PN62,TabAsistencias[[#Headers],[T/2]])</f>
        <v>0</v>
      </c>
      <c r="RC62" s="314">
        <f>COUNTIFS($C$27:$PN$27,("&lt;"&amp;$B$5),$C$27:$PN$27,("&gt;="&amp;$B$4),$C62:$PN62,TabAsistencias[[#Headers],[ME]])</f>
        <v>0</v>
      </c>
      <c r="RD62" s="314">
        <f>COUNTIFS($C$27:$PN$27,("&lt;"&amp;$B$5),$C$27:$PN$27,("&gt;="&amp;$B$4),$C62:$PN62,TabAsistencias[[#Headers],[DP]])</f>
        <v>0</v>
      </c>
      <c r="RE62" s="314">
        <f>COUNTIFS($C$27:$PN$27,("&lt;"&amp;$B$5),$C$27:$PN$27,("&gt;="&amp;$B$4),$C62:$PN62,TabAsistencias[[#Headers],[B]])</f>
        <v>0</v>
      </c>
      <c r="RF62" s="314">
        <f>COUNTIFS($C$27:$PN$27,("&lt;"&amp;$B$5),$C$27:$PN$27,("&gt;="&amp;$B$4),$C$28:$PN$28,1,$C62:$PN62,TabAsistencias[[#Headers],[1]])+
COUNTIFS($C$27:$PN$27,("&lt;"&amp;$B$5),$C$27:$PN$27,("&gt;="&amp;$B$4),$C$28:$PN$28,1,$C62:$PN62,TabAsistencias[[#Headers],[DO]])+
COUNTIFS($C$27:$PN$27,("&lt;"&amp;$B$5),$C$27:$PN$27,("&gt;="&amp;$B$4),$C$28:$PN$28,1,$C62:$PN62,TabAsistencias[[#Headers],[R]])+
COUNTIFS($C$27:$PN$27,("&lt;"&amp;$B$5),$C$27:$PN$27,("&gt;="&amp;$B$4),$C$28:$PN$28,1,$C62:$PN62,TabAsistencias[[#Headers],[NA]])+
COUNTIFS($C$27:$PN$27,("&lt;"&amp;$B$5),$C$27:$PN$27,("&gt;="&amp;$B$4),$C$28:$PN$28,1,$C62:$PN62,TabAsistencias[[#Headers],[DF]])+
COUNTIFS($C$27:$PN$27,("&lt;"&amp;$B$5),$C$27:$PN$27,("&gt;="&amp;$B$4),$C$28:$PN$28,1,$C62:$PN62,TabAsistencias[[#Headers],[3]])+
COUNTIFS($C$27:$PN$27,("&lt;"&amp;$B$5),$C$27:$PN$27,("&gt;="&amp;$B$4),$C$28:$PN$28,1,$C62:$PN62,TabAsistencias[[#Headers],[CP]])+
COUNTIFS($C$27:$PN$27,("&lt;"&amp;$B$5),$C$27:$PN$27,("&gt;="&amp;$B$4),$C$28:$PN$28,1,$C62:$PN62,TabAsistencias[[#Headers],[T/2]])</f>
        <v>11</v>
      </c>
      <c r="RG62" s="320" cm="1">
        <f t="array" ref="RG62">IFERROR(VLOOKUP(
DATEDIF((VLOOKUP(TabAsistencias[[#This Row],[ID]],TabEmpleados[],COLUMN(TabEmpleados[Fecha de alta NSS]),FALSE)),Asistencias!$B$3,"Y"),
TabFactorIntegracion[],COLUMN(TabFactorIntegracion[Días vacacionales
establecidos por ley]),FALSE),0)
-
COUNTIF($AH62:$PN62,TabAsistencias[[#Headers],[V]])</f>
        <v>12</v>
      </c>
    </row>
    <row r="63" spans="1:475" x14ac:dyDescent="0.25">
      <c r="A63" s="92">
        <f t="shared" si="434"/>
        <v>33</v>
      </c>
      <c r="B63" s="30" t="str" cm="1">
        <f t="array" ref="B63">VLOOKUP(TabAsistencias[[#This Row],[ID]],TabEmpleados[],COLUMN(TabEmpleados[Nombre]),FALSE)</f>
        <v>ESPINOZA REYNOSO RAUL</v>
      </c>
      <c r="C63" s="36" t="s">
        <v>139</v>
      </c>
      <c r="D63" s="36" t="s">
        <v>139</v>
      </c>
      <c r="E63" s="36" t="s">
        <v>139</v>
      </c>
      <c r="F63" s="36" t="s">
        <v>139</v>
      </c>
      <c r="G63" s="36" t="s">
        <v>139</v>
      </c>
      <c r="H63" s="36" t="s">
        <v>139</v>
      </c>
      <c r="I63" s="36" t="s">
        <v>139</v>
      </c>
      <c r="J63" s="36" t="s">
        <v>139</v>
      </c>
      <c r="K63" s="36" t="s">
        <v>139</v>
      </c>
      <c r="L63" s="36" t="s">
        <v>139</v>
      </c>
      <c r="M63" s="36" t="s">
        <v>139</v>
      </c>
      <c r="N63" s="36" t="s">
        <v>139</v>
      </c>
      <c r="O63" s="36" t="s">
        <v>139</v>
      </c>
      <c r="P63" s="36" t="s">
        <v>139</v>
      </c>
      <c r="Q63" s="36" t="s">
        <v>139</v>
      </c>
      <c r="R63" s="36" t="s">
        <v>139</v>
      </c>
      <c r="S63" s="36" t="s">
        <v>139</v>
      </c>
      <c r="T63" s="36" t="s">
        <v>139</v>
      </c>
      <c r="U63" s="36" t="s">
        <v>139</v>
      </c>
      <c r="V63" s="36" t="s">
        <v>139</v>
      </c>
      <c r="W63" s="36" t="s">
        <v>139</v>
      </c>
      <c r="X63" s="36" t="s">
        <v>139</v>
      </c>
      <c r="Y63" s="36" t="s">
        <v>139</v>
      </c>
      <c r="Z63" s="36" t="s">
        <v>139</v>
      </c>
      <c r="AA63" s="36" t="s">
        <v>139</v>
      </c>
      <c r="AB63" s="36" t="s">
        <v>139</v>
      </c>
      <c r="AC63" s="36" t="s">
        <v>139</v>
      </c>
      <c r="AD63" s="36" t="s">
        <v>139</v>
      </c>
      <c r="AE63" s="36" t="s">
        <v>139</v>
      </c>
      <c r="AF63" s="36" t="s">
        <v>139</v>
      </c>
      <c r="AG63" s="36" t="s">
        <v>139</v>
      </c>
      <c r="AH63" s="36" t="s">
        <v>139</v>
      </c>
      <c r="AI63" s="36" t="s">
        <v>139</v>
      </c>
      <c r="AJ63" s="36" t="s">
        <v>139</v>
      </c>
      <c r="AK63" s="36" t="s">
        <v>139</v>
      </c>
      <c r="AL63" s="36" t="s">
        <v>139</v>
      </c>
      <c r="AM63" s="36" t="s">
        <v>139</v>
      </c>
      <c r="AN63" s="36" t="s">
        <v>139</v>
      </c>
      <c r="AO63" s="36" t="s">
        <v>139</v>
      </c>
      <c r="AP63" s="36" t="s">
        <v>139</v>
      </c>
      <c r="AQ63" s="36" t="s">
        <v>139</v>
      </c>
      <c r="AR63" s="36" t="s">
        <v>139</v>
      </c>
      <c r="AS63" s="36" t="s">
        <v>139</v>
      </c>
      <c r="AT63" s="36" t="s">
        <v>139</v>
      </c>
      <c r="AU63" s="36" t="s">
        <v>139</v>
      </c>
      <c r="AV63" s="36" t="s">
        <v>139</v>
      </c>
      <c r="AW63" s="36" t="s">
        <v>139</v>
      </c>
      <c r="AX63" s="36" t="s">
        <v>139</v>
      </c>
      <c r="AY63" s="36" t="s">
        <v>139</v>
      </c>
      <c r="AZ63" s="36" t="s">
        <v>139</v>
      </c>
      <c r="BA63" s="36" t="s">
        <v>139</v>
      </c>
      <c r="BB63" s="36" t="s">
        <v>139</v>
      </c>
      <c r="BC63" s="36" t="s">
        <v>139</v>
      </c>
      <c r="BD63" s="36" t="s">
        <v>139</v>
      </c>
      <c r="BE63" s="36" t="s">
        <v>139</v>
      </c>
      <c r="BF63" s="36" t="s">
        <v>139</v>
      </c>
      <c r="BG63" s="36" t="s">
        <v>139</v>
      </c>
      <c r="BH63" s="36" t="s">
        <v>139</v>
      </c>
      <c r="BI63" s="36" t="s">
        <v>139</v>
      </c>
      <c r="BJ63" s="36" t="s">
        <v>139</v>
      </c>
      <c r="BK63" s="36" t="s">
        <v>139</v>
      </c>
      <c r="BL63" s="36" t="s">
        <v>139</v>
      </c>
      <c r="BM63" s="36" t="s">
        <v>139</v>
      </c>
      <c r="BN63" s="36" t="s">
        <v>139</v>
      </c>
      <c r="BO63" s="36" t="s">
        <v>139</v>
      </c>
      <c r="BP63" s="36" t="s">
        <v>139</v>
      </c>
      <c r="BQ63" s="36" t="s">
        <v>139</v>
      </c>
      <c r="BR63" s="36" t="s">
        <v>139</v>
      </c>
      <c r="BS63" s="36" t="s">
        <v>139</v>
      </c>
      <c r="BT63" s="36" t="s">
        <v>139</v>
      </c>
      <c r="BU63" s="36" t="s">
        <v>139</v>
      </c>
      <c r="BV63" s="36" t="s">
        <v>139</v>
      </c>
      <c r="BW63" s="36" t="s">
        <v>139</v>
      </c>
      <c r="BX63" s="36" t="s">
        <v>139</v>
      </c>
      <c r="BY63" s="36" t="s">
        <v>139</v>
      </c>
      <c r="BZ63" s="36" t="s">
        <v>139</v>
      </c>
      <c r="CA63" s="36" t="s">
        <v>139</v>
      </c>
      <c r="CB63" s="36" t="s">
        <v>139</v>
      </c>
      <c r="CC63" s="36" t="s">
        <v>139</v>
      </c>
      <c r="CD63" s="36" t="s">
        <v>139</v>
      </c>
      <c r="CE63" s="36" t="s">
        <v>139</v>
      </c>
      <c r="CF63" s="36" t="s">
        <v>139</v>
      </c>
      <c r="CG63" s="36" t="s">
        <v>139</v>
      </c>
      <c r="CH63" s="36" t="s">
        <v>139</v>
      </c>
      <c r="CI63" s="36" t="s">
        <v>139</v>
      </c>
      <c r="CJ63" s="36" t="s">
        <v>139</v>
      </c>
      <c r="CK63" s="36" t="s">
        <v>139</v>
      </c>
      <c r="CL63" s="36" t="s">
        <v>139</v>
      </c>
      <c r="CM63" s="36" t="s">
        <v>139</v>
      </c>
      <c r="CN63" s="36" t="s">
        <v>139</v>
      </c>
      <c r="CO63" s="36" t="s">
        <v>139</v>
      </c>
      <c r="CP63" s="36" t="s">
        <v>139</v>
      </c>
      <c r="CQ63" s="36" t="s">
        <v>139</v>
      </c>
      <c r="CR63" s="36" t="s">
        <v>139</v>
      </c>
      <c r="CS63" s="36" t="s">
        <v>139</v>
      </c>
      <c r="CT63" s="36" t="s">
        <v>139</v>
      </c>
      <c r="CU63" s="36" t="s">
        <v>139</v>
      </c>
      <c r="CV63" s="36" t="s">
        <v>139</v>
      </c>
      <c r="CW63" s="36" t="s">
        <v>139</v>
      </c>
      <c r="CX63" s="36" t="s">
        <v>139</v>
      </c>
      <c r="CY63" s="36" t="s">
        <v>139</v>
      </c>
      <c r="CZ63" s="36" t="s">
        <v>139</v>
      </c>
      <c r="DA63" s="36" t="s">
        <v>139</v>
      </c>
      <c r="DB63" s="36" t="s">
        <v>139</v>
      </c>
      <c r="DC63" s="36" t="s">
        <v>139</v>
      </c>
      <c r="DD63" s="36" t="s">
        <v>139</v>
      </c>
      <c r="DE63" s="36" t="s">
        <v>139</v>
      </c>
      <c r="DF63" s="36" t="s">
        <v>139</v>
      </c>
      <c r="DG63" s="36" t="s">
        <v>139</v>
      </c>
      <c r="DH63" s="36" t="s">
        <v>139</v>
      </c>
      <c r="DI63" s="36" t="s">
        <v>139</v>
      </c>
      <c r="DJ63" s="36" t="s">
        <v>139</v>
      </c>
      <c r="DK63" s="36" t="s">
        <v>139</v>
      </c>
      <c r="DL63" s="36" t="s">
        <v>139</v>
      </c>
      <c r="DM63" s="36" t="s">
        <v>139</v>
      </c>
      <c r="DN63" s="36" t="s">
        <v>139</v>
      </c>
      <c r="DO63" s="36" t="s">
        <v>139</v>
      </c>
      <c r="DP63" s="36" t="s">
        <v>139</v>
      </c>
      <c r="DQ63" s="36" t="s">
        <v>139</v>
      </c>
      <c r="DR63" s="36" t="s">
        <v>139</v>
      </c>
      <c r="DS63" s="36" t="s">
        <v>139</v>
      </c>
      <c r="DT63" s="36" t="s">
        <v>139</v>
      </c>
      <c r="DU63" s="36" t="s">
        <v>139</v>
      </c>
      <c r="DV63" s="36" t="s">
        <v>139</v>
      </c>
      <c r="DW63" s="36" t="s">
        <v>139</v>
      </c>
      <c r="DX63" s="36" t="s">
        <v>139</v>
      </c>
      <c r="DY63" s="36" t="s">
        <v>139</v>
      </c>
      <c r="DZ63" s="36" t="s">
        <v>139</v>
      </c>
      <c r="EA63" s="36" t="s">
        <v>139</v>
      </c>
      <c r="EB63" s="36" t="s">
        <v>139</v>
      </c>
      <c r="EC63" s="36" t="s">
        <v>139</v>
      </c>
      <c r="ED63" s="36" t="s">
        <v>139</v>
      </c>
      <c r="EE63" s="36" t="s">
        <v>139</v>
      </c>
      <c r="EF63" s="36" t="s">
        <v>139</v>
      </c>
      <c r="EG63" s="36" t="s">
        <v>139</v>
      </c>
      <c r="EH63" s="36" t="s">
        <v>139</v>
      </c>
      <c r="EI63" s="36" t="s">
        <v>139</v>
      </c>
      <c r="EJ63" s="36" t="s">
        <v>139</v>
      </c>
      <c r="EK63" s="36" t="s">
        <v>139</v>
      </c>
      <c r="EL63" s="36" t="s">
        <v>139</v>
      </c>
      <c r="EM63" s="36" t="s">
        <v>139</v>
      </c>
      <c r="EN63" s="36" t="s">
        <v>139</v>
      </c>
      <c r="EO63" s="36" t="s">
        <v>139</v>
      </c>
      <c r="EP63" s="36" t="s">
        <v>139</v>
      </c>
      <c r="EQ63" s="36" t="s">
        <v>139</v>
      </c>
      <c r="ER63" s="36" t="s">
        <v>139</v>
      </c>
      <c r="ES63" s="36" t="s">
        <v>139</v>
      </c>
      <c r="ET63" s="36" t="s">
        <v>139</v>
      </c>
      <c r="EU63" s="36" t="s">
        <v>139</v>
      </c>
      <c r="EV63" s="36" t="s">
        <v>139</v>
      </c>
      <c r="EW63" s="36" t="s">
        <v>139</v>
      </c>
      <c r="EX63" s="36" t="s">
        <v>139</v>
      </c>
      <c r="EY63" s="36" t="s">
        <v>139</v>
      </c>
      <c r="EZ63" s="36" t="s">
        <v>139</v>
      </c>
      <c r="FA63" s="36" t="s">
        <v>139</v>
      </c>
      <c r="FB63" s="36" t="s">
        <v>139</v>
      </c>
      <c r="FC63" s="36" t="s">
        <v>139</v>
      </c>
      <c r="FD63" s="36" t="s">
        <v>139</v>
      </c>
      <c r="FE63" s="36" t="s">
        <v>139</v>
      </c>
      <c r="FF63" s="36" t="s">
        <v>139</v>
      </c>
      <c r="FG63" s="36" t="s">
        <v>139</v>
      </c>
      <c r="FH63" s="36" t="s">
        <v>139</v>
      </c>
      <c r="FI63" s="36" t="s">
        <v>139</v>
      </c>
      <c r="FJ63" s="36" t="s">
        <v>139</v>
      </c>
      <c r="FK63" s="36" t="s">
        <v>139</v>
      </c>
      <c r="FL63" s="36" t="s">
        <v>139</v>
      </c>
      <c r="FM63" s="36" t="s">
        <v>139</v>
      </c>
      <c r="FN63" s="36" t="s">
        <v>139</v>
      </c>
      <c r="FO63" s="36" t="s">
        <v>139</v>
      </c>
      <c r="FP63" s="36" t="s">
        <v>139</v>
      </c>
      <c r="FQ63" s="36" t="s">
        <v>139</v>
      </c>
      <c r="FR63" s="36" t="s">
        <v>139</v>
      </c>
      <c r="FS63" s="36" t="s">
        <v>139</v>
      </c>
      <c r="FT63" s="36" t="s">
        <v>139</v>
      </c>
      <c r="FU63" s="36" t="s">
        <v>139</v>
      </c>
      <c r="FV63" s="36" t="s">
        <v>139</v>
      </c>
      <c r="FW63" s="36" t="s">
        <v>139</v>
      </c>
      <c r="FX63" s="36" t="s">
        <v>139</v>
      </c>
      <c r="FY63" s="36" t="s">
        <v>139</v>
      </c>
      <c r="FZ63" s="36" t="s">
        <v>139</v>
      </c>
      <c r="GA63" s="36" t="s">
        <v>139</v>
      </c>
      <c r="GB63" s="36" t="s">
        <v>139</v>
      </c>
      <c r="GC63" s="36" t="s">
        <v>139</v>
      </c>
      <c r="GD63" s="36" t="s">
        <v>139</v>
      </c>
      <c r="GE63" s="36" t="s">
        <v>139</v>
      </c>
      <c r="GF63" s="36" t="s">
        <v>139</v>
      </c>
      <c r="GG63" s="36" t="s">
        <v>139</v>
      </c>
      <c r="GH63" s="36" t="s">
        <v>139</v>
      </c>
      <c r="GI63" s="36" t="s">
        <v>139</v>
      </c>
      <c r="GJ63" s="36" t="s">
        <v>139</v>
      </c>
      <c r="GK63" s="36" t="s">
        <v>139</v>
      </c>
      <c r="GL63" s="36" t="s">
        <v>139</v>
      </c>
      <c r="GM63" s="36" t="s">
        <v>139</v>
      </c>
      <c r="GN63" s="36" t="s">
        <v>139</v>
      </c>
      <c r="GO63" s="36" t="s">
        <v>139</v>
      </c>
      <c r="GP63" s="36" t="s">
        <v>139</v>
      </c>
      <c r="GQ63" s="36" t="s">
        <v>139</v>
      </c>
      <c r="GR63" s="36" t="s">
        <v>139</v>
      </c>
      <c r="GS63" s="36" t="s">
        <v>139</v>
      </c>
      <c r="GT63" s="36" t="s">
        <v>139</v>
      </c>
      <c r="GU63" s="36" t="s">
        <v>139</v>
      </c>
      <c r="GV63" s="36" t="s">
        <v>139</v>
      </c>
      <c r="GW63" s="36" t="s">
        <v>139</v>
      </c>
      <c r="GX63" s="36" t="s">
        <v>139</v>
      </c>
      <c r="GY63" s="36" t="s">
        <v>139</v>
      </c>
      <c r="GZ63" s="36" t="s">
        <v>139</v>
      </c>
      <c r="HA63" s="36" t="s">
        <v>139</v>
      </c>
      <c r="HB63" s="36" t="s">
        <v>139</v>
      </c>
      <c r="HC63" s="36" t="s">
        <v>139</v>
      </c>
      <c r="HD63" s="36" t="s">
        <v>139</v>
      </c>
      <c r="HE63" s="36" t="s">
        <v>139</v>
      </c>
      <c r="HF63" s="36" t="s">
        <v>139</v>
      </c>
      <c r="HG63" s="36" t="s">
        <v>139</v>
      </c>
      <c r="HH63" s="36" t="s">
        <v>139</v>
      </c>
      <c r="HI63" s="36" t="s">
        <v>139</v>
      </c>
      <c r="HJ63" s="36" t="s">
        <v>139</v>
      </c>
      <c r="HK63" s="36" t="s">
        <v>139</v>
      </c>
      <c r="HL63" s="36" t="s">
        <v>139</v>
      </c>
      <c r="HM63" s="36" t="s">
        <v>139</v>
      </c>
      <c r="HN63" s="36" t="s">
        <v>139</v>
      </c>
      <c r="HO63" s="36" t="s">
        <v>139</v>
      </c>
      <c r="HP63" s="36" t="s">
        <v>139</v>
      </c>
      <c r="HQ63" s="36" t="s">
        <v>139</v>
      </c>
      <c r="HR63" s="36" t="s">
        <v>139</v>
      </c>
      <c r="HS63" s="36" t="s">
        <v>139</v>
      </c>
      <c r="HT63" s="36" t="s">
        <v>139</v>
      </c>
      <c r="HU63" s="36" t="s">
        <v>139</v>
      </c>
      <c r="HV63" s="36" t="s">
        <v>139</v>
      </c>
      <c r="HW63" s="36" t="s">
        <v>139</v>
      </c>
      <c r="HX63" s="36" t="s">
        <v>139</v>
      </c>
      <c r="HY63" s="36" t="s">
        <v>139</v>
      </c>
      <c r="HZ63" s="36" t="s">
        <v>139</v>
      </c>
      <c r="IA63" s="36" t="s">
        <v>139</v>
      </c>
      <c r="IB63" s="36" t="s">
        <v>139</v>
      </c>
      <c r="IC63" s="36" t="s">
        <v>139</v>
      </c>
      <c r="ID63" s="36" t="s">
        <v>139</v>
      </c>
      <c r="IE63" s="36" t="s">
        <v>139</v>
      </c>
      <c r="IF63" s="36" t="s">
        <v>139</v>
      </c>
      <c r="IG63" s="36" t="s">
        <v>139</v>
      </c>
      <c r="IH63" s="36" t="s">
        <v>139</v>
      </c>
      <c r="II63" s="36" t="s">
        <v>139</v>
      </c>
      <c r="IJ63" s="36" t="s">
        <v>139</v>
      </c>
      <c r="IK63" s="36" t="s">
        <v>139</v>
      </c>
      <c r="IL63" s="36" t="s">
        <v>139</v>
      </c>
      <c r="IM63" s="36" t="s">
        <v>139</v>
      </c>
      <c r="IN63" s="36" t="s">
        <v>139</v>
      </c>
      <c r="IO63" s="36" t="s">
        <v>139</v>
      </c>
      <c r="IP63" s="36" t="s">
        <v>139</v>
      </c>
      <c r="IQ63" s="36" t="s">
        <v>139</v>
      </c>
      <c r="IR63" s="36" t="s">
        <v>139</v>
      </c>
      <c r="IS63" s="36" t="s">
        <v>139</v>
      </c>
      <c r="IT63" s="36" t="s">
        <v>139</v>
      </c>
      <c r="IU63" s="36" t="s">
        <v>139</v>
      </c>
      <c r="IV63" s="36" t="s">
        <v>139</v>
      </c>
      <c r="IW63" s="36" t="s">
        <v>139</v>
      </c>
      <c r="IX63" s="36" t="s">
        <v>139</v>
      </c>
      <c r="IY63" s="36" t="s">
        <v>139</v>
      </c>
      <c r="IZ63" s="36" t="s">
        <v>139</v>
      </c>
      <c r="JA63" s="36" t="s">
        <v>139</v>
      </c>
      <c r="JB63" s="36" t="s">
        <v>139</v>
      </c>
      <c r="JC63" s="36" t="s">
        <v>139</v>
      </c>
      <c r="JD63" s="36" t="s">
        <v>139</v>
      </c>
      <c r="JE63" s="36" t="s">
        <v>139</v>
      </c>
      <c r="JF63" s="36" t="s">
        <v>139</v>
      </c>
      <c r="JG63" s="36" t="s">
        <v>139</v>
      </c>
      <c r="JH63" s="36" t="s">
        <v>139</v>
      </c>
      <c r="JI63" s="36" t="s">
        <v>139</v>
      </c>
      <c r="JJ63" s="36" t="s">
        <v>139</v>
      </c>
      <c r="JK63" s="36" t="s">
        <v>139</v>
      </c>
      <c r="JL63" s="36" t="s">
        <v>139</v>
      </c>
      <c r="JM63" s="36" t="s">
        <v>139</v>
      </c>
      <c r="JN63" s="36" t="s">
        <v>139</v>
      </c>
      <c r="JO63" s="36" t="s">
        <v>139</v>
      </c>
      <c r="JP63" s="36" t="s">
        <v>139</v>
      </c>
      <c r="JQ63" s="36" t="s">
        <v>139</v>
      </c>
      <c r="JR63" s="36" t="s">
        <v>139</v>
      </c>
      <c r="JS63" s="36" t="s">
        <v>139</v>
      </c>
      <c r="JT63" s="36" t="s">
        <v>139</v>
      </c>
      <c r="JU63" s="36" t="s">
        <v>139</v>
      </c>
      <c r="JV63" s="36" t="s">
        <v>139</v>
      </c>
      <c r="JW63" s="36" t="s">
        <v>139</v>
      </c>
      <c r="JX63" s="36" t="s">
        <v>139</v>
      </c>
      <c r="JY63" s="36" t="s">
        <v>139</v>
      </c>
      <c r="JZ63" s="36" t="s">
        <v>139</v>
      </c>
      <c r="KA63" s="36" t="s">
        <v>139</v>
      </c>
      <c r="KB63" s="36" t="s">
        <v>139</v>
      </c>
      <c r="KC63" s="36" t="s">
        <v>139</v>
      </c>
      <c r="KD63" s="36" t="s">
        <v>139</v>
      </c>
      <c r="KE63" s="36" t="s">
        <v>139</v>
      </c>
      <c r="KF63" s="36" t="s">
        <v>139</v>
      </c>
      <c r="KG63" s="36" t="s">
        <v>139</v>
      </c>
      <c r="KH63" s="36" t="s">
        <v>139</v>
      </c>
      <c r="KI63" s="36" t="s">
        <v>139</v>
      </c>
      <c r="KJ63" s="36" t="s">
        <v>139</v>
      </c>
      <c r="KK63" s="36" t="s">
        <v>139</v>
      </c>
      <c r="KL63" s="36" t="s">
        <v>139</v>
      </c>
      <c r="KM63" s="36" t="s">
        <v>139</v>
      </c>
      <c r="KN63" s="36" t="s">
        <v>139</v>
      </c>
      <c r="KO63" s="36" t="s">
        <v>139</v>
      </c>
      <c r="KP63" s="36" t="s">
        <v>139</v>
      </c>
      <c r="KQ63" s="36" t="s">
        <v>139</v>
      </c>
      <c r="KR63" s="36" t="s">
        <v>139</v>
      </c>
      <c r="KS63" s="36" t="s">
        <v>139</v>
      </c>
      <c r="KT63" s="36" t="s">
        <v>139</v>
      </c>
      <c r="KU63" s="36" t="s">
        <v>139</v>
      </c>
      <c r="KV63" s="36" t="s">
        <v>139</v>
      </c>
      <c r="KW63" s="36" t="s">
        <v>139</v>
      </c>
      <c r="KX63" s="36" t="s">
        <v>139</v>
      </c>
      <c r="KY63" s="36" t="s">
        <v>139</v>
      </c>
      <c r="KZ63" s="36" t="s">
        <v>139</v>
      </c>
      <c r="LA63" s="36" t="s">
        <v>139</v>
      </c>
      <c r="LB63" s="36" t="s">
        <v>139</v>
      </c>
      <c r="LC63" s="36" t="s">
        <v>139</v>
      </c>
      <c r="LD63" s="36" t="s">
        <v>139</v>
      </c>
      <c r="LE63" s="36" t="s">
        <v>139</v>
      </c>
      <c r="LF63" s="36" t="s">
        <v>139</v>
      </c>
      <c r="LG63" s="36" t="s">
        <v>139</v>
      </c>
      <c r="LH63" s="36" t="s">
        <v>139</v>
      </c>
      <c r="LI63" s="36" t="s">
        <v>139</v>
      </c>
      <c r="LJ63" s="36" t="s">
        <v>139</v>
      </c>
      <c r="LK63" s="36" t="s">
        <v>139</v>
      </c>
      <c r="LL63" s="36" t="s">
        <v>139</v>
      </c>
      <c r="LM63" s="36" t="s">
        <v>139</v>
      </c>
      <c r="LN63" s="36" t="s">
        <v>139</v>
      </c>
      <c r="LO63" s="36" t="s">
        <v>139</v>
      </c>
      <c r="LP63" s="36" t="s">
        <v>139</v>
      </c>
      <c r="LQ63" s="36" t="s">
        <v>139</v>
      </c>
      <c r="LR63" s="36" t="s">
        <v>139</v>
      </c>
      <c r="LS63" s="36" t="s">
        <v>139</v>
      </c>
      <c r="LT63" s="36" t="s">
        <v>139</v>
      </c>
      <c r="LU63" s="36" t="s">
        <v>139</v>
      </c>
      <c r="LV63" s="36" t="s">
        <v>139</v>
      </c>
      <c r="LW63" s="36" t="s">
        <v>139</v>
      </c>
      <c r="LX63" s="36" t="s">
        <v>139</v>
      </c>
      <c r="LY63" s="36" t="s">
        <v>139</v>
      </c>
      <c r="LZ63" s="36" t="s">
        <v>139</v>
      </c>
      <c r="MA63" s="36" t="s">
        <v>139</v>
      </c>
      <c r="MB63" s="36" t="s">
        <v>139</v>
      </c>
      <c r="MC63" s="36" t="s">
        <v>139</v>
      </c>
      <c r="MD63" s="36" t="s">
        <v>139</v>
      </c>
      <c r="ME63" s="36" t="s">
        <v>139</v>
      </c>
      <c r="MF63" s="36" t="s">
        <v>139</v>
      </c>
      <c r="MG63" s="36" t="s">
        <v>139</v>
      </c>
      <c r="MH63" s="36" t="s">
        <v>139</v>
      </c>
      <c r="MI63" s="36" t="s">
        <v>139</v>
      </c>
      <c r="MJ63" s="36" t="s">
        <v>139</v>
      </c>
      <c r="MK63" s="36" t="s">
        <v>139</v>
      </c>
      <c r="ML63" s="36" t="s">
        <v>139</v>
      </c>
      <c r="MM63" s="36" t="s">
        <v>139</v>
      </c>
      <c r="MN63" s="36" t="s">
        <v>139</v>
      </c>
      <c r="MO63" s="36" t="s">
        <v>139</v>
      </c>
      <c r="MP63" s="36" t="s">
        <v>139</v>
      </c>
      <c r="MQ63" s="36" t="s">
        <v>139</v>
      </c>
      <c r="MR63" s="36" t="s">
        <v>139</v>
      </c>
      <c r="MS63" s="36" t="s">
        <v>139</v>
      </c>
      <c r="MT63" s="36" t="s">
        <v>139</v>
      </c>
      <c r="MU63" s="36" t="s">
        <v>139</v>
      </c>
      <c r="MV63" s="36" t="s">
        <v>139</v>
      </c>
      <c r="MW63" s="36" t="s">
        <v>139</v>
      </c>
      <c r="MX63" s="36" t="s">
        <v>139</v>
      </c>
      <c r="MY63" s="36" t="s">
        <v>139</v>
      </c>
      <c r="MZ63" s="36" t="s">
        <v>139</v>
      </c>
      <c r="NA63" s="36" t="s">
        <v>139</v>
      </c>
      <c r="NB63" s="36" t="s">
        <v>139</v>
      </c>
      <c r="NC63" s="36" t="s">
        <v>139</v>
      </c>
      <c r="ND63" s="36" t="s">
        <v>139</v>
      </c>
      <c r="NE63" s="36" t="s">
        <v>139</v>
      </c>
      <c r="NF63" s="36" t="s">
        <v>139</v>
      </c>
      <c r="NG63" s="36" t="s">
        <v>139</v>
      </c>
      <c r="NH63" s="36" t="s">
        <v>139</v>
      </c>
      <c r="NI63" s="36" t="s">
        <v>139</v>
      </c>
      <c r="NJ63" s="36" t="s">
        <v>139</v>
      </c>
      <c r="NK63" s="36" t="s">
        <v>139</v>
      </c>
      <c r="NL63" s="36" t="s">
        <v>139</v>
      </c>
      <c r="NM63" s="36" t="s">
        <v>139</v>
      </c>
      <c r="NN63" s="36" t="s">
        <v>139</v>
      </c>
      <c r="NO63" s="36" t="s">
        <v>139</v>
      </c>
      <c r="NP63" s="36" t="s">
        <v>139</v>
      </c>
      <c r="NQ63" s="36" t="s">
        <v>139</v>
      </c>
      <c r="NR63" s="36" t="s">
        <v>139</v>
      </c>
      <c r="NS63" s="36" t="s">
        <v>139</v>
      </c>
      <c r="NT63" s="36" t="s">
        <v>139</v>
      </c>
      <c r="NU63" s="36" t="s">
        <v>139</v>
      </c>
      <c r="NV63" s="36" t="s">
        <v>139</v>
      </c>
      <c r="NW63" s="36" t="s">
        <v>139</v>
      </c>
      <c r="NX63" s="36" t="s">
        <v>139</v>
      </c>
      <c r="NY63" s="36" t="s">
        <v>139</v>
      </c>
      <c r="NZ63" s="36" t="s">
        <v>139</v>
      </c>
      <c r="OA63" s="36" t="s">
        <v>139</v>
      </c>
      <c r="OB63" s="36" t="s">
        <v>139</v>
      </c>
      <c r="OC63" s="36" t="s">
        <v>139</v>
      </c>
      <c r="OD63" s="36" t="s">
        <v>139</v>
      </c>
      <c r="OE63" s="36" t="s">
        <v>139</v>
      </c>
      <c r="OF63" s="36" t="s">
        <v>139</v>
      </c>
      <c r="OG63" s="36" t="s">
        <v>139</v>
      </c>
      <c r="OH63" s="36" t="s">
        <v>139</v>
      </c>
      <c r="OI63" s="36" t="s">
        <v>139</v>
      </c>
      <c r="OJ63" s="36" t="s">
        <v>139</v>
      </c>
      <c r="OK63" s="36" t="s">
        <v>139</v>
      </c>
      <c r="OL63" s="36" t="s">
        <v>139</v>
      </c>
      <c r="OM63" s="36" t="s">
        <v>139</v>
      </c>
      <c r="ON63" s="36" t="s">
        <v>139</v>
      </c>
      <c r="OO63" s="36" t="s">
        <v>139</v>
      </c>
      <c r="OP63" s="36" t="s">
        <v>139</v>
      </c>
      <c r="OQ63" s="36" t="s">
        <v>139</v>
      </c>
      <c r="OR63" s="36" t="s">
        <v>139</v>
      </c>
      <c r="OS63" s="36" t="s">
        <v>139</v>
      </c>
      <c r="OT63" s="36" t="s">
        <v>139</v>
      </c>
      <c r="OU63" s="36" t="s">
        <v>139</v>
      </c>
      <c r="OV63" s="36" t="s">
        <v>139</v>
      </c>
      <c r="OW63" s="36" t="s">
        <v>139</v>
      </c>
      <c r="OX63" s="36" t="s">
        <v>139</v>
      </c>
      <c r="OY63" s="36" t="s">
        <v>139</v>
      </c>
      <c r="OZ63" s="36" t="s">
        <v>139</v>
      </c>
      <c r="PA63" s="36" t="s">
        <v>139</v>
      </c>
      <c r="PB63" s="36" t="s">
        <v>139</v>
      </c>
      <c r="PC63" s="36" t="s">
        <v>139</v>
      </c>
      <c r="PD63" s="36" t="s">
        <v>139</v>
      </c>
      <c r="PE63" s="36" t="s">
        <v>139</v>
      </c>
      <c r="PF63" s="36" t="s">
        <v>139</v>
      </c>
      <c r="PG63" s="36" t="s">
        <v>139</v>
      </c>
      <c r="PH63" s="36" t="s">
        <v>139</v>
      </c>
      <c r="PI63" s="36" t="s">
        <v>139</v>
      </c>
      <c r="PJ63" s="36" t="s">
        <v>139</v>
      </c>
      <c r="PK63" s="36" t="s">
        <v>139</v>
      </c>
      <c r="PL63" s="36" t="s">
        <v>139</v>
      </c>
      <c r="PM63" s="36" t="s">
        <v>139</v>
      </c>
      <c r="PN63" s="36" t="s">
        <v>139</v>
      </c>
      <c r="PO63" s="74">
        <f>COUNTIFS($C$27:$PN$27,("&lt;"&amp;$B$3),$C$27:$PN$27,("&gt;="&amp;$B$2),$C63:$PN63,TabAsistencias[[#Headers],[1]])</f>
        <v>30</v>
      </c>
      <c r="PP63" s="74">
        <f>COUNTIFS($C$27:$PN$27,("&lt;"&amp;$B$3),$C$27:$PN$27,("&gt;="&amp;$B$2),$C63:$PN63,TabAsistencias[[#Headers],[E]])</f>
        <v>0</v>
      </c>
      <c r="PQ63" s="74">
        <f>COUNTIFS($C$27:$PN$27,("&lt;"&amp;$B$3),$C$27:$PN$27,("&gt;="&amp;$B$2),$C63:$PN63,TabAsistencias[[#Headers],[DE]])</f>
        <v>0</v>
      </c>
      <c r="PR63" s="74">
        <f>COUNTIFS($C$27:$PN$27,("&lt;"&amp;$B$3),$C$27:$PN$27,("&gt;="&amp;$B$2),$C63:$PN63,TabAsistencias[[#Headers],[V]])</f>
        <v>0</v>
      </c>
      <c r="PS63" s="74">
        <f>COUNTIFS($C$27:$PN$27,("&lt;"&amp;$B$3),$C$27:$PN$27,("&gt;="&amp;$B$2),$C63:$PN63,TabAsistencias[[#Headers],[DO]])</f>
        <v>0</v>
      </c>
      <c r="PT63" s="74">
        <f>COUNTIFS($C$27:$PN$27,("&lt;"&amp;$B$3),$C$27:$PN$27,("&gt;="&amp;$B$2),$C63:$PN63,TabAsistencias[[#Headers],[P]])</f>
        <v>0</v>
      </c>
      <c r="PU63" s="74">
        <f>COUNTIFS($C$27:$PN$27,("&lt;"&amp;$B$3),$C$27:$PN$27,("&gt;="&amp;$B$2),$C63:$PN63,TabAsistencias[[#Headers],[F]])</f>
        <v>0</v>
      </c>
      <c r="PV63" s="74">
        <f>COUNTIFS($C$27:$PN$27,("&lt;"&amp;$B$3),$C$27:$PN$27,("&gt;="&amp;$B$2),$C63:$PN63,TabAsistencias[[#Headers],[R]])</f>
        <v>0</v>
      </c>
      <c r="PW63" s="74">
        <f>COUNTIFS($C$27:$PN$27,("&lt;"&amp;$B$3),$C$27:$PN$27,("&gt;="&amp;$B$2),$C63:$PN63,TabAsistencias[[#Headers],[PP]])</f>
        <v>0</v>
      </c>
      <c r="PX63" s="74">
        <f>COUNTIFS($C$27:$PN$27,("&lt;"&amp;$B$3),$C$27:$PN$27,("&gt;="&amp;$B$2),$C63:$PN63,TabAsistencias[[#Headers],[0]])</f>
        <v>0</v>
      </c>
      <c r="PY63" s="74">
        <f>COUNTIFS($C$27:$PN$27,("&lt;"&amp;$B$3),$C$27:$PN$27,("&gt;="&amp;$B$2),$C63:$PN63,TabAsistencias[[#Headers],[IG]])</f>
        <v>0</v>
      </c>
      <c r="PZ63" s="74">
        <f>COUNTIFS($C$27:$PN$27,("&lt;"&amp;$B$3),$C$27:$PN$27,("&gt;="&amp;$B$2),$C63:$PN63,TabAsistencias[[#Headers],[NA]])</f>
        <v>0</v>
      </c>
      <c r="QA63" s="74">
        <f>COUNTIFS($C$27:$PN$27,("&lt;"&amp;$B$3),$C$27:$PN$27,("&gt;="&amp;$B$2),$C63:$PN63,TabAsistencias[[#Headers],[DF]])</f>
        <v>0</v>
      </c>
      <c r="QB63" s="74">
        <f>COUNTIFS($C$27:$PN$27,("&lt;"&amp;$B$3),$C$27:$PN$27,("&gt;="&amp;$B$2),$C63:$PN63,TabAsistencias[[#Headers],[3]])</f>
        <v>0</v>
      </c>
      <c r="QC63" s="74">
        <f>COUNTIFS($C$27:$PN$27,("&lt;"&amp;$B$3),$C$27:$PN$27,("&gt;="&amp;$B$2),$C63:$PN63,TabAsistencias[[#Headers],[CP]])</f>
        <v>0</v>
      </c>
      <c r="QD63" s="74">
        <f>COUNTIFS($C$27:$PN$27,("&lt;"&amp;$B$3),$C$27:$PN$27,("&gt;="&amp;$B$2),$C63:$PN63,TabAsistencias[[#Headers],[I]])</f>
        <v>0</v>
      </c>
      <c r="QE63" s="74">
        <f>COUNTIFS($C$27:$PN$27,("&lt;"&amp;$B$3),$C$27:$PN$27,("&gt;="&amp;$B$2),$C63:$PN63,TabAsistencias[[#Headers],[T/2]])</f>
        <v>0</v>
      </c>
      <c r="QF63" s="74">
        <f>COUNTIFS($C$27:$PN$27,("&lt;"&amp;$B$3),$C$27:$PN$27,("&gt;="&amp;$B$2),$C63:$PN63,TabAsistencias[[#Headers],[ME]])</f>
        <v>0</v>
      </c>
      <c r="QG63" s="74">
        <f>COUNTIFS($C$27:$PN$27,("&lt;"&amp;$B$3),$C$27:$PN$27,("&gt;="&amp;$B$2),$C63:$PN63,TabAsistencias[[#Headers],[DP]])</f>
        <v>0</v>
      </c>
      <c r="QH63" s="74">
        <f>COUNTIFS($C$27:$PN$27,("&lt;"&amp;$B$3),$C$27:$PN$27,("&gt;="&amp;$B$2),$C63:$PN63,TabAsistencias[[#Headers],[B]])</f>
        <v>0</v>
      </c>
      <c r="QI63" s="74">
        <f>(TabAsistencias[[#This Row],[1]]*'Tablas de informacion'!$C$124)+(TabAsistencias[[#This Row],[E]]*'Tablas de informacion'!$C$125)+(TabAsistencias[[#This Row],[DE]]*'Tablas de informacion'!C$126)+(TabAsistencias[[#This Row],[V]]*'Tablas de informacion'!C$127)+(TabAsistencias[[#This Row],[DO]]*'Tablas de informacion'!C$128)+(TabAsistencias[[#This Row],[P]]*'Tablas de informacion'!C$129)+(TabAsistencias[[#This Row],[F]]*'Tablas de informacion'!C$130)+(TabAsistencias[[#This Row],[R]]*'Tablas de informacion'!C$131)+(TabAsistencias[[#This Row],[PP]]*'Tablas de informacion'!C$132)+(TabAsistencias[[#This Row],[0]]*'Tablas de informacion'!C$133)+(TabAsistencias[[#This Row],[IG]]*'Tablas de informacion'!C$134)+(TabAsistencias[[#This Row],[NA]]*'Tablas de informacion'!C$135)+(TabAsistencias[[#This Row],[DF]]*'Tablas de informacion'!C$136)+(TabAsistencias[[#This Row],[3]]*'Tablas de informacion'!C$137)+(TabAsistencias[[#This Row],[CP]]*'Tablas de informacion'!C$138)+(TabAsistencias[[#This Row],[I]]*'Tablas de informacion'!C$139)+(TabAsistencias[[#This Row],[T/2]]*'Tablas de informacion'!C$140)+(TabAsistencias[[#This Row],[ME]]*'Tablas de informacion'!C$141)+(TabAsistencias[[#This Row],[DP]]*'Tablas de informacion'!C$142)+(TabAsistencias[[#This Row],[B]]*'Tablas de informacion'!C$143)-INT(TabAsistencias[[#This Row],[R]]/3)</f>
        <v>30</v>
      </c>
      <c r="QJ63" s="74">
        <f>COUNTIFS($C$27:$PN$27,("&lt;"&amp;$B$3),$C$27:$PN$27,("&gt;="&amp;$B$2),$C$28:$PN$28,1,$C63:$PN63,TabAsistencias[[#Headers],[1]])+
COUNTIFS($C$27:$PN$27,("&lt;"&amp;$B$3),$C$27:$PN$27,("&gt;="&amp;$B$2),$C$28:$PN$28,1,$C63:$PN63,TabAsistencias[[#Headers],[DO]])+
COUNTIFS($C$27:$PN$27,("&lt;"&amp;$B$3),$C$27:$PN$27,("&gt;="&amp;$B$2),$C$28:$PN$28,1,$C63:$PN63,TabAsistencias[[#Headers],[R]])+
COUNTIFS($C$27:$PN$27,("&lt;"&amp;$B$3),$C$27:$PN$27,("&gt;="&amp;$B$2),$C$28:$PN$28,1,$C63:$PN63,TabAsistencias[[#Headers],[NA]])+
COUNTIFS($C$27:$PN$27,("&lt;"&amp;$B$3),$C$27:$PN$27,("&gt;="&amp;$B$2),$C$28:$PN$28,1,$C63:$PN63,TabAsistencias[[#Headers],[DF]])+
COUNTIFS($C$27:$PN$27,("&lt;"&amp;$B$3),$C$27:$PN$27,("&gt;="&amp;$B$2),$C$28:$PN$28,1,$C63:$PN63,TabAsistencias[[#Headers],[3]])+
COUNTIFS($C$27:$PN$27,("&lt;"&amp;$B$3),$C$27:$PN$27,("&gt;="&amp;$B$2),$C$28:$PN$28,1,$C63:$PN63,TabAsistencias[[#Headers],[CP]])+
COUNTIFS($C$27:$PN$27,("&lt;"&amp;$B$3),$C$27:$PN$27,("&gt;="&amp;$B$2),$C$28:$PN$28,1,$C63:$PN63,TabAsistencias[[#Headers],[T/2]])</f>
        <v>4</v>
      </c>
      <c r="QK63" s="315" cm="1">
        <f t="array" ref="QK63">IFERROR(VLOOKUP(
DATEDIF((VLOOKUP(TabAsistencias[[#This Row],[ID]],TabEmpleados[],COLUMN(TabEmpleados[Fecha de ingreso]),FALSE)),Asistencias!$B$3,"Y"),
TabFactorIntegracion[],COLUMN(TabFactorIntegracion[Días vacacionales
establecidos por ley]),FALSE),0)
-
COUNTIF($AH63:$PN63,TabAsistencias[[#Headers],[V]])</f>
        <v>12</v>
      </c>
      <c r="QL63" s="319">
        <f>SUM(TabAsistencias[[#This Row],[''1]],TabAsistencias[[#This Row],[''DE]],TabAsistencias[[#This Row],[''DO]],TabAsistencias[[#This Row],[''R]],TabAsistencias[[#This Row],[''NA]],TabAsistencias[[#This Row],[''DF]],TabAsistencias[[#This Row],[''3]],TabAsistencias[[#This Row],[''CP]],TabAsistencias[[#This Row],[''T/2]],TabAsistencias[[#This Row],[''DP]])</f>
        <v>73</v>
      </c>
      <c r="QM63" s="314">
        <f>COUNTIFS($C$27:$PN$27,("&lt;"&amp;$B$5),$C$27:$PN$27,("&gt;="&amp;$B$4),$C63:$PN63,TabAsistencias[[#Headers],[1]])</f>
        <v>73</v>
      </c>
      <c r="QN63" s="314">
        <f>COUNTIFS($C$27:$PN$27,("&lt;"&amp;$B$5),$C$27:$PN$27,("&gt;="&amp;$B$4),$C63:$PN63,TabAsistencias[[#Headers],[DE]])</f>
        <v>0</v>
      </c>
      <c r="QO63" s="314">
        <f>COUNTIFS($C$27:$PN$27,("&lt;"&amp;$B$5),$C$27:$PN$27,("&gt;="&amp;$B$4),$C63:$PN63,TabAsistencias[[#Headers],[V]])</f>
        <v>0</v>
      </c>
      <c r="QP63" s="314">
        <f>COUNTIFS($C$27:$PN$27,("&lt;"&amp;$B$5),$C$27:$PN$27,("&gt;="&amp;$B$4),$C63:$PN63,TabAsistencias[[#Headers],[DO]])</f>
        <v>0</v>
      </c>
      <c r="QQ63" s="314">
        <f>COUNTIFS($C$27:$PN$27,("&lt;"&amp;$B$5),$C$27:$PN$27,("&gt;="&amp;$B$4),$C63:$PN63,TabAsistencias[[#Headers],[P]])</f>
        <v>0</v>
      </c>
      <c r="QR63" s="314">
        <f>COUNTIFS($C$27:$PN$27,("&lt;"&amp;$B$5),$C$27:$PN$27,("&gt;="&amp;$B$4),$C63:$PN63,TabAsistencias[[#Headers],[F]])</f>
        <v>0</v>
      </c>
      <c r="QS63" s="314">
        <f>COUNTIFS($C$27:$PN$27,("&lt;"&amp;$B$5),$C$27:$PN$27,("&gt;="&amp;$B$4),$C63:$PN63,TabAsistencias[[#Headers],[R]])</f>
        <v>0</v>
      </c>
      <c r="QT63" s="314">
        <f>COUNTIFS($C$27:$PN$27,("&lt;"&amp;$B$5),$C$27:$PN$27,("&gt;="&amp;$B$4),$C63:$PN63,TabAsistencias[[#Headers],[PP]])</f>
        <v>0</v>
      </c>
      <c r="QU63" s="314">
        <f>COUNTIFS($C$27:$PN$27,("&lt;"&amp;$B$5),$C$27:$PN$27,("&gt;="&amp;$B$4),$C63:$PN63,TabAsistencias[[#Headers],[0]])</f>
        <v>0</v>
      </c>
      <c r="QV63" s="314">
        <f>COUNTIFS($C$27:$PN$27,("&lt;"&amp;$B$5),$C$27:$PN$27,("&gt;="&amp;$B$4),$C63:$PN63,TabAsistencias[[#Headers],[IG]])</f>
        <v>0</v>
      </c>
      <c r="QW63" s="314">
        <f>COUNTIFS($C$27:$PN$27,("&lt;"&amp;$B$5),$C$27:$PN$27,("&gt;="&amp;$B$4),$C63:$PN63,TabAsistencias[[#Headers],[NA]])</f>
        <v>0</v>
      </c>
      <c r="QX63" s="314">
        <f>COUNTIFS($C$27:$PN$27,("&lt;"&amp;$B$5),$C$27:$PN$27,("&gt;="&amp;$B$4),$C63:$PN63,TabAsistencias[[#Headers],[DF]])</f>
        <v>0</v>
      </c>
      <c r="QY63" s="314">
        <f>COUNTIFS($C$27:$PN$27,("&lt;"&amp;$B$5),$C$27:$PN$27,("&gt;="&amp;$B$4),$C63:$PN63,TabAsistencias[[#Headers],[3]])</f>
        <v>0</v>
      </c>
      <c r="QZ63" s="314">
        <f>COUNTIFS($C$27:$PN$27,("&lt;"&amp;$B$5),$C$27:$PN$27,("&gt;="&amp;$B$4),$C63:$PN63,TabAsistencias[[#Headers],[CP]])</f>
        <v>0</v>
      </c>
      <c r="RA63" s="314">
        <f>COUNTIFS($C$27:$PN$27,("&lt;"&amp;$B$5),$C$27:$PN$27,("&gt;="&amp;$B$4),$C63:$PN63,TabAsistencias[[#Headers],[I]])</f>
        <v>0</v>
      </c>
      <c r="RB63" s="314">
        <f>COUNTIFS($C$27:$PN$27,("&lt;"&amp;$B$5),$C$27:$PN$27,("&gt;="&amp;$B$4),$C63:$PN63,TabAsistencias[[#Headers],[T/2]])</f>
        <v>0</v>
      </c>
      <c r="RC63" s="314">
        <f>COUNTIFS($C$27:$PN$27,("&lt;"&amp;$B$5),$C$27:$PN$27,("&gt;="&amp;$B$4),$C63:$PN63,TabAsistencias[[#Headers],[ME]])</f>
        <v>0</v>
      </c>
      <c r="RD63" s="314">
        <f>COUNTIFS($C$27:$PN$27,("&lt;"&amp;$B$5),$C$27:$PN$27,("&gt;="&amp;$B$4),$C63:$PN63,TabAsistencias[[#Headers],[DP]])</f>
        <v>0</v>
      </c>
      <c r="RE63" s="314">
        <f>COUNTIFS($C$27:$PN$27,("&lt;"&amp;$B$5),$C$27:$PN$27,("&gt;="&amp;$B$4),$C63:$PN63,TabAsistencias[[#Headers],[B]])</f>
        <v>0</v>
      </c>
      <c r="RF63" s="314">
        <f>COUNTIFS($C$27:$PN$27,("&lt;"&amp;$B$5),$C$27:$PN$27,("&gt;="&amp;$B$4),$C$28:$PN$28,1,$C63:$PN63,TabAsistencias[[#Headers],[1]])+
COUNTIFS($C$27:$PN$27,("&lt;"&amp;$B$5),$C$27:$PN$27,("&gt;="&amp;$B$4),$C$28:$PN$28,1,$C63:$PN63,TabAsistencias[[#Headers],[DO]])+
COUNTIFS($C$27:$PN$27,("&lt;"&amp;$B$5),$C$27:$PN$27,("&gt;="&amp;$B$4),$C$28:$PN$28,1,$C63:$PN63,TabAsistencias[[#Headers],[R]])+
COUNTIFS($C$27:$PN$27,("&lt;"&amp;$B$5),$C$27:$PN$27,("&gt;="&amp;$B$4),$C$28:$PN$28,1,$C63:$PN63,TabAsistencias[[#Headers],[NA]])+
COUNTIFS($C$27:$PN$27,("&lt;"&amp;$B$5),$C$27:$PN$27,("&gt;="&amp;$B$4),$C$28:$PN$28,1,$C63:$PN63,TabAsistencias[[#Headers],[DF]])+
COUNTIFS($C$27:$PN$27,("&lt;"&amp;$B$5),$C$27:$PN$27,("&gt;="&amp;$B$4),$C$28:$PN$28,1,$C63:$PN63,TabAsistencias[[#Headers],[3]])+
COUNTIFS($C$27:$PN$27,("&lt;"&amp;$B$5),$C$27:$PN$27,("&gt;="&amp;$B$4),$C$28:$PN$28,1,$C63:$PN63,TabAsistencias[[#Headers],[CP]])+
COUNTIFS($C$27:$PN$27,("&lt;"&amp;$B$5),$C$27:$PN$27,("&gt;="&amp;$B$4),$C$28:$PN$28,1,$C63:$PN63,TabAsistencias[[#Headers],[T/2]])</f>
        <v>11</v>
      </c>
      <c r="RG63" s="320" cm="1">
        <f t="array" ref="RG63">IFERROR(VLOOKUP(
DATEDIF((VLOOKUP(TabAsistencias[[#This Row],[ID]],TabEmpleados[],COLUMN(TabEmpleados[Fecha de alta NSS]),FALSE)),Asistencias!$B$3,"Y"),
TabFactorIntegracion[],COLUMN(TabFactorIntegracion[Días vacacionales
establecidos por ley]),FALSE),0)
-
COUNTIF($AH63:$PN63,TabAsistencias[[#Headers],[V]])</f>
        <v>12</v>
      </c>
    </row>
    <row r="64" spans="1:475" x14ac:dyDescent="0.25">
      <c r="A64" s="92">
        <f t="shared" si="434"/>
        <v>34</v>
      </c>
      <c r="B64" s="30" t="str" cm="1">
        <f t="array" ref="B64">VLOOKUP(TabAsistencias[[#This Row],[ID]],TabEmpleados[],COLUMN(TabEmpleados[Nombre]),FALSE)</f>
        <v>ESPINOSA RUBIÑOS CARLOS RAMON</v>
      </c>
      <c r="C64" s="36" t="s">
        <v>139</v>
      </c>
      <c r="D64" s="36" t="s">
        <v>139</v>
      </c>
      <c r="E64" s="36" t="s">
        <v>139</v>
      </c>
      <c r="F64" s="36" t="s">
        <v>139</v>
      </c>
      <c r="G64" s="36" t="s">
        <v>139</v>
      </c>
      <c r="H64" s="36" t="s">
        <v>139</v>
      </c>
      <c r="I64" s="36" t="s">
        <v>139</v>
      </c>
      <c r="J64" s="36" t="s">
        <v>139</v>
      </c>
      <c r="K64" s="36" t="s">
        <v>139</v>
      </c>
      <c r="L64" s="36" t="s">
        <v>139</v>
      </c>
      <c r="M64" s="36" t="s">
        <v>139</v>
      </c>
      <c r="N64" s="36" t="s">
        <v>139</v>
      </c>
      <c r="O64" s="36" t="s">
        <v>139</v>
      </c>
      <c r="P64" s="36" t="s">
        <v>139</v>
      </c>
      <c r="Q64" s="36" t="s">
        <v>139</v>
      </c>
      <c r="R64" s="36" t="s">
        <v>139</v>
      </c>
      <c r="S64" s="36" t="s">
        <v>139</v>
      </c>
      <c r="T64" s="36" t="s">
        <v>139</v>
      </c>
      <c r="U64" s="36" t="s">
        <v>139</v>
      </c>
      <c r="V64" s="36" t="s">
        <v>139</v>
      </c>
      <c r="W64" s="36" t="s">
        <v>139</v>
      </c>
      <c r="X64" s="36" t="s">
        <v>139</v>
      </c>
      <c r="Y64" s="36" t="s">
        <v>139</v>
      </c>
      <c r="Z64" s="36" t="s">
        <v>139</v>
      </c>
      <c r="AA64" s="36" t="s">
        <v>139</v>
      </c>
      <c r="AB64" s="36" t="s">
        <v>139</v>
      </c>
      <c r="AC64" s="36" t="s">
        <v>139</v>
      </c>
      <c r="AD64" s="36" t="s">
        <v>139</v>
      </c>
      <c r="AE64" s="36" t="s">
        <v>139</v>
      </c>
      <c r="AF64" s="36" t="s">
        <v>139</v>
      </c>
      <c r="AG64" s="36" t="s">
        <v>139</v>
      </c>
      <c r="AH64" s="36" t="s">
        <v>139</v>
      </c>
      <c r="AI64" s="36" t="s">
        <v>139</v>
      </c>
      <c r="AJ64" s="36" t="s">
        <v>139</v>
      </c>
      <c r="AK64" s="36" t="s">
        <v>139</v>
      </c>
      <c r="AL64" s="36" t="s">
        <v>139</v>
      </c>
      <c r="AM64" s="36" t="s">
        <v>139</v>
      </c>
      <c r="AN64" s="36" t="s">
        <v>139</v>
      </c>
      <c r="AO64" s="36" t="s">
        <v>139</v>
      </c>
      <c r="AP64" s="36" t="s">
        <v>139</v>
      </c>
      <c r="AQ64" s="36" t="s">
        <v>139</v>
      </c>
      <c r="AR64" s="36" t="s">
        <v>139</v>
      </c>
      <c r="AS64" s="36" t="s">
        <v>139</v>
      </c>
      <c r="AT64" s="36" t="s">
        <v>139</v>
      </c>
      <c r="AU64" s="36" t="s">
        <v>139</v>
      </c>
      <c r="AV64" s="36" t="s">
        <v>139</v>
      </c>
      <c r="AW64" s="36" t="s">
        <v>139</v>
      </c>
      <c r="AX64" s="36" t="s">
        <v>139</v>
      </c>
      <c r="AY64" s="36" t="s">
        <v>139</v>
      </c>
      <c r="AZ64" s="36" t="s">
        <v>139</v>
      </c>
      <c r="BA64" s="36" t="s">
        <v>139</v>
      </c>
      <c r="BB64" s="36" t="s">
        <v>139</v>
      </c>
      <c r="BC64" s="36" t="s">
        <v>139</v>
      </c>
      <c r="BD64" s="36" t="s">
        <v>139</v>
      </c>
      <c r="BE64" s="36" t="s">
        <v>139</v>
      </c>
      <c r="BF64" s="36" t="s">
        <v>139</v>
      </c>
      <c r="BG64" s="36" t="s">
        <v>139</v>
      </c>
      <c r="BH64" s="36" t="s">
        <v>139</v>
      </c>
      <c r="BI64" s="36" t="s">
        <v>139</v>
      </c>
      <c r="BJ64" s="36" t="s">
        <v>139</v>
      </c>
      <c r="BK64" s="36" t="s">
        <v>139</v>
      </c>
      <c r="BL64" s="36" t="s">
        <v>139</v>
      </c>
      <c r="BM64" s="36" t="s">
        <v>139</v>
      </c>
      <c r="BN64" s="36" t="s">
        <v>139</v>
      </c>
      <c r="BO64" s="36" t="s">
        <v>139</v>
      </c>
      <c r="BP64" s="36" t="s">
        <v>139</v>
      </c>
      <c r="BQ64" s="36" t="s">
        <v>139</v>
      </c>
      <c r="BR64" s="36" t="s">
        <v>139</v>
      </c>
      <c r="BS64" s="36" t="s">
        <v>139</v>
      </c>
      <c r="BT64" s="36" t="s">
        <v>139</v>
      </c>
      <c r="BU64" s="36" t="s">
        <v>139</v>
      </c>
      <c r="BV64" s="36" t="s">
        <v>139</v>
      </c>
      <c r="BW64" s="36" t="s">
        <v>139</v>
      </c>
      <c r="BX64" s="36" t="s">
        <v>139</v>
      </c>
      <c r="BY64" s="36" t="s">
        <v>139</v>
      </c>
      <c r="BZ64" s="36" t="s">
        <v>139</v>
      </c>
      <c r="CA64" s="36" t="s">
        <v>139</v>
      </c>
      <c r="CB64" s="36" t="s">
        <v>139</v>
      </c>
      <c r="CC64" s="36" t="s">
        <v>139</v>
      </c>
      <c r="CD64" s="36" t="s">
        <v>139</v>
      </c>
      <c r="CE64" s="36" t="s">
        <v>139</v>
      </c>
      <c r="CF64" s="36" t="s">
        <v>139</v>
      </c>
      <c r="CG64" s="36" t="s">
        <v>139</v>
      </c>
      <c r="CH64" s="36" t="s">
        <v>139</v>
      </c>
      <c r="CI64" s="36" t="s">
        <v>139</v>
      </c>
      <c r="CJ64" s="36" t="s">
        <v>139</v>
      </c>
      <c r="CK64" s="36" t="s">
        <v>139</v>
      </c>
      <c r="CL64" s="36" t="s">
        <v>139</v>
      </c>
      <c r="CM64" s="36" t="s">
        <v>139</v>
      </c>
      <c r="CN64" s="36" t="s">
        <v>139</v>
      </c>
      <c r="CO64" s="36" t="s">
        <v>139</v>
      </c>
      <c r="CP64" s="36" t="s">
        <v>139</v>
      </c>
      <c r="CQ64" s="36" t="s">
        <v>139</v>
      </c>
      <c r="CR64" s="36" t="s">
        <v>139</v>
      </c>
      <c r="CS64" s="36" t="s">
        <v>139</v>
      </c>
      <c r="CT64" s="36" t="s">
        <v>139</v>
      </c>
      <c r="CU64" s="36" t="s">
        <v>139</v>
      </c>
      <c r="CV64" s="36" t="s">
        <v>139</v>
      </c>
      <c r="CW64" s="36" t="s">
        <v>139</v>
      </c>
      <c r="CX64" s="36" t="s">
        <v>139</v>
      </c>
      <c r="CY64" s="36" t="s">
        <v>139</v>
      </c>
      <c r="CZ64" s="36" t="s">
        <v>139</v>
      </c>
      <c r="DA64" s="36" t="s">
        <v>139</v>
      </c>
      <c r="DB64" s="36" t="s">
        <v>139</v>
      </c>
      <c r="DC64" s="36" t="s">
        <v>139</v>
      </c>
      <c r="DD64" s="36" t="s">
        <v>139</v>
      </c>
      <c r="DE64" s="36" t="s">
        <v>139</v>
      </c>
      <c r="DF64" s="36" t="s">
        <v>139</v>
      </c>
      <c r="DG64" s="36" t="s">
        <v>139</v>
      </c>
      <c r="DH64" s="36" t="s">
        <v>139</v>
      </c>
      <c r="DI64" s="36" t="s">
        <v>139</v>
      </c>
      <c r="DJ64" s="36" t="s">
        <v>139</v>
      </c>
      <c r="DK64" s="36" t="s">
        <v>139</v>
      </c>
      <c r="DL64" s="36" t="s">
        <v>139</v>
      </c>
      <c r="DM64" s="36" t="s">
        <v>139</v>
      </c>
      <c r="DN64" s="36" t="s">
        <v>139</v>
      </c>
      <c r="DO64" s="36" t="s">
        <v>139</v>
      </c>
      <c r="DP64" s="36" t="s">
        <v>139</v>
      </c>
      <c r="DQ64" s="36" t="s">
        <v>139</v>
      </c>
      <c r="DR64" s="36" t="s">
        <v>139</v>
      </c>
      <c r="DS64" s="36" t="s">
        <v>139</v>
      </c>
      <c r="DT64" s="36" t="s">
        <v>139</v>
      </c>
      <c r="DU64" s="36" t="s">
        <v>139</v>
      </c>
      <c r="DV64" s="36" t="s">
        <v>139</v>
      </c>
      <c r="DW64" s="36" t="s">
        <v>139</v>
      </c>
      <c r="DX64" s="36" t="s">
        <v>139</v>
      </c>
      <c r="DY64" s="36" t="s">
        <v>139</v>
      </c>
      <c r="DZ64" s="36" t="s">
        <v>139</v>
      </c>
      <c r="EA64" s="36" t="s">
        <v>139</v>
      </c>
      <c r="EB64" s="36" t="s">
        <v>139</v>
      </c>
      <c r="EC64" s="36" t="s">
        <v>139</v>
      </c>
      <c r="ED64" s="36" t="s">
        <v>139</v>
      </c>
      <c r="EE64" s="36" t="s">
        <v>139</v>
      </c>
      <c r="EF64" s="36" t="s">
        <v>139</v>
      </c>
      <c r="EG64" s="36" t="s">
        <v>139</v>
      </c>
      <c r="EH64" s="36" t="s">
        <v>139</v>
      </c>
      <c r="EI64" s="36" t="s">
        <v>139</v>
      </c>
      <c r="EJ64" s="36" t="s">
        <v>139</v>
      </c>
      <c r="EK64" s="36" t="s">
        <v>139</v>
      </c>
      <c r="EL64" s="36" t="s">
        <v>139</v>
      </c>
      <c r="EM64" s="36" t="s">
        <v>139</v>
      </c>
      <c r="EN64" s="36" t="s">
        <v>139</v>
      </c>
      <c r="EO64" s="36" t="s">
        <v>139</v>
      </c>
      <c r="EP64" s="36" t="s">
        <v>139</v>
      </c>
      <c r="EQ64" s="36" t="s">
        <v>139</v>
      </c>
      <c r="ER64" s="36" t="s">
        <v>139</v>
      </c>
      <c r="ES64" s="36" t="s">
        <v>139</v>
      </c>
      <c r="ET64" s="36" t="s">
        <v>139</v>
      </c>
      <c r="EU64" s="36" t="s">
        <v>139</v>
      </c>
      <c r="EV64" s="36" t="s">
        <v>139</v>
      </c>
      <c r="EW64" s="36" t="s">
        <v>139</v>
      </c>
      <c r="EX64" s="36" t="s">
        <v>139</v>
      </c>
      <c r="EY64" s="36" t="s">
        <v>139</v>
      </c>
      <c r="EZ64" s="36" t="s">
        <v>139</v>
      </c>
      <c r="FA64" s="36" t="s">
        <v>139</v>
      </c>
      <c r="FB64" s="36" t="s">
        <v>139</v>
      </c>
      <c r="FC64" s="36" t="s">
        <v>139</v>
      </c>
      <c r="FD64" s="36" t="s">
        <v>139</v>
      </c>
      <c r="FE64" s="36" t="s">
        <v>139</v>
      </c>
      <c r="FF64" s="36" t="s">
        <v>139</v>
      </c>
      <c r="FG64" s="36" t="s">
        <v>139</v>
      </c>
      <c r="FH64" s="36" t="s">
        <v>139</v>
      </c>
      <c r="FI64" s="36" t="s">
        <v>139</v>
      </c>
      <c r="FJ64" s="36" t="s">
        <v>139</v>
      </c>
      <c r="FK64" s="36" t="s">
        <v>139</v>
      </c>
      <c r="FL64" s="36" t="s">
        <v>139</v>
      </c>
      <c r="FM64" s="36" t="s">
        <v>139</v>
      </c>
      <c r="FN64" s="36" t="s">
        <v>139</v>
      </c>
      <c r="FO64" s="36" t="s">
        <v>139</v>
      </c>
      <c r="FP64" s="36" t="s">
        <v>139</v>
      </c>
      <c r="FQ64" s="36" t="s">
        <v>139</v>
      </c>
      <c r="FR64" s="36" t="s">
        <v>139</v>
      </c>
      <c r="FS64" s="36" t="s">
        <v>139</v>
      </c>
      <c r="FT64" s="36" t="s">
        <v>139</v>
      </c>
      <c r="FU64" s="36" t="s">
        <v>139</v>
      </c>
      <c r="FV64" s="36" t="s">
        <v>139</v>
      </c>
      <c r="FW64" s="36" t="s">
        <v>139</v>
      </c>
      <c r="FX64" s="36" t="s">
        <v>139</v>
      </c>
      <c r="FY64" s="36" t="s">
        <v>139</v>
      </c>
      <c r="FZ64" s="36" t="s">
        <v>139</v>
      </c>
      <c r="GA64" s="36" t="s">
        <v>139</v>
      </c>
      <c r="GB64" s="36" t="s">
        <v>139</v>
      </c>
      <c r="GC64" s="36" t="s">
        <v>139</v>
      </c>
      <c r="GD64" s="36" t="s">
        <v>139</v>
      </c>
      <c r="GE64" s="36" t="s">
        <v>139</v>
      </c>
      <c r="GF64" s="36" t="s">
        <v>139</v>
      </c>
      <c r="GG64" s="36" t="s">
        <v>139</v>
      </c>
      <c r="GH64" s="36" t="s">
        <v>139</v>
      </c>
      <c r="GI64" s="36" t="s">
        <v>139</v>
      </c>
      <c r="GJ64" s="36" t="s">
        <v>139</v>
      </c>
      <c r="GK64" s="36" t="s">
        <v>139</v>
      </c>
      <c r="GL64" s="36" t="s">
        <v>139</v>
      </c>
      <c r="GM64" s="36" t="s">
        <v>139</v>
      </c>
      <c r="GN64" s="36" t="s">
        <v>139</v>
      </c>
      <c r="GO64" s="36" t="s">
        <v>139</v>
      </c>
      <c r="GP64" s="36" t="s">
        <v>139</v>
      </c>
      <c r="GQ64" s="36" t="s">
        <v>139</v>
      </c>
      <c r="GR64" s="36" t="s">
        <v>139</v>
      </c>
      <c r="GS64" s="36" t="s">
        <v>139</v>
      </c>
      <c r="GT64" s="36" t="s">
        <v>139</v>
      </c>
      <c r="GU64" s="36" t="s">
        <v>139</v>
      </c>
      <c r="GV64" s="36" t="s">
        <v>139</v>
      </c>
      <c r="GW64" s="36" t="s">
        <v>139</v>
      </c>
      <c r="GX64" s="36" t="s">
        <v>139</v>
      </c>
      <c r="GY64" s="36" t="s">
        <v>139</v>
      </c>
      <c r="GZ64" s="36" t="s">
        <v>139</v>
      </c>
      <c r="HA64" s="36" t="s">
        <v>139</v>
      </c>
      <c r="HB64" s="36" t="s">
        <v>139</v>
      </c>
      <c r="HC64" s="36" t="s">
        <v>139</v>
      </c>
      <c r="HD64" s="36" t="s">
        <v>139</v>
      </c>
      <c r="HE64" s="36" t="s">
        <v>139</v>
      </c>
      <c r="HF64" s="36" t="s">
        <v>139</v>
      </c>
      <c r="HG64" s="36" t="s">
        <v>139</v>
      </c>
      <c r="HH64" s="36" t="s">
        <v>139</v>
      </c>
      <c r="HI64" s="36" t="s">
        <v>139</v>
      </c>
      <c r="HJ64" s="36" t="s">
        <v>139</v>
      </c>
      <c r="HK64" s="36" t="s">
        <v>139</v>
      </c>
      <c r="HL64" s="36" t="s">
        <v>139</v>
      </c>
      <c r="HM64" s="36" t="s">
        <v>139</v>
      </c>
      <c r="HN64" s="36" t="s">
        <v>139</v>
      </c>
      <c r="HO64" s="36" t="s">
        <v>139</v>
      </c>
      <c r="HP64" s="36" t="s">
        <v>139</v>
      </c>
      <c r="HQ64" s="36" t="s">
        <v>139</v>
      </c>
      <c r="HR64" s="36" t="s">
        <v>139</v>
      </c>
      <c r="HS64" s="36" t="s">
        <v>139</v>
      </c>
      <c r="HT64" s="36" t="s">
        <v>139</v>
      </c>
      <c r="HU64" s="36" t="s">
        <v>139</v>
      </c>
      <c r="HV64" s="36" t="s">
        <v>139</v>
      </c>
      <c r="HW64" s="36" t="s">
        <v>139</v>
      </c>
      <c r="HX64" s="36" t="s">
        <v>139</v>
      </c>
      <c r="HY64" s="36" t="s">
        <v>139</v>
      </c>
      <c r="HZ64" s="36" t="s">
        <v>139</v>
      </c>
      <c r="IA64" s="36" t="s">
        <v>139</v>
      </c>
      <c r="IB64" s="36" t="s">
        <v>139</v>
      </c>
      <c r="IC64" s="36" t="s">
        <v>139</v>
      </c>
      <c r="ID64" s="36" t="s">
        <v>139</v>
      </c>
      <c r="IE64" s="36" t="s">
        <v>139</v>
      </c>
      <c r="IF64" s="36" t="s">
        <v>139</v>
      </c>
      <c r="IG64" s="36" t="s">
        <v>139</v>
      </c>
      <c r="IH64" s="36" t="s">
        <v>139</v>
      </c>
      <c r="II64" s="36" t="s">
        <v>139</v>
      </c>
      <c r="IJ64" s="36" t="s">
        <v>139</v>
      </c>
      <c r="IK64" s="36" t="s">
        <v>139</v>
      </c>
      <c r="IL64" s="36" t="s">
        <v>139</v>
      </c>
      <c r="IM64" s="36" t="s">
        <v>139</v>
      </c>
      <c r="IN64" s="36" t="s">
        <v>139</v>
      </c>
      <c r="IO64" s="36" t="s">
        <v>139</v>
      </c>
      <c r="IP64" s="36" t="s">
        <v>139</v>
      </c>
      <c r="IQ64" s="36" t="s">
        <v>139</v>
      </c>
      <c r="IR64" s="36" t="s">
        <v>139</v>
      </c>
      <c r="IS64" s="36" t="s">
        <v>139</v>
      </c>
      <c r="IT64" s="36" t="s">
        <v>139</v>
      </c>
      <c r="IU64" s="36" t="s">
        <v>139</v>
      </c>
      <c r="IV64" s="36" t="s">
        <v>139</v>
      </c>
      <c r="IW64" s="36" t="s">
        <v>139</v>
      </c>
      <c r="IX64" s="36" t="s">
        <v>139</v>
      </c>
      <c r="IY64" s="36" t="s">
        <v>139</v>
      </c>
      <c r="IZ64" s="36" t="s">
        <v>139</v>
      </c>
      <c r="JA64" s="36" t="s">
        <v>139</v>
      </c>
      <c r="JB64" s="36" t="s">
        <v>139</v>
      </c>
      <c r="JC64" s="36" t="s">
        <v>139</v>
      </c>
      <c r="JD64" s="36" t="s">
        <v>139</v>
      </c>
      <c r="JE64" s="36" t="s">
        <v>139</v>
      </c>
      <c r="JF64" s="36" t="s">
        <v>139</v>
      </c>
      <c r="JG64" s="36" t="s">
        <v>139</v>
      </c>
      <c r="JH64" s="36" t="s">
        <v>139</v>
      </c>
      <c r="JI64" s="36" t="s">
        <v>139</v>
      </c>
      <c r="JJ64" s="36" t="s">
        <v>139</v>
      </c>
      <c r="JK64" s="36" t="s">
        <v>139</v>
      </c>
      <c r="JL64" s="36" t="s">
        <v>139</v>
      </c>
      <c r="JM64" s="36" t="s">
        <v>139</v>
      </c>
      <c r="JN64" s="36" t="s">
        <v>139</v>
      </c>
      <c r="JO64" s="36" t="s">
        <v>139</v>
      </c>
      <c r="JP64" s="36" t="s">
        <v>139</v>
      </c>
      <c r="JQ64" s="36" t="s">
        <v>139</v>
      </c>
      <c r="JR64" s="36" t="s">
        <v>139</v>
      </c>
      <c r="JS64" s="36" t="s">
        <v>139</v>
      </c>
      <c r="JT64" s="36" t="s">
        <v>139</v>
      </c>
      <c r="JU64" s="36" t="s">
        <v>139</v>
      </c>
      <c r="JV64" s="36" t="s">
        <v>139</v>
      </c>
      <c r="JW64" s="36" t="s">
        <v>139</v>
      </c>
      <c r="JX64" s="36" t="s">
        <v>139</v>
      </c>
      <c r="JY64" s="36" t="s">
        <v>139</v>
      </c>
      <c r="JZ64" s="36" t="s">
        <v>139</v>
      </c>
      <c r="KA64" s="36" t="s">
        <v>139</v>
      </c>
      <c r="KB64" s="36" t="s">
        <v>139</v>
      </c>
      <c r="KC64" s="36" t="s">
        <v>139</v>
      </c>
      <c r="KD64" s="36" t="s">
        <v>139</v>
      </c>
      <c r="KE64" s="36" t="s">
        <v>139</v>
      </c>
      <c r="KF64" s="36" t="s">
        <v>139</v>
      </c>
      <c r="KG64" s="36" t="s">
        <v>139</v>
      </c>
      <c r="KH64" s="36" t="s">
        <v>139</v>
      </c>
      <c r="KI64" s="36" t="s">
        <v>139</v>
      </c>
      <c r="KJ64" s="36" t="s">
        <v>139</v>
      </c>
      <c r="KK64" s="36" t="s">
        <v>139</v>
      </c>
      <c r="KL64" s="36" t="s">
        <v>139</v>
      </c>
      <c r="KM64" s="36" t="s">
        <v>139</v>
      </c>
      <c r="KN64" s="36" t="s">
        <v>139</v>
      </c>
      <c r="KO64" s="36" t="s">
        <v>139</v>
      </c>
      <c r="KP64" s="36" t="s">
        <v>139</v>
      </c>
      <c r="KQ64" s="36" t="s">
        <v>139</v>
      </c>
      <c r="KR64" s="36" t="s">
        <v>139</v>
      </c>
      <c r="KS64" s="36" t="s">
        <v>139</v>
      </c>
      <c r="KT64" s="36" t="s">
        <v>139</v>
      </c>
      <c r="KU64" s="36" t="s">
        <v>139</v>
      </c>
      <c r="KV64" s="36" t="s">
        <v>139</v>
      </c>
      <c r="KW64" s="36" t="s">
        <v>139</v>
      </c>
      <c r="KX64" s="36" t="s">
        <v>139</v>
      </c>
      <c r="KY64" s="36" t="s">
        <v>139</v>
      </c>
      <c r="KZ64" s="36" t="s">
        <v>139</v>
      </c>
      <c r="LA64" s="36" t="s">
        <v>139</v>
      </c>
      <c r="LB64" s="36" t="s">
        <v>139</v>
      </c>
      <c r="LC64" s="36" t="s">
        <v>139</v>
      </c>
      <c r="LD64" s="36" t="s">
        <v>139</v>
      </c>
      <c r="LE64" s="36" t="s">
        <v>139</v>
      </c>
      <c r="LF64" s="36" t="s">
        <v>139</v>
      </c>
      <c r="LG64" s="36" t="s">
        <v>139</v>
      </c>
      <c r="LH64" s="36" t="s">
        <v>139</v>
      </c>
      <c r="LI64" s="36" t="s">
        <v>139</v>
      </c>
      <c r="LJ64" s="36" t="s">
        <v>139</v>
      </c>
      <c r="LK64" s="36" t="s">
        <v>139</v>
      </c>
      <c r="LL64" s="36" t="s">
        <v>139</v>
      </c>
      <c r="LM64" s="36" t="s">
        <v>139</v>
      </c>
      <c r="LN64" s="36" t="s">
        <v>139</v>
      </c>
      <c r="LO64" s="36" t="s">
        <v>139</v>
      </c>
      <c r="LP64" s="36" t="s">
        <v>139</v>
      </c>
      <c r="LQ64" s="36" t="s">
        <v>139</v>
      </c>
      <c r="LR64" s="36" t="s">
        <v>139</v>
      </c>
      <c r="LS64" s="36" t="s">
        <v>139</v>
      </c>
      <c r="LT64" s="36" t="s">
        <v>139</v>
      </c>
      <c r="LU64" s="36" t="s">
        <v>139</v>
      </c>
      <c r="LV64" s="36" t="s">
        <v>139</v>
      </c>
      <c r="LW64" s="36" t="s">
        <v>139</v>
      </c>
      <c r="LX64" s="36" t="s">
        <v>139</v>
      </c>
      <c r="LY64" s="36" t="s">
        <v>139</v>
      </c>
      <c r="LZ64" s="36" t="s">
        <v>139</v>
      </c>
      <c r="MA64" s="36" t="s">
        <v>139</v>
      </c>
      <c r="MB64" s="36" t="s">
        <v>139</v>
      </c>
      <c r="MC64" s="36" t="s">
        <v>139</v>
      </c>
      <c r="MD64" s="36" t="s">
        <v>139</v>
      </c>
      <c r="ME64" s="36" t="s">
        <v>139</v>
      </c>
      <c r="MF64" s="36" t="s">
        <v>139</v>
      </c>
      <c r="MG64" s="36" t="s">
        <v>139</v>
      </c>
      <c r="MH64" s="36" t="s">
        <v>139</v>
      </c>
      <c r="MI64" s="36" t="s">
        <v>139</v>
      </c>
      <c r="MJ64" s="36" t="s">
        <v>139</v>
      </c>
      <c r="MK64" s="36" t="s">
        <v>139</v>
      </c>
      <c r="ML64" s="36" t="s">
        <v>139</v>
      </c>
      <c r="MM64" s="36" t="s">
        <v>139</v>
      </c>
      <c r="MN64" s="36" t="s">
        <v>139</v>
      </c>
      <c r="MO64" s="36" t="s">
        <v>139</v>
      </c>
      <c r="MP64" s="36" t="s">
        <v>139</v>
      </c>
      <c r="MQ64" s="36" t="s">
        <v>139</v>
      </c>
      <c r="MR64" s="36" t="s">
        <v>139</v>
      </c>
      <c r="MS64" s="36" t="s">
        <v>139</v>
      </c>
      <c r="MT64" s="36" t="s">
        <v>139</v>
      </c>
      <c r="MU64" s="36" t="s">
        <v>139</v>
      </c>
      <c r="MV64" s="36" t="s">
        <v>139</v>
      </c>
      <c r="MW64" s="36" t="s">
        <v>139</v>
      </c>
      <c r="MX64" s="36" t="s">
        <v>139</v>
      </c>
      <c r="MY64" s="36" t="s">
        <v>139</v>
      </c>
      <c r="MZ64" s="36" t="s">
        <v>139</v>
      </c>
      <c r="NA64" s="36" t="s">
        <v>139</v>
      </c>
      <c r="NB64" s="36" t="s">
        <v>139</v>
      </c>
      <c r="NC64" s="36" t="s">
        <v>139</v>
      </c>
      <c r="ND64" s="36" t="s">
        <v>139</v>
      </c>
      <c r="NE64" s="36" t="s">
        <v>139</v>
      </c>
      <c r="NF64" s="36" t="s">
        <v>139</v>
      </c>
      <c r="NG64" s="36" t="s">
        <v>139</v>
      </c>
      <c r="NH64" s="36" t="s">
        <v>139</v>
      </c>
      <c r="NI64" s="36" t="s">
        <v>139</v>
      </c>
      <c r="NJ64" s="36" t="s">
        <v>139</v>
      </c>
      <c r="NK64" s="36" t="s">
        <v>139</v>
      </c>
      <c r="NL64" s="36" t="s">
        <v>139</v>
      </c>
      <c r="NM64" s="36" t="s">
        <v>139</v>
      </c>
      <c r="NN64" s="36" t="s">
        <v>139</v>
      </c>
      <c r="NO64" s="36" t="s">
        <v>139</v>
      </c>
      <c r="NP64" s="36" t="s">
        <v>139</v>
      </c>
      <c r="NQ64" s="36" t="s">
        <v>139</v>
      </c>
      <c r="NR64" s="36" t="s">
        <v>139</v>
      </c>
      <c r="NS64" s="36" t="s">
        <v>139</v>
      </c>
      <c r="NT64" s="36" t="s">
        <v>139</v>
      </c>
      <c r="NU64" s="36" t="s">
        <v>139</v>
      </c>
      <c r="NV64" s="36" t="s">
        <v>139</v>
      </c>
      <c r="NW64" s="36" t="s">
        <v>139</v>
      </c>
      <c r="NX64" s="36" t="s">
        <v>139</v>
      </c>
      <c r="NY64" s="36" t="s">
        <v>139</v>
      </c>
      <c r="NZ64" s="36" t="s">
        <v>139</v>
      </c>
      <c r="OA64" s="36" t="s">
        <v>139</v>
      </c>
      <c r="OB64" s="36" t="s">
        <v>139</v>
      </c>
      <c r="OC64" s="36" t="s">
        <v>139</v>
      </c>
      <c r="OD64" s="36" t="s">
        <v>139</v>
      </c>
      <c r="OE64" s="36" t="s">
        <v>139</v>
      </c>
      <c r="OF64" s="36" t="s">
        <v>139</v>
      </c>
      <c r="OG64" s="36" t="s">
        <v>139</v>
      </c>
      <c r="OH64" s="36" t="s">
        <v>139</v>
      </c>
      <c r="OI64" s="36" t="s">
        <v>139</v>
      </c>
      <c r="OJ64" s="36" t="s">
        <v>139</v>
      </c>
      <c r="OK64" s="36" t="s">
        <v>139</v>
      </c>
      <c r="OL64" s="36" t="s">
        <v>139</v>
      </c>
      <c r="OM64" s="36" t="s">
        <v>139</v>
      </c>
      <c r="ON64" s="36" t="s">
        <v>139</v>
      </c>
      <c r="OO64" s="36" t="s">
        <v>139</v>
      </c>
      <c r="OP64" s="36" t="s">
        <v>139</v>
      </c>
      <c r="OQ64" s="36" t="s">
        <v>139</v>
      </c>
      <c r="OR64" s="36" t="s">
        <v>139</v>
      </c>
      <c r="OS64" s="36" t="s">
        <v>139</v>
      </c>
      <c r="OT64" s="36" t="s">
        <v>139</v>
      </c>
      <c r="OU64" s="36" t="s">
        <v>139</v>
      </c>
      <c r="OV64" s="36" t="s">
        <v>139</v>
      </c>
      <c r="OW64" s="36" t="s">
        <v>139</v>
      </c>
      <c r="OX64" s="36" t="s">
        <v>139</v>
      </c>
      <c r="OY64" s="36" t="s">
        <v>139</v>
      </c>
      <c r="OZ64" s="36" t="s">
        <v>139</v>
      </c>
      <c r="PA64" s="36" t="s">
        <v>139</v>
      </c>
      <c r="PB64" s="36" t="s">
        <v>139</v>
      </c>
      <c r="PC64" s="36" t="s">
        <v>139</v>
      </c>
      <c r="PD64" s="36" t="s">
        <v>139</v>
      </c>
      <c r="PE64" s="36" t="s">
        <v>139</v>
      </c>
      <c r="PF64" s="36" t="s">
        <v>139</v>
      </c>
      <c r="PG64" s="36" t="s">
        <v>139</v>
      </c>
      <c r="PH64" s="36" t="s">
        <v>139</v>
      </c>
      <c r="PI64" s="36" t="s">
        <v>139</v>
      </c>
      <c r="PJ64" s="36" t="s">
        <v>139</v>
      </c>
      <c r="PK64" s="36" t="s">
        <v>139</v>
      </c>
      <c r="PL64" s="36" t="s">
        <v>139</v>
      </c>
      <c r="PM64" s="36" t="s">
        <v>139</v>
      </c>
      <c r="PN64" s="36" t="s">
        <v>139</v>
      </c>
      <c r="PO64" s="74">
        <f>COUNTIFS($C$27:$PN$27,("&lt;"&amp;$B$3),$C$27:$PN$27,("&gt;="&amp;$B$2),$C64:$PN64,TabAsistencias[[#Headers],[1]])</f>
        <v>30</v>
      </c>
      <c r="PP64" s="74">
        <f>COUNTIFS($C$27:$PN$27,("&lt;"&amp;$B$3),$C$27:$PN$27,("&gt;="&amp;$B$2),$C64:$PN64,TabAsistencias[[#Headers],[E]])</f>
        <v>0</v>
      </c>
      <c r="PQ64" s="74">
        <f>COUNTIFS($C$27:$PN$27,("&lt;"&amp;$B$3),$C$27:$PN$27,("&gt;="&amp;$B$2),$C64:$PN64,TabAsistencias[[#Headers],[DE]])</f>
        <v>0</v>
      </c>
      <c r="PR64" s="74">
        <f>COUNTIFS($C$27:$PN$27,("&lt;"&amp;$B$3),$C$27:$PN$27,("&gt;="&amp;$B$2),$C64:$PN64,TabAsistencias[[#Headers],[V]])</f>
        <v>0</v>
      </c>
      <c r="PS64" s="74">
        <f>COUNTIFS($C$27:$PN$27,("&lt;"&amp;$B$3),$C$27:$PN$27,("&gt;="&amp;$B$2),$C64:$PN64,TabAsistencias[[#Headers],[DO]])</f>
        <v>0</v>
      </c>
      <c r="PT64" s="74">
        <f>COUNTIFS($C$27:$PN$27,("&lt;"&amp;$B$3),$C$27:$PN$27,("&gt;="&amp;$B$2),$C64:$PN64,TabAsistencias[[#Headers],[P]])</f>
        <v>0</v>
      </c>
      <c r="PU64" s="74">
        <f>COUNTIFS($C$27:$PN$27,("&lt;"&amp;$B$3),$C$27:$PN$27,("&gt;="&amp;$B$2),$C64:$PN64,TabAsistencias[[#Headers],[F]])</f>
        <v>0</v>
      </c>
      <c r="PV64" s="74">
        <f>COUNTIFS($C$27:$PN$27,("&lt;"&amp;$B$3),$C$27:$PN$27,("&gt;="&amp;$B$2),$C64:$PN64,TabAsistencias[[#Headers],[R]])</f>
        <v>0</v>
      </c>
      <c r="PW64" s="74">
        <f>COUNTIFS($C$27:$PN$27,("&lt;"&amp;$B$3),$C$27:$PN$27,("&gt;="&amp;$B$2),$C64:$PN64,TabAsistencias[[#Headers],[PP]])</f>
        <v>0</v>
      </c>
      <c r="PX64" s="74">
        <f>COUNTIFS($C$27:$PN$27,("&lt;"&amp;$B$3),$C$27:$PN$27,("&gt;="&amp;$B$2),$C64:$PN64,TabAsistencias[[#Headers],[0]])</f>
        <v>0</v>
      </c>
      <c r="PY64" s="74">
        <f>COUNTIFS($C$27:$PN$27,("&lt;"&amp;$B$3),$C$27:$PN$27,("&gt;="&amp;$B$2),$C64:$PN64,TabAsistencias[[#Headers],[IG]])</f>
        <v>0</v>
      </c>
      <c r="PZ64" s="74">
        <f>COUNTIFS($C$27:$PN$27,("&lt;"&amp;$B$3),$C$27:$PN$27,("&gt;="&amp;$B$2),$C64:$PN64,TabAsistencias[[#Headers],[NA]])</f>
        <v>0</v>
      </c>
      <c r="QA64" s="74">
        <f>COUNTIFS($C$27:$PN$27,("&lt;"&amp;$B$3),$C$27:$PN$27,("&gt;="&amp;$B$2),$C64:$PN64,TabAsistencias[[#Headers],[DF]])</f>
        <v>0</v>
      </c>
      <c r="QB64" s="74">
        <f>COUNTIFS($C$27:$PN$27,("&lt;"&amp;$B$3),$C$27:$PN$27,("&gt;="&amp;$B$2),$C64:$PN64,TabAsistencias[[#Headers],[3]])</f>
        <v>0</v>
      </c>
      <c r="QC64" s="74">
        <f>COUNTIFS($C$27:$PN$27,("&lt;"&amp;$B$3),$C$27:$PN$27,("&gt;="&amp;$B$2),$C64:$PN64,TabAsistencias[[#Headers],[CP]])</f>
        <v>0</v>
      </c>
      <c r="QD64" s="74">
        <f>COUNTIFS($C$27:$PN$27,("&lt;"&amp;$B$3),$C$27:$PN$27,("&gt;="&amp;$B$2),$C64:$PN64,TabAsistencias[[#Headers],[I]])</f>
        <v>0</v>
      </c>
      <c r="QE64" s="74">
        <f>COUNTIFS($C$27:$PN$27,("&lt;"&amp;$B$3),$C$27:$PN$27,("&gt;="&amp;$B$2),$C64:$PN64,TabAsistencias[[#Headers],[T/2]])</f>
        <v>0</v>
      </c>
      <c r="QF64" s="74">
        <f>COUNTIFS($C$27:$PN$27,("&lt;"&amp;$B$3),$C$27:$PN$27,("&gt;="&amp;$B$2),$C64:$PN64,TabAsistencias[[#Headers],[ME]])</f>
        <v>0</v>
      </c>
      <c r="QG64" s="74">
        <f>COUNTIFS($C$27:$PN$27,("&lt;"&amp;$B$3),$C$27:$PN$27,("&gt;="&amp;$B$2),$C64:$PN64,TabAsistencias[[#Headers],[DP]])</f>
        <v>0</v>
      </c>
      <c r="QH64" s="74">
        <f>COUNTIFS($C$27:$PN$27,("&lt;"&amp;$B$3),$C$27:$PN$27,("&gt;="&amp;$B$2),$C64:$PN64,TabAsistencias[[#Headers],[B]])</f>
        <v>0</v>
      </c>
      <c r="QI64" s="74">
        <f>(TabAsistencias[[#This Row],[1]]*'Tablas de informacion'!$C$124)+(TabAsistencias[[#This Row],[E]]*'Tablas de informacion'!$C$125)+(TabAsistencias[[#This Row],[DE]]*'Tablas de informacion'!C$126)+(TabAsistencias[[#This Row],[V]]*'Tablas de informacion'!C$127)+(TabAsistencias[[#This Row],[DO]]*'Tablas de informacion'!C$128)+(TabAsistencias[[#This Row],[P]]*'Tablas de informacion'!C$129)+(TabAsistencias[[#This Row],[F]]*'Tablas de informacion'!C$130)+(TabAsistencias[[#This Row],[R]]*'Tablas de informacion'!C$131)+(TabAsistencias[[#This Row],[PP]]*'Tablas de informacion'!C$132)+(TabAsistencias[[#This Row],[0]]*'Tablas de informacion'!C$133)+(TabAsistencias[[#This Row],[IG]]*'Tablas de informacion'!C$134)+(TabAsistencias[[#This Row],[NA]]*'Tablas de informacion'!C$135)+(TabAsistencias[[#This Row],[DF]]*'Tablas de informacion'!C$136)+(TabAsistencias[[#This Row],[3]]*'Tablas de informacion'!C$137)+(TabAsistencias[[#This Row],[CP]]*'Tablas de informacion'!C$138)+(TabAsistencias[[#This Row],[I]]*'Tablas de informacion'!C$139)+(TabAsistencias[[#This Row],[T/2]]*'Tablas de informacion'!C$140)+(TabAsistencias[[#This Row],[ME]]*'Tablas de informacion'!C$141)+(TabAsistencias[[#This Row],[DP]]*'Tablas de informacion'!C$142)+(TabAsistencias[[#This Row],[B]]*'Tablas de informacion'!C$143)-INT(TabAsistencias[[#This Row],[R]]/3)</f>
        <v>30</v>
      </c>
      <c r="QJ64" s="74">
        <f>COUNTIFS($C$27:$PN$27,("&lt;"&amp;$B$3),$C$27:$PN$27,("&gt;="&amp;$B$2),$C$28:$PN$28,1,$C64:$PN64,TabAsistencias[[#Headers],[1]])+
COUNTIFS($C$27:$PN$27,("&lt;"&amp;$B$3),$C$27:$PN$27,("&gt;="&amp;$B$2),$C$28:$PN$28,1,$C64:$PN64,TabAsistencias[[#Headers],[DO]])+
COUNTIFS($C$27:$PN$27,("&lt;"&amp;$B$3),$C$27:$PN$27,("&gt;="&amp;$B$2),$C$28:$PN$28,1,$C64:$PN64,TabAsistencias[[#Headers],[R]])+
COUNTIFS($C$27:$PN$27,("&lt;"&amp;$B$3),$C$27:$PN$27,("&gt;="&amp;$B$2),$C$28:$PN$28,1,$C64:$PN64,TabAsistencias[[#Headers],[NA]])+
COUNTIFS($C$27:$PN$27,("&lt;"&amp;$B$3),$C$27:$PN$27,("&gt;="&amp;$B$2),$C$28:$PN$28,1,$C64:$PN64,TabAsistencias[[#Headers],[DF]])+
COUNTIFS($C$27:$PN$27,("&lt;"&amp;$B$3),$C$27:$PN$27,("&gt;="&amp;$B$2),$C$28:$PN$28,1,$C64:$PN64,TabAsistencias[[#Headers],[3]])+
COUNTIFS($C$27:$PN$27,("&lt;"&amp;$B$3),$C$27:$PN$27,("&gt;="&amp;$B$2),$C$28:$PN$28,1,$C64:$PN64,TabAsistencias[[#Headers],[CP]])+
COUNTIFS($C$27:$PN$27,("&lt;"&amp;$B$3),$C$27:$PN$27,("&gt;="&amp;$B$2),$C$28:$PN$28,1,$C64:$PN64,TabAsistencias[[#Headers],[T/2]])</f>
        <v>4</v>
      </c>
      <c r="QK64" s="315" cm="1">
        <f t="array" ref="QK64">IFERROR(VLOOKUP(
DATEDIF((VLOOKUP(TabAsistencias[[#This Row],[ID]],TabEmpleados[],COLUMN(TabEmpleados[Fecha de ingreso]),FALSE)),Asistencias!$B$3,"Y"),
TabFactorIntegracion[],COLUMN(TabFactorIntegracion[Días vacacionales
establecidos por ley]),FALSE),0)
-
COUNTIF($AH64:$PN64,TabAsistencias[[#Headers],[V]])</f>
        <v>12</v>
      </c>
      <c r="QL64" s="319">
        <f>SUM(TabAsistencias[[#This Row],[''1]],TabAsistencias[[#This Row],[''DE]],TabAsistencias[[#This Row],[''DO]],TabAsistencias[[#This Row],[''R]],TabAsistencias[[#This Row],[''NA]],TabAsistencias[[#This Row],[''DF]],TabAsistencias[[#This Row],[''3]],TabAsistencias[[#This Row],[''CP]],TabAsistencias[[#This Row],[''T/2]],TabAsistencias[[#This Row],[''DP]])</f>
        <v>73</v>
      </c>
      <c r="QM64" s="314">
        <f>COUNTIFS($C$27:$PN$27,("&lt;"&amp;$B$5),$C$27:$PN$27,("&gt;="&amp;$B$4),$C64:$PN64,TabAsistencias[[#Headers],[1]])</f>
        <v>73</v>
      </c>
      <c r="QN64" s="314">
        <f>COUNTIFS($C$27:$PN$27,("&lt;"&amp;$B$5),$C$27:$PN$27,("&gt;="&amp;$B$4),$C64:$PN64,TabAsistencias[[#Headers],[DE]])</f>
        <v>0</v>
      </c>
      <c r="QO64" s="314">
        <f>COUNTIFS($C$27:$PN$27,("&lt;"&amp;$B$5),$C$27:$PN$27,("&gt;="&amp;$B$4),$C64:$PN64,TabAsistencias[[#Headers],[V]])</f>
        <v>0</v>
      </c>
      <c r="QP64" s="314">
        <f>COUNTIFS($C$27:$PN$27,("&lt;"&amp;$B$5),$C$27:$PN$27,("&gt;="&amp;$B$4),$C64:$PN64,TabAsistencias[[#Headers],[DO]])</f>
        <v>0</v>
      </c>
      <c r="QQ64" s="314">
        <f>COUNTIFS($C$27:$PN$27,("&lt;"&amp;$B$5),$C$27:$PN$27,("&gt;="&amp;$B$4),$C64:$PN64,TabAsistencias[[#Headers],[P]])</f>
        <v>0</v>
      </c>
      <c r="QR64" s="314">
        <f>COUNTIFS($C$27:$PN$27,("&lt;"&amp;$B$5),$C$27:$PN$27,("&gt;="&amp;$B$4),$C64:$PN64,TabAsistencias[[#Headers],[F]])</f>
        <v>0</v>
      </c>
      <c r="QS64" s="314">
        <f>COUNTIFS($C$27:$PN$27,("&lt;"&amp;$B$5),$C$27:$PN$27,("&gt;="&amp;$B$4),$C64:$PN64,TabAsistencias[[#Headers],[R]])</f>
        <v>0</v>
      </c>
      <c r="QT64" s="314">
        <f>COUNTIFS($C$27:$PN$27,("&lt;"&amp;$B$5),$C$27:$PN$27,("&gt;="&amp;$B$4),$C64:$PN64,TabAsistencias[[#Headers],[PP]])</f>
        <v>0</v>
      </c>
      <c r="QU64" s="314">
        <f>COUNTIFS($C$27:$PN$27,("&lt;"&amp;$B$5),$C$27:$PN$27,("&gt;="&amp;$B$4),$C64:$PN64,TabAsistencias[[#Headers],[0]])</f>
        <v>0</v>
      </c>
      <c r="QV64" s="314">
        <f>COUNTIFS($C$27:$PN$27,("&lt;"&amp;$B$5),$C$27:$PN$27,("&gt;="&amp;$B$4),$C64:$PN64,TabAsistencias[[#Headers],[IG]])</f>
        <v>0</v>
      </c>
      <c r="QW64" s="314">
        <f>COUNTIFS($C$27:$PN$27,("&lt;"&amp;$B$5),$C$27:$PN$27,("&gt;="&amp;$B$4),$C64:$PN64,TabAsistencias[[#Headers],[NA]])</f>
        <v>0</v>
      </c>
      <c r="QX64" s="314">
        <f>COUNTIFS($C$27:$PN$27,("&lt;"&amp;$B$5),$C$27:$PN$27,("&gt;="&amp;$B$4),$C64:$PN64,TabAsistencias[[#Headers],[DF]])</f>
        <v>0</v>
      </c>
      <c r="QY64" s="314">
        <f>COUNTIFS($C$27:$PN$27,("&lt;"&amp;$B$5),$C$27:$PN$27,("&gt;="&amp;$B$4),$C64:$PN64,TabAsistencias[[#Headers],[3]])</f>
        <v>0</v>
      </c>
      <c r="QZ64" s="314">
        <f>COUNTIFS($C$27:$PN$27,("&lt;"&amp;$B$5),$C$27:$PN$27,("&gt;="&amp;$B$4),$C64:$PN64,TabAsistencias[[#Headers],[CP]])</f>
        <v>0</v>
      </c>
      <c r="RA64" s="314">
        <f>COUNTIFS($C$27:$PN$27,("&lt;"&amp;$B$5),$C$27:$PN$27,("&gt;="&amp;$B$4),$C64:$PN64,TabAsistencias[[#Headers],[I]])</f>
        <v>0</v>
      </c>
      <c r="RB64" s="314">
        <f>COUNTIFS($C$27:$PN$27,("&lt;"&amp;$B$5),$C$27:$PN$27,("&gt;="&amp;$B$4),$C64:$PN64,TabAsistencias[[#Headers],[T/2]])</f>
        <v>0</v>
      </c>
      <c r="RC64" s="314">
        <f>COUNTIFS($C$27:$PN$27,("&lt;"&amp;$B$5),$C$27:$PN$27,("&gt;="&amp;$B$4),$C64:$PN64,TabAsistencias[[#Headers],[ME]])</f>
        <v>0</v>
      </c>
      <c r="RD64" s="314">
        <f>COUNTIFS($C$27:$PN$27,("&lt;"&amp;$B$5),$C$27:$PN$27,("&gt;="&amp;$B$4),$C64:$PN64,TabAsistencias[[#Headers],[DP]])</f>
        <v>0</v>
      </c>
      <c r="RE64" s="314">
        <f>COUNTIFS($C$27:$PN$27,("&lt;"&amp;$B$5),$C$27:$PN$27,("&gt;="&amp;$B$4),$C64:$PN64,TabAsistencias[[#Headers],[B]])</f>
        <v>0</v>
      </c>
      <c r="RF64" s="314">
        <f>COUNTIFS($C$27:$PN$27,("&lt;"&amp;$B$5),$C$27:$PN$27,("&gt;="&amp;$B$4),$C$28:$PN$28,1,$C64:$PN64,TabAsistencias[[#Headers],[1]])+
COUNTIFS($C$27:$PN$27,("&lt;"&amp;$B$5),$C$27:$PN$27,("&gt;="&amp;$B$4),$C$28:$PN$28,1,$C64:$PN64,TabAsistencias[[#Headers],[DO]])+
COUNTIFS($C$27:$PN$27,("&lt;"&amp;$B$5),$C$27:$PN$27,("&gt;="&amp;$B$4),$C$28:$PN$28,1,$C64:$PN64,TabAsistencias[[#Headers],[R]])+
COUNTIFS($C$27:$PN$27,("&lt;"&amp;$B$5),$C$27:$PN$27,("&gt;="&amp;$B$4),$C$28:$PN$28,1,$C64:$PN64,TabAsistencias[[#Headers],[NA]])+
COUNTIFS($C$27:$PN$27,("&lt;"&amp;$B$5),$C$27:$PN$27,("&gt;="&amp;$B$4),$C$28:$PN$28,1,$C64:$PN64,TabAsistencias[[#Headers],[DF]])+
COUNTIFS($C$27:$PN$27,("&lt;"&amp;$B$5),$C$27:$PN$27,("&gt;="&amp;$B$4),$C$28:$PN$28,1,$C64:$PN64,TabAsistencias[[#Headers],[3]])+
COUNTIFS($C$27:$PN$27,("&lt;"&amp;$B$5),$C$27:$PN$27,("&gt;="&amp;$B$4),$C$28:$PN$28,1,$C64:$PN64,TabAsistencias[[#Headers],[CP]])+
COUNTIFS($C$27:$PN$27,("&lt;"&amp;$B$5),$C$27:$PN$27,("&gt;="&amp;$B$4),$C$28:$PN$28,1,$C64:$PN64,TabAsistencias[[#Headers],[T/2]])</f>
        <v>11</v>
      </c>
      <c r="RG64" s="320" cm="1">
        <f t="array" ref="RG64">IFERROR(VLOOKUP(
DATEDIF((VLOOKUP(TabAsistencias[[#This Row],[ID]],TabEmpleados[],COLUMN(TabEmpleados[Fecha de alta NSS]),FALSE)),Asistencias!$B$3,"Y"),
TabFactorIntegracion[],COLUMN(TabFactorIntegracion[Días vacacionales
establecidos por ley]),FALSE),0)
-
COUNTIF($AH64:$PN64,TabAsistencias[[#Headers],[V]])</f>
        <v>12</v>
      </c>
    </row>
    <row r="65" spans="1:475" x14ac:dyDescent="0.25">
      <c r="A65" s="92">
        <f t="shared" si="434"/>
        <v>35</v>
      </c>
      <c r="B65" s="30" t="str" cm="1">
        <f t="array" ref="B65">VLOOKUP(TabAsistencias[[#This Row],[ID]],TabEmpleados[],COLUMN(TabEmpleados[Nombre]),FALSE)</f>
        <v>MARTINEZ VICENTE RENE SAID</v>
      </c>
      <c r="C65" s="36" t="s">
        <v>139</v>
      </c>
      <c r="D65" s="36" t="s">
        <v>139</v>
      </c>
      <c r="E65" s="36" t="s">
        <v>139</v>
      </c>
      <c r="F65" s="36" t="s">
        <v>139</v>
      </c>
      <c r="G65" s="36" t="s">
        <v>139</v>
      </c>
      <c r="H65" s="36" t="s">
        <v>139</v>
      </c>
      <c r="I65" s="36" t="s">
        <v>139</v>
      </c>
      <c r="J65" s="36" t="s">
        <v>139</v>
      </c>
      <c r="K65" s="36" t="s">
        <v>139</v>
      </c>
      <c r="L65" s="36" t="s">
        <v>139</v>
      </c>
      <c r="M65" s="36" t="s">
        <v>139</v>
      </c>
      <c r="N65" s="36" t="s">
        <v>139</v>
      </c>
      <c r="O65" s="36" t="s">
        <v>139</v>
      </c>
      <c r="P65" s="36" t="s">
        <v>139</v>
      </c>
      <c r="Q65" s="36" t="s">
        <v>139</v>
      </c>
      <c r="R65" s="36" t="s">
        <v>139</v>
      </c>
      <c r="S65" s="36" t="s">
        <v>139</v>
      </c>
      <c r="T65" s="36" t="s">
        <v>139</v>
      </c>
      <c r="U65" s="36" t="s">
        <v>139</v>
      </c>
      <c r="V65" s="36" t="s">
        <v>139</v>
      </c>
      <c r="W65" s="36" t="s">
        <v>139</v>
      </c>
      <c r="X65" s="36" t="s">
        <v>139</v>
      </c>
      <c r="Y65" s="36" t="s">
        <v>139</v>
      </c>
      <c r="Z65" s="36" t="s">
        <v>139</v>
      </c>
      <c r="AA65" s="36" t="s">
        <v>139</v>
      </c>
      <c r="AB65" s="36" t="s">
        <v>139</v>
      </c>
      <c r="AC65" s="36" t="s">
        <v>139</v>
      </c>
      <c r="AD65" s="36" t="s">
        <v>139</v>
      </c>
      <c r="AE65" s="36" t="s">
        <v>139</v>
      </c>
      <c r="AF65" s="36" t="s">
        <v>139</v>
      </c>
      <c r="AG65" s="36" t="s">
        <v>139</v>
      </c>
      <c r="AH65" s="36" t="s">
        <v>139</v>
      </c>
      <c r="AI65" s="36" t="s">
        <v>139</v>
      </c>
      <c r="AJ65" s="36" t="s">
        <v>139</v>
      </c>
      <c r="AK65" s="36" t="s">
        <v>139</v>
      </c>
      <c r="AL65" s="36" t="s">
        <v>139</v>
      </c>
      <c r="AM65" s="36" t="s">
        <v>139</v>
      </c>
      <c r="AN65" s="36" t="s">
        <v>139</v>
      </c>
      <c r="AO65" s="36" t="s">
        <v>139</v>
      </c>
      <c r="AP65" s="36" t="s">
        <v>139</v>
      </c>
      <c r="AQ65" s="36" t="s">
        <v>139</v>
      </c>
      <c r="AR65" s="36" t="s">
        <v>139</v>
      </c>
      <c r="AS65" s="36" t="s">
        <v>139</v>
      </c>
      <c r="AT65" s="36" t="s">
        <v>139</v>
      </c>
      <c r="AU65" s="36" t="s">
        <v>139</v>
      </c>
      <c r="AV65" s="36" t="s">
        <v>139</v>
      </c>
      <c r="AW65" s="36" t="s">
        <v>139</v>
      </c>
      <c r="AX65" s="36" t="s">
        <v>139</v>
      </c>
      <c r="AY65" s="36" t="s">
        <v>139</v>
      </c>
      <c r="AZ65" s="36" t="s">
        <v>139</v>
      </c>
      <c r="BA65" s="36" t="s">
        <v>139</v>
      </c>
      <c r="BB65" s="36" t="s">
        <v>139</v>
      </c>
      <c r="BC65" s="36" t="s">
        <v>139</v>
      </c>
      <c r="BD65" s="36" t="s">
        <v>139</v>
      </c>
      <c r="BE65" s="36" t="s">
        <v>139</v>
      </c>
      <c r="BF65" s="36" t="s">
        <v>139</v>
      </c>
      <c r="BG65" s="36" t="s">
        <v>139</v>
      </c>
      <c r="BH65" s="36" t="s">
        <v>139</v>
      </c>
      <c r="BI65" s="36" t="s">
        <v>139</v>
      </c>
      <c r="BJ65" s="36" t="s">
        <v>139</v>
      </c>
      <c r="BK65" s="36" t="s">
        <v>139</v>
      </c>
      <c r="BL65" s="36" t="s">
        <v>139</v>
      </c>
      <c r="BM65" s="36" t="s">
        <v>139</v>
      </c>
      <c r="BN65" s="36" t="s">
        <v>139</v>
      </c>
      <c r="BO65" s="36" t="s">
        <v>139</v>
      </c>
      <c r="BP65" s="36" t="s">
        <v>139</v>
      </c>
      <c r="BQ65" s="36" t="s">
        <v>139</v>
      </c>
      <c r="BR65" s="36" t="s">
        <v>139</v>
      </c>
      <c r="BS65" s="36" t="s">
        <v>139</v>
      </c>
      <c r="BT65" s="36" t="s">
        <v>139</v>
      </c>
      <c r="BU65" s="36" t="s">
        <v>139</v>
      </c>
      <c r="BV65" s="36" t="s">
        <v>139</v>
      </c>
      <c r="BW65" s="36" t="s">
        <v>139</v>
      </c>
      <c r="BX65" s="36" t="s">
        <v>139</v>
      </c>
      <c r="BY65" s="36" t="s">
        <v>139</v>
      </c>
      <c r="BZ65" s="36" t="s">
        <v>139</v>
      </c>
      <c r="CA65" s="36" t="s">
        <v>139</v>
      </c>
      <c r="CB65" s="36" t="s">
        <v>139</v>
      </c>
      <c r="CC65" s="36" t="s">
        <v>139</v>
      </c>
      <c r="CD65" s="36" t="s">
        <v>139</v>
      </c>
      <c r="CE65" s="36" t="s">
        <v>139</v>
      </c>
      <c r="CF65" s="36" t="s">
        <v>139</v>
      </c>
      <c r="CG65" s="36" t="s">
        <v>139</v>
      </c>
      <c r="CH65" s="36" t="s">
        <v>139</v>
      </c>
      <c r="CI65" s="36" t="s">
        <v>139</v>
      </c>
      <c r="CJ65" s="36" t="s">
        <v>139</v>
      </c>
      <c r="CK65" s="36" t="s">
        <v>139</v>
      </c>
      <c r="CL65" s="36" t="s">
        <v>139</v>
      </c>
      <c r="CM65" s="36" t="s">
        <v>139</v>
      </c>
      <c r="CN65" s="36" t="s">
        <v>139</v>
      </c>
      <c r="CO65" s="36" t="s">
        <v>139</v>
      </c>
      <c r="CP65" s="36" t="s">
        <v>139</v>
      </c>
      <c r="CQ65" s="36" t="s">
        <v>139</v>
      </c>
      <c r="CR65" s="36" t="s">
        <v>139</v>
      </c>
      <c r="CS65" s="36" t="s">
        <v>139</v>
      </c>
      <c r="CT65" s="36" t="s">
        <v>139</v>
      </c>
      <c r="CU65" s="36" t="s">
        <v>139</v>
      </c>
      <c r="CV65" s="36" t="s">
        <v>139</v>
      </c>
      <c r="CW65" s="36" t="s">
        <v>139</v>
      </c>
      <c r="CX65" s="36" t="s">
        <v>139</v>
      </c>
      <c r="CY65" s="36" t="s">
        <v>139</v>
      </c>
      <c r="CZ65" s="36" t="s">
        <v>139</v>
      </c>
      <c r="DA65" s="36" t="s">
        <v>139</v>
      </c>
      <c r="DB65" s="36" t="s">
        <v>139</v>
      </c>
      <c r="DC65" s="36" t="s">
        <v>139</v>
      </c>
      <c r="DD65" s="36" t="s">
        <v>139</v>
      </c>
      <c r="DE65" s="36" t="s">
        <v>139</v>
      </c>
      <c r="DF65" s="36" t="s">
        <v>139</v>
      </c>
      <c r="DG65" s="36" t="s">
        <v>139</v>
      </c>
      <c r="DH65" s="36" t="s">
        <v>139</v>
      </c>
      <c r="DI65" s="36" t="s">
        <v>139</v>
      </c>
      <c r="DJ65" s="36" t="s">
        <v>139</v>
      </c>
      <c r="DK65" s="36" t="s">
        <v>139</v>
      </c>
      <c r="DL65" s="36" t="s">
        <v>139</v>
      </c>
      <c r="DM65" s="36" t="s">
        <v>139</v>
      </c>
      <c r="DN65" s="36" t="s">
        <v>139</v>
      </c>
      <c r="DO65" s="36" t="s">
        <v>139</v>
      </c>
      <c r="DP65" s="36" t="s">
        <v>139</v>
      </c>
      <c r="DQ65" s="36" t="s">
        <v>139</v>
      </c>
      <c r="DR65" s="36" t="s">
        <v>139</v>
      </c>
      <c r="DS65" s="36" t="s">
        <v>139</v>
      </c>
      <c r="DT65" s="36" t="s">
        <v>139</v>
      </c>
      <c r="DU65" s="36" t="s">
        <v>139</v>
      </c>
      <c r="DV65" s="36" t="s">
        <v>139</v>
      </c>
      <c r="DW65" s="36" t="s">
        <v>139</v>
      </c>
      <c r="DX65" s="36" t="s">
        <v>139</v>
      </c>
      <c r="DY65" s="36" t="s">
        <v>139</v>
      </c>
      <c r="DZ65" s="36" t="s">
        <v>139</v>
      </c>
      <c r="EA65" s="36" t="s">
        <v>139</v>
      </c>
      <c r="EB65" s="36" t="s">
        <v>139</v>
      </c>
      <c r="EC65" s="36" t="s">
        <v>139</v>
      </c>
      <c r="ED65" s="36" t="s">
        <v>139</v>
      </c>
      <c r="EE65" s="36" t="s">
        <v>139</v>
      </c>
      <c r="EF65" s="36" t="s">
        <v>139</v>
      </c>
      <c r="EG65" s="36" t="s">
        <v>139</v>
      </c>
      <c r="EH65" s="36" t="s">
        <v>139</v>
      </c>
      <c r="EI65" s="36" t="s">
        <v>139</v>
      </c>
      <c r="EJ65" s="36" t="s">
        <v>139</v>
      </c>
      <c r="EK65" s="36" t="s">
        <v>139</v>
      </c>
      <c r="EL65" s="36" t="s">
        <v>139</v>
      </c>
      <c r="EM65" s="36" t="s">
        <v>139</v>
      </c>
      <c r="EN65" s="36" t="s">
        <v>139</v>
      </c>
      <c r="EO65" s="36" t="s">
        <v>139</v>
      </c>
      <c r="EP65" s="36" t="s">
        <v>139</v>
      </c>
      <c r="EQ65" s="36" t="s">
        <v>139</v>
      </c>
      <c r="ER65" s="36" t="s">
        <v>139</v>
      </c>
      <c r="ES65" s="36" t="s">
        <v>139</v>
      </c>
      <c r="ET65" s="36" t="s">
        <v>139</v>
      </c>
      <c r="EU65" s="36" t="s">
        <v>139</v>
      </c>
      <c r="EV65" s="36" t="s">
        <v>139</v>
      </c>
      <c r="EW65" s="36" t="s">
        <v>139</v>
      </c>
      <c r="EX65" s="36" t="s">
        <v>139</v>
      </c>
      <c r="EY65" s="36" t="s">
        <v>139</v>
      </c>
      <c r="EZ65" s="36" t="s">
        <v>139</v>
      </c>
      <c r="FA65" s="36" t="s">
        <v>139</v>
      </c>
      <c r="FB65" s="36" t="s">
        <v>139</v>
      </c>
      <c r="FC65" s="36" t="s">
        <v>139</v>
      </c>
      <c r="FD65" s="36" t="s">
        <v>139</v>
      </c>
      <c r="FE65" s="36" t="s">
        <v>139</v>
      </c>
      <c r="FF65" s="36" t="s">
        <v>139</v>
      </c>
      <c r="FG65" s="36" t="s">
        <v>139</v>
      </c>
      <c r="FH65" s="36" t="s">
        <v>139</v>
      </c>
      <c r="FI65" s="36" t="s">
        <v>139</v>
      </c>
      <c r="FJ65" s="36" t="s">
        <v>139</v>
      </c>
      <c r="FK65" s="36" t="s">
        <v>139</v>
      </c>
      <c r="FL65" s="36" t="s">
        <v>139</v>
      </c>
      <c r="FM65" s="36" t="s">
        <v>139</v>
      </c>
      <c r="FN65" s="36" t="s">
        <v>139</v>
      </c>
      <c r="FO65" s="36" t="s">
        <v>139</v>
      </c>
      <c r="FP65" s="36" t="s">
        <v>139</v>
      </c>
      <c r="FQ65" s="36" t="s">
        <v>139</v>
      </c>
      <c r="FR65" s="36" t="s">
        <v>139</v>
      </c>
      <c r="FS65" s="36" t="s">
        <v>139</v>
      </c>
      <c r="FT65" s="36" t="s">
        <v>139</v>
      </c>
      <c r="FU65" s="36" t="s">
        <v>139</v>
      </c>
      <c r="FV65" s="36" t="s">
        <v>139</v>
      </c>
      <c r="FW65" s="36" t="s">
        <v>139</v>
      </c>
      <c r="FX65" s="36" t="s">
        <v>139</v>
      </c>
      <c r="FY65" s="36" t="s">
        <v>139</v>
      </c>
      <c r="FZ65" s="36" t="s">
        <v>139</v>
      </c>
      <c r="GA65" s="36" t="s">
        <v>139</v>
      </c>
      <c r="GB65" s="36" t="s">
        <v>139</v>
      </c>
      <c r="GC65" s="36" t="s">
        <v>139</v>
      </c>
      <c r="GD65" s="36" t="s">
        <v>139</v>
      </c>
      <c r="GE65" s="36" t="s">
        <v>139</v>
      </c>
      <c r="GF65" s="36" t="s">
        <v>139</v>
      </c>
      <c r="GG65" s="36" t="s">
        <v>139</v>
      </c>
      <c r="GH65" s="36" t="s">
        <v>139</v>
      </c>
      <c r="GI65" s="36" t="s">
        <v>139</v>
      </c>
      <c r="GJ65" s="36" t="s">
        <v>139</v>
      </c>
      <c r="GK65" s="36" t="s">
        <v>139</v>
      </c>
      <c r="GL65" s="36" t="s">
        <v>139</v>
      </c>
      <c r="GM65" s="36" t="s">
        <v>139</v>
      </c>
      <c r="GN65" s="36" t="s">
        <v>139</v>
      </c>
      <c r="GO65" s="36" t="s">
        <v>139</v>
      </c>
      <c r="GP65" s="36" t="s">
        <v>139</v>
      </c>
      <c r="GQ65" s="36" t="s">
        <v>139</v>
      </c>
      <c r="GR65" s="36" t="s">
        <v>139</v>
      </c>
      <c r="GS65" s="36" t="s">
        <v>139</v>
      </c>
      <c r="GT65" s="36" t="s">
        <v>139</v>
      </c>
      <c r="GU65" s="36" t="s">
        <v>139</v>
      </c>
      <c r="GV65" s="36" t="s">
        <v>139</v>
      </c>
      <c r="GW65" s="36" t="s">
        <v>139</v>
      </c>
      <c r="GX65" s="36" t="s">
        <v>139</v>
      </c>
      <c r="GY65" s="36" t="s">
        <v>139</v>
      </c>
      <c r="GZ65" s="36" t="s">
        <v>139</v>
      </c>
      <c r="HA65" s="36" t="s">
        <v>139</v>
      </c>
      <c r="HB65" s="36" t="s">
        <v>139</v>
      </c>
      <c r="HC65" s="36" t="s">
        <v>139</v>
      </c>
      <c r="HD65" s="36" t="s">
        <v>139</v>
      </c>
      <c r="HE65" s="36" t="s">
        <v>139</v>
      </c>
      <c r="HF65" s="36" t="s">
        <v>139</v>
      </c>
      <c r="HG65" s="36" t="s">
        <v>139</v>
      </c>
      <c r="HH65" s="36" t="s">
        <v>139</v>
      </c>
      <c r="HI65" s="36" t="s">
        <v>139</v>
      </c>
      <c r="HJ65" s="36" t="s">
        <v>139</v>
      </c>
      <c r="HK65" s="36" t="s">
        <v>139</v>
      </c>
      <c r="HL65" s="36" t="s">
        <v>139</v>
      </c>
      <c r="HM65" s="36" t="s">
        <v>139</v>
      </c>
      <c r="HN65" s="36" t="s">
        <v>139</v>
      </c>
      <c r="HO65" s="36" t="s">
        <v>139</v>
      </c>
      <c r="HP65" s="36" t="s">
        <v>139</v>
      </c>
      <c r="HQ65" s="36" t="s">
        <v>139</v>
      </c>
      <c r="HR65" s="36" t="s">
        <v>139</v>
      </c>
      <c r="HS65" s="36" t="s">
        <v>139</v>
      </c>
      <c r="HT65" s="36" t="s">
        <v>139</v>
      </c>
      <c r="HU65" s="36" t="s">
        <v>139</v>
      </c>
      <c r="HV65" s="36" t="s">
        <v>139</v>
      </c>
      <c r="HW65" s="36" t="s">
        <v>139</v>
      </c>
      <c r="HX65" s="36" t="s">
        <v>139</v>
      </c>
      <c r="HY65" s="36" t="s">
        <v>139</v>
      </c>
      <c r="HZ65" s="36" t="s">
        <v>139</v>
      </c>
      <c r="IA65" s="36" t="s">
        <v>139</v>
      </c>
      <c r="IB65" s="36" t="s">
        <v>139</v>
      </c>
      <c r="IC65" s="36" t="s">
        <v>139</v>
      </c>
      <c r="ID65" s="36" t="s">
        <v>139</v>
      </c>
      <c r="IE65" s="36" t="s">
        <v>139</v>
      </c>
      <c r="IF65" s="36" t="s">
        <v>139</v>
      </c>
      <c r="IG65" s="36" t="s">
        <v>139</v>
      </c>
      <c r="IH65" s="36" t="s">
        <v>139</v>
      </c>
      <c r="II65" s="36" t="s">
        <v>139</v>
      </c>
      <c r="IJ65" s="36" t="s">
        <v>139</v>
      </c>
      <c r="IK65" s="36" t="s">
        <v>139</v>
      </c>
      <c r="IL65" s="36" t="s">
        <v>139</v>
      </c>
      <c r="IM65" s="36" t="s">
        <v>139</v>
      </c>
      <c r="IN65" s="36" t="s">
        <v>139</v>
      </c>
      <c r="IO65" s="36" t="s">
        <v>139</v>
      </c>
      <c r="IP65" s="36" t="s">
        <v>139</v>
      </c>
      <c r="IQ65" s="36" t="s">
        <v>139</v>
      </c>
      <c r="IR65" s="36" t="s">
        <v>139</v>
      </c>
      <c r="IS65" s="36" t="s">
        <v>139</v>
      </c>
      <c r="IT65" s="36" t="s">
        <v>139</v>
      </c>
      <c r="IU65" s="36" t="s">
        <v>139</v>
      </c>
      <c r="IV65" s="36" t="s">
        <v>139</v>
      </c>
      <c r="IW65" s="36" t="s">
        <v>139</v>
      </c>
      <c r="IX65" s="36" t="s">
        <v>139</v>
      </c>
      <c r="IY65" s="36" t="s">
        <v>139</v>
      </c>
      <c r="IZ65" s="36" t="s">
        <v>139</v>
      </c>
      <c r="JA65" s="36" t="s">
        <v>139</v>
      </c>
      <c r="JB65" s="36" t="s">
        <v>139</v>
      </c>
      <c r="JC65" s="36" t="s">
        <v>139</v>
      </c>
      <c r="JD65" s="36" t="s">
        <v>139</v>
      </c>
      <c r="JE65" s="36" t="s">
        <v>139</v>
      </c>
      <c r="JF65" s="36" t="s">
        <v>139</v>
      </c>
      <c r="JG65" s="36" t="s">
        <v>139</v>
      </c>
      <c r="JH65" s="36" t="s">
        <v>139</v>
      </c>
      <c r="JI65" s="36" t="s">
        <v>139</v>
      </c>
      <c r="JJ65" s="36" t="s">
        <v>139</v>
      </c>
      <c r="JK65" s="36" t="s">
        <v>139</v>
      </c>
      <c r="JL65" s="36" t="s">
        <v>139</v>
      </c>
      <c r="JM65" s="36" t="s">
        <v>139</v>
      </c>
      <c r="JN65" s="36" t="s">
        <v>139</v>
      </c>
      <c r="JO65" s="36" t="s">
        <v>139</v>
      </c>
      <c r="JP65" s="36" t="s">
        <v>139</v>
      </c>
      <c r="JQ65" s="36" t="s">
        <v>139</v>
      </c>
      <c r="JR65" s="36" t="s">
        <v>139</v>
      </c>
      <c r="JS65" s="36" t="s">
        <v>139</v>
      </c>
      <c r="JT65" s="36" t="s">
        <v>139</v>
      </c>
      <c r="JU65" s="36" t="s">
        <v>139</v>
      </c>
      <c r="JV65" s="36" t="s">
        <v>139</v>
      </c>
      <c r="JW65" s="36" t="s">
        <v>139</v>
      </c>
      <c r="JX65" s="36" t="s">
        <v>139</v>
      </c>
      <c r="JY65" s="36" t="s">
        <v>139</v>
      </c>
      <c r="JZ65" s="36" t="s">
        <v>139</v>
      </c>
      <c r="KA65" s="36" t="s">
        <v>139</v>
      </c>
      <c r="KB65" s="36" t="s">
        <v>139</v>
      </c>
      <c r="KC65" s="36" t="s">
        <v>139</v>
      </c>
      <c r="KD65" s="36" t="s">
        <v>139</v>
      </c>
      <c r="KE65" s="36" t="s">
        <v>139</v>
      </c>
      <c r="KF65" s="36" t="s">
        <v>139</v>
      </c>
      <c r="KG65" s="36" t="s">
        <v>139</v>
      </c>
      <c r="KH65" s="36" t="s">
        <v>139</v>
      </c>
      <c r="KI65" s="36" t="s">
        <v>139</v>
      </c>
      <c r="KJ65" s="36" t="s">
        <v>139</v>
      </c>
      <c r="KK65" s="36" t="s">
        <v>139</v>
      </c>
      <c r="KL65" s="36" t="s">
        <v>139</v>
      </c>
      <c r="KM65" s="36" t="s">
        <v>139</v>
      </c>
      <c r="KN65" s="36" t="s">
        <v>139</v>
      </c>
      <c r="KO65" s="36" t="s">
        <v>139</v>
      </c>
      <c r="KP65" s="36" t="s">
        <v>139</v>
      </c>
      <c r="KQ65" s="36" t="s">
        <v>139</v>
      </c>
      <c r="KR65" s="36" t="s">
        <v>139</v>
      </c>
      <c r="KS65" s="36" t="s">
        <v>139</v>
      </c>
      <c r="KT65" s="36" t="s">
        <v>139</v>
      </c>
      <c r="KU65" s="36" t="s">
        <v>139</v>
      </c>
      <c r="KV65" s="36" t="s">
        <v>139</v>
      </c>
      <c r="KW65" s="36" t="s">
        <v>139</v>
      </c>
      <c r="KX65" s="36" t="s">
        <v>139</v>
      </c>
      <c r="KY65" s="36" t="s">
        <v>139</v>
      </c>
      <c r="KZ65" s="36" t="s">
        <v>139</v>
      </c>
      <c r="LA65" s="36" t="s">
        <v>139</v>
      </c>
      <c r="LB65" s="36" t="s">
        <v>139</v>
      </c>
      <c r="LC65" s="36" t="s">
        <v>139</v>
      </c>
      <c r="LD65" s="36" t="s">
        <v>139</v>
      </c>
      <c r="LE65" s="36" t="s">
        <v>139</v>
      </c>
      <c r="LF65" s="36" t="s">
        <v>139</v>
      </c>
      <c r="LG65" s="36" t="s">
        <v>139</v>
      </c>
      <c r="LH65" s="36" t="s">
        <v>139</v>
      </c>
      <c r="LI65" s="36" t="s">
        <v>139</v>
      </c>
      <c r="LJ65" s="36" t="s">
        <v>139</v>
      </c>
      <c r="LK65" s="36" t="s">
        <v>139</v>
      </c>
      <c r="LL65" s="36" t="s">
        <v>139</v>
      </c>
      <c r="LM65" s="36" t="s">
        <v>139</v>
      </c>
      <c r="LN65" s="36" t="s">
        <v>139</v>
      </c>
      <c r="LO65" s="36" t="s">
        <v>139</v>
      </c>
      <c r="LP65" s="36" t="s">
        <v>139</v>
      </c>
      <c r="LQ65" s="36" t="s">
        <v>139</v>
      </c>
      <c r="LR65" s="36" t="s">
        <v>139</v>
      </c>
      <c r="LS65" s="36" t="s">
        <v>139</v>
      </c>
      <c r="LT65" s="36" t="s">
        <v>139</v>
      </c>
      <c r="LU65" s="36" t="s">
        <v>139</v>
      </c>
      <c r="LV65" s="36" t="s">
        <v>139</v>
      </c>
      <c r="LW65" s="36" t="s">
        <v>139</v>
      </c>
      <c r="LX65" s="36" t="s">
        <v>139</v>
      </c>
      <c r="LY65" s="36" t="s">
        <v>139</v>
      </c>
      <c r="LZ65" s="36" t="s">
        <v>139</v>
      </c>
      <c r="MA65" s="36" t="s">
        <v>139</v>
      </c>
      <c r="MB65" s="36" t="s">
        <v>139</v>
      </c>
      <c r="MC65" s="36" t="s">
        <v>139</v>
      </c>
      <c r="MD65" s="36" t="s">
        <v>139</v>
      </c>
      <c r="ME65" s="36" t="s">
        <v>139</v>
      </c>
      <c r="MF65" s="36" t="s">
        <v>139</v>
      </c>
      <c r="MG65" s="36" t="s">
        <v>139</v>
      </c>
      <c r="MH65" s="36" t="s">
        <v>139</v>
      </c>
      <c r="MI65" s="36" t="s">
        <v>139</v>
      </c>
      <c r="MJ65" s="36" t="s">
        <v>139</v>
      </c>
      <c r="MK65" s="36" t="s">
        <v>139</v>
      </c>
      <c r="ML65" s="36" t="s">
        <v>139</v>
      </c>
      <c r="MM65" s="36" t="s">
        <v>139</v>
      </c>
      <c r="MN65" s="36" t="s">
        <v>139</v>
      </c>
      <c r="MO65" s="36" t="s">
        <v>139</v>
      </c>
      <c r="MP65" s="36" t="s">
        <v>139</v>
      </c>
      <c r="MQ65" s="36" t="s">
        <v>139</v>
      </c>
      <c r="MR65" s="36" t="s">
        <v>139</v>
      </c>
      <c r="MS65" s="36" t="s">
        <v>139</v>
      </c>
      <c r="MT65" s="36" t="s">
        <v>139</v>
      </c>
      <c r="MU65" s="36" t="s">
        <v>139</v>
      </c>
      <c r="MV65" s="36" t="s">
        <v>139</v>
      </c>
      <c r="MW65" s="36" t="s">
        <v>139</v>
      </c>
      <c r="MX65" s="36" t="s">
        <v>139</v>
      </c>
      <c r="MY65" s="36" t="s">
        <v>139</v>
      </c>
      <c r="MZ65" s="36" t="s">
        <v>139</v>
      </c>
      <c r="NA65" s="36" t="s">
        <v>139</v>
      </c>
      <c r="NB65" s="36" t="s">
        <v>139</v>
      </c>
      <c r="NC65" s="36" t="s">
        <v>139</v>
      </c>
      <c r="ND65" s="36" t="s">
        <v>139</v>
      </c>
      <c r="NE65" s="36" t="s">
        <v>139</v>
      </c>
      <c r="NF65" s="36" t="s">
        <v>139</v>
      </c>
      <c r="NG65" s="36" t="s">
        <v>139</v>
      </c>
      <c r="NH65" s="36" t="s">
        <v>139</v>
      </c>
      <c r="NI65" s="36" t="s">
        <v>139</v>
      </c>
      <c r="NJ65" s="36" t="s">
        <v>139</v>
      </c>
      <c r="NK65" s="36" t="s">
        <v>139</v>
      </c>
      <c r="NL65" s="36" t="s">
        <v>139</v>
      </c>
      <c r="NM65" s="36" t="s">
        <v>139</v>
      </c>
      <c r="NN65" s="36" t="s">
        <v>139</v>
      </c>
      <c r="NO65" s="36" t="s">
        <v>139</v>
      </c>
      <c r="NP65" s="36" t="s">
        <v>139</v>
      </c>
      <c r="NQ65" s="36" t="s">
        <v>139</v>
      </c>
      <c r="NR65" s="36" t="s">
        <v>139</v>
      </c>
      <c r="NS65" s="36" t="s">
        <v>139</v>
      </c>
      <c r="NT65" s="36" t="s">
        <v>139</v>
      </c>
      <c r="NU65" s="36" t="s">
        <v>139</v>
      </c>
      <c r="NV65" s="36" t="s">
        <v>139</v>
      </c>
      <c r="NW65" s="36" t="s">
        <v>139</v>
      </c>
      <c r="NX65" s="36" t="s">
        <v>139</v>
      </c>
      <c r="NY65" s="36" t="s">
        <v>139</v>
      </c>
      <c r="NZ65" s="36" t="s">
        <v>139</v>
      </c>
      <c r="OA65" s="36" t="s">
        <v>139</v>
      </c>
      <c r="OB65" s="36" t="s">
        <v>139</v>
      </c>
      <c r="OC65" s="36" t="s">
        <v>139</v>
      </c>
      <c r="OD65" s="36" t="s">
        <v>139</v>
      </c>
      <c r="OE65" s="36" t="s">
        <v>139</v>
      </c>
      <c r="OF65" s="36" t="s">
        <v>139</v>
      </c>
      <c r="OG65" s="36" t="s">
        <v>139</v>
      </c>
      <c r="OH65" s="36" t="s">
        <v>139</v>
      </c>
      <c r="OI65" s="36" t="s">
        <v>139</v>
      </c>
      <c r="OJ65" s="36" t="s">
        <v>139</v>
      </c>
      <c r="OK65" s="36" t="s">
        <v>139</v>
      </c>
      <c r="OL65" s="36" t="s">
        <v>139</v>
      </c>
      <c r="OM65" s="36" t="s">
        <v>139</v>
      </c>
      <c r="ON65" s="36" t="s">
        <v>139</v>
      </c>
      <c r="OO65" s="36" t="s">
        <v>139</v>
      </c>
      <c r="OP65" s="36" t="s">
        <v>139</v>
      </c>
      <c r="OQ65" s="36" t="s">
        <v>139</v>
      </c>
      <c r="OR65" s="36" t="s">
        <v>139</v>
      </c>
      <c r="OS65" s="36" t="s">
        <v>139</v>
      </c>
      <c r="OT65" s="36" t="s">
        <v>139</v>
      </c>
      <c r="OU65" s="36" t="s">
        <v>139</v>
      </c>
      <c r="OV65" s="36" t="s">
        <v>139</v>
      </c>
      <c r="OW65" s="36" t="s">
        <v>139</v>
      </c>
      <c r="OX65" s="36" t="s">
        <v>139</v>
      </c>
      <c r="OY65" s="36" t="s">
        <v>139</v>
      </c>
      <c r="OZ65" s="36" t="s">
        <v>139</v>
      </c>
      <c r="PA65" s="36" t="s">
        <v>139</v>
      </c>
      <c r="PB65" s="36" t="s">
        <v>139</v>
      </c>
      <c r="PC65" s="36" t="s">
        <v>139</v>
      </c>
      <c r="PD65" s="36" t="s">
        <v>139</v>
      </c>
      <c r="PE65" s="36" t="s">
        <v>139</v>
      </c>
      <c r="PF65" s="36" t="s">
        <v>139</v>
      </c>
      <c r="PG65" s="36" t="s">
        <v>139</v>
      </c>
      <c r="PH65" s="36" t="s">
        <v>139</v>
      </c>
      <c r="PI65" s="36" t="s">
        <v>139</v>
      </c>
      <c r="PJ65" s="36" t="s">
        <v>139</v>
      </c>
      <c r="PK65" s="36" t="s">
        <v>139</v>
      </c>
      <c r="PL65" s="36" t="s">
        <v>139</v>
      </c>
      <c r="PM65" s="36" t="s">
        <v>139</v>
      </c>
      <c r="PN65" s="36" t="s">
        <v>139</v>
      </c>
      <c r="PO65" s="74">
        <f>COUNTIFS($C$27:$PN$27,("&lt;"&amp;$B$3),$C$27:$PN$27,("&gt;="&amp;$B$2),$C65:$PN65,TabAsistencias[[#Headers],[1]])</f>
        <v>30</v>
      </c>
      <c r="PP65" s="74">
        <f>COUNTIFS($C$27:$PN$27,("&lt;"&amp;$B$3),$C$27:$PN$27,("&gt;="&amp;$B$2),$C65:$PN65,TabAsistencias[[#Headers],[E]])</f>
        <v>0</v>
      </c>
      <c r="PQ65" s="74">
        <f>COUNTIFS($C$27:$PN$27,("&lt;"&amp;$B$3),$C$27:$PN$27,("&gt;="&amp;$B$2),$C65:$PN65,TabAsistencias[[#Headers],[DE]])</f>
        <v>0</v>
      </c>
      <c r="PR65" s="74">
        <f>COUNTIFS($C$27:$PN$27,("&lt;"&amp;$B$3),$C$27:$PN$27,("&gt;="&amp;$B$2),$C65:$PN65,TabAsistencias[[#Headers],[V]])</f>
        <v>0</v>
      </c>
      <c r="PS65" s="74">
        <f>COUNTIFS($C$27:$PN$27,("&lt;"&amp;$B$3),$C$27:$PN$27,("&gt;="&amp;$B$2),$C65:$PN65,TabAsistencias[[#Headers],[DO]])</f>
        <v>0</v>
      </c>
      <c r="PT65" s="74">
        <f>COUNTIFS($C$27:$PN$27,("&lt;"&amp;$B$3),$C$27:$PN$27,("&gt;="&amp;$B$2),$C65:$PN65,TabAsistencias[[#Headers],[P]])</f>
        <v>0</v>
      </c>
      <c r="PU65" s="74">
        <f>COUNTIFS($C$27:$PN$27,("&lt;"&amp;$B$3),$C$27:$PN$27,("&gt;="&amp;$B$2),$C65:$PN65,TabAsistencias[[#Headers],[F]])</f>
        <v>0</v>
      </c>
      <c r="PV65" s="74">
        <f>COUNTIFS($C$27:$PN$27,("&lt;"&amp;$B$3),$C$27:$PN$27,("&gt;="&amp;$B$2),$C65:$PN65,TabAsistencias[[#Headers],[R]])</f>
        <v>0</v>
      </c>
      <c r="PW65" s="74">
        <f>COUNTIFS($C$27:$PN$27,("&lt;"&amp;$B$3),$C$27:$PN$27,("&gt;="&amp;$B$2),$C65:$PN65,TabAsistencias[[#Headers],[PP]])</f>
        <v>0</v>
      </c>
      <c r="PX65" s="74">
        <f>COUNTIFS($C$27:$PN$27,("&lt;"&amp;$B$3),$C$27:$PN$27,("&gt;="&amp;$B$2),$C65:$PN65,TabAsistencias[[#Headers],[0]])</f>
        <v>0</v>
      </c>
      <c r="PY65" s="74">
        <f>COUNTIFS($C$27:$PN$27,("&lt;"&amp;$B$3),$C$27:$PN$27,("&gt;="&amp;$B$2),$C65:$PN65,TabAsistencias[[#Headers],[IG]])</f>
        <v>0</v>
      </c>
      <c r="PZ65" s="74">
        <f>COUNTIFS($C$27:$PN$27,("&lt;"&amp;$B$3),$C$27:$PN$27,("&gt;="&amp;$B$2),$C65:$PN65,TabAsistencias[[#Headers],[NA]])</f>
        <v>0</v>
      </c>
      <c r="QA65" s="74">
        <f>COUNTIFS($C$27:$PN$27,("&lt;"&amp;$B$3),$C$27:$PN$27,("&gt;="&amp;$B$2),$C65:$PN65,TabAsistencias[[#Headers],[DF]])</f>
        <v>0</v>
      </c>
      <c r="QB65" s="74">
        <f>COUNTIFS($C$27:$PN$27,("&lt;"&amp;$B$3),$C$27:$PN$27,("&gt;="&amp;$B$2),$C65:$PN65,TabAsistencias[[#Headers],[3]])</f>
        <v>0</v>
      </c>
      <c r="QC65" s="74">
        <f>COUNTIFS($C$27:$PN$27,("&lt;"&amp;$B$3),$C$27:$PN$27,("&gt;="&amp;$B$2),$C65:$PN65,TabAsistencias[[#Headers],[CP]])</f>
        <v>0</v>
      </c>
      <c r="QD65" s="74">
        <f>COUNTIFS($C$27:$PN$27,("&lt;"&amp;$B$3),$C$27:$PN$27,("&gt;="&amp;$B$2),$C65:$PN65,TabAsistencias[[#Headers],[I]])</f>
        <v>0</v>
      </c>
      <c r="QE65" s="74">
        <f>COUNTIFS($C$27:$PN$27,("&lt;"&amp;$B$3),$C$27:$PN$27,("&gt;="&amp;$B$2),$C65:$PN65,TabAsistencias[[#Headers],[T/2]])</f>
        <v>0</v>
      </c>
      <c r="QF65" s="74">
        <f>COUNTIFS($C$27:$PN$27,("&lt;"&amp;$B$3),$C$27:$PN$27,("&gt;="&amp;$B$2),$C65:$PN65,TabAsistencias[[#Headers],[ME]])</f>
        <v>0</v>
      </c>
      <c r="QG65" s="74">
        <f>COUNTIFS($C$27:$PN$27,("&lt;"&amp;$B$3),$C$27:$PN$27,("&gt;="&amp;$B$2),$C65:$PN65,TabAsistencias[[#Headers],[DP]])</f>
        <v>0</v>
      </c>
      <c r="QH65" s="74">
        <f>COUNTIFS($C$27:$PN$27,("&lt;"&amp;$B$3),$C$27:$PN$27,("&gt;="&amp;$B$2),$C65:$PN65,TabAsistencias[[#Headers],[B]])</f>
        <v>0</v>
      </c>
      <c r="QI65" s="74">
        <f>(TabAsistencias[[#This Row],[1]]*'Tablas de informacion'!$C$124)+(TabAsistencias[[#This Row],[E]]*'Tablas de informacion'!$C$125)+(TabAsistencias[[#This Row],[DE]]*'Tablas de informacion'!C$126)+(TabAsistencias[[#This Row],[V]]*'Tablas de informacion'!C$127)+(TabAsistencias[[#This Row],[DO]]*'Tablas de informacion'!C$128)+(TabAsistencias[[#This Row],[P]]*'Tablas de informacion'!C$129)+(TabAsistencias[[#This Row],[F]]*'Tablas de informacion'!C$130)+(TabAsistencias[[#This Row],[R]]*'Tablas de informacion'!C$131)+(TabAsistencias[[#This Row],[PP]]*'Tablas de informacion'!C$132)+(TabAsistencias[[#This Row],[0]]*'Tablas de informacion'!C$133)+(TabAsistencias[[#This Row],[IG]]*'Tablas de informacion'!C$134)+(TabAsistencias[[#This Row],[NA]]*'Tablas de informacion'!C$135)+(TabAsistencias[[#This Row],[DF]]*'Tablas de informacion'!C$136)+(TabAsistencias[[#This Row],[3]]*'Tablas de informacion'!C$137)+(TabAsistencias[[#This Row],[CP]]*'Tablas de informacion'!C$138)+(TabAsistencias[[#This Row],[I]]*'Tablas de informacion'!C$139)+(TabAsistencias[[#This Row],[T/2]]*'Tablas de informacion'!C$140)+(TabAsistencias[[#This Row],[ME]]*'Tablas de informacion'!C$141)+(TabAsistencias[[#This Row],[DP]]*'Tablas de informacion'!C$142)+(TabAsistencias[[#This Row],[B]]*'Tablas de informacion'!C$143)-INT(TabAsistencias[[#This Row],[R]]/3)</f>
        <v>30</v>
      </c>
      <c r="QJ65" s="74">
        <f>COUNTIFS($C$27:$PN$27,("&lt;"&amp;$B$3),$C$27:$PN$27,("&gt;="&amp;$B$2),$C$28:$PN$28,1,$C65:$PN65,TabAsistencias[[#Headers],[1]])+
COUNTIFS($C$27:$PN$27,("&lt;"&amp;$B$3),$C$27:$PN$27,("&gt;="&amp;$B$2),$C$28:$PN$28,1,$C65:$PN65,TabAsistencias[[#Headers],[DO]])+
COUNTIFS($C$27:$PN$27,("&lt;"&amp;$B$3),$C$27:$PN$27,("&gt;="&amp;$B$2),$C$28:$PN$28,1,$C65:$PN65,TabAsistencias[[#Headers],[R]])+
COUNTIFS($C$27:$PN$27,("&lt;"&amp;$B$3),$C$27:$PN$27,("&gt;="&amp;$B$2),$C$28:$PN$28,1,$C65:$PN65,TabAsistencias[[#Headers],[NA]])+
COUNTIFS($C$27:$PN$27,("&lt;"&amp;$B$3),$C$27:$PN$27,("&gt;="&amp;$B$2),$C$28:$PN$28,1,$C65:$PN65,TabAsistencias[[#Headers],[DF]])+
COUNTIFS($C$27:$PN$27,("&lt;"&amp;$B$3),$C$27:$PN$27,("&gt;="&amp;$B$2),$C$28:$PN$28,1,$C65:$PN65,TabAsistencias[[#Headers],[3]])+
COUNTIFS($C$27:$PN$27,("&lt;"&amp;$B$3),$C$27:$PN$27,("&gt;="&amp;$B$2),$C$28:$PN$28,1,$C65:$PN65,TabAsistencias[[#Headers],[CP]])+
COUNTIFS($C$27:$PN$27,("&lt;"&amp;$B$3),$C$27:$PN$27,("&gt;="&amp;$B$2),$C$28:$PN$28,1,$C65:$PN65,TabAsistencias[[#Headers],[T/2]])</f>
        <v>4</v>
      </c>
      <c r="QK65" s="315" cm="1">
        <f t="array" ref="QK65">IFERROR(VLOOKUP(
DATEDIF((VLOOKUP(TabAsistencias[[#This Row],[ID]],TabEmpleados[],COLUMN(TabEmpleados[Fecha de ingreso]),FALSE)),Asistencias!$B$3,"Y"),
TabFactorIntegracion[],COLUMN(TabFactorIntegracion[Días vacacionales
establecidos por ley]),FALSE),0)
-
COUNTIF($AH65:$PN65,TabAsistencias[[#Headers],[V]])</f>
        <v>12</v>
      </c>
      <c r="QL65" s="319">
        <f>SUM(TabAsistencias[[#This Row],[''1]],TabAsistencias[[#This Row],[''DE]],TabAsistencias[[#This Row],[''DO]],TabAsistencias[[#This Row],[''R]],TabAsistencias[[#This Row],[''NA]],TabAsistencias[[#This Row],[''DF]],TabAsistencias[[#This Row],[''3]],TabAsistencias[[#This Row],[''CP]],TabAsistencias[[#This Row],[''T/2]],TabAsistencias[[#This Row],[''DP]])</f>
        <v>73</v>
      </c>
      <c r="QM65" s="314">
        <f>COUNTIFS($C$27:$PN$27,("&lt;"&amp;$B$5),$C$27:$PN$27,("&gt;="&amp;$B$4),$C65:$PN65,TabAsistencias[[#Headers],[1]])</f>
        <v>73</v>
      </c>
      <c r="QN65" s="314">
        <f>COUNTIFS($C$27:$PN$27,("&lt;"&amp;$B$5),$C$27:$PN$27,("&gt;="&amp;$B$4),$C65:$PN65,TabAsistencias[[#Headers],[DE]])</f>
        <v>0</v>
      </c>
      <c r="QO65" s="314">
        <f>COUNTIFS($C$27:$PN$27,("&lt;"&amp;$B$5),$C$27:$PN$27,("&gt;="&amp;$B$4),$C65:$PN65,TabAsistencias[[#Headers],[V]])</f>
        <v>0</v>
      </c>
      <c r="QP65" s="314">
        <f>COUNTIFS($C$27:$PN$27,("&lt;"&amp;$B$5),$C$27:$PN$27,("&gt;="&amp;$B$4),$C65:$PN65,TabAsistencias[[#Headers],[DO]])</f>
        <v>0</v>
      </c>
      <c r="QQ65" s="314">
        <f>COUNTIFS($C$27:$PN$27,("&lt;"&amp;$B$5),$C$27:$PN$27,("&gt;="&amp;$B$4),$C65:$PN65,TabAsistencias[[#Headers],[P]])</f>
        <v>0</v>
      </c>
      <c r="QR65" s="314">
        <f>COUNTIFS($C$27:$PN$27,("&lt;"&amp;$B$5),$C$27:$PN$27,("&gt;="&amp;$B$4),$C65:$PN65,TabAsistencias[[#Headers],[F]])</f>
        <v>0</v>
      </c>
      <c r="QS65" s="314">
        <f>COUNTIFS($C$27:$PN$27,("&lt;"&amp;$B$5),$C$27:$PN$27,("&gt;="&amp;$B$4),$C65:$PN65,TabAsistencias[[#Headers],[R]])</f>
        <v>0</v>
      </c>
      <c r="QT65" s="314">
        <f>COUNTIFS($C$27:$PN$27,("&lt;"&amp;$B$5),$C$27:$PN$27,("&gt;="&amp;$B$4),$C65:$PN65,TabAsistencias[[#Headers],[PP]])</f>
        <v>0</v>
      </c>
      <c r="QU65" s="314">
        <f>COUNTIFS($C$27:$PN$27,("&lt;"&amp;$B$5),$C$27:$PN$27,("&gt;="&amp;$B$4),$C65:$PN65,TabAsistencias[[#Headers],[0]])</f>
        <v>0</v>
      </c>
      <c r="QV65" s="314">
        <f>COUNTIFS($C$27:$PN$27,("&lt;"&amp;$B$5),$C$27:$PN$27,("&gt;="&amp;$B$4),$C65:$PN65,TabAsistencias[[#Headers],[IG]])</f>
        <v>0</v>
      </c>
      <c r="QW65" s="314">
        <f>COUNTIFS($C$27:$PN$27,("&lt;"&amp;$B$5),$C$27:$PN$27,("&gt;="&amp;$B$4),$C65:$PN65,TabAsistencias[[#Headers],[NA]])</f>
        <v>0</v>
      </c>
      <c r="QX65" s="314">
        <f>COUNTIFS($C$27:$PN$27,("&lt;"&amp;$B$5),$C$27:$PN$27,("&gt;="&amp;$B$4),$C65:$PN65,TabAsistencias[[#Headers],[DF]])</f>
        <v>0</v>
      </c>
      <c r="QY65" s="314">
        <f>COUNTIFS($C$27:$PN$27,("&lt;"&amp;$B$5),$C$27:$PN$27,("&gt;="&amp;$B$4),$C65:$PN65,TabAsistencias[[#Headers],[3]])</f>
        <v>0</v>
      </c>
      <c r="QZ65" s="314">
        <f>COUNTIFS($C$27:$PN$27,("&lt;"&amp;$B$5),$C$27:$PN$27,("&gt;="&amp;$B$4),$C65:$PN65,TabAsistencias[[#Headers],[CP]])</f>
        <v>0</v>
      </c>
      <c r="RA65" s="314">
        <f>COUNTIFS($C$27:$PN$27,("&lt;"&amp;$B$5),$C$27:$PN$27,("&gt;="&amp;$B$4),$C65:$PN65,TabAsistencias[[#Headers],[I]])</f>
        <v>0</v>
      </c>
      <c r="RB65" s="314">
        <f>COUNTIFS($C$27:$PN$27,("&lt;"&amp;$B$5),$C$27:$PN$27,("&gt;="&amp;$B$4),$C65:$PN65,TabAsistencias[[#Headers],[T/2]])</f>
        <v>0</v>
      </c>
      <c r="RC65" s="314">
        <f>COUNTIFS($C$27:$PN$27,("&lt;"&amp;$B$5),$C$27:$PN$27,("&gt;="&amp;$B$4),$C65:$PN65,TabAsistencias[[#Headers],[ME]])</f>
        <v>0</v>
      </c>
      <c r="RD65" s="314">
        <f>COUNTIFS($C$27:$PN$27,("&lt;"&amp;$B$5),$C$27:$PN$27,("&gt;="&amp;$B$4),$C65:$PN65,TabAsistencias[[#Headers],[DP]])</f>
        <v>0</v>
      </c>
      <c r="RE65" s="314">
        <f>COUNTIFS($C$27:$PN$27,("&lt;"&amp;$B$5),$C$27:$PN$27,("&gt;="&amp;$B$4),$C65:$PN65,TabAsistencias[[#Headers],[B]])</f>
        <v>0</v>
      </c>
      <c r="RF65" s="314">
        <f>COUNTIFS($C$27:$PN$27,("&lt;"&amp;$B$5),$C$27:$PN$27,("&gt;="&amp;$B$4),$C$28:$PN$28,1,$C65:$PN65,TabAsistencias[[#Headers],[1]])+
COUNTIFS($C$27:$PN$27,("&lt;"&amp;$B$5),$C$27:$PN$27,("&gt;="&amp;$B$4),$C$28:$PN$28,1,$C65:$PN65,TabAsistencias[[#Headers],[DO]])+
COUNTIFS($C$27:$PN$27,("&lt;"&amp;$B$5),$C$27:$PN$27,("&gt;="&amp;$B$4),$C$28:$PN$28,1,$C65:$PN65,TabAsistencias[[#Headers],[R]])+
COUNTIFS($C$27:$PN$27,("&lt;"&amp;$B$5),$C$27:$PN$27,("&gt;="&amp;$B$4),$C$28:$PN$28,1,$C65:$PN65,TabAsistencias[[#Headers],[NA]])+
COUNTIFS($C$27:$PN$27,("&lt;"&amp;$B$5),$C$27:$PN$27,("&gt;="&amp;$B$4),$C$28:$PN$28,1,$C65:$PN65,TabAsistencias[[#Headers],[DF]])+
COUNTIFS($C$27:$PN$27,("&lt;"&amp;$B$5),$C$27:$PN$27,("&gt;="&amp;$B$4),$C$28:$PN$28,1,$C65:$PN65,TabAsistencias[[#Headers],[3]])+
COUNTIFS($C$27:$PN$27,("&lt;"&amp;$B$5),$C$27:$PN$27,("&gt;="&amp;$B$4),$C$28:$PN$28,1,$C65:$PN65,TabAsistencias[[#Headers],[CP]])+
COUNTIFS($C$27:$PN$27,("&lt;"&amp;$B$5),$C$27:$PN$27,("&gt;="&amp;$B$4),$C$28:$PN$28,1,$C65:$PN65,TabAsistencias[[#Headers],[T/2]])</f>
        <v>11</v>
      </c>
      <c r="RG65" s="320" cm="1">
        <f t="array" ref="RG65">IFERROR(VLOOKUP(
DATEDIF((VLOOKUP(TabAsistencias[[#This Row],[ID]],TabEmpleados[],COLUMN(TabEmpleados[Fecha de alta NSS]),FALSE)),Asistencias!$B$3,"Y"),
TabFactorIntegracion[],COLUMN(TabFactorIntegracion[Días vacacionales
establecidos por ley]),FALSE),0)
-
COUNTIF($AH65:$PN65,TabAsistencias[[#Headers],[V]])</f>
        <v>12</v>
      </c>
    </row>
    <row r="66" spans="1:475" x14ac:dyDescent="0.25">
      <c r="A66" s="92">
        <f t="shared" si="434"/>
        <v>36</v>
      </c>
      <c r="B66" s="30" t="str" cm="1">
        <f t="array" ref="B66">VLOOKUP(TabAsistencias[[#This Row],[ID]],TabEmpleados[],COLUMN(TabEmpleados[Nombre]),FALSE)</f>
        <v>LORENZANA DIAZ IGNACIO DEMETRIO</v>
      </c>
      <c r="C66" s="36" t="s">
        <v>139</v>
      </c>
      <c r="D66" s="36" t="s">
        <v>139</v>
      </c>
      <c r="E66" s="36" t="s">
        <v>139</v>
      </c>
      <c r="F66" s="36" t="s">
        <v>139</v>
      </c>
      <c r="G66" s="36" t="s">
        <v>139</v>
      </c>
      <c r="H66" s="36" t="s">
        <v>139</v>
      </c>
      <c r="I66" s="36" t="s">
        <v>139</v>
      </c>
      <c r="J66" s="36" t="s">
        <v>139</v>
      </c>
      <c r="K66" s="36" t="s">
        <v>139</v>
      </c>
      <c r="L66" s="36" t="s">
        <v>139</v>
      </c>
      <c r="M66" s="36" t="s">
        <v>139</v>
      </c>
      <c r="N66" s="36" t="s">
        <v>139</v>
      </c>
      <c r="O66" s="36" t="s">
        <v>139</v>
      </c>
      <c r="P66" s="36" t="s">
        <v>139</v>
      </c>
      <c r="Q66" s="36" t="s">
        <v>139</v>
      </c>
      <c r="R66" s="36" t="s">
        <v>139</v>
      </c>
      <c r="S66" s="36" t="s">
        <v>139</v>
      </c>
      <c r="T66" s="36" t="s">
        <v>139</v>
      </c>
      <c r="U66" s="36" t="s">
        <v>139</v>
      </c>
      <c r="V66" s="36" t="s">
        <v>139</v>
      </c>
      <c r="W66" s="36" t="s">
        <v>139</v>
      </c>
      <c r="X66" s="36" t="s">
        <v>139</v>
      </c>
      <c r="Y66" s="36" t="s">
        <v>139</v>
      </c>
      <c r="Z66" s="36" t="s">
        <v>139</v>
      </c>
      <c r="AA66" s="36" t="s">
        <v>139</v>
      </c>
      <c r="AB66" s="36" t="s">
        <v>139</v>
      </c>
      <c r="AC66" s="36" t="s">
        <v>139</v>
      </c>
      <c r="AD66" s="36" t="s">
        <v>139</v>
      </c>
      <c r="AE66" s="36" t="s">
        <v>139</v>
      </c>
      <c r="AF66" s="36" t="s">
        <v>139</v>
      </c>
      <c r="AG66" s="36" t="s">
        <v>139</v>
      </c>
      <c r="AH66" s="36" t="s">
        <v>139</v>
      </c>
      <c r="AI66" s="36" t="s">
        <v>139</v>
      </c>
      <c r="AJ66" s="36" t="s">
        <v>139</v>
      </c>
      <c r="AK66" s="36" t="s">
        <v>139</v>
      </c>
      <c r="AL66" s="36" t="s">
        <v>139</v>
      </c>
      <c r="AM66" s="36" t="s">
        <v>139</v>
      </c>
      <c r="AN66" s="36" t="s">
        <v>139</v>
      </c>
      <c r="AO66" s="36" t="s">
        <v>139</v>
      </c>
      <c r="AP66" s="36" t="s">
        <v>139</v>
      </c>
      <c r="AQ66" s="36" t="s">
        <v>139</v>
      </c>
      <c r="AR66" s="36" t="s">
        <v>139</v>
      </c>
      <c r="AS66" s="36" t="s">
        <v>139</v>
      </c>
      <c r="AT66" s="36" t="s">
        <v>139</v>
      </c>
      <c r="AU66" s="36" t="s">
        <v>139</v>
      </c>
      <c r="AV66" s="36" t="s">
        <v>139</v>
      </c>
      <c r="AW66" s="36" t="s">
        <v>139</v>
      </c>
      <c r="AX66" s="36" t="s">
        <v>139</v>
      </c>
      <c r="AY66" s="36" t="s">
        <v>139</v>
      </c>
      <c r="AZ66" s="36" t="s">
        <v>139</v>
      </c>
      <c r="BA66" s="36" t="s">
        <v>139</v>
      </c>
      <c r="BB66" s="36" t="s">
        <v>139</v>
      </c>
      <c r="BC66" s="36" t="s">
        <v>139</v>
      </c>
      <c r="BD66" s="36" t="s">
        <v>139</v>
      </c>
      <c r="BE66" s="36" t="s">
        <v>139</v>
      </c>
      <c r="BF66" s="36" t="s">
        <v>139</v>
      </c>
      <c r="BG66" s="36" t="s">
        <v>139</v>
      </c>
      <c r="BH66" s="36" t="s">
        <v>139</v>
      </c>
      <c r="BI66" s="36" t="s">
        <v>139</v>
      </c>
      <c r="BJ66" s="36" t="s">
        <v>139</v>
      </c>
      <c r="BK66" s="36" t="s">
        <v>139</v>
      </c>
      <c r="BL66" s="36" t="s">
        <v>139</v>
      </c>
      <c r="BM66" s="36" t="s">
        <v>139</v>
      </c>
      <c r="BN66" s="36" t="s">
        <v>139</v>
      </c>
      <c r="BO66" s="36" t="s">
        <v>139</v>
      </c>
      <c r="BP66" s="36" t="s">
        <v>139</v>
      </c>
      <c r="BQ66" s="36" t="s">
        <v>139</v>
      </c>
      <c r="BR66" s="36" t="s">
        <v>139</v>
      </c>
      <c r="BS66" s="36" t="s">
        <v>139</v>
      </c>
      <c r="BT66" s="36" t="s">
        <v>139</v>
      </c>
      <c r="BU66" s="36" t="s">
        <v>139</v>
      </c>
      <c r="BV66" s="36" t="s">
        <v>139</v>
      </c>
      <c r="BW66" s="36" t="s">
        <v>139</v>
      </c>
      <c r="BX66" s="36" t="s">
        <v>139</v>
      </c>
      <c r="BY66" s="36" t="s">
        <v>139</v>
      </c>
      <c r="BZ66" s="36" t="s">
        <v>139</v>
      </c>
      <c r="CA66" s="36" t="s">
        <v>139</v>
      </c>
      <c r="CB66" s="36" t="s">
        <v>139</v>
      </c>
      <c r="CC66" s="36" t="s">
        <v>139</v>
      </c>
      <c r="CD66" s="36" t="s">
        <v>139</v>
      </c>
      <c r="CE66" s="36" t="s">
        <v>139</v>
      </c>
      <c r="CF66" s="36" t="s">
        <v>139</v>
      </c>
      <c r="CG66" s="36" t="s">
        <v>139</v>
      </c>
      <c r="CH66" s="36" t="s">
        <v>139</v>
      </c>
      <c r="CI66" s="36" t="s">
        <v>139</v>
      </c>
      <c r="CJ66" s="36" t="s">
        <v>139</v>
      </c>
      <c r="CK66" s="36" t="s">
        <v>139</v>
      </c>
      <c r="CL66" s="36" t="s">
        <v>139</v>
      </c>
      <c r="CM66" s="36" t="s">
        <v>139</v>
      </c>
      <c r="CN66" s="36" t="s">
        <v>139</v>
      </c>
      <c r="CO66" s="36" t="s">
        <v>139</v>
      </c>
      <c r="CP66" s="36" t="s">
        <v>139</v>
      </c>
      <c r="CQ66" s="36" t="s">
        <v>139</v>
      </c>
      <c r="CR66" s="36" t="s">
        <v>139</v>
      </c>
      <c r="CS66" s="36" t="s">
        <v>139</v>
      </c>
      <c r="CT66" s="36" t="s">
        <v>139</v>
      </c>
      <c r="CU66" s="36" t="s">
        <v>139</v>
      </c>
      <c r="CV66" s="36" t="s">
        <v>139</v>
      </c>
      <c r="CW66" s="36" t="s">
        <v>139</v>
      </c>
      <c r="CX66" s="36" t="s">
        <v>139</v>
      </c>
      <c r="CY66" s="36" t="s">
        <v>139</v>
      </c>
      <c r="CZ66" s="36" t="s">
        <v>139</v>
      </c>
      <c r="DA66" s="36" t="s">
        <v>139</v>
      </c>
      <c r="DB66" s="36" t="s">
        <v>139</v>
      </c>
      <c r="DC66" s="36" t="s">
        <v>139</v>
      </c>
      <c r="DD66" s="36" t="s">
        <v>139</v>
      </c>
      <c r="DE66" s="36" t="s">
        <v>139</v>
      </c>
      <c r="DF66" s="36" t="s">
        <v>139</v>
      </c>
      <c r="DG66" s="36" t="s">
        <v>139</v>
      </c>
      <c r="DH66" s="36" t="s">
        <v>139</v>
      </c>
      <c r="DI66" s="36" t="s">
        <v>139</v>
      </c>
      <c r="DJ66" s="36" t="s">
        <v>139</v>
      </c>
      <c r="DK66" s="36" t="s">
        <v>139</v>
      </c>
      <c r="DL66" s="36" t="s">
        <v>139</v>
      </c>
      <c r="DM66" s="36" t="s">
        <v>139</v>
      </c>
      <c r="DN66" s="36" t="s">
        <v>139</v>
      </c>
      <c r="DO66" s="36" t="s">
        <v>139</v>
      </c>
      <c r="DP66" s="36" t="s">
        <v>139</v>
      </c>
      <c r="DQ66" s="36" t="s">
        <v>139</v>
      </c>
      <c r="DR66" s="36" t="s">
        <v>139</v>
      </c>
      <c r="DS66" s="36" t="s">
        <v>139</v>
      </c>
      <c r="DT66" s="36" t="s">
        <v>139</v>
      </c>
      <c r="DU66" s="36" t="s">
        <v>139</v>
      </c>
      <c r="DV66" s="36" t="s">
        <v>139</v>
      </c>
      <c r="DW66" s="36" t="s">
        <v>139</v>
      </c>
      <c r="DX66" s="36" t="s">
        <v>139</v>
      </c>
      <c r="DY66" s="36" t="s">
        <v>139</v>
      </c>
      <c r="DZ66" s="36" t="s">
        <v>139</v>
      </c>
      <c r="EA66" s="36" t="s">
        <v>139</v>
      </c>
      <c r="EB66" s="36" t="s">
        <v>139</v>
      </c>
      <c r="EC66" s="36" t="s">
        <v>139</v>
      </c>
      <c r="ED66" s="36" t="s">
        <v>139</v>
      </c>
      <c r="EE66" s="36" t="s">
        <v>139</v>
      </c>
      <c r="EF66" s="36" t="s">
        <v>139</v>
      </c>
      <c r="EG66" s="36" t="s">
        <v>139</v>
      </c>
      <c r="EH66" s="36" t="s">
        <v>139</v>
      </c>
      <c r="EI66" s="36" t="s">
        <v>139</v>
      </c>
      <c r="EJ66" s="36" t="s">
        <v>139</v>
      </c>
      <c r="EK66" s="36" t="s">
        <v>139</v>
      </c>
      <c r="EL66" s="36" t="s">
        <v>139</v>
      </c>
      <c r="EM66" s="36" t="s">
        <v>139</v>
      </c>
      <c r="EN66" s="36" t="s">
        <v>139</v>
      </c>
      <c r="EO66" s="36" t="s">
        <v>139</v>
      </c>
      <c r="EP66" s="36" t="s">
        <v>139</v>
      </c>
      <c r="EQ66" s="36" t="s">
        <v>139</v>
      </c>
      <c r="ER66" s="36" t="s">
        <v>139</v>
      </c>
      <c r="ES66" s="36" t="s">
        <v>139</v>
      </c>
      <c r="ET66" s="36" t="s">
        <v>139</v>
      </c>
      <c r="EU66" s="36" t="s">
        <v>139</v>
      </c>
      <c r="EV66" s="36" t="s">
        <v>139</v>
      </c>
      <c r="EW66" s="36" t="s">
        <v>139</v>
      </c>
      <c r="EX66" s="36" t="s">
        <v>139</v>
      </c>
      <c r="EY66" s="36" t="s">
        <v>139</v>
      </c>
      <c r="EZ66" s="36" t="s">
        <v>139</v>
      </c>
      <c r="FA66" s="36" t="s">
        <v>139</v>
      </c>
      <c r="FB66" s="36" t="s">
        <v>139</v>
      </c>
      <c r="FC66" s="36" t="s">
        <v>139</v>
      </c>
      <c r="FD66" s="36" t="s">
        <v>139</v>
      </c>
      <c r="FE66" s="36" t="s">
        <v>139</v>
      </c>
      <c r="FF66" s="36" t="s">
        <v>139</v>
      </c>
      <c r="FG66" s="36" t="s">
        <v>139</v>
      </c>
      <c r="FH66" s="36" t="s">
        <v>139</v>
      </c>
      <c r="FI66" s="36" t="s">
        <v>139</v>
      </c>
      <c r="FJ66" s="36" t="s">
        <v>139</v>
      </c>
      <c r="FK66" s="36" t="s">
        <v>139</v>
      </c>
      <c r="FL66" s="36" t="s">
        <v>139</v>
      </c>
      <c r="FM66" s="36" t="s">
        <v>139</v>
      </c>
      <c r="FN66" s="36" t="s">
        <v>139</v>
      </c>
      <c r="FO66" s="36" t="s">
        <v>139</v>
      </c>
      <c r="FP66" s="36" t="s">
        <v>139</v>
      </c>
      <c r="FQ66" s="36" t="s">
        <v>139</v>
      </c>
      <c r="FR66" s="36" t="s">
        <v>139</v>
      </c>
      <c r="FS66" s="36" t="s">
        <v>139</v>
      </c>
      <c r="FT66" s="36" t="s">
        <v>139</v>
      </c>
      <c r="FU66" s="36" t="s">
        <v>139</v>
      </c>
      <c r="FV66" s="36" t="s">
        <v>139</v>
      </c>
      <c r="FW66" s="36" t="s">
        <v>139</v>
      </c>
      <c r="FX66" s="36" t="s">
        <v>139</v>
      </c>
      <c r="FY66" s="36" t="s">
        <v>139</v>
      </c>
      <c r="FZ66" s="36" t="s">
        <v>139</v>
      </c>
      <c r="GA66" s="36" t="s">
        <v>139</v>
      </c>
      <c r="GB66" s="36" t="s">
        <v>139</v>
      </c>
      <c r="GC66" s="36" t="s">
        <v>139</v>
      </c>
      <c r="GD66" s="36" t="s">
        <v>139</v>
      </c>
      <c r="GE66" s="36" t="s">
        <v>139</v>
      </c>
      <c r="GF66" s="36" t="s">
        <v>139</v>
      </c>
      <c r="GG66" s="36" t="s">
        <v>139</v>
      </c>
      <c r="GH66" s="36" t="s">
        <v>139</v>
      </c>
      <c r="GI66" s="36" t="s">
        <v>139</v>
      </c>
      <c r="GJ66" s="36" t="s">
        <v>139</v>
      </c>
      <c r="GK66" s="36" t="s">
        <v>139</v>
      </c>
      <c r="GL66" s="36" t="s">
        <v>139</v>
      </c>
      <c r="GM66" s="36" t="s">
        <v>139</v>
      </c>
      <c r="GN66" s="36" t="s">
        <v>139</v>
      </c>
      <c r="GO66" s="36" t="s">
        <v>139</v>
      </c>
      <c r="GP66" s="36" t="s">
        <v>139</v>
      </c>
      <c r="GQ66" s="36" t="s">
        <v>139</v>
      </c>
      <c r="GR66" s="36" t="s">
        <v>139</v>
      </c>
      <c r="GS66" s="36" t="s">
        <v>139</v>
      </c>
      <c r="GT66" s="36" t="s">
        <v>139</v>
      </c>
      <c r="GU66" s="36" t="s">
        <v>139</v>
      </c>
      <c r="GV66" s="36" t="s">
        <v>139</v>
      </c>
      <c r="GW66" s="36" t="s">
        <v>139</v>
      </c>
      <c r="GX66" s="36" t="s">
        <v>139</v>
      </c>
      <c r="GY66" s="36" t="s">
        <v>139</v>
      </c>
      <c r="GZ66" s="36" t="s">
        <v>139</v>
      </c>
      <c r="HA66" s="36" t="s">
        <v>139</v>
      </c>
      <c r="HB66" s="36" t="s">
        <v>139</v>
      </c>
      <c r="HC66" s="36" t="s">
        <v>139</v>
      </c>
      <c r="HD66" s="36" t="s">
        <v>139</v>
      </c>
      <c r="HE66" s="36" t="s">
        <v>139</v>
      </c>
      <c r="HF66" s="36" t="s">
        <v>139</v>
      </c>
      <c r="HG66" s="36" t="s">
        <v>139</v>
      </c>
      <c r="HH66" s="36" t="s">
        <v>139</v>
      </c>
      <c r="HI66" s="36" t="s">
        <v>139</v>
      </c>
      <c r="HJ66" s="36" t="s">
        <v>139</v>
      </c>
      <c r="HK66" s="36" t="s">
        <v>139</v>
      </c>
      <c r="HL66" s="36" t="s">
        <v>139</v>
      </c>
      <c r="HM66" s="36" t="s">
        <v>139</v>
      </c>
      <c r="HN66" s="36" t="s">
        <v>139</v>
      </c>
      <c r="HO66" s="36" t="s">
        <v>139</v>
      </c>
      <c r="HP66" s="36" t="s">
        <v>139</v>
      </c>
      <c r="HQ66" s="36" t="s">
        <v>139</v>
      </c>
      <c r="HR66" s="36" t="s">
        <v>139</v>
      </c>
      <c r="HS66" s="36" t="s">
        <v>139</v>
      </c>
      <c r="HT66" s="36" t="s">
        <v>139</v>
      </c>
      <c r="HU66" s="36" t="s">
        <v>139</v>
      </c>
      <c r="HV66" s="36" t="s">
        <v>139</v>
      </c>
      <c r="HW66" s="36" t="s">
        <v>139</v>
      </c>
      <c r="HX66" s="36" t="s">
        <v>139</v>
      </c>
      <c r="HY66" s="36" t="s">
        <v>139</v>
      </c>
      <c r="HZ66" s="36" t="s">
        <v>139</v>
      </c>
      <c r="IA66" s="36" t="s">
        <v>139</v>
      </c>
      <c r="IB66" s="36" t="s">
        <v>139</v>
      </c>
      <c r="IC66" s="36" t="s">
        <v>139</v>
      </c>
      <c r="ID66" s="36" t="s">
        <v>139</v>
      </c>
      <c r="IE66" s="36" t="s">
        <v>139</v>
      </c>
      <c r="IF66" s="36" t="s">
        <v>139</v>
      </c>
      <c r="IG66" s="36" t="s">
        <v>139</v>
      </c>
      <c r="IH66" s="36" t="s">
        <v>139</v>
      </c>
      <c r="II66" s="36" t="s">
        <v>139</v>
      </c>
      <c r="IJ66" s="36" t="s">
        <v>139</v>
      </c>
      <c r="IK66" s="36" t="s">
        <v>139</v>
      </c>
      <c r="IL66" s="36" t="s">
        <v>139</v>
      </c>
      <c r="IM66" s="36" t="s">
        <v>139</v>
      </c>
      <c r="IN66" s="36" t="s">
        <v>139</v>
      </c>
      <c r="IO66" s="36" t="s">
        <v>139</v>
      </c>
      <c r="IP66" s="36" t="s">
        <v>139</v>
      </c>
      <c r="IQ66" s="36" t="s">
        <v>139</v>
      </c>
      <c r="IR66" s="36" t="s">
        <v>139</v>
      </c>
      <c r="IS66" s="36" t="s">
        <v>139</v>
      </c>
      <c r="IT66" s="36" t="s">
        <v>139</v>
      </c>
      <c r="IU66" s="36" t="s">
        <v>139</v>
      </c>
      <c r="IV66" s="36" t="s">
        <v>139</v>
      </c>
      <c r="IW66" s="36" t="s">
        <v>139</v>
      </c>
      <c r="IX66" s="36" t="s">
        <v>139</v>
      </c>
      <c r="IY66" s="36" t="s">
        <v>139</v>
      </c>
      <c r="IZ66" s="36" t="s">
        <v>139</v>
      </c>
      <c r="JA66" s="36" t="s">
        <v>139</v>
      </c>
      <c r="JB66" s="36" t="s">
        <v>139</v>
      </c>
      <c r="JC66" s="36" t="s">
        <v>139</v>
      </c>
      <c r="JD66" s="36" t="s">
        <v>139</v>
      </c>
      <c r="JE66" s="36" t="s">
        <v>139</v>
      </c>
      <c r="JF66" s="36" t="s">
        <v>139</v>
      </c>
      <c r="JG66" s="36" t="s">
        <v>139</v>
      </c>
      <c r="JH66" s="36" t="s">
        <v>139</v>
      </c>
      <c r="JI66" s="36" t="s">
        <v>139</v>
      </c>
      <c r="JJ66" s="36" t="s">
        <v>139</v>
      </c>
      <c r="JK66" s="36" t="s">
        <v>139</v>
      </c>
      <c r="JL66" s="36" t="s">
        <v>139</v>
      </c>
      <c r="JM66" s="36" t="s">
        <v>139</v>
      </c>
      <c r="JN66" s="36" t="s">
        <v>139</v>
      </c>
      <c r="JO66" s="36" t="s">
        <v>139</v>
      </c>
      <c r="JP66" s="36" t="s">
        <v>139</v>
      </c>
      <c r="JQ66" s="36" t="s">
        <v>139</v>
      </c>
      <c r="JR66" s="36" t="s">
        <v>139</v>
      </c>
      <c r="JS66" s="36" t="s">
        <v>139</v>
      </c>
      <c r="JT66" s="36" t="s">
        <v>139</v>
      </c>
      <c r="JU66" s="36" t="s">
        <v>139</v>
      </c>
      <c r="JV66" s="36" t="s">
        <v>139</v>
      </c>
      <c r="JW66" s="36" t="s">
        <v>139</v>
      </c>
      <c r="JX66" s="36" t="s">
        <v>139</v>
      </c>
      <c r="JY66" s="36" t="s">
        <v>139</v>
      </c>
      <c r="JZ66" s="36" t="s">
        <v>139</v>
      </c>
      <c r="KA66" s="36" t="s">
        <v>139</v>
      </c>
      <c r="KB66" s="36" t="s">
        <v>139</v>
      </c>
      <c r="KC66" s="36" t="s">
        <v>139</v>
      </c>
      <c r="KD66" s="36" t="s">
        <v>139</v>
      </c>
      <c r="KE66" s="36" t="s">
        <v>139</v>
      </c>
      <c r="KF66" s="36" t="s">
        <v>139</v>
      </c>
      <c r="KG66" s="36" t="s">
        <v>139</v>
      </c>
      <c r="KH66" s="36" t="s">
        <v>139</v>
      </c>
      <c r="KI66" s="36" t="s">
        <v>139</v>
      </c>
      <c r="KJ66" s="36" t="s">
        <v>139</v>
      </c>
      <c r="KK66" s="36" t="s">
        <v>139</v>
      </c>
      <c r="KL66" s="36" t="s">
        <v>139</v>
      </c>
      <c r="KM66" s="36" t="s">
        <v>139</v>
      </c>
      <c r="KN66" s="36" t="s">
        <v>139</v>
      </c>
      <c r="KO66" s="36" t="s">
        <v>139</v>
      </c>
      <c r="KP66" s="36" t="s">
        <v>139</v>
      </c>
      <c r="KQ66" s="36" t="s">
        <v>139</v>
      </c>
      <c r="KR66" s="36" t="s">
        <v>139</v>
      </c>
      <c r="KS66" s="36" t="s">
        <v>139</v>
      </c>
      <c r="KT66" s="36" t="s">
        <v>139</v>
      </c>
      <c r="KU66" s="36" t="s">
        <v>139</v>
      </c>
      <c r="KV66" s="36" t="s">
        <v>139</v>
      </c>
      <c r="KW66" s="36" t="s">
        <v>139</v>
      </c>
      <c r="KX66" s="36" t="s">
        <v>139</v>
      </c>
      <c r="KY66" s="36" t="s">
        <v>139</v>
      </c>
      <c r="KZ66" s="36" t="s">
        <v>139</v>
      </c>
      <c r="LA66" s="36" t="s">
        <v>139</v>
      </c>
      <c r="LB66" s="36" t="s">
        <v>139</v>
      </c>
      <c r="LC66" s="36" t="s">
        <v>139</v>
      </c>
      <c r="LD66" s="36" t="s">
        <v>139</v>
      </c>
      <c r="LE66" s="36" t="s">
        <v>139</v>
      </c>
      <c r="LF66" s="36" t="s">
        <v>139</v>
      </c>
      <c r="LG66" s="36" t="s">
        <v>139</v>
      </c>
      <c r="LH66" s="36" t="s">
        <v>139</v>
      </c>
      <c r="LI66" s="36" t="s">
        <v>139</v>
      </c>
      <c r="LJ66" s="36" t="s">
        <v>139</v>
      </c>
      <c r="LK66" s="36" t="s">
        <v>139</v>
      </c>
      <c r="LL66" s="36" t="s">
        <v>139</v>
      </c>
      <c r="LM66" s="36" t="s">
        <v>139</v>
      </c>
      <c r="LN66" s="36" t="s">
        <v>139</v>
      </c>
      <c r="LO66" s="36" t="s">
        <v>139</v>
      </c>
      <c r="LP66" s="36" t="s">
        <v>139</v>
      </c>
      <c r="LQ66" s="36" t="s">
        <v>139</v>
      </c>
      <c r="LR66" s="36" t="s">
        <v>139</v>
      </c>
      <c r="LS66" s="36" t="s">
        <v>139</v>
      </c>
      <c r="LT66" s="36" t="s">
        <v>139</v>
      </c>
      <c r="LU66" s="36" t="s">
        <v>139</v>
      </c>
      <c r="LV66" s="36" t="s">
        <v>139</v>
      </c>
      <c r="LW66" s="36" t="s">
        <v>139</v>
      </c>
      <c r="LX66" s="36" t="s">
        <v>139</v>
      </c>
      <c r="LY66" s="36" t="s">
        <v>139</v>
      </c>
      <c r="LZ66" s="36" t="s">
        <v>139</v>
      </c>
      <c r="MA66" s="36" t="s">
        <v>139</v>
      </c>
      <c r="MB66" s="36" t="s">
        <v>139</v>
      </c>
      <c r="MC66" s="36" t="s">
        <v>139</v>
      </c>
      <c r="MD66" s="36" t="s">
        <v>139</v>
      </c>
      <c r="ME66" s="36" t="s">
        <v>139</v>
      </c>
      <c r="MF66" s="36" t="s">
        <v>139</v>
      </c>
      <c r="MG66" s="36" t="s">
        <v>139</v>
      </c>
      <c r="MH66" s="36" t="s">
        <v>139</v>
      </c>
      <c r="MI66" s="36" t="s">
        <v>139</v>
      </c>
      <c r="MJ66" s="36" t="s">
        <v>139</v>
      </c>
      <c r="MK66" s="36" t="s">
        <v>139</v>
      </c>
      <c r="ML66" s="36" t="s">
        <v>139</v>
      </c>
      <c r="MM66" s="36" t="s">
        <v>139</v>
      </c>
      <c r="MN66" s="36" t="s">
        <v>139</v>
      </c>
      <c r="MO66" s="36" t="s">
        <v>139</v>
      </c>
      <c r="MP66" s="36" t="s">
        <v>139</v>
      </c>
      <c r="MQ66" s="36" t="s">
        <v>139</v>
      </c>
      <c r="MR66" s="36" t="s">
        <v>139</v>
      </c>
      <c r="MS66" s="36" t="s">
        <v>139</v>
      </c>
      <c r="MT66" s="36" t="s">
        <v>139</v>
      </c>
      <c r="MU66" s="36" t="s">
        <v>139</v>
      </c>
      <c r="MV66" s="36" t="s">
        <v>139</v>
      </c>
      <c r="MW66" s="36" t="s">
        <v>139</v>
      </c>
      <c r="MX66" s="36" t="s">
        <v>139</v>
      </c>
      <c r="MY66" s="36" t="s">
        <v>139</v>
      </c>
      <c r="MZ66" s="36" t="s">
        <v>139</v>
      </c>
      <c r="NA66" s="36" t="s">
        <v>139</v>
      </c>
      <c r="NB66" s="36" t="s">
        <v>139</v>
      </c>
      <c r="NC66" s="36" t="s">
        <v>139</v>
      </c>
      <c r="ND66" s="36" t="s">
        <v>139</v>
      </c>
      <c r="NE66" s="36" t="s">
        <v>139</v>
      </c>
      <c r="NF66" s="36" t="s">
        <v>139</v>
      </c>
      <c r="NG66" s="36" t="s">
        <v>139</v>
      </c>
      <c r="NH66" s="36" t="s">
        <v>139</v>
      </c>
      <c r="NI66" s="36" t="s">
        <v>139</v>
      </c>
      <c r="NJ66" s="36" t="s">
        <v>139</v>
      </c>
      <c r="NK66" s="36" t="s">
        <v>139</v>
      </c>
      <c r="NL66" s="36" t="s">
        <v>139</v>
      </c>
      <c r="NM66" s="36" t="s">
        <v>139</v>
      </c>
      <c r="NN66" s="36" t="s">
        <v>139</v>
      </c>
      <c r="NO66" s="36" t="s">
        <v>139</v>
      </c>
      <c r="NP66" s="36" t="s">
        <v>139</v>
      </c>
      <c r="NQ66" s="36" t="s">
        <v>139</v>
      </c>
      <c r="NR66" s="36" t="s">
        <v>139</v>
      </c>
      <c r="NS66" s="36" t="s">
        <v>139</v>
      </c>
      <c r="NT66" s="36" t="s">
        <v>139</v>
      </c>
      <c r="NU66" s="36" t="s">
        <v>139</v>
      </c>
      <c r="NV66" s="36" t="s">
        <v>139</v>
      </c>
      <c r="NW66" s="36" t="s">
        <v>139</v>
      </c>
      <c r="NX66" s="36" t="s">
        <v>139</v>
      </c>
      <c r="NY66" s="36" t="s">
        <v>139</v>
      </c>
      <c r="NZ66" s="36" t="s">
        <v>139</v>
      </c>
      <c r="OA66" s="36" t="s">
        <v>139</v>
      </c>
      <c r="OB66" s="36" t="s">
        <v>139</v>
      </c>
      <c r="OC66" s="36" t="s">
        <v>139</v>
      </c>
      <c r="OD66" s="36" t="s">
        <v>139</v>
      </c>
      <c r="OE66" s="36" t="s">
        <v>139</v>
      </c>
      <c r="OF66" s="36" t="s">
        <v>139</v>
      </c>
      <c r="OG66" s="36" t="s">
        <v>139</v>
      </c>
      <c r="OH66" s="36" t="s">
        <v>139</v>
      </c>
      <c r="OI66" s="36" t="s">
        <v>139</v>
      </c>
      <c r="OJ66" s="36" t="s">
        <v>139</v>
      </c>
      <c r="OK66" s="36" t="s">
        <v>139</v>
      </c>
      <c r="OL66" s="36" t="s">
        <v>139</v>
      </c>
      <c r="OM66" s="36" t="s">
        <v>139</v>
      </c>
      <c r="ON66" s="36" t="s">
        <v>139</v>
      </c>
      <c r="OO66" s="36" t="s">
        <v>139</v>
      </c>
      <c r="OP66" s="36" t="s">
        <v>139</v>
      </c>
      <c r="OQ66" s="36" t="s">
        <v>139</v>
      </c>
      <c r="OR66" s="36" t="s">
        <v>139</v>
      </c>
      <c r="OS66" s="36" t="s">
        <v>139</v>
      </c>
      <c r="OT66" s="36" t="s">
        <v>139</v>
      </c>
      <c r="OU66" s="36" t="s">
        <v>139</v>
      </c>
      <c r="OV66" s="36" t="s">
        <v>139</v>
      </c>
      <c r="OW66" s="36" t="s">
        <v>139</v>
      </c>
      <c r="OX66" s="36" t="s">
        <v>139</v>
      </c>
      <c r="OY66" s="36" t="s">
        <v>139</v>
      </c>
      <c r="OZ66" s="36" t="s">
        <v>139</v>
      </c>
      <c r="PA66" s="36" t="s">
        <v>139</v>
      </c>
      <c r="PB66" s="36" t="s">
        <v>139</v>
      </c>
      <c r="PC66" s="36" t="s">
        <v>139</v>
      </c>
      <c r="PD66" s="36" t="s">
        <v>139</v>
      </c>
      <c r="PE66" s="36" t="s">
        <v>139</v>
      </c>
      <c r="PF66" s="36" t="s">
        <v>139</v>
      </c>
      <c r="PG66" s="36" t="s">
        <v>139</v>
      </c>
      <c r="PH66" s="36" t="s">
        <v>139</v>
      </c>
      <c r="PI66" s="36" t="s">
        <v>139</v>
      </c>
      <c r="PJ66" s="36" t="s">
        <v>139</v>
      </c>
      <c r="PK66" s="36" t="s">
        <v>139</v>
      </c>
      <c r="PL66" s="36" t="s">
        <v>139</v>
      </c>
      <c r="PM66" s="36" t="s">
        <v>139</v>
      </c>
      <c r="PN66" s="36" t="s">
        <v>139</v>
      </c>
      <c r="PO66" s="74">
        <f>COUNTIFS($C$27:$PN$27,("&lt;"&amp;$B$3),$C$27:$PN$27,("&gt;="&amp;$B$2),$C66:$PN66,TabAsistencias[[#Headers],[1]])</f>
        <v>30</v>
      </c>
      <c r="PP66" s="74">
        <f>COUNTIFS($C$27:$PN$27,("&lt;"&amp;$B$3),$C$27:$PN$27,("&gt;="&amp;$B$2),$C66:$PN66,TabAsistencias[[#Headers],[E]])</f>
        <v>0</v>
      </c>
      <c r="PQ66" s="74">
        <f>COUNTIFS($C$27:$PN$27,("&lt;"&amp;$B$3),$C$27:$PN$27,("&gt;="&amp;$B$2),$C66:$PN66,TabAsistencias[[#Headers],[DE]])</f>
        <v>0</v>
      </c>
      <c r="PR66" s="74">
        <f>COUNTIFS($C$27:$PN$27,("&lt;"&amp;$B$3),$C$27:$PN$27,("&gt;="&amp;$B$2),$C66:$PN66,TabAsistencias[[#Headers],[V]])</f>
        <v>0</v>
      </c>
      <c r="PS66" s="74">
        <f>COUNTIFS($C$27:$PN$27,("&lt;"&amp;$B$3),$C$27:$PN$27,("&gt;="&amp;$B$2),$C66:$PN66,TabAsistencias[[#Headers],[DO]])</f>
        <v>0</v>
      </c>
      <c r="PT66" s="74">
        <f>COUNTIFS($C$27:$PN$27,("&lt;"&amp;$B$3),$C$27:$PN$27,("&gt;="&amp;$B$2),$C66:$PN66,TabAsistencias[[#Headers],[P]])</f>
        <v>0</v>
      </c>
      <c r="PU66" s="74">
        <f>COUNTIFS($C$27:$PN$27,("&lt;"&amp;$B$3),$C$27:$PN$27,("&gt;="&amp;$B$2),$C66:$PN66,TabAsistencias[[#Headers],[F]])</f>
        <v>0</v>
      </c>
      <c r="PV66" s="74">
        <f>COUNTIFS($C$27:$PN$27,("&lt;"&amp;$B$3),$C$27:$PN$27,("&gt;="&amp;$B$2),$C66:$PN66,TabAsistencias[[#Headers],[R]])</f>
        <v>0</v>
      </c>
      <c r="PW66" s="74">
        <f>COUNTIFS($C$27:$PN$27,("&lt;"&amp;$B$3),$C$27:$PN$27,("&gt;="&amp;$B$2),$C66:$PN66,TabAsistencias[[#Headers],[PP]])</f>
        <v>0</v>
      </c>
      <c r="PX66" s="74">
        <f>COUNTIFS($C$27:$PN$27,("&lt;"&amp;$B$3),$C$27:$PN$27,("&gt;="&amp;$B$2),$C66:$PN66,TabAsistencias[[#Headers],[0]])</f>
        <v>0</v>
      </c>
      <c r="PY66" s="74">
        <f>COUNTIFS($C$27:$PN$27,("&lt;"&amp;$B$3),$C$27:$PN$27,("&gt;="&amp;$B$2),$C66:$PN66,TabAsistencias[[#Headers],[IG]])</f>
        <v>0</v>
      </c>
      <c r="PZ66" s="74">
        <f>COUNTIFS($C$27:$PN$27,("&lt;"&amp;$B$3),$C$27:$PN$27,("&gt;="&amp;$B$2),$C66:$PN66,TabAsistencias[[#Headers],[NA]])</f>
        <v>0</v>
      </c>
      <c r="QA66" s="74">
        <f>COUNTIFS($C$27:$PN$27,("&lt;"&amp;$B$3),$C$27:$PN$27,("&gt;="&amp;$B$2),$C66:$PN66,TabAsistencias[[#Headers],[DF]])</f>
        <v>0</v>
      </c>
      <c r="QB66" s="74">
        <f>COUNTIFS($C$27:$PN$27,("&lt;"&amp;$B$3),$C$27:$PN$27,("&gt;="&amp;$B$2),$C66:$PN66,TabAsistencias[[#Headers],[3]])</f>
        <v>0</v>
      </c>
      <c r="QC66" s="74">
        <f>COUNTIFS($C$27:$PN$27,("&lt;"&amp;$B$3),$C$27:$PN$27,("&gt;="&amp;$B$2),$C66:$PN66,TabAsistencias[[#Headers],[CP]])</f>
        <v>0</v>
      </c>
      <c r="QD66" s="74">
        <f>COUNTIFS($C$27:$PN$27,("&lt;"&amp;$B$3),$C$27:$PN$27,("&gt;="&amp;$B$2),$C66:$PN66,TabAsistencias[[#Headers],[I]])</f>
        <v>0</v>
      </c>
      <c r="QE66" s="74">
        <f>COUNTIFS($C$27:$PN$27,("&lt;"&amp;$B$3),$C$27:$PN$27,("&gt;="&amp;$B$2),$C66:$PN66,TabAsistencias[[#Headers],[T/2]])</f>
        <v>0</v>
      </c>
      <c r="QF66" s="74">
        <f>COUNTIFS($C$27:$PN$27,("&lt;"&amp;$B$3),$C$27:$PN$27,("&gt;="&amp;$B$2),$C66:$PN66,TabAsistencias[[#Headers],[ME]])</f>
        <v>0</v>
      </c>
      <c r="QG66" s="74">
        <f>COUNTIFS($C$27:$PN$27,("&lt;"&amp;$B$3),$C$27:$PN$27,("&gt;="&amp;$B$2),$C66:$PN66,TabAsistencias[[#Headers],[DP]])</f>
        <v>0</v>
      </c>
      <c r="QH66" s="74">
        <f>COUNTIFS($C$27:$PN$27,("&lt;"&amp;$B$3),$C$27:$PN$27,("&gt;="&amp;$B$2),$C66:$PN66,TabAsistencias[[#Headers],[B]])</f>
        <v>0</v>
      </c>
      <c r="QI66" s="74">
        <f>(TabAsistencias[[#This Row],[1]]*'Tablas de informacion'!$C$124)+(TabAsistencias[[#This Row],[E]]*'Tablas de informacion'!$C$125)+(TabAsistencias[[#This Row],[DE]]*'Tablas de informacion'!C$126)+(TabAsistencias[[#This Row],[V]]*'Tablas de informacion'!C$127)+(TabAsistencias[[#This Row],[DO]]*'Tablas de informacion'!C$128)+(TabAsistencias[[#This Row],[P]]*'Tablas de informacion'!C$129)+(TabAsistencias[[#This Row],[F]]*'Tablas de informacion'!C$130)+(TabAsistencias[[#This Row],[R]]*'Tablas de informacion'!C$131)+(TabAsistencias[[#This Row],[PP]]*'Tablas de informacion'!C$132)+(TabAsistencias[[#This Row],[0]]*'Tablas de informacion'!C$133)+(TabAsistencias[[#This Row],[IG]]*'Tablas de informacion'!C$134)+(TabAsistencias[[#This Row],[NA]]*'Tablas de informacion'!C$135)+(TabAsistencias[[#This Row],[DF]]*'Tablas de informacion'!C$136)+(TabAsistencias[[#This Row],[3]]*'Tablas de informacion'!C$137)+(TabAsistencias[[#This Row],[CP]]*'Tablas de informacion'!C$138)+(TabAsistencias[[#This Row],[I]]*'Tablas de informacion'!C$139)+(TabAsistencias[[#This Row],[T/2]]*'Tablas de informacion'!C$140)+(TabAsistencias[[#This Row],[ME]]*'Tablas de informacion'!C$141)+(TabAsistencias[[#This Row],[DP]]*'Tablas de informacion'!C$142)+(TabAsistencias[[#This Row],[B]]*'Tablas de informacion'!C$143)-INT(TabAsistencias[[#This Row],[R]]/3)</f>
        <v>30</v>
      </c>
      <c r="QJ66" s="74">
        <f>COUNTIFS($C$27:$PN$27,("&lt;"&amp;$B$3),$C$27:$PN$27,("&gt;="&amp;$B$2),$C$28:$PN$28,1,$C66:$PN66,TabAsistencias[[#Headers],[1]])+
COUNTIFS($C$27:$PN$27,("&lt;"&amp;$B$3),$C$27:$PN$27,("&gt;="&amp;$B$2),$C$28:$PN$28,1,$C66:$PN66,TabAsistencias[[#Headers],[DO]])+
COUNTIFS($C$27:$PN$27,("&lt;"&amp;$B$3),$C$27:$PN$27,("&gt;="&amp;$B$2),$C$28:$PN$28,1,$C66:$PN66,TabAsistencias[[#Headers],[R]])+
COUNTIFS($C$27:$PN$27,("&lt;"&amp;$B$3),$C$27:$PN$27,("&gt;="&amp;$B$2),$C$28:$PN$28,1,$C66:$PN66,TabAsistencias[[#Headers],[NA]])+
COUNTIFS($C$27:$PN$27,("&lt;"&amp;$B$3),$C$27:$PN$27,("&gt;="&amp;$B$2),$C$28:$PN$28,1,$C66:$PN66,TabAsistencias[[#Headers],[DF]])+
COUNTIFS($C$27:$PN$27,("&lt;"&amp;$B$3),$C$27:$PN$27,("&gt;="&amp;$B$2),$C$28:$PN$28,1,$C66:$PN66,TabAsistencias[[#Headers],[3]])+
COUNTIFS($C$27:$PN$27,("&lt;"&amp;$B$3),$C$27:$PN$27,("&gt;="&amp;$B$2),$C$28:$PN$28,1,$C66:$PN66,TabAsistencias[[#Headers],[CP]])+
COUNTIFS($C$27:$PN$27,("&lt;"&amp;$B$3),$C$27:$PN$27,("&gt;="&amp;$B$2),$C$28:$PN$28,1,$C66:$PN66,TabAsistencias[[#Headers],[T/2]])</f>
        <v>4</v>
      </c>
      <c r="QK66" s="315" cm="1">
        <f t="array" ref="QK66">IFERROR(VLOOKUP(
DATEDIF((VLOOKUP(TabAsistencias[[#This Row],[ID]],TabEmpleados[],COLUMN(TabEmpleados[Fecha de ingreso]),FALSE)),Asistencias!$B$3,"Y"),
TabFactorIntegracion[],COLUMN(TabFactorIntegracion[Días vacacionales
establecidos por ley]),FALSE),0)
-
COUNTIF($AH66:$PN66,TabAsistencias[[#Headers],[V]])</f>
        <v>12</v>
      </c>
      <c r="QL66" s="319">
        <f>SUM(TabAsistencias[[#This Row],[''1]],TabAsistencias[[#This Row],[''DE]],TabAsistencias[[#This Row],[''DO]],TabAsistencias[[#This Row],[''R]],TabAsistencias[[#This Row],[''NA]],TabAsistencias[[#This Row],[''DF]],TabAsistencias[[#This Row],[''3]],TabAsistencias[[#This Row],[''CP]],TabAsistencias[[#This Row],[''T/2]],TabAsistencias[[#This Row],[''DP]])</f>
        <v>73</v>
      </c>
      <c r="QM66" s="314">
        <f>COUNTIFS($C$27:$PN$27,("&lt;"&amp;$B$5),$C$27:$PN$27,("&gt;="&amp;$B$4),$C66:$PN66,TabAsistencias[[#Headers],[1]])</f>
        <v>73</v>
      </c>
      <c r="QN66" s="314">
        <f>COUNTIFS($C$27:$PN$27,("&lt;"&amp;$B$5),$C$27:$PN$27,("&gt;="&amp;$B$4),$C66:$PN66,TabAsistencias[[#Headers],[DE]])</f>
        <v>0</v>
      </c>
      <c r="QO66" s="314">
        <f>COUNTIFS($C$27:$PN$27,("&lt;"&amp;$B$5),$C$27:$PN$27,("&gt;="&amp;$B$4),$C66:$PN66,TabAsistencias[[#Headers],[V]])</f>
        <v>0</v>
      </c>
      <c r="QP66" s="314">
        <f>COUNTIFS($C$27:$PN$27,("&lt;"&amp;$B$5),$C$27:$PN$27,("&gt;="&amp;$B$4),$C66:$PN66,TabAsistencias[[#Headers],[DO]])</f>
        <v>0</v>
      </c>
      <c r="QQ66" s="314">
        <f>COUNTIFS($C$27:$PN$27,("&lt;"&amp;$B$5),$C$27:$PN$27,("&gt;="&amp;$B$4),$C66:$PN66,TabAsistencias[[#Headers],[P]])</f>
        <v>0</v>
      </c>
      <c r="QR66" s="314">
        <f>COUNTIFS($C$27:$PN$27,("&lt;"&amp;$B$5),$C$27:$PN$27,("&gt;="&amp;$B$4),$C66:$PN66,TabAsistencias[[#Headers],[F]])</f>
        <v>0</v>
      </c>
      <c r="QS66" s="314">
        <f>COUNTIFS($C$27:$PN$27,("&lt;"&amp;$B$5),$C$27:$PN$27,("&gt;="&amp;$B$4),$C66:$PN66,TabAsistencias[[#Headers],[R]])</f>
        <v>0</v>
      </c>
      <c r="QT66" s="314">
        <f>COUNTIFS($C$27:$PN$27,("&lt;"&amp;$B$5),$C$27:$PN$27,("&gt;="&amp;$B$4),$C66:$PN66,TabAsistencias[[#Headers],[PP]])</f>
        <v>0</v>
      </c>
      <c r="QU66" s="314">
        <f>COUNTIFS($C$27:$PN$27,("&lt;"&amp;$B$5),$C$27:$PN$27,("&gt;="&amp;$B$4),$C66:$PN66,TabAsistencias[[#Headers],[0]])</f>
        <v>0</v>
      </c>
      <c r="QV66" s="314">
        <f>COUNTIFS($C$27:$PN$27,("&lt;"&amp;$B$5),$C$27:$PN$27,("&gt;="&amp;$B$4),$C66:$PN66,TabAsistencias[[#Headers],[IG]])</f>
        <v>0</v>
      </c>
      <c r="QW66" s="314">
        <f>COUNTIFS($C$27:$PN$27,("&lt;"&amp;$B$5),$C$27:$PN$27,("&gt;="&amp;$B$4),$C66:$PN66,TabAsistencias[[#Headers],[NA]])</f>
        <v>0</v>
      </c>
      <c r="QX66" s="314">
        <f>COUNTIFS($C$27:$PN$27,("&lt;"&amp;$B$5),$C$27:$PN$27,("&gt;="&amp;$B$4),$C66:$PN66,TabAsistencias[[#Headers],[DF]])</f>
        <v>0</v>
      </c>
      <c r="QY66" s="314">
        <f>COUNTIFS($C$27:$PN$27,("&lt;"&amp;$B$5),$C$27:$PN$27,("&gt;="&amp;$B$4),$C66:$PN66,TabAsistencias[[#Headers],[3]])</f>
        <v>0</v>
      </c>
      <c r="QZ66" s="314">
        <f>COUNTIFS($C$27:$PN$27,("&lt;"&amp;$B$5),$C$27:$PN$27,("&gt;="&amp;$B$4),$C66:$PN66,TabAsistencias[[#Headers],[CP]])</f>
        <v>0</v>
      </c>
      <c r="RA66" s="314">
        <f>COUNTIFS($C$27:$PN$27,("&lt;"&amp;$B$5),$C$27:$PN$27,("&gt;="&amp;$B$4),$C66:$PN66,TabAsistencias[[#Headers],[I]])</f>
        <v>0</v>
      </c>
      <c r="RB66" s="314">
        <f>COUNTIFS($C$27:$PN$27,("&lt;"&amp;$B$5),$C$27:$PN$27,("&gt;="&amp;$B$4),$C66:$PN66,TabAsistencias[[#Headers],[T/2]])</f>
        <v>0</v>
      </c>
      <c r="RC66" s="314">
        <f>COUNTIFS($C$27:$PN$27,("&lt;"&amp;$B$5),$C$27:$PN$27,("&gt;="&amp;$B$4),$C66:$PN66,TabAsistencias[[#Headers],[ME]])</f>
        <v>0</v>
      </c>
      <c r="RD66" s="314">
        <f>COUNTIFS($C$27:$PN$27,("&lt;"&amp;$B$5),$C$27:$PN$27,("&gt;="&amp;$B$4),$C66:$PN66,TabAsistencias[[#Headers],[DP]])</f>
        <v>0</v>
      </c>
      <c r="RE66" s="314">
        <f>COUNTIFS($C$27:$PN$27,("&lt;"&amp;$B$5),$C$27:$PN$27,("&gt;="&amp;$B$4),$C66:$PN66,TabAsistencias[[#Headers],[B]])</f>
        <v>0</v>
      </c>
      <c r="RF66" s="314">
        <f>COUNTIFS($C$27:$PN$27,("&lt;"&amp;$B$5),$C$27:$PN$27,("&gt;="&amp;$B$4),$C$28:$PN$28,1,$C66:$PN66,TabAsistencias[[#Headers],[1]])+
COUNTIFS($C$27:$PN$27,("&lt;"&amp;$B$5),$C$27:$PN$27,("&gt;="&amp;$B$4),$C$28:$PN$28,1,$C66:$PN66,TabAsistencias[[#Headers],[DO]])+
COUNTIFS($C$27:$PN$27,("&lt;"&amp;$B$5),$C$27:$PN$27,("&gt;="&amp;$B$4),$C$28:$PN$28,1,$C66:$PN66,TabAsistencias[[#Headers],[R]])+
COUNTIFS($C$27:$PN$27,("&lt;"&amp;$B$5),$C$27:$PN$27,("&gt;="&amp;$B$4),$C$28:$PN$28,1,$C66:$PN66,TabAsistencias[[#Headers],[NA]])+
COUNTIFS($C$27:$PN$27,("&lt;"&amp;$B$5),$C$27:$PN$27,("&gt;="&amp;$B$4),$C$28:$PN$28,1,$C66:$PN66,TabAsistencias[[#Headers],[DF]])+
COUNTIFS($C$27:$PN$27,("&lt;"&amp;$B$5),$C$27:$PN$27,("&gt;="&amp;$B$4),$C$28:$PN$28,1,$C66:$PN66,TabAsistencias[[#Headers],[3]])+
COUNTIFS($C$27:$PN$27,("&lt;"&amp;$B$5),$C$27:$PN$27,("&gt;="&amp;$B$4),$C$28:$PN$28,1,$C66:$PN66,TabAsistencias[[#Headers],[CP]])+
COUNTIFS($C$27:$PN$27,("&lt;"&amp;$B$5),$C$27:$PN$27,("&gt;="&amp;$B$4),$C$28:$PN$28,1,$C66:$PN66,TabAsistencias[[#Headers],[T/2]])</f>
        <v>11</v>
      </c>
      <c r="RG66" s="320" cm="1">
        <f t="array" ref="RG66">IFERROR(VLOOKUP(
DATEDIF((VLOOKUP(TabAsistencias[[#This Row],[ID]],TabEmpleados[],COLUMN(TabEmpleados[Fecha de alta NSS]),FALSE)),Asistencias!$B$3,"Y"),
TabFactorIntegracion[],COLUMN(TabFactorIntegracion[Días vacacionales
establecidos por ley]),FALSE),0)
-
COUNTIF($AH66:$PN66,TabAsistencias[[#Headers],[V]])</f>
        <v>12</v>
      </c>
    </row>
    <row r="67" spans="1:475" x14ac:dyDescent="0.25">
      <c r="A67" s="92">
        <f t="shared" si="434"/>
        <v>37</v>
      </c>
      <c r="B67" s="30" t="str" cm="1">
        <f t="array" ref="B67">VLOOKUP(TabAsistencias[[#This Row],[ID]],TabEmpleados[],COLUMN(TabEmpleados[Nombre]),FALSE)</f>
        <v>JIMENEZ VASQUEZ HISAI</v>
      </c>
      <c r="C67" s="36" t="s">
        <v>139</v>
      </c>
      <c r="D67" s="36" t="s">
        <v>139</v>
      </c>
      <c r="E67" s="36" t="s">
        <v>139</v>
      </c>
      <c r="F67" s="36" t="s">
        <v>139</v>
      </c>
      <c r="G67" s="36" t="s">
        <v>139</v>
      </c>
      <c r="H67" s="36" t="s">
        <v>139</v>
      </c>
      <c r="I67" s="36" t="s">
        <v>139</v>
      </c>
      <c r="J67" s="36" t="s">
        <v>139</v>
      </c>
      <c r="K67" s="36" t="s">
        <v>139</v>
      </c>
      <c r="L67" s="36" t="s">
        <v>139</v>
      </c>
      <c r="M67" s="36" t="s">
        <v>139</v>
      </c>
      <c r="N67" s="36" t="s">
        <v>139</v>
      </c>
      <c r="O67" s="36" t="s">
        <v>139</v>
      </c>
      <c r="P67" s="36" t="s">
        <v>139</v>
      </c>
      <c r="Q67" s="36" t="s">
        <v>139</v>
      </c>
      <c r="R67" s="36" t="s">
        <v>139</v>
      </c>
      <c r="S67" s="36" t="s">
        <v>139</v>
      </c>
      <c r="T67" s="36" t="s">
        <v>139</v>
      </c>
      <c r="U67" s="36" t="s">
        <v>139</v>
      </c>
      <c r="V67" s="36" t="s">
        <v>139</v>
      </c>
      <c r="W67" s="36" t="s">
        <v>139</v>
      </c>
      <c r="X67" s="36" t="s">
        <v>139</v>
      </c>
      <c r="Y67" s="36" t="s">
        <v>139</v>
      </c>
      <c r="Z67" s="36" t="s">
        <v>139</v>
      </c>
      <c r="AA67" s="36" t="s">
        <v>139</v>
      </c>
      <c r="AB67" s="36" t="s">
        <v>139</v>
      </c>
      <c r="AC67" s="36" t="s">
        <v>139</v>
      </c>
      <c r="AD67" s="36" t="s">
        <v>139</v>
      </c>
      <c r="AE67" s="36" t="s">
        <v>139</v>
      </c>
      <c r="AF67" s="36" t="s">
        <v>139</v>
      </c>
      <c r="AG67" s="36" t="s">
        <v>139</v>
      </c>
      <c r="AH67" s="36" t="s">
        <v>139</v>
      </c>
      <c r="AI67" s="36" t="s">
        <v>139</v>
      </c>
      <c r="AJ67" s="36" t="s">
        <v>139</v>
      </c>
      <c r="AK67" s="36" t="s">
        <v>139</v>
      </c>
      <c r="AL67" s="36" t="s">
        <v>139</v>
      </c>
      <c r="AM67" s="36" t="s">
        <v>139</v>
      </c>
      <c r="AN67" s="36" t="s">
        <v>139</v>
      </c>
      <c r="AO67" s="36" t="s">
        <v>139</v>
      </c>
      <c r="AP67" s="36" t="s">
        <v>139</v>
      </c>
      <c r="AQ67" s="36" t="s">
        <v>139</v>
      </c>
      <c r="AR67" s="36" t="s">
        <v>139</v>
      </c>
      <c r="AS67" s="36" t="s">
        <v>139</v>
      </c>
      <c r="AT67" s="36" t="s">
        <v>139</v>
      </c>
      <c r="AU67" s="36" t="s">
        <v>139</v>
      </c>
      <c r="AV67" s="36" t="s">
        <v>139</v>
      </c>
      <c r="AW67" s="36" t="s">
        <v>139</v>
      </c>
      <c r="AX67" s="36" t="s">
        <v>139</v>
      </c>
      <c r="AY67" s="36" t="s">
        <v>139</v>
      </c>
      <c r="AZ67" s="36" t="s">
        <v>139</v>
      </c>
      <c r="BA67" s="36" t="s">
        <v>139</v>
      </c>
      <c r="BB67" s="36" t="s">
        <v>139</v>
      </c>
      <c r="BC67" s="36" t="s">
        <v>139</v>
      </c>
      <c r="BD67" s="36" t="s">
        <v>139</v>
      </c>
      <c r="BE67" s="36" t="s">
        <v>139</v>
      </c>
      <c r="BF67" s="36" t="s">
        <v>139</v>
      </c>
      <c r="BG67" s="36" t="s">
        <v>139</v>
      </c>
      <c r="BH67" s="36" t="s">
        <v>139</v>
      </c>
      <c r="BI67" s="36" t="s">
        <v>139</v>
      </c>
      <c r="BJ67" s="36" t="s">
        <v>139</v>
      </c>
      <c r="BK67" s="36" t="s">
        <v>139</v>
      </c>
      <c r="BL67" s="36" t="s">
        <v>139</v>
      </c>
      <c r="BM67" s="36" t="s">
        <v>139</v>
      </c>
      <c r="BN67" s="36" t="s">
        <v>139</v>
      </c>
      <c r="BO67" s="36" t="s">
        <v>139</v>
      </c>
      <c r="BP67" s="36" t="s">
        <v>139</v>
      </c>
      <c r="BQ67" s="36" t="s">
        <v>139</v>
      </c>
      <c r="BR67" s="36" t="s">
        <v>139</v>
      </c>
      <c r="BS67" s="36" t="s">
        <v>139</v>
      </c>
      <c r="BT67" s="36" t="s">
        <v>139</v>
      </c>
      <c r="BU67" s="36" t="s">
        <v>139</v>
      </c>
      <c r="BV67" s="36" t="s">
        <v>139</v>
      </c>
      <c r="BW67" s="36" t="s">
        <v>139</v>
      </c>
      <c r="BX67" s="36" t="s">
        <v>139</v>
      </c>
      <c r="BY67" s="36" t="s">
        <v>139</v>
      </c>
      <c r="BZ67" s="36" t="s">
        <v>139</v>
      </c>
      <c r="CA67" s="36" t="s">
        <v>139</v>
      </c>
      <c r="CB67" s="36" t="s">
        <v>139</v>
      </c>
      <c r="CC67" s="36" t="s">
        <v>139</v>
      </c>
      <c r="CD67" s="36" t="s">
        <v>139</v>
      </c>
      <c r="CE67" s="36" t="s">
        <v>139</v>
      </c>
      <c r="CF67" s="36" t="s">
        <v>139</v>
      </c>
      <c r="CG67" s="36" t="s">
        <v>139</v>
      </c>
      <c r="CH67" s="36" t="s">
        <v>139</v>
      </c>
      <c r="CI67" s="36" t="s">
        <v>139</v>
      </c>
      <c r="CJ67" s="36" t="s">
        <v>139</v>
      </c>
      <c r="CK67" s="36" t="s">
        <v>139</v>
      </c>
      <c r="CL67" s="36" t="s">
        <v>139</v>
      </c>
      <c r="CM67" s="36" t="s">
        <v>139</v>
      </c>
      <c r="CN67" s="36" t="s">
        <v>139</v>
      </c>
      <c r="CO67" s="36" t="s">
        <v>139</v>
      </c>
      <c r="CP67" s="36" t="s">
        <v>139</v>
      </c>
      <c r="CQ67" s="36" t="s">
        <v>139</v>
      </c>
      <c r="CR67" s="36" t="s">
        <v>139</v>
      </c>
      <c r="CS67" s="36" t="s">
        <v>139</v>
      </c>
      <c r="CT67" s="36" t="s">
        <v>139</v>
      </c>
      <c r="CU67" s="36" t="s">
        <v>139</v>
      </c>
      <c r="CV67" s="36" t="s">
        <v>139</v>
      </c>
      <c r="CW67" s="36" t="s">
        <v>139</v>
      </c>
      <c r="CX67" s="36" t="s">
        <v>139</v>
      </c>
      <c r="CY67" s="36" t="s">
        <v>139</v>
      </c>
      <c r="CZ67" s="36" t="s">
        <v>139</v>
      </c>
      <c r="DA67" s="36" t="s">
        <v>139</v>
      </c>
      <c r="DB67" s="36" t="s">
        <v>139</v>
      </c>
      <c r="DC67" s="36" t="s">
        <v>139</v>
      </c>
      <c r="DD67" s="36" t="s">
        <v>139</v>
      </c>
      <c r="DE67" s="36" t="s">
        <v>139</v>
      </c>
      <c r="DF67" s="36" t="s">
        <v>139</v>
      </c>
      <c r="DG67" s="36" t="s">
        <v>139</v>
      </c>
      <c r="DH67" s="36" t="s">
        <v>139</v>
      </c>
      <c r="DI67" s="36" t="s">
        <v>139</v>
      </c>
      <c r="DJ67" s="36" t="s">
        <v>139</v>
      </c>
      <c r="DK67" s="36" t="s">
        <v>139</v>
      </c>
      <c r="DL67" s="36" t="s">
        <v>139</v>
      </c>
      <c r="DM67" s="36" t="s">
        <v>139</v>
      </c>
      <c r="DN67" s="36" t="s">
        <v>139</v>
      </c>
      <c r="DO67" s="36" t="s">
        <v>139</v>
      </c>
      <c r="DP67" s="36" t="s">
        <v>139</v>
      </c>
      <c r="DQ67" s="36" t="s">
        <v>139</v>
      </c>
      <c r="DR67" s="36" t="s">
        <v>139</v>
      </c>
      <c r="DS67" s="36" t="s">
        <v>139</v>
      </c>
      <c r="DT67" s="36" t="s">
        <v>139</v>
      </c>
      <c r="DU67" s="36" t="s">
        <v>139</v>
      </c>
      <c r="DV67" s="36" t="s">
        <v>139</v>
      </c>
      <c r="DW67" s="36" t="s">
        <v>139</v>
      </c>
      <c r="DX67" s="36" t="s">
        <v>139</v>
      </c>
      <c r="DY67" s="36" t="s">
        <v>139</v>
      </c>
      <c r="DZ67" s="36" t="s">
        <v>139</v>
      </c>
      <c r="EA67" s="36" t="s">
        <v>139</v>
      </c>
      <c r="EB67" s="36" t="s">
        <v>139</v>
      </c>
      <c r="EC67" s="36" t="s">
        <v>139</v>
      </c>
      <c r="ED67" s="36" t="s">
        <v>139</v>
      </c>
      <c r="EE67" s="36" t="s">
        <v>139</v>
      </c>
      <c r="EF67" s="36" t="s">
        <v>139</v>
      </c>
      <c r="EG67" s="36" t="s">
        <v>139</v>
      </c>
      <c r="EH67" s="36" t="s">
        <v>139</v>
      </c>
      <c r="EI67" s="36" t="s">
        <v>139</v>
      </c>
      <c r="EJ67" s="36" t="s">
        <v>139</v>
      </c>
      <c r="EK67" s="36" t="s">
        <v>139</v>
      </c>
      <c r="EL67" s="36" t="s">
        <v>139</v>
      </c>
      <c r="EM67" s="36" t="s">
        <v>139</v>
      </c>
      <c r="EN67" s="36" t="s">
        <v>139</v>
      </c>
      <c r="EO67" s="36" t="s">
        <v>139</v>
      </c>
      <c r="EP67" s="36" t="s">
        <v>139</v>
      </c>
      <c r="EQ67" s="36" t="s">
        <v>139</v>
      </c>
      <c r="ER67" s="36" t="s">
        <v>139</v>
      </c>
      <c r="ES67" s="36" t="s">
        <v>139</v>
      </c>
      <c r="ET67" s="36" t="s">
        <v>139</v>
      </c>
      <c r="EU67" s="36" t="s">
        <v>139</v>
      </c>
      <c r="EV67" s="36" t="s">
        <v>139</v>
      </c>
      <c r="EW67" s="36" t="s">
        <v>139</v>
      </c>
      <c r="EX67" s="36" t="s">
        <v>139</v>
      </c>
      <c r="EY67" s="36" t="s">
        <v>139</v>
      </c>
      <c r="EZ67" s="36" t="s">
        <v>139</v>
      </c>
      <c r="FA67" s="36" t="s">
        <v>139</v>
      </c>
      <c r="FB67" s="36" t="s">
        <v>139</v>
      </c>
      <c r="FC67" s="36" t="s">
        <v>139</v>
      </c>
      <c r="FD67" s="36" t="s">
        <v>139</v>
      </c>
      <c r="FE67" s="36" t="s">
        <v>139</v>
      </c>
      <c r="FF67" s="36" t="s">
        <v>139</v>
      </c>
      <c r="FG67" s="36" t="s">
        <v>139</v>
      </c>
      <c r="FH67" s="36" t="s">
        <v>139</v>
      </c>
      <c r="FI67" s="36" t="s">
        <v>139</v>
      </c>
      <c r="FJ67" s="36" t="s">
        <v>139</v>
      </c>
      <c r="FK67" s="36" t="s">
        <v>139</v>
      </c>
      <c r="FL67" s="36" t="s">
        <v>139</v>
      </c>
      <c r="FM67" s="36" t="s">
        <v>139</v>
      </c>
      <c r="FN67" s="36" t="s">
        <v>139</v>
      </c>
      <c r="FO67" s="36" t="s">
        <v>139</v>
      </c>
      <c r="FP67" s="36" t="s">
        <v>139</v>
      </c>
      <c r="FQ67" s="36" t="s">
        <v>139</v>
      </c>
      <c r="FR67" s="36" t="s">
        <v>139</v>
      </c>
      <c r="FS67" s="36" t="s">
        <v>139</v>
      </c>
      <c r="FT67" s="36" t="s">
        <v>139</v>
      </c>
      <c r="FU67" s="36" t="s">
        <v>139</v>
      </c>
      <c r="FV67" s="36" t="s">
        <v>139</v>
      </c>
      <c r="FW67" s="36" t="s">
        <v>139</v>
      </c>
      <c r="FX67" s="36" t="s">
        <v>139</v>
      </c>
      <c r="FY67" s="36" t="s">
        <v>139</v>
      </c>
      <c r="FZ67" s="36" t="s">
        <v>139</v>
      </c>
      <c r="GA67" s="36" t="s">
        <v>139</v>
      </c>
      <c r="GB67" s="36" t="s">
        <v>139</v>
      </c>
      <c r="GC67" s="36" t="s">
        <v>139</v>
      </c>
      <c r="GD67" s="36" t="s">
        <v>139</v>
      </c>
      <c r="GE67" s="36" t="s">
        <v>139</v>
      </c>
      <c r="GF67" s="36" t="s">
        <v>139</v>
      </c>
      <c r="GG67" s="36" t="s">
        <v>139</v>
      </c>
      <c r="GH67" s="36" t="s">
        <v>139</v>
      </c>
      <c r="GI67" s="36" t="s">
        <v>139</v>
      </c>
      <c r="GJ67" s="36" t="s">
        <v>139</v>
      </c>
      <c r="GK67" s="36" t="s">
        <v>139</v>
      </c>
      <c r="GL67" s="36" t="s">
        <v>139</v>
      </c>
      <c r="GM67" s="36" t="s">
        <v>139</v>
      </c>
      <c r="GN67" s="36" t="s">
        <v>139</v>
      </c>
      <c r="GO67" s="36" t="s">
        <v>139</v>
      </c>
      <c r="GP67" s="36" t="s">
        <v>139</v>
      </c>
      <c r="GQ67" s="36" t="s">
        <v>139</v>
      </c>
      <c r="GR67" s="36" t="s">
        <v>139</v>
      </c>
      <c r="GS67" s="36" t="s">
        <v>139</v>
      </c>
      <c r="GT67" s="36" t="s">
        <v>139</v>
      </c>
      <c r="GU67" s="36" t="s">
        <v>139</v>
      </c>
      <c r="GV67" s="36" t="s">
        <v>139</v>
      </c>
      <c r="GW67" s="36" t="s">
        <v>139</v>
      </c>
      <c r="GX67" s="36" t="s">
        <v>139</v>
      </c>
      <c r="GY67" s="36" t="s">
        <v>139</v>
      </c>
      <c r="GZ67" s="36" t="s">
        <v>139</v>
      </c>
      <c r="HA67" s="36" t="s">
        <v>139</v>
      </c>
      <c r="HB67" s="36" t="s">
        <v>139</v>
      </c>
      <c r="HC67" s="36" t="s">
        <v>139</v>
      </c>
      <c r="HD67" s="36" t="s">
        <v>139</v>
      </c>
      <c r="HE67" s="36" t="s">
        <v>139</v>
      </c>
      <c r="HF67" s="36" t="s">
        <v>139</v>
      </c>
      <c r="HG67" s="36" t="s">
        <v>139</v>
      </c>
      <c r="HH67" s="36" t="s">
        <v>139</v>
      </c>
      <c r="HI67" s="36" t="s">
        <v>139</v>
      </c>
      <c r="HJ67" s="36" t="s">
        <v>139</v>
      </c>
      <c r="HK67" s="36" t="s">
        <v>139</v>
      </c>
      <c r="HL67" s="36" t="s">
        <v>139</v>
      </c>
      <c r="HM67" s="36" t="s">
        <v>139</v>
      </c>
      <c r="HN67" s="36" t="s">
        <v>139</v>
      </c>
      <c r="HO67" s="36" t="s">
        <v>139</v>
      </c>
      <c r="HP67" s="36" t="s">
        <v>139</v>
      </c>
      <c r="HQ67" s="36" t="s">
        <v>139</v>
      </c>
      <c r="HR67" s="36" t="s">
        <v>139</v>
      </c>
      <c r="HS67" s="36" t="s">
        <v>139</v>
      </c>
      <c r="HT67" s="36" t="s">
        <v>139</v>
      </c>
      <c r="HU67" s="36" t="s">
        <v>139</v>
      </c>
      <c r="HV67" s="36" t="s">
        <v>139</v>
      </c>
      <c r="HW67" s="36" t="s">
        <v>139</v>
      </c>
      <c r="HX67" s="36" t="s">
        <v>139</v>
      </c>
      <c r="HY67" s="36" t="s">
        <v>139</v>
      </c>
      <c r="HZ67" s="36" t="s">
        <v>139</v>
      </c>
      <c r="IA67" s="36" t="s">
        <v>139</v>
      </c>
      <c r="IB67" s="36" t="s">
        <v>139</v>
      </c>
      <c r="IC67" s="36" t="s">
        <v>139</v>
      </c>
      <c r="ID67" s="36" t="s">
        <v>139</v>
      </c>
      <c r="IE67" s="36" t="s">
        <v>139</v>
      </c>
      <c r="IF67" s="36" t="s">
        <v>139</v>
      </c>
      <c r="IG67" s="36" t="s">
        <v>139</v>
      </c>
      <c r="IH67" s="36" t="s">
        <v>139</v>
      </c>
      <c r="II67" s="36" t="s">
        <v>139</v>
      </c>
      <c r="IJ67" s="36" t="s">
        <v>139</v>
      </c>
      <c r="IK67" s="36" t="s">
        <v>139</v>
      </c>
      <c r="IL67" s="36" t="s">
        <v>139</v>
      </c>
      <c r="IM67" s="36" t="s">
        <v>139</v>
      </c>
      <c r="IN67" s="36" t="s">
        <v>139</v>
      </c>
      <c r="IO67" s="36" t="s">
        <v>139</v>
      </c>
      <c r="IP67" s="36" t="s">
        <v>139</v>
      </c>
      <c r="IQ67" s="36" t="s">
        <v>139</v>
      </c>
      <c r="IR67" s="36" t="s">
        <v>139</v>
      </c>
      <c r="IS67" s="36" t="s">
        <v>139</v>
      </c>
      <c r="IT67" s="36" t="s">
        <v>139</v>
      </c>
      <c r="IU67" s="36" t="s">
        <v>139</v>
      </c>
      <c r="IV67" s="36" t="s">
        <v>139</v>
      </c>
      <c r="IW67" s="36" t="s">
        <v>139</v>
      </c>
      <c r="IX67" s="36" t="s">
        <v>139</v>
      </c>
      <c r="IY67" s="36" t="s">
        <v>139</v>
      </c>
      <c r="IZ67" s="36" t="s">
        <v>139</v>
      </c>
      <c r="JA67" s="36" t="s">
        <v>139</v>
      </c>
      <c r="JB67" s="36" t="s">
        <v>139</v>
      </c>
      <c r="JC67" s="36" t="s">
        <v>139</v>
      </c>
      <c r="JD67" s="36" t="s">
        <v>139</v>
      </c>
      <c r="JE67" s="36" t="s">
        <v>139</v>
      </c>
      <c r="JF67" s="36" t="s">
        <v>139</v>
      </c>
      <c r="JG67" s="36" t="s">
        <v>139</v>
      </c>
      <c r="JH67" s="36" t="s">
        <v>139</v>
      </c>
      <c r="JI67" s="36" t="s">
        <v>139</v>
      </c>
      <c r="JJ67" s="36" t="s">
        <v>139</v>
      </c>
      <c r="JK67" s="36" t="s">
        <v>139</v>
      </c>
      <c r="JL67" s="36" t="s">
        <v>139</v>
      </c>
      <c r="JM67" s="36" t="s">
        <v>139</v>
      </c>
      <c r="JN67" s="36" t="s">
        <v>139</v>
      </c>
      <c r="JO67" s="36" t="s">
        <v>139</v>
      </c>
      <c r="JP67" s="36" t="s">
        <v>139</v>
      </c>
      <c r="JQ67" s="36" t="s">
        <v>139</v>
      </c>
      <c r="JR67" s="36" t="s">
        <v>139</v>
      </c>
      <c r="JS67" s="36" t="s">
        <v>139</v>
      </c>
      <c r="JT67" s="36" t="s">
        <v>139</v>
      </c>
      <c r="JU67" s="36" t="s">
        <v>139</v>
      </c>
      <c r="JV67" s="36" t="s">
        <v>139</v>
      </c>
      <c r="JW67" s="36" t="s">
        <v>139</v>
      </c>
      <c r="JX67" s="36" t="s">
        <v>139</v>
      </c>
      <c r="JY67" s="36" t="s">
        <v>139</v>
      </c>
      <c r="JZ67" s="36" t="s">
        <v>139</v>
      </c>
      <c r="KA67" s="36" t="s">
        <v>139</v>
      </c>
      <c r="KB67" s="36" t="s">
        <v>139</v>
      </c>
      <c r="KC67" s="36" t="s">
        <v>139</v>
      </c>
      <c r="KD67" s="36" t="s">
        <v>139</v>
      </c>
      <c r="KE67" s="36" t="s">
        <v>139</v>
      </c>
      <c r="KF67" s="36" t="s">
        <v>139</v>
      </c>
      <c r="KG67" s="36" t="s">
        <v>139</v>
      </c>
      <c r="KH67" s="36" t="s">
        <v>139</v>
      </c>
      <c r="KI67" s="36" t="s">
        <v>139</v>
      </c>
      <c r="KJ67" s="36" t="s">
        <v>139</v>
      </c>
      <c r="KK67" s="36" t="s">
        <v>139</v>
      </c>
      <c r="KL67" s="36" t="s">
        <v>139</v>
      </c>
      <c r="KM67" s="36" t="s">
        <v>139</v>
      </c>
      <c r="KN67" s="36" t="s">
        <v>139</v>
      </c>
      <c r="KO67" s="36" t="s">
        <v>139</v>
      </c>
      <c r="KP67" s="36" t="s">
        <v>139</v>
      </c>
      <c r="KQ67" s="36" t="s">
        <v>139</v>
      </c>
      <c r="KR67" s="36" t="s">
        <v>139</v>
      </c>
      <c r="KS67" s="36" t="s">
        <v>139</v>
      </c>
      <c r="KT67" s="36" t="s">
        <v>139</v>
      </c>
      <c r="KU67" s="36" t="s">
        <v>139</v>
      </c>
      <c r="KV67" s="36" t="s">
        <v>139</v>
      </c>
      <c r="KW67" s="36" t="s">
        <v>139</v>
      </c>
      <c r="KX67" s="36" t="s">
        <v>139</v>
      </c>
      <c r="KY67" s="36" t="s">
        <v>139</v>
      </c>
      <c r="KZ67" s="36" t="s">
        <v>139</v>
      </c>
      <c r="LA67" s="36" t="s">
        <v>139</v>
      </c>
      <c r="LB67" s="36" t="s">
        <v>139</v>
      </c>
      <c r="LC67" s="36" t="s">
        <v>139</v>
      </c>
      <c r="LD67" s="36" t="s">
        <v>139</v>
      </c>
      <c r="LE67" s="36" t="s">
        <v>139</v>
      </c>
      <c r="LF67" s="36" t="s">
        <v>139</v>
      </c>
      <c r="LG67" s="36" t="s">
        <v>139</v>
      </c>
      <c r="LH67" s="36" t="s">
        <v>139</v>
      </c>
      <c r="LI67" s="36" t="s">
        <v>139</v>
      </c>
      <c r="LJ67" s="36" t="s">
        <v>139</v>
      </c>
      <c r="LK67" s="36" t="s">
        <v>139</v>
      </c>
      <c r="LL67" s="36" t="s">
        <v>139</v>
      </c>
      <c r="LM67" s="36" t="s">
        <v>139</v>
      </c>
      <c r="LN67" s="36" t="s">
        <v>139</v>
      </c>
      <c r="LO67" s="36" t="s">
        <v>139</v>
      </c>
      <c r="LP67" s="36" t="s">
        <v>139</v>
      </c>
      <c r="LQ67" s="36" t="s">
        <v>139</v>
      </c>
      <c r="LR67" s="36" t="s">
        <v>139</v>
      </c>
      <c r="LS67" s="36" t="s">
        <v>139</v>
      </c>
      <c r="LT67" s="36" t="s">
        <v>139</v>
      </c>
      <c r="LU67" s="36" t="s">
        <v>139</v>
      </c>
      <c r="LV67" s="36" t="s">
        <v>139</v>
      </c>
      <c r="LW67" s="36" t="s">
        <v>139</v>
      </c>
      <c r="LX67" s="36" t="s">
        <v>139</v>
      </c>
      <c r="LY67" s="36" t="s">
        <v>139</v>
      </c>
      <c r="LZ67" s="36" t="s">
        <v>139</v>
      </c>
      <c r="MA67" s="36" t="s">
        <v>139</v>
      </c>
      <c r="MB67" s="36" t="s">
        <v>139</v>
      </c>
      <c r="MC67" s="36" t="s">
        <v>139</v>
      </c>
      <c r="MD67" s="36" t="s">
        <v>139</v>
      </c>
      <c r="ME67" s="36" t="s">
        <v>139</v>
      </c>
      <c r="MF67" s="36" t="s">
        <v>139</v>
      </c>
      <c r="MG67" s="36" t="s">
        <v>139</v>
      </c>
      <c r="MH67" s="36" t="s">
        <v>139</v>
      </c>
      <c r="MI67" s="36" t="s">
        <v>139</v>
      </c>
      <c r="MJ67" s="36" t="s">
        <v>139</v>
      </c>
      <c r="MK67" s="36" t="s">
        <v>139</v>
      </c>
      <c r="ML67" s="36" t="s">
        <v>139</v>
      </c>
      <c r="MM67" s="36" t="s">
        <v>139</v>
      </c>
      <c r="MN67" s="36" t="s">
        <v>139</v>
      </c>
      <c r="MO67" s="36" t="s">
        <v>139</v>
      </c>
      <c r="MP67" s="36" t="s">
        <v>139</v>
      </c>
      <c r="MQ67" s="36" t="s">
        <v>139</v>
      </c>
      <c r="MR67" s="36" t="s">
        <v>139</v>
      </c>
      <c r="MS67" s="36" t="s">
        <v>139</v>
      </c>
      <c r="MT67" s="36" t="s">
        <v>139</v>
      </c>
      <c r="MU67" s="36" t="s">
        <v>139</v>
      </c>
      <c r="MV67" s="36" t="s">
        <v>139</v>
      </c>
      <c r="MW67" s="36" t="s">
        <v>139</v>
      </c>
      <c r="MX67" s="36" t="s">
        <v>139</v>
      </c>
      <c r="MY67" s="36" t="s">
        <v>139</v>
      </c>
      <c r="MZ67" s="36" t="s">
        <v>139</v>
      </c>
      <c r="NA67" s="36" t="s">
        <v>139</v>
      </c>
      <c r="NB67" s="36" t="s">
        <v>139</v>
      </c>
      <c r="NC67" s="36" t="s">
        <v>139</v>
      </c>
      <c r="ND67" s="36" t="s">
        <v>139</v>
      </c>
      <c r="NE67" s="36" t="s">
        <v>139</v>
      </c>
      <c r="NF67" s="36" t="s">
        <v>139</v>
      </c>
      <c r="NG67" s="36" t="s">
        <v>139</v>
      </c>
      <c r="NH67" s="36" t="s">
        <v>139</v>
      </c>
      <c r="NI67" s="36" t="s">
        <v>139</v>
      </c>
      <c r="NJ67" s="36" t="s">
        <v>139</v>
      </c>
      <c r="NK67" s="36" t="s">
        <v>139</v>
      </c>
      <c r="NL67" s="36" t="s">
        <v>139</v>
      </c>
      <c r="NM67" s="36" t="s">
        <v>139</v>
      </c>
      <c r="NN67" s="36" t="s">
        <v>139</v>
      </c>
      <c r="NO67" s="36" t="s">
        <v>139</v>
      </c>
      <c r="NP67" s="36" t="s">
        <v>139</v>
      </c>
      <c r="NQ67" s="36" t="s">
        <v>139</v>
      </c>
      <c r="NR67" s="36" t="s">
        <v>139</v>
      </c>
      <c r="NS67" s="36" t="s">
        <v>139</v>
      </c>
      <c r="NT67" s="36" t="s">
        <v>139</v>
      </c>
      <c r="NU67" s="36" t="s">
        <v>139</v>
      </c>
      <c r="NV67" s="36" t="s">
        <v>139</v>
      </c>
      <c r="NW67" s="36" t="s">
        <v>139</v>
      </c>
      <c r="NX67" s="36" t="s">
        <v>139</v>
      </c>
      <c r="NY67" s="36" t="s">
        <v>139</v>
      </c>
      <c r="NZ67" s="36" t="s">
        <v>139</v>
      </c>
      <c r="OA67" s="36" t="s">
        <v>139</v>
      </c>
      <c r="OB67" s="36" t="s">
        <v>139</v>
      </c>
      <c r="OC67" s="36" t="s">
        <v>139</v>
      </c>
      <c r="OD67" s="36" t="s">
        <v>139</v>
      </c>
      <c r="OE67" s="36" t="s">
        <v>139</v>
      </c>
      <c r="OF67" s="36" t="s">
        <v>139</v>
      </c>
      <c r="OG67" s="36" t="s">
        <v>139</v>
      </c>
      <c r="OH67" s="36" t="s">
        <v>139</v>
      </c>
      <c r="OI67" s="36" t="s">
        <v>139</v>
      </c>
      <c r="OJ67" s="36" t="s">
        <v>139</v>
      </c>
      <c r="OK67" s="36" t="s">
        <v>139</v>
      </c>
      <c r="OL67" s="36" t="s">
        <v>139</v>
      </c>
      <c r="OM67" s="36" t="s">
        <v>139</v>
      </c>
      <c r="ON67" s="36" t="s">
        <v>139</v>
      </c>
      <c r="OO67" s="36" t="s">
        <v>139</v>
      </c>
      <c r="OP67" s="36" t="s">
        <v>139</v>
      </c>
      <c r="OQ67" s="36" t="s">
        <v>139</v>
      </c>
      <c r="OR67" s="36" t="s">
        <v>139</v>
      </c>
      <c r="OS67" s="36" t="s">
        <v>139</v>
      </c>
      <c r="OT67" s="36" t="s">
        <v>139</v>
      </c>
      <c r="OU67" s="36" t="s">
        <v>139</v>
      </c>
      <c r="OV67" s="36" t="s">
        <v>139</v>
      </c>
      <c r="OW67" s="36" t="s">
        <v>139</v>
      </c>
      <c r="OX67" s="36" t="s">
        <v>139</v>
      </c>
      <c r="OY67" s="36" t="s">
        <v>139</v>
      </c>
      <c r="OZ67" s="36" t="s">
        <v>139</v>
      </c>
      <c r="PA67" s="36" t="s">
        <v>139</v>
      </c>
      <c r="PB67" s="36" t="s">
        <v>139</v>
      </c>
      <c r="PC67" s="36" t="s">
        <v>139</v>
      </c>
      <c r="PD67" s="36" t="s">
        <v>139</v>
      </c>
      <c r="PE67" s="36" t="s">
        <v>139</v>
      </c>
      <c r="PF67" s="36" t="s">
        <v>139</v>
      </c>
      <c r="PG67" s="36" t="s">
        <v>139</v>
      </c>
      <c r="PH67" s="36" t="s">
        <v>139</v>
      </c>
      <c r="PI67" s="36" t="s">
        <v>139</v>
      </c>
      <c r="PJ67" s="36" t="s">
        <v>139</v>
      </c>
      <c r="PK67" s="36" t="s">
        <v>139</v>
      </c>
      <c r="PL67" s="36" t="s">
        <v>139</v>
      </c>
      <c r="PM67" s="36" t="s">
        <v>139</v>
      </c>
      <c r="PN67" s="36" t="s">
        <v>139</v>
      </c>
      <c r="PO67" s="74">
        <f>COUNTIFS($C$27:$PN$27,("&lt;"&amp;$B$3),$C$27:$PN$27,("&gt;="&amp;$B$2),$C67:$PN67,TabAsistencias[[#Headers],[1]])</f>
        <v>30</v>
      </c>
      <c r="PP67" s="74">
        <f>COUNTIFS($C$27:$PN$27,("&lt;"&amp;$B$3),$C$27:$PN$27,("&gt;="&amp;$B$2),$C67:$PN67,TabAsistencias[[#Headers],[E]])</f>
        <v>0</v>
      </c>
      <c r="PQ67" s="74">
        <f>COUNTIFS($C$27:$PN$27,("&lt;"&amp;$B$3),$C$27:$PN$27,("&gt;="&amp;$B$2),$C67:$PN67,TabAsistencias[[#Headers],[DE]])</f>
        <v>0</v>
      </c>
      <c r="PR67" s="74">
        <f>COUNTIFS($C$27:$PN$27,("&lt;"&amp;$B$3),$C$27:$PN$27,("&gt;="&amp;$B$2),$C67:$PN67,TabAsistencias[[#Headers],[V]])</f>
        <v>0</v>
      </c>
      <c r="PS67" s="74">
        <f>COUNTIFS($C$27:$PN$27,("&lt;"&amp;$B$3),$C$27:$PN$27,("&gt;="&amp;$B$2),$C67:$PN67,TabAsistencias[[#Headers],[DO]])</f>
        <v>0</v>
      </c>
      <c r="PT67" s="74">
        <f>COUNTIFS($C$27:$PN$27,("&lt;"&amp;$B$3),$C$27:$PN$27,("&gt;="&amp;$B$2),$C67:$PN67,TabAsistencias[[#Headers],[P]])</f>
        <v>0</v>
      </c>
      <c r="PU67" s="74">
        <f>COUNTIFS($C$27:$PN$27,("&lt;"&amp;$B$3),$C$27:$PN$27,("&gt;="&amp;$B$2),$C67:$PN67,TabAsistencias[[#Headers],[F]])</f>
        <v>0</v>
      </c>
      <c r="PV67" s="74">
        <f>COUNTIFS($C$27:$PN$27,("&lt;"&amp;$B$3),$C$27:$PN$27,("&gt;="&amp;$B$2),$C67:$PN67,TabAsistencias[[#Headers],[R]])</f>
        <v>0</v>
      </c>
      <c r="PW67" s="74">
        <f>COUNTIFS($C$27:$PN$27,("&lt;"&amp;$B$3),$C$27:$PN$27,("&gt;="&amp;$B$2),$C67:$PN67,TabAsistencias[[#Headers],[PP]])</f>
        <v>0</v>
      </c>
      <c r="PX67" s="74">
        <f>COUNTIFS($C$27:$PN$27,("&lt;"&amp;$B$3),$C$27:$PN$27,("&gt;="&amp;$B$2),$C67:$PN67,TabAsistencias[[#Headers],[0]])</f>
        <v>0</v>
      </c>
      <c r="PY67" s="74">
        <f>COUNTIFS($C$27:$PN$27,("&lt;"&amp;$B$3),$C$27:$PN$27,("&gt;="&amp;$B$2),$C67:$PN67,TabAsistencias[[#Headers],[IG]])</f>
        <v>0</v>
      </c>
      <c r="PZ67" s="74">
        <f>COUNTIFS($C$27:$PN$27,("&lt;"&amp;$B$3),$C$27:$PN$27,("&gt;="&amp;$B$2),$C67:$PN67,TabAsistencias[[#Headers],[NA]])</f>
        <v>0</v>
      </c>
      <c r="QA67" s="74">
        <f>COUNTIFS($C$27:$PN$27,("&lt;"&amp;$B$3),$C$27:$PN$27,("&gt;="&amp;$B$2),$C67:$PN67,TabAsistencias[[#Headers],[DF]])</f>
        <v>0</v>
      </c>
      <c r="QB67" s="74">
        <f>COUNTIFS($C$27:$PN$27,("&lt;"&amp;$B$3),$C$27:$PN$27,("&gt;="&amp;$B$2),$C67:$PN67,TabAsistencias[[#Headers],[3]])</f>
        <v>0</v>
      </c>
      <c r="QC67" s="74">
        <f>COUNTIFS($C$27:$PN$27,("&lt;"&amp;$B$3),$C$27:$PN$27,("&gt;="&amp;$B$2),$C67:$PN67,TabAsistencias[[#Headers],[CP]])</f>
        <v>0</v>
      </c>
      <c r="QD67" s="74">
        <f>COUNTIFS($C$27:$PN$27,("&lt;"&amp;$B$3),$C$27:$PN$27,("&gt;="&amp;$B$2),$C67:$PN67,TabAsistencias[[#Headers],[I]])</f>
        <v>0</v>
      </c>
      <c r="QE67" s="74">
        <f>COUNTIFS($C$27:$PN$27,("&lt;"&amp;$B$3),$C$27:$PN$27,("&gt;="&amp;$B$2),$C67:$PN67,TabAsistencias[[#Headers],[T/2]])</f>
        <v>0</v>
      </c>
      <c r="QF67" s="74">
        <f>COUNTIFS($C$27:$PN$27,("&lt;"&amp;$B$3),$C$27:$PN$27,("&gt;="&amp;$B$2),$C67:$PN67,TabAsistencias[[#Headers],[ME]])</f>
        <v>0</v>
      </c>
      <c r="QG67" s="74">
        <f>COUNTIFS($C$27:$PN$27,("&lt;"&amp;$B$3),$C$27:$PN$27,("&gt;="&amp;$B$2),$C67:$PN67,TabAsistencias[[#Headers],[DP]])</f>
        <v>0</v>
      </c>
      <c r="QH67" s="74">
        <f>COUNTIFS($C$27:$PN$27,("&lt;"&amp;$B$3),$C$27:$PN$27,("&gt;="&amp;$B$2),$C67:$PN67,TabAsistencias[[#Headers],[B]])</f>
        <v>0</v>
      </c>
      <c r="QI67" s="74">
        <f>(TabAsistencias[[#This Row],[1]]*'Tablas de informacion'!$C$124)+(TabAsistencias[[#This Row],[E]]*'Tablas de informacion'!$C$125)+(TabAsistencias[[#This Row],[DE]]*'Tablas de informacion'!C$126)+(TabAsistencias[[#This Row],[V]]*'Tablas de informacion'!C$127)+(TabAsistencias[[#This Row],[DO]]*'Tablas de informacion'!C$128)+(TabAsistencias[[#This Row],[P]]*'Tablas de informacion'!C$129)+(TabAsistencias[[#This Row],[F]]*'Tablas de informacion'!C$130)+(TabAsistencias[[#This Row],[R]]*'Tablas de informacion'!C$131)+(TabAsistencias[[#This Row],[PP]]*'Tablas de informacion'!C$132)+(TabAsistencias[[#This Row],[0]]*'Tablas de informacion'!C$133)+(TabAsistencias[[#This Row],[IG]]*'Tablas de informacion'!C$134)+(TabAsistencias[[#This Row],[NA]]*'Tablas de informacion'!C$135)+(TabAsistencias[[#This Row],[DF]]*'Tablas de informacion'!C$136)+(TabAsistencias[[#This Row],[3]]*'Tablas de informacion'!C$137)+(TabAsistencias[[#This Row],[CP]]*'Tablas de informacion'!C$138)+(TabAsistencias[[#This Row],[I]]*'Tablas de informacion'!C$139)+(TabAsistencias[[#This Row],[T/2]]*'Tablas de informacion'!C$140)+(TabAsistencias[[#This Row],[ME]]*'Tablas de informacion'!C$141)+(TabAsistencias[[#This Row],[DP]]*'Tablas de informacion'!C$142)+(TabAsistencias[[#This Row],[B]]*'Tablas de informacion'!C$143)-INT(TabAsistencias[[#This Row],[R]]/3)</f>
        <v>30</v>
      </c>
      <c r="QJ67" s="74">
        <f>COUNTIFS($C$27:$PN$27,("&lt;"&amp;$B$3),$C$27:$PN$27,("&gt;="&amp;$B$2),$C$28:$PN$28,1,$C67:$PN67,TabAsistencias[[#Headers],[1]])+
COUNTIFS($C$27:$PN$27,("&lt;"&amp;$B$3),$C$27:$PN$27,("&gt;="&amp;$B$2),$C$28:$PN$28,1,$C67:$PN67,TabAsistencias[[#Headers],[DO]])+
COUNTIFS($C$27:$PN$27,("&lt;"&amp;$B$3),$C$27:$PN$27,("&gt;="&amp;$B$2),$C$28:$PN$28,1,$C67:$PN67,TabAsistencias[[#Headers],[R]])+
COUNTIFS($C$27:$PN$27,("&lt;"&amp;$B$3),$C$27:$PN$27,("&gt;="&amp;$B$2),$C$28:$PN$28,1,$C67:$PN67,TabAsistencias[[#Headers],[NA]])+
COUNTIFS($C$27:$PN$27,("&lt;"&amp;$B$3),$C$27:$PN$27,("&gt;="&amp;$B$2),$C$28:$PN$28,1,$C67:$PN67,TabAsistencias[[#Headers],[DF]])+
COUNTIFS($C$27:$PN$27,("&lt;"&amp;$B$3),$C$27:$PN$27,("&gt;="&amp;$B$2),$C$28:$PN$28,1,$C67:$PN67,TabAsistencias[[#Headers],[3]])+
COUNTIFS($C$27:$PN$27,("&lt;"&amp;$B$3),$C$27:$PN$27,("&gt;="&amp;$B$2),$C$28:$PN$28,1,$C67:$PN67,TabAsistencias[[#Headers],[CP]])+
COUNTIFS($C$27:$PN$27,("&lt;"&amp;$B$3),$C$27:$PN$27,("&gt;="&amp;$B$2),$C$28:$PN$28,1,$C67:$PN67,TabAsistencias[[#Headers],[T/2]])</f>
        <v>4</v>
      </c>
      <c r="QK67" s="315" cm="1">
        <f t="array" ref="QK67">IFERROR(VLOOKUP(
DATEDIF((VLOOKUP(TabAsistencias[[#This Row],[ID]],TabEmpleados[],COLUMN(TabEmpleados[Fecha de ingreso]),FALSE)),Asistencias!$B$3,"Y"),
TabFactorIntegracion[],COLUMN(TabFactorIntegracion[Días vacacionales
establecidos por ley]),FALSE),0)
-
COUNTIF($AH67:$PN67,TabAsistencias[[#Headers],[V]])</f>
        <v>12</v>
      </c>
      <c r="QL67" s="319">
        <f>SUM(TabAsistencias[[#This Row],[''1]],TabAsistencias[[#This Row],[''DE]],TabAsistencias[[#This Row],[''DO]],TabAsistencias[[#This Row],[''R]],TabAsistencias[[#This Row],[''NA]],TabAsistencias[[#This Row],[''DF]],TabAsistencias[[#This Row],[''3]],TabAsistencias[[#This Row],[''CP]],TabAsistencias[[#This Row],[''T/2]],TabAsistencias[[#This Row],[''DP]])</f>
        <v>73</v>
      </c>
      <c r="QM67" s="314">
        <f>COUNTIFS($C$27:$PN$27,("&lt;"&amp;$B$5),$C$27:$PN$27,("&gt;="&amp;$B$4),$C67:$PN67,TabAsistencias[[#Headers],[1]])</f>
        <v>73</v>
      </c>
      <c r="QN67" s="314">
        <f>COUNTIFS($C$27:$PN$27,("&lt;"&amp;$B$5),$C$27:$PN$27,("&gt;="&amp;$B$4),$C67:$PN67,TabAsistencias[[#Headers],[DE]])</f>
        <v>0</v>
      </c>
      <c r="QO67" s="314">
        <f>COUNTIFS($C$27:$PN$27,("&lt;"&amp;$B$5),$C$27:$PN$27,("&gt;="&amp;$B$4),$C67:$PN67,TabAsistencias[[#Headers],[V]])</f>
        <v>0</v>
      </c>
      <c r="QP67" s="314">
        <f>COUNTIFS($C$27:$PN$27,("&lt;"&amp;$B$5),$C$27:$PN$27,("&gt;="&amp;$B$4),$C67:$PN67,TabAsistencias[[#Headers],[DO]])</f>
        <v>0</v>
      </c>
      <c r="QQ67" s="314">
        <f>COUNTIFS($C$27:$PN$27,("&lt;"&amp;$B$5),$C$27:$PN$27,("&gt;="&amp;$B$4),$C67:$PN67,TabAsistencias[[#Headers],[P]])</f>
        <v>0</v>
      </c>
      <c r="QR67" s="314">
        <f>COUNTIFS($C$27:$PN$27,("&lt;"&amp;$B$5),$C$27:$PN$27,("&gt;="&amp;$B$4),$C67:$PN67,TabAsistencias[[#Headers],[F]])</f>
        <v>0</v>
      </c>
      <c r="QS67" s="314">
        <f>COUNTIFS($C$27:$PN$27,("&lt;"&amp;$B$5),$C$27:$PN$27,("&gt;="&amp;$B$4),$C67:$PN67,TabAsistencias[[#Headers],[R]])</f>
        <v>0</v>
      </c>
      <c r="QT67" s="314">
        <f>COUNTIFS($C$27:$PN$27,("&lt;"&amp;$B$5),$C$27:$PN$27,("&gt;="&amp;$B$4),$C67:$PN67,TabAsistencias[[#Headers],[PP]])</f>
        <v>0</v>
      </c>
      <c r="QU67" s="314">
        <f>COUNTIFS($C$27:$PN$27,("&lt;"&amp;$B$5),$C$27:$PN$27,("&gt;="&amp;$B$4),$C67:$PN67,TabAsistencias[[#Headers],[0]])</f>
        <v>0</v>
      </c>
      <c r="QV67" s="314">
        <f>COUNTIFS($C$27:$PN$27,("&lt;"&amp;$B$5),$C$27:$PN$27,("&gt;="&amp;$B$4),$C67:$PN67,TabAsistencias[[#Headers],[IG]])</f>
        <v>0</v>
      </c>
      <c r="QW67" s="314">
        <f>COUNTIFS($C$27:$PN$27,("&lt;"&amp;$B$5),$C$27:$PN$27,("&gt;="&amp;$B$4),$C67:$PN67,TabAsistencias[[#Headers],[NA]])</f>
        <v>0</v>
      </c>
      <c r="QX67" s="314">
        <f>COUNTIFS($C$27:$PN$27,("&lt;"&amp;$B$5),$C$27:$PN$27,("&gt;="&amp;$B$4),$C67:$PN67,TabAsistencias[[#Headers],[DF]])</f>
        <v>0</v>
      </c>
      <c r="QY67" s="314">
        <f>COUNTIFS($C$27:$PN$27,("&lt;"&amp;$B$5),$C$27:$PN$27,("&gt;="&amp;$B$4),$C67:$PN67,TabAsistencias[[#Headers],[3]])</f>
        <v>0</v>
      </c>
      <c r="QZ67" s="314">
        <f>COUNTIFS($C$27:$PN$27,("&lt;"&amp;$B$5),$C$27:$PN$27,("&gt;="&amp;$B$4),$C67:$PN67,TabAsistencias[[#Headers],[CP]])</f>
        <v>0</v>
      </c>
      <c r="RA67" s="314">
        <f>COUNTIFS($C$27:$PN$27,("&lt;"&amp;$B$5),$C$27:$PN$27,("&gt;="&amp;$B$4),$C67:$PN67,TabAsistencias[[#Headers],[I]])</f>
        <v>0</v>
      </c>
      <c r="RB67" s="314">
        <f>COUNTIFS($C$27:$PN$27,("&lt;"&amp;$B$5),$C$27:$PN$27,("&gt;="&amp;$B$4),$C67:$PN67,TabAsistencias[[#Headers],[T/2]])</f>
        <v>0</v>
      </c>
      <c r="RC67" s="314">
        <f>COUNTIFS($C$27:$PN$27,("&lt;"&amp;$B$5),$C$27:$PN$27,("&gt;="&amp;$B$4),$C67:$PN67,TabAsistencias[[#Headers],[ME]])</f>
        <v>0</v>
      </c>
      <c r="RD67" s="314">
        <f>COUNTIFS($C$27:$PN$27,("&lt;"&amp;$B$5),$C$27:$PN$27,("&gt;="&amp;$B$4),$C67:$PN67,TabAsistencias[[#Headers],[DP]])</f>
        <v>0</v>
      </c>
      <c r="RE67" s="314">
        <f>COUNTIFS($C$27:$PN$27,("&lt;"&amp;$B$5),$C$27:$PN$27,("&gt;="&amp;$B$4),$C67:$PN67,TabAsistencias[[#Headers],[B]])</f>
        <v>0</v>
      </c>
      <c r="RF67" s="314">
        <f>COUNTIFS($C$27:$PN$27,("&lt;"&amp;$B$5),$C$27:$PN$27,("&gt;="&amp;$B$4),$C$28:$PN$28,1,$C67:$PN67,TabAsistencias[[#Headers],[1]])+
COUNTIFS($C$27:$PN$27,("&lt;"&amp;$B$5),$C$27:$PN$27,("&gt;="&amp;$B$4),$C$28:$PN$28,1,$C67:$PN67,TabAsistencias[[#Headers],[DO]])+
COUNTIFS($C$27:$PN$27,("&lt;"&amp;$B$5),$C$27:$PN$27,("&gt;="&amp;$B$4),$C$28:$PN$28,1,$C67:$PN67,TabAsistencias[[#Headers],[R]])+
COUNTIFS($C$27:$PN$27,("&lt;"&amp;$B$5),$C$27:$PN$27,("&gt;="&amp;$B$4),$C$28:$PN$28,1,$C67:$PN67,TabAsistencias[[#Headers],[NA]])+
COUNTIFS($C$27:$PN$27,("&lt;"&amp;$B$5),$C$27:$PN$27,("&gt;="&amp;$B$4),$C$28:$PN$28,1,$C67:$PN67,TabAsistencias[[#Headers],[DF]])+
COUNTIFS($C$27:$PN$27,("&lt;"&amp;$B$5),$C$27:$PN$27,("&gt;="&amp;$B$4),$C$28:$PN$28,1,$C67:$PN67,TabAsistencias[[#Headers],[3]])+
COUNTIFS($C$27:$PN$27,("&lt;"&amp;$B$5),$C$27:$PN$27,("&gt;="&amp;$B$4),$C$28:$PN$28,1,$C67:$PN67,TabAsistencias[[#Headers],[CP]])+
COUNTIFS($C$27:$PN$27,("&lt;"&amp;$B$5),$C$27:$PN$27,("&gt;="&amp;$B$4),$C$28:$PN$28,1,$C67:$PN67,TabAsistencias[[#Headers],[T/2]])</f>
        <v>11</v>
      </c>
      <c r="RG67" s="320" cm="1">
        <f t="array" ref="RG67">IFERROR(VLOOKUP(
DATEDIF((VLOOKUP(TabAsistencias[[#This Row],[ID]],TabEmpleados[],COLUMN(TabEmpleados[Fecha de alta NSS]),FALSE)),Asistencias!$B$3,"Y"),
TabFactorIntegracion[],COLUMN(TabFactorIntegracion[Días vacacionales
establecidos por ley]),FALSE),0)
-
COUNTIF($AH67:$PN67,TabAsistencias[[#Headers],[V]])</f>
        <v>12</v>
      </c>
    </row>
    <row r="68" spans="1:475" x14ac:dyDescent="0.25">
      <c r="A68" s="92">
        <f t="shared" si="434"/>
        <v>38</v>
      </c>
      <c r="B68" s="30" t="str" cm="1">
        <f t="array" ref="B68">VLOOKUP(TabAsistencias[[#This Row],[ID]],TabEmpleados[],COLUMN(TabEmpleados[Nombre]),FALSE)</f>
        <v>DIAZ LOPEZ JUAN FELIPE</v>
      </c>
      <c r="C68" s="36" t="s">
        <v>139</v>
      </c>
      <c r="D68" s="36" t="s">
        <v>139</v>
      </c>
      <c r="E68" s="36" t="s">
        <v>139</v>
      </c>
      <c r="F68" s="36" t="s">
        <v>139</v>
      </c>
      <c r="G68" s="36" t="s">
        <v>139</v>
      </c>
      <c r="H68" s="36" t="s">
        <v>139</v>
      </c>
      <c r="I68" s="36" t="s">
        <v>139</v>
      </c>
      <c r="J68" s="36" t="s">
        <v>139</v>
      </c>
      <c r="K68" s="36" t="s">
        <v>139</v>
      </c>
      <c r="L68" s="36" t="s">
        <v>139</v>
      </c>
      <c r="M68" s="36" t="s">
        <v>139</v>
      </c>
      <c r="N68" s="36" t="s">
        <v>139</v>
      </c>
      <c r="O68" s="36" t="s">
        <v>139</v>
      </c>
      <c r="P68" s="36" t="s">
        <v>139</v>
      </c>
      <c r="Q68" s="36" t="s">
        <v>139</v>
      </c>
      <c r="R68" s="36" t="s">
        <v>139</v>
      </c>
      <c r="S68" s="36" t="s">
        <v>139</v>
      </c>
      <c r="T68" s="36" t="s">
        <v>139</v>
      </c>
      <c r="U68" s="36" t="s">
        <v>139</v>
      </c>
      <c r="V68" s="36" t="s">
        <v>139</v>
      </c>
      <c r="W68" s="36" t="s">
        <v>139</v>
      </c>
      <c r="X68" s="36" t="s">
        <v>139</v>
      </c>
      <c r="Y68" s="36" t="s">
        <v>139</v>
      </c>
      <c r="Z68" s="36" t="s">
        <v>139</v>
      </c>
      <c r="AA68" s="36" t="s">
        <v>139</v>
      </c>
      <c r="AB68" s="36" t="s">
        <v>139</v>
      </c>
      <c r="AC68" s="36" t="s">
        <v>139</v>
      </c>
      <c r="AD68" s="36" t="s">
        <v>139</v>
      </c>
      <c r="AE68" s="36" t="s">
        <v>139</v>
      </c>
      <c r="AF68" s="36" t="s">
        <v>139</v>
      </c>
      <c r="AG68" s="36" t="s">
        <v>139</v>
      </c>
      <c r="AH68" s="36" t="s">
        <v>139</v>
      </c>
      <c r="AI68" s="36" t="s">
        <v>139</v>
      </c>
      <c r="AJ68" s="36" t="s">
        <v>139</v>
      </c>
      <c r="AK68" s="36" t="s">
        <v>139</v>
      </c>
      <c r="AL68" s="36" t="s">
        <v>139</v>
      </c>
      <c r="AM68" s="36" t="s">
        <v>139</v>
      </c>
      <c r="AN68" s="36" t="s">
        <v>139</v>
      </c>
      <c r="AO68" s="36" t="s">
        <v>139</v>
      </c>
      <c r="AP68" s="36" t="s">
        <v>139</v>
      </c>
      <c r="AQ68" s="36" t="s">
        <v>139</v>
      </c>
      <c r="AR68" s="36" t="s">
        <v>139</v>
      </c>
      <c r="AS68" s="36" t="s">
        <v>139</v>
      </c>
      <c r="AT68" s="36" t="s">
        <v>139</v>
      </c>
      <c r="AU68" s="36" t="s">
        <v>139</v>
      </c>
      <c r="AV68" s="36" t="s">
        <v>139</v>
      </c>
      <c r="AW68" s="36" t="s">
        <v>139</v>
      </c>
      <c r="AX68" s="36" t="s">
        <v>139</v>
      </c>
      <c r="AY68" s="36" t="s">
        <v>139</v>
      </c>
      <c r="AZ68" s="36" t="s">
        <v>139</v>
      </c>
      <c r="BA68" s="36" t="s">
        <v>139</v>
      </c>
      <c r="BB68" s="36" t="s">
        <v>139</v>
      </c>
      <c r="BC68" s="36" t="s">
        <v>139</v>
      </c>
      <c r="BD68" s="36" t="s">
        <v>139</v>
      </c>
      <c r="BE68" s="36" t="s">
        <v>139</v>
      </c>
      <c r="BF68" s="36" t="s">
        <v>139</v>
      </c>
      <c r="BG68" s="36" t="s">
        <v>139</v>
      </c>
      <c r="BH68" s="36" t="s">
        <v>139</v>
      </c>
      <c r="BI68" s="36" t="s">
        <v>139</v>
      </c>
      <c r="BJ68" s="36" t="s">
        <v>139</v>
      </c>
      <c r="BK68" s="36" t="s">
        <v>139</v>
      </c>
      <c r="BL68" s="36" t="s">
        <v>139</v>
      </c>
      <c r="BM68" s="36" t="s">
        <v>139</v>
      </c>
      <c r="BN68" s="36" t="s">
        <v>139</v>
      </c>
      <c r="BO68" s="36" t="s">
        <v>139</v>
      </c>
      <c r="BP68" s="36" t="s">
        <v>139</v>
      </c>
      <c r="BQ68" s="36" t="s">
        <v>139</v>
      </c>
      <c r="BR68" s="36" t="s">
        <v>139</v>
      </c>
      <c r="BS68" s="36" t="s">
        <v>139</v>
      </c>
      <c r="BT68" s="36" t="s">
        <v>139</v>
      </c>
      <c r="BU68" s="36" t="s">
        <v>139</v>
      </c>
      <c r="BV68" s="36" t="s">
        <v>139</v>
      </c>
      <c r="BW68" s="36" t="s">
        <v>139</v>
      </c>
      <c r="BX68" s="36" t="s">
        <v>139</v>
      </c>
      <c r="BY68" s="36" t="s">
        <v>139</v>
      </c>
      <c r="BZ68" s="36" t="s">
        <v>139</v>
      </c>
      <c r="CA68" s="36" t="s">
        <v>139</v>
      </c>
      <c r="CB68" s="36" t="s">
        <v>139</v>
      </c>
      <c r="CC68" s="36" t="s">
        <v>139</v>
      </c>
      <c r="CD68" s="36" t="s">
        <v>139</v>
      </c>
      <c r="CE68" s="36" t="s">
        <v>139</v>
      </c>
      <c r="CF68" s="36" t="s">
        <v>139</v>
      </c>
      <c r="CG68" s="36" t="s">
        <v>139</v>
      </c>
      <c r="CH68" s="36" t="s">
        <v>139</v>
      </c>
      <c r="CI68" s="36" t="s">
        <v>139</v>
      </c>
      <c r="CJ68" s="36" t="s">
        <v>139</v>
      </c>
      <c r="CK68" s="36" t="s">
        <v>139</v>
      </c>
      <c r="CL68" s="36" t="s">
        <v>139</v>
      </c>
      <c r="CM68" s="36" t="s">
        <v>139</v>
      </c>
      <c r="CN68" s="36" t="s">
        <v>139</v>
      </c>
      <c r="CO68" s="36" t="s">
        <v>139</v>
      </c>
      <c r="CP68" s="36" t="s">
        <v>139</v>
      </c>
      <c r="CQ68" s="36" t="s">
        <v>139</v>
      </c>
      <c r="CR68" s="36" t="s">
        <v>139</v>
      </c>
      <c r="CS68" s="36" t="s">
        <v>139</v>
      </c>
      <c r="CT68" s="36" t="s">
        <v>139</v>
      </c>
      <c r="CU68" s="36" t="s">
        <v>139</v>
      </c>
      <c r="CV68" s="36" t="s">
        <v>139</v>
      </c>
      <c r="CW68" s="36" t="s">
        <v>139</v>
      </c>
      <c r="CX68" s="36" t="s">
        <v>139</v>
      </c>
      <c r="CY68" s="36" t="s">
        <v>139</v>
      </c>
      <c r="CZ68" s="36" t="s">
        <v>139</v>
      </c>
      <c r="DA68" s="36" t="s">
        <v>139</v>
      </c>
      <c r="DB68" s="36" t="s">
        <v>139</v>
      </c>
      <c r="DC68" s="36" t="s">
        <v>139</v>
      </c>
      <c r="DD68" s="36" t="s">
        <v>139</v>
      </c>
      <c r="DE68" s="36" t="s">
        <v>139</v>
      </c>
      <c r="DF68" s="36" t="s">
        <v>139</v>
      </c>
      <c r="DG68" s="36" t="s">
        <v>139</v>
      </c>
      <c r="DH68" s="36" t="s">
        <v>139</v>
      </c>
      <c r="DI68" s="36" t="s">
        <v>139</v>
      </c>
      <c r="DJ68" s="36" t="s">
        <v>139</v>
      </c>
      <c r="DK68" s="36" t="s">
        <v>139</v>
      </c>
      <c r="DL68" s="36" t="s">
        <v>139</v>
      </c>
      <c r="DM68" s="36" t="s">
        <v>139</v>
      </c>
      <c r="DN68" s="36" t="s">
        <v>139</v>
      </c>
      <c r="DO68" s="36" t="s">
        <v>139</v>
      </c>
      <c r="DP68" s="36" t="s">
        <v>139</v>
      </c>
      <c r="DQ68" s="36" t="s">
        <v>139</v>
      </c>
      <c r="DR68" s="36" t="s">
        <v>139</v>
      </c>
      <c r="DS68" s="36" t="s">
        <v>139</v>
      </c>
      <c r="DT68" s="36" t="s">
        <v>139</v>
      </c>
      <c r="DU68" s="36" t="s">
        <v>139</v>
      </c>
      <c r="DV68" s="36" t="s">
        <v>139</v>
      </c>
      <c r="DW68" s="36" t="s">
        <v>139</v>
      </c>
      <c r="DX68" s="36" t="s">
        <v>139</v>
      </c>
      <c r="DY68" s="36" t="s">
        <v>139</v>
      </c>
      <c r="DZ68" s="36" t="s">
        <v>139</v>
      </c>
      <c r="EA68" s="36" t="s">
        <v>139</v>
      </c>
      <c r="EB68" s="36" t="s">
        <v>139</v>
      </c>
      <c r="EC68" s="36" t="s">
        <v>139</v>
      </c>
      <c r="ED68" s="36" t="s">
        <v>139</v>
      </c>
      <c r="EE68" s="36" t="s">
        <v>139</v>
      </c>
      <c r="EF68" s="36" t="s">
        <v>139</v>
      </c>
      <c r="EG68" s="36" t="s">
        <v>139</v>
      </c>
      <c r="EH68" s="36" t="s">
        <v>139</v>
      </c>
      <c r="EI68" s="36" t="s">
        <v>139</v>
      </c>
      <c r="EJ68" s="36" t="s">
        <v>139</v>
      </c>
      <c r="EK68" s="36" t="s">
        <v>139</v>
      </c>
      <c r="EL68" s="36" t="s">
        <v>139</v>
      </c>
      <c r="EM68" s="36" t="s">
        <v>139</v>
      </c>
      <c r="EN68" s="36" t="s">
        <v>139</v>
      </c>
      <c r="EO68" s="36" t="s">
        <v>139</v>
      </c>
      <c r="EP68" s="36" t="s">
        <v>139</v>
      </c>
      <c r="EQ68" s="36" t="s">
        <v>139</v>
      </c>
      <c r="ER68" s="36" t="s">
        <v>139</v>
      </c>
      <c r="ES68" s="36" t="s">
        <v>139</v>
      </c>
      <c r="ET68" s="36" t="s">
        <v>139</v>
      </c>
      <c r="EU68" s="36" t="s">
        <v>139</v>
      </c>
      <c r="EV68" s="36" t="s">
        <v>139</v>
      </c>
      <c r="EW68" s="36" t="s">
        <v>139</v>
      </c>
      <c r="EX68" s="36" t="s">
        <v>139</v>
      </c>
      <c r="EY68" s="36" t="s">
        <v>139</v>
      </c>
      <c r="EZ68" s="36" t="s">
        <v>139</v>
      </c>
      <c r="FA68" s="36" t="s">
        <v>139</v>
      </c>
      <c r="FB68" s="36" t="s">
        <v>139</v>
      </c>
      <c r="FC68" s="36" t="s">
        <v>139</v>
      </c>
      <c r="FD68" s="36" t="s">
        <v>139</v>
      </c>
      <c r="FE68" s="36" t="s">
        <v>139</v>
      </c>
      <c r="FF68" s="36" t="s">
        <v>139</v>
      </c>
      <c r="FG68" s="36" t="s">
        <v>139</v>
      </c>
      <c r="FH68" s="36" t="s">
        <v>139</v>
      </c>
      <c r="FI68" s="36" t="s">
        <v>139</v>
      </c>
      <c r="FJ68" s="36" t="s">
        <v>139</v>
      </c>
      <c r="FK68" s="36" t="s">
        <v>139</v>
      </c>
      <c r="FL68" s="36" t="s">
        <v>139</v>
      </c>
      <c r="FM68" s="36" t="s">
        <v>139</v>
      </c>
      <c r="FN68" s="36" t="s">
        <v>139</v>
      </c>
      <c r="FO68" s="36" t="s">
        <v>139</v>
      </c>
      <c r="FP68" s="36" t="s">
        <v>139</v>
      </c>
      <c r="FQ68" s="36" t="s">
        <v>139</v>
      </c>
      <c r="FR68" s="36" t="s">
        <v>139</v>
      </c>
      <c r="FS68" s="36" t="s">
        <v>139</v>
      </c>
      <c r="FT68" s="36" t="s">
        <v>139</v>
      </c>
      <c r="FU68" s="36" t="s">
        <v>139</v>
      </c>
      <c r="FV68" s="36" t="s">
        <v>139</v>
      </c>
      <c r="FW68" s="36" t="s">
        <v>139</v>
      </c>
      <c r="FX68" s="36" t="s">
        <v>139</v>
      </c>
      <c r="FY68" s="36" t="s">
        <v>139</v>
      </c>
      <c r="FZ68" s="36" t="s">
        <v>139</v>
      </c>
      <c r="GA68" s="36" t="s">
        <v>139</v>
      </c>
      <c r="GB68" s="36" t="s">
        <v>139</v>
      </c>
      <c r="GC68" s="36" t="s">
        <v>139</v>
      </c>
      <c r="GD68" s="36" t="s">
        <v>139</v>
      </c>
      <c r="GE68" s="36" t="s">
        <v>139</v>
      </c>
      <c r="GF68" s="36" t="s">
        <v>139</v>
      </c>
      <c r="GG68" s="36" t="s">
        <v>139</v>
      </c>
      <c r="GH68" s="36" t="s">
        <v>139</v>
      </c>
      <c r="GI68" s="36" t="s">
        <v>139</v>
      </c>
      <c r="GJ68" s="36" t="s">
        <v>139</v>
      </c>
      <c r="GK68" s="36" t="s">
        <v>139</v>
      </c>
      <c r="GL68" s="36" t="s">
        <v>139</v>
      </c>
      <c r="GM68" s="36" t="s">
        <v>139</v>
      </c>
      <c r="GN68" s="36" t="s">
        <v>139</v>
      </c>
      <c r="GO68" s="36" t="s">
        <v>139</v>
      </c>
      <c r="GP68" s="36" t="s">
        <v>139</v>
      </c>
      <c r="GQ68" s="36" t="s">
        <v>139</v>
      </c>
      <c r="GR68" s="36" t="s">
        <v>139</v>
      </c>
      <c r="GS68" s="36" t="s">
        <v>139</v>
      </c>
      <c r="GT68" s="36" t="s">
        <v>139</v>
      </c>
      <c r="GU68" s="36" t="s">
        <v>139</v>
      </c>
      <c r="GV68" s="36" t="s">
        <v>139</v>
      </c>
      <c r="GW68" s="36" t="s">
        <v>139</v>
      </c>
      <c r="GX68" s="36" t="s">
        <v>139</v>
      </c>
      <c r="GY68" s="36" t="s">
        <v>139</v>
      </c>
      <c r="GZ68" s="36" t="s">
        <v>139</v>
      </c>
      <c r="HA68" s="36" t="s">
        <v>139</v>
      </c>
      <c r="HB68" s="36" t="s">
        <v>139</v>
      </c>
      <c r="HC68" s="36" t="s">
        <v>139</v>
      </c>
      <c r="HD68" s="36" t="s">
        <v>139</v>
      </c>
      <c r="HE68" s="36" t="s">
        <v>139</v>
      </c>
      <c r="HF68" s="36" t="s">
        <v>139</v>
      </c>
      <c r="HG68" s="36" t="s">
        <v>139</v>
      </c>
      <c r="HH68" s="36" t="s">
        <v>139</v>
      </c>
      <c r="HI68" s="36" t="s">
        <v>139</v>
      </c>
      <c r="HJ68" s="36" t="s">
        <v>139</v>
      </c>
      <c r="HK68" s="36" t="s">
        <v>139</v>
      </c>
      <c r="HL68" s="36" t="s">
        <v>139</v>
      </c>
      <c r="HM68" s="36" t="s">
        <v>139</v>
      </c>
      <c r="HN68" s="36" t="s">
        <v>139</v>
      </c>
      <c r="HO68" s="36" t="s">
        <v>139</v>
      </c>
      <c r="HP68" s="36" t="s">
        <v>139</v>
      </c>
      <c r="HQ68" s="36" t="s">
        <v>139</v>
      </c>
      <c r="HR68" s="36" t="s">
        <v>139</v>
      </c>
      <c r="HS68" s="36" t="s">
        <v>139</v>
      </c>
      <c r="HT68" s="36" t="s">
        <v>139</v>
      </c>
      <c r="HU68" s="36" t="s">
        <v>139</v>
      </c>
      <c r="HV68" s="36" t="s">
        <v>139</v>
      </c>
      <c r="HW68" s="36" t="s">
        <v>139</v>
      </c>
      <c r="HX68" s="36" t="s">
        <v>139</v>
      </c>
      <c r="HY68" s="36" t="s">
        <v>139</v>
      </c>
      <c r="HZ68" s="36" t="s">
        <v>139</v>
      </c>
      <c r="IA68" s="36" t="s">
        <v>139</v>
      </c>
      <c r="IB68" s="36" t="s">
        <v>139</v>
      </c>
      <c r="IC68" s="36" t="s">
        <v>139</v>
      </c>
      <c r="ID68" s="36" t="s">
        <v>139</v>
      </c>
      <c r="IE68" s="36" t="s">
        <v>139</v>
      </c>
      <c r="IF68" s="36" t="s">
        <v>139</v>
      </c>
      <c r="IG68" s="36" t="s">
        <v>139</v>
      </c>
      <c r="IH68" s="36" t="s">
        <v>139</v>
      </c>
      <c r="II68" s="36" t="s">
        <v>139</v>
      </c>
      <c r="IJ68" s="36" t="s">
        <v>139</v>
      </c>
      <c r="IK68" s="36" t="s">
        <v>139</v>
      </c>
      <c r="IL68" s="36" t="s">
        <v>139</v>
      </c>
      <c r="IM68" s="36" t="s">
        <v>139</v>
      </c>
      <c r="IN68" s="36" t="s">
        <v>139</v>
      </c>
      <c r="IO68" s="36" t="s">
        <v>139</v>
      </c>
      <c r="IP68" s="36" t="s">
        <v>139</v>
      </c>
      <c r="IQ68" s="36" t="s">
        <v>139</v>
      </c>
      <c r="IR68" s="36" t="s">
        <v>139</v>
      </c>
      <c r="IS68" s="36" t="s">
        <v>139</v>
      </c>
      <c r="IT68" s="36" t="s">
        <v>139</v>
      </c>
      <c r="IU68" s="36" t="s">
        <v>139</v>
      </c>
      <c r="IV68" s="36" t="s">
        <v>139</v>
      </c>
      <c r="IW68" s="36" t="s">
        <v>139</v>
      </c>
      <c r="IX68" s="36" t="s">
        <v>139</v>
      </c>
      <c r="IY68" s="36" t="s">
        <v>139</v>
      </c>
      <c r="IZ68" s="36" t="s">
        <v>139</v>
      </c>
      <c r="JA68" s="36" t="s">
        <v>139</v>
      </c>
      <c r="JB68" s="36" t="s">
        <v>139</v>
      </c>
      <c r="JC68" s="36" t="s">
        <v>139</v>
      </c>
      <c r="JD68" s="36" t="s">
        <v>139</v>
      </c>
      <c r="JE68" s="36" t="s">
        <v>139</v>
      </c>
      <c r="JF68" s="36" t="s">
        <v>139</v>
      </c>
      <c r="JG68" s="36" t="s">
        <v>139</v>
      </c>
      <c r="JH68" s="36" t="s">
        <v>139</v>
      </c>
      <c r="JI68" s="36" t="s">
        <v>139</v>
      </c>
      <c r="JJ68" s="36" t="s">
        <v>139</v>
      </c>
      <c r="JK68" s="36" t="s">
        <v>139</v>
      </c>
      <c r="JL68" s="36" t="s">
        <v>139</v>
      </c>
      <c r="JM68" s="36" t="s">
        <v>139</v>
      </c>
      <c r="JN68" s="36" t="s">
        <v>139</v>
      </c>
      <c r="JO68" s="36" t="s">
        <v>139</v>
      </c>
      <c r="JP68" s="36" t="s">
        <v>139</v>
      </c>
      <c r="JQ68" s="36" t="s">
        <v>139</v>
      </c>
      <c r="JR68" s="36" t="s">
        <v>139</v>
      </c>
      <c r="JS68" s="36" t="s">
        <v>139</v>
      </c>
      <c r="JT68" s="36" t="s">
        <v>139</v>
      </c>
      <c r="JU68" s="36" t="s">
        <v>139</v>
      </c>
      <c r="JV68" s="36" t="s">
        <v>139</v>
      </c>
      <c r="JW68" s="36" t="s">
        <v>139</v>
      </c>
      <c r="JX68" s="36" t="s">
        <v>139</v>
      </c>
      <c r="JY68" s="36" t="s">
        <v>139</v>
      </c>
      <c r="JZ68" s="36" t="s">
        <v>139</v>
      </c>
      <c r="KA68" s="36" t="s">
        <v>139</v>
      </c>
      <c r="KB68" s="36" t="s">
        <v>139</v>
      </c>
      <c r="KC68" s="36" t="s">
        <v>139</v>
      </c>
      <c r="KD68" s="36" t="s">
        <v>139</v>
      </c>
      <c r="KE68" s="36" t="s">
        <v>139</v>
      </c>
      <c r="KF68" s="36" t="s">
        <v>139</v>
      </c>
      <c r="KG68" s="36" t="s">
        <v>139</v>
      </c>
      <c r="KH68" s="36" t="s">
        <v>139</v>
      </c>
      <c r="KI68" s="36" t="s">
        <v>139</v>
      </c>
      <c r="KJ68" s="36" t="s">
        <v>139</v>
      </c>
      <c r="KK68" s="36" t="s">
        <v>139</v>
      </c>
      <c r="KL68" s="36" t="s">
        <v>139</v>
      </c>
      <c r="KM68" s="36" t="s">
        <v>139</v>
      </c>
      <c r="KN68" s="36" t="s">
        <v>139</v>
      </c>
      <c r="KO68" s="36" t="s">
        <v>139</v>
      </c>
      <c r="KP68" s="36" t="s">
        <v>139</v>
      </c>
      <c r="KQ68" s="36" t="s">
        <v>139</v>
      </c>
      <c r="KR68" s="36" t="s">
        <v>139</v>
      </c>
      <c r="KS68" s="36" t="s">
        <v>139</v>
      </c>
      <c r="KT68" s="36" t="s">
        <v>139</v>
      </c>
      <c r="KU68" s="36" t="s">
        <v>139</v>
      </c>
      <c r="KV68" s="36" t="s">
        <v>139</v>
      </c>
      <c r="KW68" s="36" t="s">
        <v>139</v>
      </c>
      <c r="KX68" s="36" t="s">
        <v>139</v>
      </c>
      <c r="KY68" s="36" t="s">
        <v>139</v>
      </c>
      <c r="KZ68" s="36" t="s">
        <v>139</v>
      </c>
      <c r="LA68" s="36" t="s">
        <v>139</v>
      </c>
      <c r="LB68" s="36" t="s">
        <v>139</v>
      </c>
      <c r="LC68" s="36" t="s">
        <v>139</v>
      </c>
      <c r="LD68" s="36" t="s">
        <v>139</v>
      </c>
      <c r="LE68" s="36" t="s">
        <v>139</v>
      </c>
      <c r="LF68" s="36" t="s">
        <v>139</v>
      </c>
      <c r="LG68" s="36" t="s">
        <v>139</v>
      </c>
      <c r="LH68" s="36" t="s">
        <v>139</v>
      </c>
      <c r="LI68" s="36" t="s">
        <v>139</v>
      </c>
      <c r="LJ68" s="36" t="s">
        <v>139</v>
      </c>
      <c r="LK68" s="36" t="s">
        <v>139</v>
      </c>
      <c r="LL68" s="36" t="s">
        <v>139</v>
      </c>
      <c r="LM68" s="36" t="s">
        <v>139</v>
      </c>
      <c r="LN68" s="36" t="s">
        <v>139</v>
      </c>
      <c r="LO68" s="36" t="s">
        <v>139</v>
      </c>
      <c r="LP68" s="36" t="s">
        <v>139</v>
      </c>
      <c r="LQ68" s="36" t="s">
        <v>139</v>
      </c>
      <c r="LR68" s="36" t="s">
        <v>139</v>
      </c>
      <c r="LS68" s="36" t="s">
        <v>139</v>
      </c>
      <c r="LT68" s="36" t="s">
        <v>139</v>
      </c>
      <c r="LU68" s="36" t="s">
        <v>139</v>
      </c>
      <c r="LV68" s="36" t="s">
        <v>139</v>
      </c>
      <c r="LW68" s="36" t="s">
        <v>139</v>
      </c>
      <c r="LX68" s="36" t="s">
        <v>139</v>
      </c>
      <c r="LY68" s="36" t="s">
        <v>139</v>
      </c>
      <c r="LZ68" s="36" t="s">
        <v>139</v>
      </c>
      <c r="MA68" s="36" t="s">
        <v>139</v>
      </c>
      <c r="MB68" s="36" t="s">
        <v>139</v>
      </c>
      <c r="MC68" s="36" t="s">
        <v>139</v>
      </c>
      <c r="MD68" s="36" t="s">
        <v>139</v>
      </c>
      <c r="ME68" s="36" t="s">
        <v>139</v>
      </c>
      <c r="MF68" s="36" t="s">
        <v>139</v>
      </c>
      <c r="MG68" s="36" t="s">
        <v>139</v>
      </c>
      <c r="MH68" s="36" t="s">
        <v>139</v>
      </c>
      <c r="MI68" s="36" t="s">
        <v>139</v>
      </c>
      <c r="MJ68" s="36" t="s">
        <v>139</v>
      </c>
      <c r="MK68" s="36" t="s">
        <v>139</v>
      </c>
      <c r="ML68" s="36" t="s">
        <v>139</v>
      </c>
      <c r="MM68" s="36" t="s">
        <v>139</v>
      </c>
      <c r="MN68" s="36" t="s">
        <v>139</v>
      </c>
      <c r="MO68" s="36" t="s">
        <v>139</v>
      </c>
      <c r="MP68" s="36" t="s">
        <v>139</v>
      </c>
      <c r="MQ68" s="36" t="s">
        <v>139</v>
      </c>
      <c r="MR68" s="36" t="s">
        <v>139</v>
      </c>
      <c r="MS68" s="36" t="s">
        <v>139</v>
      </c>
      <c r="MT68" s="36" t="s">
        <v>139</v>
      </c>
      <c r="MU68" s="36" t="s">
        <v>139</v>
      </c>
      <c r="MV68" s="36" t="s">
        <v>139</v>
      </c>
      <c r="MW68" s="36" t="s">
        <v>139</v>
      </c>
      <c r="MX68" s="36" t="s">
        <v>139</v>
      </c>
      <c r="MY68" s="36" t="s">
        <v>139</v>
      </c>
      <c r="MZ68" s="36" t="s">
        <v>139</v>
      </c>
      <c r="NA68" s="36" t="s">
        <v>139</v>
      </c>
      <c r="NB68" s="36" t="s">
        <v>139</v>
      </c>
      <c r="NC68" s="36" t="s">
        <v>139</v>
      </c>
      <c r="ND68" s="36" t="s">
        <v>139</v>
      </c>
      <c r="NE68" s="36" t="s">
        <v>139</v>
      </c>
      <c r="NF68" s="36" t="s">
        <v>139</v>
      </c>
      <c r="NG68" s="36" t="s">
        <v>139</v>
      </c>
      <c r="NH68" s="36" t="s">
        <v>139</v>
      </c>
      <c r="NI68" s="36" t="s">
        <v>139</v>
      </c>
      <c r="NJ68" s="36" t="s">
        <v>139</v>
      </c>
      <c r="NK68" s="36" t="s">
        <v>139</v>
      </c>
      <c r="NL68" s="36" t="s">
        <v>139</v>
      </c>
      <c r="NM68" s="36" t="s">
        <v>139</v>
      </c>
      <c r="NN68" s="36" t="s">
        <v>139</v>
      </c>
      <c r="NO68" s="36" t="s">
        <v>139</v>
      </c>
      <c r="NP68" s="36" t="s">
        <v>139</v>
      </c>
      <c r="NQ68" s="36" t="s">
        <v>139</v>
      </c>
      <c r="NR68" s="36" t="s">
        <v>139</v>
      </c>
      <c r="NS68" s="36" t="s">
        <v>139</v>
      </c>
      <c r="NT68" s="36" t="s">
        <v>139</v>
      </c>
      <c r="NU68" s="36" t="s">
        <v>139</v>
      </c>
      <c r="NV68" s="36" t="s">
        <v>139</v>
      </c>
      <c r="NW68" s="36" t="s">
        <v>139</v>
      </c>
      <c r="NX68" s="36" t="s">
        <v>139</v>
      </c>
      <c r="NY68" s="36" t="s">
        <v>139</v>
      </c>
      <c r="NZ68" s="36" t="s">
        <v>139</v>
      </c>
      <c r="OA68" s="36" t="s">
        <v>139</v>
      </c>
      <c r="OB68" s="36" t="s">
        <v>139</v>
      </c>
      <c r="OC68" s="36" t="s">
        <v>139</v>
      </c>
      <c r="OD68" s="36" t="s">
        <v>139</v>
      </c>
      <c r="OE68" s="36" t="s">
        <v>139</v>
      </c>
      <c r="OF68" s="36" t="s">
        <v>139</v>
      </c>
      <c r="OG68" s="36" t="s">
        <v>139</v>
      </c>
      <c r="OH68" s="36" t="s">
        <v>139</v>
      </c>
      <c r="OI68" s="36" t="s">
        <v>139</v>
      </c>
      <c r="OJ68" s="36" t="s">
        <v>139</v>
      </c>
      <c r="OK68" s="36" t="s">
        <v>139</v>
      </c>
      <c r="OL68" s="36" t="s">
        <v>139</v>
      </c>
      <c r="OM68" s="36" t="s">
        <v>139</v>
      </c>
      <c r="ON68" s="36" t="s">
        <v>139</v>
      </c>
      <c r="OO68" s="36" t="s">
        <v>139</v>
      </c>
      <c r="OP68" s="36" t="s">
        <v>139</v>
      </c>
      <c r="OQ68" s="36" t="s">
        <v>139</v>
      </c>
      <c r="OR68" s="36" t="s">
        <v>139</v>
      </c>
      <c r="OS68" s="36" t="s">
        <v>139</v>
      </c>
      <c r="OT68" s="36" t="s">
        <v>139</v>
      </c>
      <c r="OU68" s="36" t="s">
        <v>139</v>
      </c>
      <c r="OV68" s="36" t="s">
        <v>139</v>
      </c>
      <c r="OW68" s="36" t="s">
        <v>139</v>
      </c>
      <c r="OX68" s="36" t="s">
        <v>139</v>
      </c>
      <c r="OY68" s="36" t="s">
        <v>139</v>
      </c>
      <c r="OZ68" s="36" t="s">
        <v>139</v>
      </c>
      <c r="PA68" s="36" t="s">
        <v>139</v>
      </c>
      <c r="PB68" s="36" t="s">
        <v>139</v>
      </c>
      <c r="PC68" s="36" t="s">
        <v>139</v>
      </c>
      <c r="PD68" s="36" t="s">
        <v>139</v>
      </c>
      <c r="PE68" s="36" t="s">
        <v>139</v>
      </c>
      <c r="PF68" s="36" t="s">
        <v>139</v>
      </c>
      <c r="PG68" s="36" t="s">
        <v>139</v>
      </c>
      <c r="PH68" s="36" t="s">
        <v>139</v>
      </c>
      <c r="PI68" s="36" t="s">
        <v>139</v>
      </c>
      <c r="PJ68" s="36" t="s">
        <v>139</v>
      </c>
      <c r="PK68" s="36" t="s">
        <v>139</v>
      </c>
      <c r="PL68" s="36" t="s">
        <v>139</v>
      </c>
      <c r="PM68" s="36" t="s">
        <v>139</v>
      </c>
      <c r="PN68" s="36" t="s">
        <v>139</v>
      </c>
      <c r="PO68" s="74">
        <f>COUNTIFS($C$27:$PN$27,("&lt;"&amp;$B$3),$C$27:$PN$27,("&gt;="&amp;$B$2),$C68:$PN68,TabAsistencias[[#Headers],[1]])</f>
        <v>30</v>
      </c>
      <c r="PP68" s="74">
        <f>COUNTIFS($C$27:$PN$27,("&lt;"&amp;$B$3),$C$27:$PN$27,("&gt;="&amp;$B$2),$C68:$PN68,TabAsistencias[[#Headers],[E]])</f>
        <v>0</v>
      </c>
      <c r="PQ68" s="74">
        <f>COUNTIFS($C$27:$PN$27,("&lt;"&amp;$B$3),$C$27:$PN$27,("&gt;="&amp;$B$2),$C68:$PN68,TabAsistencias[[#Headers],[DE]])</f>
        <v>0</v>
      </c>
      <c r="PR68" s="74">
        <f>COUNTIFS($C$27:$PN$27,("&lt;"&amp;$B$3),$C$27:$PN$27,("&gt;="&amp;$B$2),$C68:$PN68,TabAsistencias[[#Headers],[V]])</f>
        <v>0</v>
      </c>
      <c r="PS68" s="74">
        <f>COUNTIFS($C$27:$PN$27,("&lt;"&amp;$B$3),$C$27:$PN$27,("&gt;="&amp;$B$2),$C68:$PN68,TabAsistencias[[#Headers],[DO]])</f>
        <v>0</v>
      </c>
      <c r="PT68" s="74">
        <f>COUNTIFS($C$27:$PN$27,("&lt;"&amp;$B$3),$C$27:$PN$27,("&gt;="&amp;$B$2),$C68:$PN68,TabAsistencias[[#Headers],[P]])</f>
        <v>0</v>
      </c>
      <c r="PU68" s="74">
        <f>COUNTIFS($C$27:$PN$27,("&lt;"&amp;$B$3),$C$27:$PN$27,("&gt;="&amp;$B$2),$C68:$PN68,TabAsistencias[[#Headers],[F]])</f>
        <v>0</v>
      </c>
      <c r="PV68" s="74">
        <f>COUNTIFS($C$27:$PN$27,("&lt;"&amp;$B$3),$C$27:$PN$27,("&gt;="&amp;$B$2),$C68:$PN68,TabAsistencias[[#Headers],[R]])</f>
        <v>0</v>
      </c>
      <c r="PW68" s="74">
        <f>COUNTIFS($C$27:$PN$27,("&lt;"&amp;$B$3),$C$27:$PN$27,("&gt;="&amp;$B$2),$C68:$PN68,TabAsistencias[[#Headers],[PP]])</f>
        <v>0</v>
      </c>
      <c r="PX68" s="74">
        <f>COUNTIFS($C$27:$PN$27,("&lt;"&amp;$B$3),$C$27:$PN$27,("&gt;="&amp;$B$2),$C68:$PN68,TabAsistencias[[#Headers],[0]])</f>
        <v>0</v>
      </c>
      <c r="PY68" s="74">
        <f>COUNTIFS($C$27:$PN$27,("&lt;"&amp;$B$3),$C$27:$PN$27,("&gt;="&amp;$B$2),$C68:$PN68,TabAsistencias[[#Headers],[IG]])</f>
        <v>0</v>
      </c>
      <c r="PZ68" s="74">
        <f>COUNTIFS($C$27:$PN$27,("&lt;"&amp;$B$3),$C$27:$PN$27,("&gt;="&amp;$B$2),$C68:$PN68,TabAsistencias[[#Headers],[NA]])</f>
        <v>0</v>
      </c>
      <c r="QA68" s="74">
        <f>COUNTIFS($C$27:$PN$27,("&lt;"&amp;$B$3),$C$27:$PN$27,("&gt;="&amp;$B$2),$C68:$PN68,TabAsistencias[[#Headers],[DF]])</f>
        <v>0</v>
      </c>
      <c r="QB68" s="74">
        <f>COUNTIFS($C$27:$PN$27,("&lt;"&amp;$B$3),$C$27:$PN$27,("&gt;="&amp;$B$2),$C68:$PN68,TabAsistencias[[#Headers],[3]])</f>
        <v>0</v>
      </c>
      <c r="QC68" s="74">
        <f>COUNTIFS($C$27:$PN$27,("&lt;"&amp;$B$3),$C$27:$PN$27,("&gt;="&amp;$B$2),$C68:$PN68,TabAsistencias[[#Headers],[CP]])</f>
        <v>0</v>
      </c>
      <c r="QD68" s="74">
        <f>COUNTIFS($C$27:$PN$27,("&lt;"&amp;$B$3),$C$27:$PN$27,("&gt;="&amp;$B$2),$C68:$PN68,TabAsistencias[[#Headers],[I]])</f>
        <v>0</v>
      </c>
      <c r="QE68" s="74">
        <f>COUNTIFS($C$27:$PN$27,("&lt;"&amp;$B$3),$C$27:$PN$27,("&gt;="&amp;$B$2),$C68:$PN68,TabAsistencias[[#Headers],[T/2]])</f>
        <v>0</v>
      </c>
      <c r="QF68" s="74">
        <f>COUNTIFS($C$27:$PN$27,("&lt;"&amp;$B$3),$C$27:$PN$27,("&gt;="&amp;$B$2),$C68:$PN68,TabAsistencias[[#Headers],[ME]])</f>
        <v>0</v>
      </c>
      <c r="QG68" s="74">
        <f>COUNTIFS($C$27:$PN$27,("&lt;"&amp;$B$3),$C$27:$PN$27,("&gt;="&amp;$B$2),$C68:$PN68,TabAsistencias[[#Headers],[DP]])</f>
        <v>0</v>
      </c>
      <c r="QH68" s="74">
        <f>COUNTIFS($C$27:$PN$27,("&lt;"&amp;$B$3),$C$27:$PN$27,("&gt;="&amp;$B$2),$C68:$PN68,TabAsistencias[[#Headers],[B]])</f>
        <v>0</v>
      </c>
      <c r="QI68" s="74">
        <f>(TabAsistencias[[#This Row],[1]]*'Tablas de informacion'!$C$124)+(TabAsistencias[[#This Row],[E]]*'Tablas de informacion'!$C$125)+(TabAsistencias[[#This Row],[DE]]*'Tablas de informacion'!C$126)+(TabAsistencias[[#This Row],[V]]*'Tablas de informacion'!C$127)+(TabAsistencias[[#This Row],[DO]]*'Tablas de informacion'!C$128)+(TabAsistencias[[#This Row],[P]]*'Tablas de informacion'!C$129)+(TabAsistencias[[#This Row],[F]]*'Tablas de informacion'!C$130)+(TabAsistencias[[#This Row],[R]]*'Tablas de informacion'!C$131)+(TabAsistencias[[#This Row],[PP]]*'Tablas de informacion'!C$132)+(TabAsistencias[[#This Row],[0]]*'Tablas de informacion'!C$133)+(TabAsistencias[[#This Row],[IG]]*'Tablas de informacion'!C$134)+(TabAsistencias[[#This Row],[NA]]*'Tablas de informacion'!C$135)+(TabAsistencias[[#This Row],[DF]]*'Tablas de informacion'!C$136)+(TabAsistencias[[#This Row],[3]]*'Tablas de informacion'!C$137)+(TabAsistencias[[#This Row],[CP]]*'Tablas de informacion'!C$138)+(TabAsistencias[[#This Row],[I]]*'Tablas de informacion'!C$139)+(TabAsistencias[[#This Row],[T/2]]*'Tablas de informacion'!C$140)+(TabAsistencias[[#This Row],[ME]]*'Tablas de informacion'!C$141)+(TabAsistencias[[#This Row],[DP]]*'Tablas de informacion'!C$142)+(TabAsistencias[[#This Row],[B]]*'Tablas de informacion'!C$143)-INT(TabAsistencias[[#This Row],[R]]/3)</f>
        <v>30</v>
      </c>
      <c r="QJ68" s="74">
        <f>COUNTIFS($C$27:$PN$27,("&lt;"&amp;$B$3),$C$27:$PN$27,("&gt;="&amp;$B$2),$C$28:$PN$28,1,$C68:$PN68,TabAsistencias[[#Headers],[1]])+
COUNTIFS($C$27:$PN$27,("&lt;"&amp;$B$3),$C$27:$PN$27,("&gt;="&amp;$B$2),$C$28:$PN$28,1,$C68:$PN68,TabAsistencias[[#Headers],[DO]])+
COUNTIFS($C$27:$PN$27,("&lt;"&amp;$B$3),$C$27:$PN$27,("&gt;="&amp;$B$2),$C$28:$PN$28,1,$C68:$PN68,TabAsistencias[[#Headers],[R]])+
COUNTIFS($C$27:$PN$27,("&lt;"&amp;$B$3),$C$27:$PN$27,("&gt;="&amp;$B$2),$C$28:$PN$28,1,$C68:$PN68,TabAsistencias[[#Headers],[NA]])+
COUNTIFS($C$27:$PN$27,("&lt;"&amp;$B$3),$C$27:$PN$27,("&gt;="&amp;$B$2),$C$28:$PN$28,1,$C68:$PN68,TabAsistencias[[#Headers],[DF]])+
COUNTIFS($C$27:$PN$27,("&lt;"&amp;$B$3),$C$27:$PN$27,("&gt;="&amp;$B$2),$C$28:$PN$28,1,$C68:$PN68,TabAsistencias[[#Headers],[3]])+
COUNTIFS($C$27:$PN$27,("&lt;"&amp;$B$3),$C$27:$PN$27,("&gt;="&amp;$B$2),$C$28:$PN$28,1,$C68:$PN68,TabAsistencias[[#Headers],[CP]])+
COUNTIFS($C$27:$PN$27,("&lt;"&amp;$B$3),$C$27:$PN$27,("&gt;="&amp;$B$2),$C$28:$PN$28,1,$C68:$PN68,TabAsistencias[[#Headers],[T/2]])</f>
        <v>4</v>
      </c>
      <c r="QK68" s="315" cm="1">
        <f t="array" ref="QK68">IFERROR(VLOOKUP(
DATEDIF((VLOOKUP(TabAsistencias[[#This Row],[ID]],TabEmpleados[],COLUMN(TabEmpleados[Fecha de ingreso]),FALSE)),Asistencias!$B$3,"Y"),
TabFactorIntegracion[],COLUMN(TabFactorIntegracion[Días vacacionales
establecidos por ley]),FALSE),0)
-
COUNTIF($AH68:$PN68,TabAsistencias[[#Headers],[V]])</f>
        <v>12</v>
      </c>
      <c r="QL68" s="319">
        <f>SUM(TabAsistencias[[#This Row],[''1]],TabAsistencias[[#This Row],[''DE]],TabAsistencias[[#This Row],[''DO]],TabAsistencias[[#This Row],[''R]],TabAsistencias[[#This Row],[''NA]],TabAsistencias[[#This Row],[''DF]],TabAsistencias[[#This Row],[''3]],TabAsistencias[[#This Row],[''CP]],TabAsistencias[[#This Row],[''T/2]],TabAsistencias[[#This Row],[''DP]])</f>
        <v>73</v>
      </c>
      <c r="QM68" s="314">
        <f>COUNTIFS($C$27:$PN$27,("&lt;"&amp;$B$5),$C$27:$PN$27,("&gt;="&amp;$B$4),$C68:$PN68,TabAsistencias[[#Headers],[1]])</f>
        <v>73</v>
      </c>
      <c r="QN68" s="314">
        <f>COUNTIFS($C$27:$PN$27,("&lt;"&amp;$B$5),$C$27:$PN$27,("&gt;="&amp;$B$4),$C68:$PN68,TabAsistencias[[#Headers],[DE]])</f>
        <v>0</v>
      </c>
      <c r="QO68" s="314">
        <f>COUNTIFS($C$27:$PN$27,("&lt;"&amp;$B$5),$C$27:$PN$27,("&gt;="&amp;$B$4),$C68:$PN68,TabAsistencias[[#Headers],[V]])</f>
        <v>0</v>
      </c>
      <c r="QP68" s="314">
        <f>COUNTIFS($C$27:$PN$27,("&lt;"&amp;$B$5),$C$27:$PN$27,("&gt;="&amp;$B$4),$C68:$PN68,TabAsistencias[[#Headers],[DO]])</f>
        <v>0</v>
      </c>
      <c r="QQ68" s="314">
        <f>COUNTIFS($C$27:$PN$27,("&lt;"&amp;$B$5),$C$27:$PN$27,("&gt;="&amp;$B$4),$C68:$PN68,TabAsistencias[[#Headers],[P]])</f>
        <v>0</v>
      </c>
      <c r="QR68" s="314">
        <f>COUNTIFS($C$27:$PN$27,("&lt;"&amp;$B$5),$C$27:$PN$27,("&gt;="&amp;$B$4),$C68:$PN68,TabAsistencias[[#Headers],[F]])</f>
        <v>0</v>
      </c>
      <c r="QS68" s="314">
        <f>COUNTIFS($C$27:$PN$27,("&lt;"&amp;$B$5),$C$27:$PN$27,("&gt;="&amp;$B$4),$C68:$PN68,TabAsistencias[[#Headers],[R]])</f>
        <v>0</v>
      </c>
      <c r="QT68" s="314">
        <f>COUNTIFS($C$27:$PN$27,("&lt;"&amp;$B$5),$C$27:$PN$27,("&gt;="&amp;$B$4),$C68:$PN68,TabAsistencias[[#Headers],[PP]])</f>
        <v>0</v>
      </c>
      <c r="QU68" s="314">
        <f>COUNTIFS($C$27:$PN$27,("&lt;"&amp;$B$5),$C$27:$PN$27,("&gt;="&amp;$B$4),$C68:$PN68,TabAsistencias[[#Headers],[0]])</f>
        <v>0</v>
      </c>
      <c r="QV68" s="314">
        <f>COUNTIFS($C$27:$PN$27,("&lt;"&amp;$B$5),$C$27:$PN$27,("&gt;="&amp;$B$4),$C68:$PN68,TabAsistencias[[#Headers],[IG]])</f>
        <v>0</v>
      </c>
      <c r="QW68" s="314">
        <f>COUNTIFS($C$27:$PN$27,("&lt;"&amp;$B$5),$C$27:$PN$27,("&gt;="&amp;$B$4),$C68:$PN68,TabAsistencias[[#Headers],[NA]])</f>
        <v>0</v>
      </c>
      <c r="QX68" s="314">
        <f>COUNTIFS($C$27:$PN$27,("&lt;"&amp;$B$5),$C$27:$PN$27,("&gt;="&amp;$B$4),$C68:$PN68,TabAsistencias[[#Headers],[DF]])</f>
        <v>0</v>
      </c>
      <c r="QY68" s="314">
        <f>COUNTIFS($C$27:$PN$27,("&lt;"&amp;$B$5),$C$27:$PN$27,("&gt;="&amp;$B$4),$C68:$PN68,TabAsistencias[[#Headers],[3]])</f>
        <v>0</v>
      </c>
      <c r="QZ68" s="314">
        <f>COUNTIFS($C$27:$PN$27,("&lt;"&amp;$B$5),$C$27:$PN$27,("&gt;="&amp;$B$4),$C68:$PN68,TabAsistencias[[#Headers],[CP]])</f>
        <v>0</v>
      </c>
      <c r="RA68" s="314">
        <f>COUNTIFS($C$27:$PN$27,("&lt;"&amp;$B$5),$C$27:$PN$27,("&gt;="&amp;$B$4),$C68:$PN68,TabAsistencias[[#Headers],[I]])</f>
        <v>0</v>
      </c>
      <c r="RB68" s="314">
        <f>COUNTIFS($C$27:$PN$27,("&lt;"&amp;$B$5),$C$27:$PN$27,("&gt;="&amp;$B$4),$C68:$PN68,TabAsistencias[[#Headers],[T/2]])</f>
        <v>0</v>
      </c>
      <c r="RC68" s="314">
        <f>COUNTIFS($C$27:$PN$27,("&lt;"&amp;$B$5),$C$27:$PN$27,("&gt;="&amp;$B$4),$C68:$PN68,TabAsistencias[[#Headers],[ME]])</f>
        <v>0</v>
      </c>
      <c r="RD68" s="314">
        <f>COUNTIFS($C$27:$PN$27,("&lt;"&amp;$B$5),$C$27:$PN$27,("&gt;="&amp;$B$4),$C68:$PN68,TabAsistencias[[#Headers],[DP]])</f>
        <v>0</v>
      </c>
      <c r="RE68" s="314">
        <f>COUNTIFS($C$27:$PN$27,("&lt;"&amp;$B$5),$C$27:$PN$27,("&gt;="&amp;$B$4),$C68:$PN68,TabAsistencias[[#Headers],[B]])</f>
        <v>0</v>
      </c>
      <c r="RF68" s="314">
        <f>COUNTIFS($C$27:$PN$27,("&lt;"&amp;$B$5),$C$27:$PN$27,("&gt;="&amp;$B$4),$C$28:$PN$28,1,$C68:$PN68,TabAsistencias[[#Headers],[1]])+
COUNTIFS($C$27:$PN$27,("&lt;"&amp;$B$5),$C$27:$PN$27,("&gt;="&amp;$B$4),$C$28:$PN$28,1,$C68:$PN68,TabAsistencias[[#Headers],[DO]])+
COUNTIFS($C$27:$PN$27,("&lt;"&amp;$B$5),$C$27:$PN$27,("&gt;="&amp;$B$4),$C$28:$PN$28,1,$C68:$PN68,TabAsistencias[[#Headers],[R]])+
COUNTIFS($C$27:$PN$27,("&lt;"&amp;$B$5),$C$27:$PN$27,("&gt;="&amp;$B$4),$C$28:$PN$28,1,$C68:$PN68,TabAsistencias[[#Headers],[NA]])+
COUNTIFS($C$27:$PN$27,("&lt;"&amp;$B$5),$C$27:$PN$27,("&gt;="&amp;$B$4),$C$28:$PN$28,1,$C68:$PN68,TabAsistencias[[#Headers],[DF]])+
COUNTIFS($C$27:$PN$27,("&lt;"&amp;$B$5),$C$27:$PN$27,("&gt;="&amp;$B$4),$C$28:$PN$28,1,$C68:$PN68,TabAsistencias[[#Headers],[3]])+
COUNTIFS($C$27:$PN$27,("&lt;"&amp;$B$5),$C$27:$PN$27,("&gt;="&amp;$B$4),$C$28:$PN$28,1,$C68:$PN68,TabAsistencias[[#Headers],[CP]])+
COUNTIFS($C$27:$PN$27,("&lt;"&amp;$B$5),$C$27:$PN$27,("&gt;="&amp;$B$4),$C$28:$PN$28,1,$C68:$PN68,TabAsistencias[[#Headers],[T/2]])</f>
        <v>11</v>
      </c>
      <c r="RG68" s="320" cm="1">
        <f t="array" ref="RG68">IFERROR(VLOOKUP(
DATEDIF((VLOOKUP(TabAsistencias[[#This Row],[ID]],TabEmpleados[],COLUMN(TabEmpleados[Fecha de alta NSS]),FALSE)),Asistencias!$B$3,"Y"),
TabFactorIntegracion[],COLUMN(TabFactorIntegracion[Días vacacionales
establecidos por ley]),FALSE),0)
-
COUNTIF($AH68:$PN68,TabAsistencias[[#Headers],[V]])</f>
        <v>12</v>
      </c>
    </row>
    <row r="69" spans="1:475" x14ac:dyDescent="0.25">
      <c r="A69" s="92">
        <f t="shared" si="434"/>
        <v>39</v>
      </c>
      <c r="B69" s="30" t="str" cm="1">
        <f t="array" ref="B69">VLOOKUP(TabAsistencias[[#This Row],[ID]],TabEmpleados[],COLUMN(TabEmpleados[Nombre]),FALSE)</f>
        <v>RAMIREZ SANTIAGO EDGAR ISAAC</v>
      </c>
      <c r="C69" s="36" t="s">
        <v>139</v>
      </c>
      <c r="D69" s="36" t="s">
        <v>139</v>
      </c>
      <c r="E69" s="36" t="s">
        <v>139</v>
      </c>
      <c r="F69" s="36" t="s">
        <v>139</v>
      </c>
      <c r="G69" s="36" t="s">
        <v>139</v>
      </c>
      <c r="H69" s="36" t="s">
        <v>139</v>
      </c>
      <c r="I69" s="36" t="s">
        <v>139</v>
      </c>
      <c r="J69" s="36" t="s">
        <v>139</v>
      </c>
      <c r="K69" s="36" t="s">
        <v>139</v>
      </c>
      <c r="L69" s="36" t="s">
        <v>139</v>
      </c>
      <c r="M69" s="36" t="s">
        <v>139</v>
      </c>
      <c r="N69" s="36" t="s">
        <v>139</v>
      </c>
      <c r="O69" s="36" t="s">
        <v>139</v>
      </c>
      <c r="P69" s="36" t="s">
        <v>139</v>
      </c>
      <c r="Q69" s="36" t="s">
        <v>139</v>
      </c>
      <c r="R69" s="36" t="s">
        <v>139</v>
      </c>
      <c r="S69" s="36" t="s">
        <v>139</v>
      </c>
      <c r="T69" s="36" t="s">
        <v>139</v>
      </c>
      <c r="U69" s="36" t="s">
        <v>139</v>
      </c>
      <c r="V69" s="36" t="s">
        <v>139</v>
      </c>
      <c r="W69" s="36" t="s">
        <v>139</v>
      </c>
      <c r="X69" s="36" t="s">
        <v>139</v>
      </c>
      <c r="Y69" s="36" t="s">
        <v>139</v>
      </c>
      <c r="Z69" s="36" t="s">
        <v>139</v>
      </c>
      <c r="AA69" s="36" t="s">
        <v>139</v>
      </c>
      <c r="AB69" s="36" t="s">
        <v>139</v>
      </c>
      <c r="AC69" s="36" t="s">
        <v>139</v>
      </c>
      <c r="AD69" s="36" t="s">
        <v>139</v>
      </c>
      <c r="AE69" s="36" t="s">
        <v>139</v>
      </c>
      <c r="AF69" s="36" t="s">
        <v>139</v>
      </c>
      <c r="AG69" s="36" t="s">
        <v>139</v>
      </c>
      <c r="AH69" s="36" t="s">
        <v>139</v>
      </c>
      <c r="AI69" s="36" t="s">
        <v>139</v>
      </c>
      <c r="AJ69" s="36" t="s">
        <v>139</v>
      </c>
      <c r="AK69" s="36" t="s">
        <v>139</v>
      </c>
      <c r="AL69" s="36" t="s">
        <v>139</v>
      </c>
      <c r="AM69" s="36" t="s">
        <v>139</v>
      </c>
      <c r="AN69" s="36" t="s">
        <v>139</v>
      </c>
      <c r="AO69" s="36" t="s">
        <v>139</v>
      </c>
      <c r="AP69" s="36" t="s">
        <v>139</v>
      </c>
      <c r="AQ69" s="36" t="s">
        <v>139</v>
      </c>
      <c r="AR69" s="36" t="s">
        <v>139</v>
      </c>
      <c r="AS69" s="36" t="s">
        <v>139</v>
      </c>
      <c r="AT69" s="36" t="s">
        <v>139</v>
      </c>
      <c r="AU69" s="36" t="s">
        <v>139</v>
      </c>
      <c r="AV69" s="36" t="s">
        <v>139</v>
      </c>
      <c r="AW69" s="36" t="s">
        <v>139</v>
      </c>
      <c r="AX69" s="36" t="s">
        <v>139</v>
      </c>
      <c r="AY69" s="36" t="s">
        <v>139</v>
      </c>
      <c r="AZ69" s="36" t="s">
        <v>139</v>
      </c>
      <c r="BA69" s="36" t="s">
        <v>139</v>
      </c>
      <c r="BB69" s="36" t="s">
        <v>139</v>
      </c>
      <c r="BC69" s="36" t="s">
        <v>139</v>
      </c>
      <c r="BD69" s="36" t="s">
        <v>139</v>
      </c>
      <c r="BE69" s="36" t="s">
        <v>139</v>
      </c>
      <c r="BF69" s="36" t="s">
        <v>139</v>
      </c>
      <c r="BG69" s="36" t="s">
        <v>139</v>
      </c>
      <c r="BH69" s="36" t="s">
        <v>139</v>
      </c>
      <c r="BI69" s="36" t="s">
        <v>139</v>
      </c>
      <c r="BJ69" s="36" t="s">
        <v>139</v>
      </c>
      <c r="BK69" s="36" t="s">
        <v>139</v>
      </c>
      <c r="BL69" s="36" t="s">
        <v>139</v>
      </c>
      <c r="BM69" s="36" t="s">
        <v>139</v>
      </c>
      <c r="BN69" s="36" t="s">
        <v>139</v>
      </c>
      <c r="BO69" s="36" t="s">
        <v>139</v>
      </c>
      <c r="BP69" s="36" t="s">
        <v>139</v>
      </c>
      <c r="BQ69" s="36" t="s">
        <v>139</v>
      </c>
      <c r="BR69" s="36" t="s">
        <v>139</v>
      </c>
      <c r="BS69" s="36" t="s">
        <v>139</v>
      </c>
      <c r="BT69" s="36" t="s">
        <v>139</v>
      </c>
      <c r="BU69" s="36" t="s">
        <v>139</v>
      </c>
      <c r="BV69" s="36" t="s">
        <v>139</v>
      </c>
      <c r="BW69" s="36" t="s">
        <v>139</v>
      </c>
      <c r="BX69" s="36" t="s">
        <v>139</v>
      </c>
      <c r="BY69" s="36" t="s">
        <v>139</v>
      </c>
      <c r="BZ69" s="36" t="s">
        <v>139</v>
      </c>
      <c r="CA69" s="36" t="s">
        <v>139</v>
      </c>
      <c r="CB69" s="36" t="s">
        <v>139</v>
      </c>
      <c r="CC69" s="36" t="s">
        <v>139</v>
      </c>
      <c r="CD69" s="36" t="s">
        <v>139</v>
      </c>
      <c r="CE69" s="36" t="s">
        <v>139</v>
      </c>
      <c r="CF69" s="36" t="s">
        <v>139</v>
      </c>
      <c r="CG69" s="36" t="s">
        <v>139</v>
      </c>
      <c r="CH69" s="36" t="s">
        <v>139</v>
      </c>
      <c r="CI69" s="36" t="s">
        <v>139</v>
      </c>
      <c r="CJ69" s="36" t="s">
        <v>139</v>
      </c>
      <c r="CK69" s="36" t="s">
        <v>139</v>
      </c>
      <c r="CL69" s="36" t="s">
        <v>139</v>
      </c>
      <c r="CM69" s="36" t="s">
        <v>139</v>
      </c>
      <c r="CN69" s="36" t="s">
        <v>139</v>
      </c>
      <c r="CO69" s="36" t="s">
        <v>139</v>
      </c>
      <c r="CP69" s="36" t="s">
        <v>139</v>
      </c>
      <c r="CQ69" s="36" t="s">
        <v>139</v>
      </c>
      <c r="CR69" s="36" t="s">
        <v>139</v>
      </c>
      <c r="CS69" s="36" t="s">
        <v>139</v>
      </c>
      <c r="CT69" s="36" t="s">
        <v>139</v>
      </c>
      <c r="CU69" s="36" t="s">
        <v>139</v>
      </c>
      <c r="CV69" s="36" t="s">
        <v>139</v>
      </c>
      <c r="CW69" s="36" t="s">
        <v>139</v>
      </c>
      <c r="CX69" s="36" t="s">
        <v>139</v>
      </c>
      <c r="CY69" s="36" t="s">
        <v>139</v>
      </c>
      <c r="CZ69" s="36" t="s">
        <v>139</v>
      </c>
      <c r="DA69" s="36" t="s">
        <v>139</v>
      </c>
      <c r="DB69" s="36" t="s">
        <v>139</v>
      </c>
      <c r="DC69" s="36" t="s">
        <v>139</v>
      </c>
      <c r="DD69" s="36" t="s">
        <v>139</v>
      </c>
      <c r="DE69" s="36" t="s">
        <v>139</v>
      </c>
      <c r="DF69" s="36" t="s">
        <v>139</v>
      </c>
      <c r="DG69" s="36" t="s">
        <v>139</v>
      </c>
      <c r="DH69" s="36" t="s">
        <v>139</v>
      </c>
      <c r="DI69" s="36" t="s">
        <v>139</v>
      </c>
      <c r="DJ69" s="36" t="s">
        <v>139</v>
      </c>
      <c r="DK69" s="36" t="s">
        <v>139</v>
      </c>
      <c r="DL69" s="36" t="s">
        <v>139</v>
      </c>
      <c r="DM69" s="36" t="s">
        <v>139</v>
      </c>
      <c r="DN69" s="36" t="s">
        <v>139</v>
      </c>
      <c r="DO69" s="36" t="s">
        <v>139</v>
      </c>
      <c r="DP69" s="36" t="s">
        <v>139</v>
      </c>
      <c r="DQ69" s="36" t="s">
        <v>139</v>
      </c>
      <c r="DR69" s="36" t="s">
        <v>139</v>
      </c>
      <c r="DS69" s="36" t="s">
        <v>139</v>
      </c>
      <c r="DT69" s="36" t="s">
        <v>139</v>
      </c>
      <c r="DU69" s="36" t="s">
        <v>139</v>
      </c>
      <c r="DV69" s="36" t="s">
        <v>139</v>
      </c>
      <c r="DW69" s="36" t="s">
        <v>139</v>
      </c>
      <c r="DX69" s="36" t="s">
        <v>139</v>
      </c>
      <c r="DY69" s="36" t="s">
        <v>139</v>
      </c>
      <c r="DZ69" s="36" t="s">
        <v>139</v>
      </c>
      <c r="EA69" s="36" t="s">
        <v>139</v>
      </c>
      <c r="EB69" s="36" t="s">
        <v>139</v>
      </c>
      <c r="EC69" s="36" t="s">
        <v>139</v>
      </c>
      <c r="ED69" s="36" t="s">
        <v>139</v>
      </c>
      <c r="EE69" s="36" t="s">
        <v>139</v>
      </c>
      <c r="EF69" s="36" t="s">
        <v>139</v>
      </c>
      <c r="EG69" s="36" t="s">
        <v>139</v>
      </c>
      <c r="EH69" s="36" t="s">
        <v>139</v>
      </c>
      <c r="EI69" s="36" t="s">
        <v>139</v>
      </c>
      <c r="EJ69" s="36" t="s">
        <v>139</v>
      </c>
      <c r="EK69" s="36" t="s">
        <v>139</v>
      </c>
      <c r="EL69" s="36" t="s">
        <v>139</v>
      </c>
      <c r="EM69" s="36" t="s">
        <v>139</v>
      </c>
      <c r="EN69" s="36" t="s">
        <v>139</v>
      </c>
      <c r="EO69" s="36" t="s">
        <v>139</v>
      </c>
      <c r="EP69" s="36" t="s">
        <v>139</v>
      </c>
      <c r="EQ69" s="36" t="s">
        <v>139</v>
      </c>
      <c r="ER69" s="36" t="s">
        <v>139</v>
      </c>
      <c r="ES69" s="36" t="s">
        <v>139</v>
      </c>
      <c r="ET69" s="36" t="s">
        <v>139</v>
      </c>
      <c r="EU69" s="36" t="s">
        <v>139</v>
      </c>
      <c r="EV69" s="36" t="s">
        <v>139</v>
      </c>
      <c r="EW69" s="36" t="s">
        <v>139</v>
      </c>
      <c r="EX69" s="36" t="s">
        <v>139</v>
      </c>
      <c r="EY69" s="36" t="s">
        <v>139</v>
      </c>
      <c r="EZ69" s="36" t="s">
        <v>139</v>
      </c>
      <c r="FA69" s="36" t="s">
        <v>139</v>
      </c>
      <c r="FB69" s="36" t="s">
        <v>139</v>
      </c>
      <c r="FC69" s="36" t="s">
        <v>139</v>
      </c>
      <c r="FD69" s="36" t="s">
        <v>139</v>
      </c>
      <c r="FE69" s="36" t="s">
        <v>139</v>
      </c>
      <c r="FF69" s="36" t="s">
        <v>139</v>
      </c>
      <c r="FG69" s="36" t="s">
        <v>139</v>
      </c>
      <c r="FH69" s="36" t="s">
        <v>139</v>
      </c>
      <c r="FI69" s="36" t="s">
        <v>139</v>
      </c>
      <c r="FJ69" s="36" t="s">
        <v>139</v>
      </c>
      <c r="FK69" s="36" t="s">
        <v>139</v>
      </c>
      <c r="FL69" s="36" t="s">
        <v>139</v>
      </c>
      <c r="FM69" s="36" t="s">
        <v>139</v>
      </c>
      <c r="FN69" s="36" t="s">
        <v>139</v>
      </c>
      <c r="FO69" s="36" t="s">
        <v>139</v>
      </c>
      <c r="FP69" s="36" t="s">
        <v>139</v>
      </c>
      <c r="FQ69" s="36" t="s">
        <v>139</v>
      </c>
      <c r="FR69" s="36" t="s">
        <v>139</v>
      </c>
      <c r="FS69" s="36" t="s">
        <v>139</v>
      </c>
      <c r="FT69" s="36" t="s">
        <v>139</v>
      </c>
      <c r="FU69" s="36" t="s">
        <v>139</v>
      </c>
      <c r="FV69" s="36" t="s">
        <v>139</v>
      </c>
      <c r="FW69" s="36" t="s">
        <v>139</v>
      </c>
      <c r="FX69" s="36" t="s">
        <v>139</v>
      </c>
      <c r="FY69" s="36" t="s">
        <v>139</v>
      </c>
      <c r="FZ69" s="36" t="s">
        <v>139</v>
      </c>
      <c r="GA69" s="36" t="s">
        <v>139</v>
      </c>
      <c r="GB69" s="36" t="s">
        <v>139</v>
      </c>
      <c r="GC69" s="36" t="s">
        <v>139</v>
      </c>
      <c r="GD69" s="36" t="s">
        <v>139</v>
      </c>
      <c r="GE69" s="36" t="s">
        <v>139</v>
      </c>
      <c r="GF69" s="36" t="s">
        <v>139</v>
      </c>
      <c r="GG69" s="36" t="s">
        <v>139</v>
      </c>
      <c r="GH69" s="36" t="s">
        <v>139</v>
      </c>
      <c r="GI69" s="36" t="s">
        <v>139</v>
      </c>
      <c r="GJ69" s="36" t="s">
        <v>139</v>
      </c>
      <c r="GK69" s="36" t="s">
        <v>139</v>
      </c>
      <c r="GL69" s="36" t="s">
        <v>139</v>
      </c>
      <c r="GM69" s="36" t="s">
        <v>139</v>
      </c>
      <c r="GN69" s="36" t="s">
        <v>139</v>
      </c>
      <c r="GO69" s="36" t="s">
        <v>139</v>
      </c>
      <c r="GP69" s="36" t="s">
        <v>139</v>
      </c>
      <c r="GQ69" s="36" t="s">
        <v>139</v>
      </c>
      <c r="GR69" s="36" t="s">
        <v>139</v>
      </c>
      <c r="GS69" s="36" t="s">
        <v>139</v>
      </c>
      <c r="GT69" s="36" t="s">
        <v>139</v>
      </c>
      <c r="GU69" s="36" t="s">
        <v>139</v>
      </c>
      <c r="GV69" s="36" t="s">
        <v>139</v>
      </c>
      <c r="GW69" s="36" t="s">
        <v>139</v>
      </c>
      <c r="GX69" s="36" t="s">
        <v>139</v>
      </c>
      <c r="GY69" s="36" t="s">
        <v>139</v>
      </c>
      <c r="GZ69" s="36" t="s">
        <v>139</v>
      </c>
      <c r="HA69" s="36" t="s">
        <v>139</v>
      </c>
      <c r="HB69" s="36" t="s">
        <v>139</v>
      </c>
      <c r="HC69" s="36" t="s">
        <v>139</v>
      </c>
      <c r="HD69" s="36" t="s">
        <v>139</v>
      </c>
      <c r="HE69" s="36" t="s">
        <v>139</v>
      </c>
      <c r="HF69" s="36" t="s">
        <v>139</v>
      </c>
      <c r="HG69" s="36" t="s">
        <v>139</v>
      </c>
      <c r="HH69" s="36" t="s">
        <v>139</v>
      </c>
      <c r="HI69" s="36" t="s">
        <v>139</v>
      </c>
      <c r="HJ69" s="36" t="s">
        <v>139</v>
      </c>
      <c r="HK69" s="36" t="s">
        <v>139</v>
      </c>
      <c r="HL69" s="36" t="s">
        <v>139</v>
      </c>
      <c r="HM69" s="36" t="s">
        <v>139</v>
      </c>
      <c r="HN69" s="36" t="s">
        <v>139</v>
      </c>
      <c r="HO69" s="36" t="s">
        <v>139</v>
      </c>
      <c r="HP69" s="36" t="s">
        <v>139</v>
      </c>
      <c r="HQ69" s="36" t="s">
        <v>139</v>
      </c>
      <c r="HR69" s="36" t="s">
        <v>139</v>
      </c>
      <c r="HS69" s="36" t="s">
        <v>139</v>
      </c>
      <c r="HT69" s="36" t="s">
        <v>139</v>
      </c>
      <c r="HU69" s="36" t="s">
        <v>139</v>
      </c>
      <c r="HV69" s="36" t="s">
        <v>139</v>
      </c>
      <c r="HW69" s="36" t="s">
        <v>139</v>
      </c>
      <c r="HX69" s="36" t="s">
        <v>139</v>
      </c>
      <c r="HY69" s="36" t="s">
        <v>139</v>
      </c>
      <c r="HZ69" s="36" t="s">
        <v>139</v>
      </c>
      <c r="IA69" s="36" t="s">
        <v>139</v>
      </c>
      <c r="IB69" s="36" t="s">
        <v>139</v>
      </c>
      <c r="IC69" s="36" t="s">
        <v>139</v>
      </c>
      <c r="ID69" s="36" t="s">
        <v>139</v>
      </c>
      <c r="IE69" s="36" t="s">
        <v>139</v>
      </c>
      <c r="IF69" s="36" t="s">
        <v>139</v>
      </c>
      <c r="IG69" s="36" t="s">
        <v>139</v>
      </c>
      <c r="IH69" s="36" t="s">
        <v>139</v>
      </c>
      <c r="II69" s="36" t="s">
        <v>139</v>
      </c>
      <c r="IJ69" s="36" t="s">
        <v>139</v>
      </c>
      <c r="IK69" s="36" t="s">
        <v>139</v>
      </c>
      <c r="IL69" s="36" t="s">
        <v>139</v>
      </c>
      <c r="IM69" s="36" t="s">
        <v>139</v>
      </c>
      <c r="IN69" s="36" t="s">
        <v>139</v>
      </c>
      <c r="IO69" s="36" t="s">
        <v>139</v>
      </c>
      <c r="IP69" s="36" t="s">
        <v>139</v>
      </c>
      <c r="IQ69" s="36" t="s">
        <v>139</v>
      </c>
      <c r="IR69" s="36" t="s">
        <v>139</v>
      </c>
      <c r="IS69" s="36" t="s">
        <v>139</v>
      </c>
      <c r="IT69" s="36" t="s">
        <v>139</v>
      </c>
      <c r="IU69" s="36" t="s">
        <v>139</v>
      </c>
      <c r="IV69" s="36" t="s">
        <v>139</v>
      </c>
      <c r="IW69" s="36" t="s">
        <v>139</v>
      </c>
      <c r="IX69" s="36" t="s">
        <v>139</v>
      </c>
      <c r="IY69" s="36" t="s">
        <v>139</v>
      </c>
      <c r="IZ69" s="36" t="s">
        <v>139</v>
      </c>
      <c r="JA69" s="36" t="s">
        <v>139</v>
      </c>
      <c r="JB69" s="36" t="s">
        <v>139</v>
      </c>
      <c r="JC69" s="36" t="s">
        <v>139</v>
      </c>
      <c r="JD69" s="36" t="s">
        <v>139</v>
      </c>
      <c r="JE69" s="36" t="s">
        <v>139</v>
      </c>
      <c r="JF69" s="36" t="s">
        <v>139</v>
      </c>
      <c r="JG69" s="36" t="s">
        <v>139</v>
      </c>
      <c r="JH69" s="36" t="s">
        <v>139</v>
      </c>
      <c r="JI69" s="36" t="s">
        <v>139</v>
      </c>
      <c r="JJ69" s="36" t="s">
        <v>139</v>
      </c>
      <c r="JK69" s="36" t="s">
        <v>139</v>
      </c>
      <c r="JL69" s="36" t="s">
        <v>139</v>
      </c>
      <c r="JM69" s="36" t="s">
        <v>139</v>
      </c>
      <c r="JN69" s="36" t="s">
        <v>139</v>
      </c>
      <c r="JO69" s="36" t="s">
        <v>139</v>
      </c>
      <c r="JP69" s="36" t="s">
        <v>139</v>
      </c>
      <c r="JQ69" s="36" t="s">
        <v>139</v>
      </c>
      <c r="JR69" s="36" t="s">
        <v>139</v>
      </c>
      <c r="JS69" s="36" t="s">
        <v>139</v>
      </c>
      <c r="JT69" s="36" t="s">
        <v>139</v>
      </c>
      <c r="JU69" s="36" t="s">
        <v>139</v>
      </c>
      <c r="JV69" s="36" t="s">
        <v>139</v>
      </c>
      <c r="JW69" s="36" t="s">
        <v>139</v>
      </c>
      <c r="JX69" s="36" t="s">
        <v>139</v>
      </c>
      <c r="JY69" s="36" t="s">
        <v>139</v>
      </c>
      <c r="JZ69" s="36" t="s">
        <v>139</v>
      </c>
      <c r="KA69" s="36" t="s">
        <v>139</v>
      </c>
      <c r="KB69" s="36" t="s">
        <v>139</v>
      </c>
      <c r="KC69" s="36" t="s">
        <v>139</v>
      </c>
      <c r="KD69" s="36" t="s">
        <v>139</v>
      </c>
      <c r="KE69" s="36" t="s">
        <v>139</v>
      </c>
      <c r="KF69" s="36" t="s">
        <v>139</v>
      </c>
      <c r="KG69" s="36" t="s">
        <v>139</v>
      </c>
      <c r="KH69" s="36" t="s">
        <v>139</v>
      </c>
      <c r="KI69" s="36" t="s">
        <v>139</v>
      </c>
      <c r="KJ69" s="36" t="s">
        <v>139</v>
      </c>
      <c r="KK69" s="36" t="s">
        <v>139</v>
      </c>
      <c r="KL69" s="36" t="s">
        <v>139</v>
      </c>
      <c r="KM69" s="36" t="s">
        <v>139</v>
      </c>
      <c r="KN69" s="36" t="s">
        <v>139</v>
      </c>
      <c r="KO69" s="36" t="s">
        <v>139</v>
      </c>
      <c r="KP69" s="36" t="s">
        <v>139</v>
      </c>
      <c r="KQ69" s="36" t="s">
        <v>139</v>
      </c>
      <c r="KR69" s="36" t="s">
        <v>139</v>
      </c>
      <c r="KS69" s="36" t="s">
        <v>139</v>
      </c>
      <c r="KT69" s="36" t="s">
        <v>139</v>
      </c>
      <c r="KU69" s="36" t="s">
        <v>139</v>
      </c>
      <c r="KV69" s="36" t="s">
        <v>139</v>
      </c>
      <c r="KW69" s="36" t="s">
        <v>139</v>
      </c>
      <c r="KX69" s="36" t="s">
        <v>139</v>
      </c>
      <c r="KY69" s="36" t="s">
        <v>139</v>
      </c>
      <c r="KZ69" s="36" t="s">
        <v>139</v>
      </c>
      <c r="LA69" s="36" t="s">
        <v>139</v>
      </c>
      <c r="LB69" s="36" t="s">
        <v>139</v>
      </c>
      <c r="LC69" s="36" t="s">
        <v>139</v>
      </c>
      <c r="LD69" s="36" t="s">
        <v>139</v>
      </c>
      <c r="LE69" s="36" t="s">
        <v>139</v>
      </c>
      <c r="LF69" s="36" t="s">
        <v>139</v>
      </c>
      <c r="LG69" s="36" t="s">
        <v>139</v>
      </c>
      <c r="LH69" s="36" t="s">
        <v>139</v>
      </c>
      <c r="LI69" s="36" t="s">
        <v>139</v>
      </c>
      <c r="LJ69" s="36" t="s">
        <v>139</v>
      </c>
      <c r="LK69" s="36" t="s">
        <v>139</v>
      </c>
      <c r="LL69" s="36" t="s">
        <v>139</v>
      </c>
      <c r="LM69" s="36" t="s">
        <v>139</v>
      </c>
      <c r="LN69" s="36" t="s">
        <v>139</v>
      </c>
      <c r="LO69" s="36" t="s">
        <v>139</v>
      </c>
      <c r="LP69" s="36" t="s">
        <v>139</v>
      </c>
      <c r="LQ69" s="36" t="s">
        <v>139</v>
      </c>
      <c r="LR69" s="36" t="s">
        <v>139</v>
      </c>
      <c r="LS69" s="36" t="s">
        <v>139</v>
      </c>
      <c r="LT69" s="36" t="s">
        <v>139</v>
      </c>
      <c r="LU69" s="36" t="s">
        <v>139</v>
      </c>
      <c r="LV69" s="36" t="s">
        <v>139</v>
      </c>
      <c r="LW69" s="36" t="s">
        <v>139</v>
      </c>
      <c r="LX69" s="36" t="s">
        <v>139</v>
      </c>
      <c r="LY69" s="36" t="s">
        <v>139</v>
      </c>
      <c r="LZ69" s="36" t="s">
        <v>139</v>
      </c>
      <c r="MA69" s="36" t="s">
        <v>139</v>
      </c>
      <c r="MB69" s="36" t="s">
        <v>139</v>
      </c>
      <c r="MC69" s="36" t="s">
        <v>139</v>
      </c>
      <c r="MD69" s="36" t="s">
        <v>139</v>
      </c>
      <c r="ME69" s="36" t="s">
        <v>139</v>
      </c>
      <c r="MF69" s="36" t="s">
        <v>139</v>
      </c>
      <c r="MG69" s="36" t="s">
        <v>139</v>
      </c>
      <c r="MH69" s="36" t="s">
        <v>139</v>
      </c>
      <c r="MI69" s="36" t="s">
        <v>139</v>
      </c>
      <c r="MJ69" s="36" t="s">
        <v>139</v>
      </c>
      <c r="MK69" s="36" t="s">
        <v>139</v>
      </c>
      <c r="ML69" s="36" t="s">
        <v>139</v>
      </c>
      <c r="MM69" s="36" t="s">
        <v>139</v>
      </c>
      <c r="MN69" s="36" t="s">
        <v>139</v>
      </c>
      <c r="MO69" s="36" t="s">
        <v>139</v>
      </c>
      <c r="MP69" s="36" t="s">
        <v>139</v>
      </c>
      <c r="MQ69" s="36" t="s">
        <v>139</v>
      </c>
      <c r="MR69" s="36" t="s">
        <v>139</v>
      </c>
      <c r="MS69" s="36" t="s">
        <v>139</v>
      </c>
      <c r="MT69" s="36" t="s">
        <v>139</v>
      </c>
      <c r="MU69" s="36" t="s">
        <v>139</v>
      </c>
      <c r="MV69" s="36" t="s">
        <v>139</v>
      </c>
      <c r="MW69" s="36" t="s">
        <v>139</v>
      </c>
      <c r="MX69" s="36" t="s">
        <v>139</v>
      </c>
      <c r="MY69" s="36" t="s">
        <v>139</v>
      </c>
      <c r="MZ69" s="36" t="s">
        <v>139</v>
      </c>
      <c r="NA69" s="36" t="s">
        <v>139</v>
      </c>
      <c r="NB69" s="36" t="s">
        <v>139</v>
      </c>
      <c r="NC69" s="36" t="s">
        <v>139</v>
      </c>
      <c r="ND69" s="36" t="s">
        <v>139</v>
      </c>
      <c r="NE69" s="36" t="s">
        <v>139</v>
      </c>
      <c r="NF69" s="36" t="s">
        <v>139</v>
      </c>
      <c r="NG69" s="36" t="s">
        <v>139</v>
      </c>
      <c r="NH69" s="36" t="s">
        <v>139</v>
      </c>
      <c r="NI69" s="36" t="s">
        <v>139</v>
      </c>
      <c r="NJ69" s="36" t="s">
        <v>139</v>
      </c>
      <c r="NK69" s="36" t="s">
        <v>139</v>
      </c>
      <c r="NL69" s="36" t="s">
        <v>139</v>
      </c>
      <c r="NM69" s="36" t="s">
        <v>139</v>
      </c>
      <c r="NN69" s="36" t="s">
        <v>139</v>
      </c>
      <c r="NO69" s="36" t="s">
        <v>139</v>
      </c>
      <c r="NP69" s="36" t="s">
        <v>139</v>
      </c>
      <c r="NQ69" s="36" t="s">
        <v>139</v>
      </c>
      <c r="NR69" s="36" t="s">
        <v>139</v>
      </c>
      <c r="NS69" s="36" t="s">
        <v>139</v>
      </c>
      <c r="NT69" s="36" t="s">
        <v>139</v>
      </c>
      <c r="NU69" s="36" t="s">
        <v>139</v>
      </c>
      <c r="NV69" s="36" t="s">
        <v>139</v>
      </c>
      <c r="NW69" s="36" t="s">
        <v>139</v>
      </c>
      <c r="NX69" s="36" t="s">
        <v>139</v>
      </c>
      <c r="NY69" s="36" t="s">
        <v>139</v>
      </c>
      <c r="NZ69" s="36" t="s">
        <v>139</v>
      </c>
      <c r="OA69" s="36" t="s">
        <v>139</v>
      </c>
      <c r="OB69" s="36" t="s">
        <v>139</v>
      </c>
      <c r="OC69" s="36" t="s">
        <v>139</v>
      </c>
      <c r="OD69" s="36" t="s">
        <v>139</v>
      </c>
      <c r="OE69" s="36" t="s">
        <v>139</v>
      </c>
      <c r="OF69" s="36" t="s">
        <v>139</v>
      </c>
      <c r="OG69" s="36" t="s">
        <v>139</v>
      </c>
      <c r="OH69" s="36" t="s">
        <v>139</v>
      </c>
      <c r="OI69" s="36" t="s">
        <v>139</v>
      </c>
      <c r="OJ69" s="36" t="s">
        <v>139</v>
      </c>
      <c r="OK69" s="36" t="s">
        <v>139</v>
      </c>
      <c r="OL69" s="36" t="s">
        <v>139</v>
      </c>
      <c r="OM69" s="36" t="s">
        <v>139</v>
      </c>
      <c r="ON69" s="36" t="s">
        <v>139</v>
      </c>
      <c r="OO69" s="36" t="s">
        <v>139</v>
      </c>
      <c r="OP69" s="36" t="s">
        <v>139</v>
      </c>
      <c r="OQ69" s="36" t="s">
        <v>139</v>
      </c>
      <c r="OR69" s="36" t="s">
        <v>139</v>
      </c>
      <c r="OS69" s="36" t="s">
        <v>139</v>
      </c>
      <c r="OT69" s="36" t="s">
        <v>139</v>
      </c>
      <c r="OU69" s="36" t="s">
        <v>139</v>
      </c>
      <c r="OV69" s="36" t="s">
        <v>139</v>
      </c>
      <c r="OW69" s="36" t="s">
        <v>139</v>
      </c>
      <c r="OX69" s="36" t="s">
        <v>139</v>
      </c>
      <c r="OY69" s="36" t="s">
        <v>139</v>
      </c>
      <c r="OZ69" s="36" t="s">
        <v>139</v>
      </c>
      <c r="PA69" s="36" t="s">
        <v>139</v>
      </c>
      <c r="PB69" s="36" t="s">
        <v>139</v>
      </c>
      <c r="PC69" s="36" t="s">
        <v>139</v>
      </c>
      <c r="PD69" s="36" t="s">
        <v>139</v>
      </c>
      <c r="PE69" s="36" t="s">
        <v>139</v>
      </c>
      <c r="PF69" s="36" t="s">
        <v>139</v>
      </c>
      <c r="PG69" s="36" t="s">
        <v>139</v>
      </c>
      <c r="PH69" s="36" t="s">
        <v>139</v>
      </c>
      <c r="PI69" s="36" t="s">
        <v>139</v>
      </c>
      <c r="PJ69" s="36" t="s">
        <v>139</v>
      </c>
      <c r="PK69" s="36" t="s">
        <v>139</v>
      </c>
      <c r="PL69" s="36" t="s">
        <v>139</v>
      </c>
      <c r="PM69" s="36" t="s">
        <v>139</v>
      </c>
      <c r="PN69" s="36" t="s">
        <v>139</v>
      </c>
      <c r="PO69" s="74">
        <f>COUNTIFS($C$27:$PN$27,("&lt;"&amp;$B$3),$C$27:$PN$27,("&gt;="&amp;$B$2),$C69:$PN69,TabAsistencias[[#Headers],[1]])</f>
        <v>30</v>
      </c>
      <c r="PP69" s="74">
        <f>COUNTIFS($C$27:$PN$27,("&lt;"&amp;$B$3),$C$27:$PN$27,("&gt;="&amp;$B$2),$C69:$PN69,TabAsistencias[[#Headers],[E]])</f>
        <v>0</v>
      </c>
      <c r="PQ69" s="74">
        <f>COUNTIFS($C$27:$PN$27,("&lt;"&amp;$B$3),$C$27:$PN$27,("&gt;="&amp;$B$2),$C69:$PN69,TabAsistencias[[#Headers],[DE]])</f>
        <v>0</v>
      </c>
      <c r="PR69" s="74">
        <f>COUNTIFS($C$27:$PN$27,("&lt;"&amp;$B$3),$C$27:$PN$27,("&gt;="&amp;$B$2),$C69:$PN69,TabAsistencias[[#Headers],[V]])</f>
        <v>0</v>
      </c>
      <c r="PS69" s="74">
        <f>COUNTIFS($C$27:$PN$27,("&lt;"&amp;$B$3),$C$27:$PN$27,("&gt;="&amp;$B$2),$C69:$PN69,TabAsistencias[[#Headers],[DO]])</f>
        <v>0</v>
      </c>
      <c r="PT69" s="74">
        <f>COUNTIFS($C$27:$PN$27,("&lt;"&amp;$B$3),$C$27:$PN$27,("&gt;="&amp;$B$2),$C69:$PN69,TabAsistencias[[#Headers],[P]])</f>
        <v>0</v>
      </c>
      <c r="PU69" s="74">
        <f>COUNTIFS($C$27:$PN$27,("&lt;"&amp;$B$3),$C$27:$PN$27,("&gt;="&amp;$B$2),$C69:$PN69,TabAsistencias[[#Headers],[F]])</f>
        <v>0</v>
      </c>
      <c r="PV69" s="74">
        <f>COUNTIFS($C$27:$PN$27,("&lt;"&amp;$B$3),$C$27:$PN$27,("&gt;="&amp;$B$2),$C69:$PN69,TabAsistencias[[#Headers],[R]])</f>
        <v>0</v>
      </c>
      <c r="PW69" s="74">
        <f>COUNTIFS($C$27:$PN$27,("&lt;"&amp;$B$3),$C$27:$PN$27,("&gt;="&amp;$B$2),$C69:$PN69,TabAsistencias[[#Headers],[PP]])</f>
        <v>0</v>
      </c>
      <c r="PX69" s="74">
        <f>COUNTIFS($C$27:$PN$27,("&lt;"&amp;$B$3),$C$27:$PN$27,("&gt;="&amp;$B$2),$C69:$PN69,TabAsistencias[[#Headers],[0]])</f>
        <v>0</v>
      </c>
      <c r="PY69" s="74">
        <f>COUNTIFS($C$27:$PN$27,("&lt;"&amp;$B$3),$C$27:$PN$27,("&gt;="&amp;$B$2),$C69:$PN69,TabAsistencias[[#Headers],[IG]])</f>
        <v>0</v>
      </c>
      <c r="PZ69" s="74">
        <f>COUNTIFS($C$27:$PN$27,("&lt;"&amp;$B$3),$C$27:$PN$27,("&gt;="&amp;$B$2),$C69:$PN69,TabAsistencias[[#Headers],[NA]])</f>
        <v>0</v>
      </c>
      <c r="QA69" s="74">
        <f>COUNTIFS($C$27:$PN$27,("&lt;"&amp;$B$3),$C$27:$PN$27,("&gt;="&amp;$B$2),$C69:$PN69,TabAsistencias[[#Headers],[DF]])</f>
        <v>0</v>
      </c>
      <c r="QB69" s="74">
        <f>COUNTIFS($C$27:$PN$27,("&lt;"&amp;$B$3),$C$27:$PN$27,("&gt;="&amp;$B$2),$C69:$PN69,TabAsistencias[[#Headers],[3]])</f>
        <v>0</v>
      </c>
      <c r="QC69" s="74">
        <f>COUNTIFS($C$27:$PN$27,("&lt;"&amp;$B$3),$C$27:$PN$27,("&gt;="&amp;$B$2),$C69:$PN69,TabAsistencias[[#Headers],[CP]])</f>
        <v>0</v>
      </c>
      <c r="QD69" s="74">
        <f>COUNTIFS($C$27:$PN$27,("&lt;"&amp;$B$3),$C$27:$PN$27,("&gt;="&amp;$B$2),$C69:$PN69,TabAsistencias[[#Headers],[I]])</f>
        <v>0</v>
      </c>
      <c r="QE69" s="74">
        <f>COUNTIFS($C$27:$PN$27,("&lt;"&amp;$B$3),$C$27:$PN$27,("&gt;="&amp;$B$2),$C69:$PN69,TabAsistencias[[#Headers],[T/2]])</f>
        <v>0</v>
      </c>
      <c r="QF69" s="74">
        <f>COUNTIFS($C$27:$PN$27,("&lt;"&amp;$B$3),$C$27:$PN$27,("&gt;="&amp;$B$2),$C69:$PN69,TabAsistencias[[#Headers],[ME]])</f>
        <v>0</v>
      </c>
      <c r="QG69" s="74">
        <f>COUNTIFS($C$27:$PN$27,("&lt;"&amp;$B$3),$C$27:$PN$27,("&gt;="&amp;$B$2),$C69:$PN69,TabAsistencias[[#Headers],[DP]])</f>
        <v>0</v>
      </c>
      <c r="QH69" s="74">
        <f>COUNTIFS($C$27:$PN$27,("&lt;"&amp;$B$3),$C$27:$PN$27,("&gt;="&amp;$B$2),$C69:$PN69,TabAsistencias[[#Headers],[B]])</f>
        <v>0</v>
      </c>
      <c r="QI69" s="74">
        <f>(TabAsistencias[[#This Row],[1]]*'Tablas de informacion'!$C$124)+(TabAsistencias[[#This Row],[E]]*'Tablas de informacion'!$C$125)+(TabAsistencias[[#This Row],[DE]]*'Tablas de informacion'!C$126)+(TabAsistencias[[#This Row],[V]]*'Tablas de informacion'!C$127)+(TabAsistencias[[#This Row],[DO]]*'Tablas de informacion'!C$128)+(TabAsistencias[[#This Row],[P]]*'Tablas de informacion'!C$129)+(TabAsistencias[[#This Row],[F]]*'Tablas de informacion'!C$130)+(TabAsistencias[[#This Row],[R]]*'Tablas de informacion'!C$131)+(TabAsistencias[[#This Row],[PP]]*'Tablas de informacion'!C$132)+(TabAsistencias[[#This Row],[0]]*'Tablas de informacion'!C$133)+(TabAsistencias[[#This Row],[IG]]*'Tablas de informacion'!C$134)+(TabAsistencias[[#This Row],[NA]]*'Tablas de informacion'!C$135)+(TabAsistencias[[#This Row],[DF]]*'Tablas de informacion'!C$136)+(TabAsistencias[[#This Row],[3]]*'Tablas de informacion'!C$137)+(TabAsistencias[[#This Row],[CP]]*'Tablas de informacion'!C$138)+(TabAsistencias[[#This Row],[I]]*'Tablas de informacion'!C$139)+(TabAsistencias[[#This Row],[T/2]]*'Tablas de informacion'!C$140)+(TabAsistencias[[#This Row],[ME]]*'Tablas de informacion'!C$141)+(TabAsistencias[[#This Row],[DP]]*'Tablas de informacion'!C$142)+(TabAsistencias[[#This Row],[B]]*'Tablas de informacion'!C$143)-INT(TabAsistencias[[#This Row],[R]]/3)</f>
        <v>30</v>
      </c>
      <c r="QJ69" s="74">
        <f>COUNTIFS($C$27:$PN$27,("&lt;"&amp;$B$3),$C$27:$PN$27,("&gt;="&amp;$B$2),$C$28:$PN$28,1,$C69:$PN69,TabAsistencias[[#Headers],[1]])+
COUNTIFS($C$27:$PN$27,("&lt;"&amp;$B$3),$C$27:$PN$27,("&gt;="&amp;$B$2),$C$28:$PN$28,1,$C69:$PN69,TabAsistencias[[#Headers],[DO]])+
COUNTIFS($C$27:$PN$27,("&lt;"&amp;$B$3),$C$27:$PN$27,("&gt;="&amp;$B$2),$C$28:$PN$28,1,$C69:$PN69,TabAsistencias[[#Headers],[R]])+
COUNTIFS($C$27:$PN$27,("&lt;"&amp;$B$3),$C$27:$PN$27,("&gt;="&amp;$B$2),$C$28:$PN$28,1,$C69:$PN69,TabAsistencias[[#Headers],[NA]])+
COUNTIFS($C$27:$PN$27,("&lt;"&amp;$B$3),$C$27:$PN$27,("&gt;="&amp;$B$2),$C$28:$PN$28,1,$C69:$PN69,TabAsistencias[[#Headers],[DF]])+
COUNTIFS($C$27:$PN$27,("&lt;"&amp;$B$3),$C$27:$PN$27,("&gt;="&amp;$B$2),$C$28:$PN$28,1,$C69:$PN69,TabAsistencias[[#Headers],[3]])+
COUNTIFS($C$27:$PN$27,("&lt;"&amp;$B$3),$C$27:$PN$27,("&gt;="&amp;$B$2),$C$28:$PN$28,1,$C69:$PN69,TabAsistencias[[#Headers],[CP]])+
COUNTIFS($C$27:$PN$27,("&lt;"&amp;$B$3),$C$27:$PN$27,("&gt;="&amp;$B$2),$C$28:$PN$28,1,$C69:$PN69,TabAsistencias[[#Headers],[T/2]])</f>
        <v>4</v>
      </c>
      <c r="QK69" s="315" cm="1">
        <f t="array" ref="QK69">IFERROR(VLOOKUP(
DATEDIF((VLOOKUP(TabAsistencias[[#This Row],[ID]],TabEmpleados[],COLUMN(TabEmpleados[Fecha de ingreso]),FALSE)),Asistencias!$B$3,"Y"),
TabFactorIntegracion[],COLUMN(TabFactorIntegracion[Días vacacionales
establecidos por ley]),FALSE),0)
-
COUNTIF($AH69:$PN69,TabAsistencias[[#Headers],[V]])</f>
        <v>12</v>
      </c>
      <c r="QL69" s="319">
        <f>SUM(TabAsistencias[[#This Row],[''1]],TabAsistencias[[#This Row],[''DE]],TabAsistencias[[#This Row],[''DO]],TabAsistencias[[#This Row],[''R]],TabAsistencias[[#This Row],[''NA]],TabAsistencias[[#This Row],[''DF]],TabAsistencias[[#This Row],[''3]],TabAsistencias[[#This Row],[''CP]],TabAsistencias[[#This Row],[''T/2]],TabAsistencias[[#This Row],[''DP]])</f>
        <v>73</v>
      </c>
      <c r="QM69" s="314">
        <f>COUNTIFS($C$27:$PN$27,("&lt;"&amp;$B$5),$C$27:$PN$27,("&gt;="&amp;$B$4),$C69:$PN69,TabAsistencias[[#Headers],[1]])</f>
        <v>73</v>
      </c>
      <c r="QN69" s="314">
        <f>COUNTIFS($C$27:$PN$27,("&lt;"&amp;$B$5),$C$27:$PN$27,("&gt;="&amp;$B$4),$C69:$PN69,TabAsistencias[[#Headers],[DE]])</f>
        <v>0</v>
      </c>
      <c r="QO69" s="314">
        <f>COUNTIFS($C$27:$PN$27,("&lt;"&amp;$B$5),$C$27:$PN$27,("&gt;="&amp;$B$4),$C69:$PN69,TabAsistencias[[#Headers],[V]])</f>
        <v>0</v>
      </c>
      <c r="QP69" s="314">
        <f>COUNTIFS($C$27:$PN$27,("&lt;"&amp;$B$5),$C$27:$PN$27,("&gt;="&amp;$B$4),$C69:$PN69,TabAsistencias[[#Headers],[DO]])</f>
        <v>0</v>
      </c>
      <c r="QQ69" s="314">
        <f>COUNTIFS($C$27:$PN$27,("&lt;"&amp;$B$5),$C$27:$PN$27,("&gt;="&amp;$B$4),$C69:$PN69,TabAsistencias[[#Headers],[P]])</f>
        <v>0</v>
      </c>
      <c r="QR69" s="314">
        <f>COUNTIFS($C$27:$PN$27,("&lt;"&amp;$B$5),$C$27:$PN$27,("&gt;="&amp;$B$4),$C69:$PN69,TabAsistencias[[#Headers],[F]])</f>
        <v>0</v>
      </c>
      <c r="QS69" s="314">
        <f>COUNTIFS($C$27:$PN$27,("&lt;"&amp;$B$5),$C$27:$PN$27,("&gt;="&amp;$B$4),$C69:$PN69,TabAsistencias[[#Headers],[R]])</f>
        <v>0</v>
      </c>
      <c r="QT69" s="314">
        <f>COUNTIFS($C$27:$PN$27,("&lt;"&amp;$B$5),$C$27:$PN$27,("&gt;="&amp;$B$4),$C69:$PN69,TabAsistencias[[#Headers],[PP]])</f>
        <v>0</v>
      </c>
      <c r="QU69" s="314">
        <f>COUNTIFS($C$27:$PN$27,("&lt;"&amp;$B$5),$C$27:$PN$27,("&gt;="&amp;$B$4),$C69:$PN69,TabAsistencias[[#Headers],[0]])</f>
        <v>0</v>
      </c>
      <c r="QV69" s="314">
        <f>COUNTIFS($C$27:$PN$27,("&lt;"&amp;$B$5),$C$27:$PN$27,("&gt;="&amp;$B$4),$C69:$PN69,TabAsistencias[[#Headers],[IG]])</f>
        <v>0</v>
      </c>
      <c r="QW69" s="314">
        <f>COUNTIFS($C$27:$PN$27,("&lt;"&amp;$B$5),$C$27:$PN$27,("&gt;="&amp;$B$4),$C69:$PN69,TabAsistencias[[#Headers],[NA]])</f>
        <v>0</v>
      </c>
      <c r="QX69" s="314">
        <f>COUNTIFS($C$27:$PN$27,("&lt;"&amp;$B$5),$C$27:$PN$27,("&gt;="&amp;$B$4),$C69:$PN69,TabAsistencias[[#Headers],[DF]])</f>
        <v>0</v>
      </c>
      <c r="QY69" s="314">
        <f>COUNTIFS($C$27:$PN$27,("&lt;"&amp;$B$5),$C$27:$PN$27,("&gt;="&amp;$B$4),$C69:$PN69,TabAsistencias[[#Headers],[3]])</f>
        <v>0</v>
      </c>
      <c r="QZ69" s="314">
        <f>COUNTIFS($C$27:$PN$27,("&lt;"&amp;$B$5),$C$27:$PN$27,("&gt;="&amp;$B$4),$C69:$PN69,TabAsistencias[[#Headers],[CP]])</f>
        <v>0</v>
      </c>
      <c r="RA69" s="314">
        <f>COUNTIFS($C$27:$PN$27,("&lt;"&amp;$B$5),$C$27:$PN$27,("&gt;="&amp;$B$4),$C69:$PN69,TabAsistencias[[#Headers],[I]])</f>
        <v>0</v>
      </c>
      <c r="RB69" s="314">
        <f>COUNTIFS($C$27:$PN$27,("&lt;"&amp;$B$5),$C$27:$PN$27,("&gt;="&amp;$B$4),$C69:$PN69,TabAsistencias[[#Headers],[T/2]])</f>
        <v>0</v>
      </c>
      <c r="RC69" s="314">
        <f>COUNTIFS($C$27:$PN$27,("&lt;"&amp;$B$5),$C$27:$PN$27,("&gt;="&amp;$B$4),$C69:$PN69,TabAsistencias[[#Headers],[ME]])</f>
        <v>0</v>
      </c>
      <c r="RD69" s="314">
        <f>COUNTIFS($C$27:$PN$27,("&lt;"&amp;$B$5),$C$27:$PN$27,("&gt;="&amp;$B$4),$C69:$PN69,TabAsistencias[[#Headers],[DP]])</f>
        <v>0</v>
      </c>
      <c r="RE69" s="314">
        <f>COUNTIFS($C$27:$PN$27,("&lt;"&amp;$B$5),$C$27:$PN$27,("&gt;="&amp;$B$4),$C69:$PN69,TabAsistencias[[#Headers],[B]])</f>
        <v>0</v>
      </c>
      <c r="RF69" s="314">
        <f>COUNTIFS($C$27:$PN$27,("&lt;"&amp;$B$5),$C$27:$PN$27,("&gt;="&amp;$B$4),$C$28:$PN$28,1,$C69:$PN69,TabAsistencias[[#Headers],[1]])+
COUNTIFS($C$27:$PN$27,("&lt;"&amp;$B$5),$C$27:$PN$27,("&gt;="&amp;$B$4),$C$28:$PN$28,1,$C69:$PN69,TabAsistencias[[#Headers],[DO]])+
COUNTIFS($C$27:$PN$27,("&lt;"&amp;$B$5),$C$27:$PN$27,("&gt;="&amp;$B$4),$C$28:$PN$28,1,$C69:$PN69,TabAsistencias[[#Headers],[R]])+
COUNTIFS($C$27:$PN$27,("&lt;"&amp;$B$5),$C$27:$PN$27,("&gt;="&amp;$B$4),$C$28:$PN$28,1,$C69:$PN69,TabAsistencias[[#Headers],[NA]])+
COUNTIFS($C$27:$PN$27,("&lt;"&amp;$B$5),$C$27:$PN$27,("&gt;="&amp;$B$4),$C$28:$PN$28,1,$C69:$PN69,TabAsistencias[[#Headers],[DF]])+
COUNTIFS($C$27:$PN$27,("&lt;"&amp;$B$5),$C$27:$PN$27,("&gt;="&amp;$B$4),$C$28:$PN$28,1,$C69:$PN69,TabAsistencias[[#Headers],[3]])+
COUNTIFS($C$27:$PN$27,("&lt;"&amp;$B$5),$C$27:$PN$27,("&gt;="&amp;$B$4),$C$28:$PN$28,1,$C69:$PN69,TabAsistencias[[#Headers],[CP]])+
COUNTIFS($C$27:$PN$27,("&lt;"&amp;$B$5),$C$27:$PN$27,("&gt;="&amp;$B$4),$C$28:$PN$28,1,$C69:$PN69,TabAsistencias[[#Headers],[T/2]])</f>
        <v>11</v>
      </c>
      <c r="RG69" s="320" cm="1">
        <f t="array" ref="RG69">IFERROR(VLOOKUP(
DATEDIF((VLOOKUP(TabAsistencias[[#This Row],[ID]],TabEmpleados[],COLUMN(TabEmpleados[Fecha de alta NSS]),FALSE)),Asistencias!$B$3,"Y"),
TabFactorIntegracion[],COLUMN(TabFactorIntegracion[Días vacacionales
establecidos por ley]),FALSE),0)
-
COUNTIF($AH69:$PN69,TabAsistencias[[#Headers],[V]])</f>
        <v>12</v>
      </c>
    </row>
    <row r="70" spans="1:475" x14ac:dyDescent="0.25">
      <c r="A70" s="92">
        <f t="shared" si="434"/>
        <v>40</v>
      </c>
      <c r="B70" s="30" t="str" cm="1">
        <f t="array" ref="B70">VLOOKUP(TabAsistencias[[#This Row],[ID]],TabEmpleados[],COLUMN(TabEmpleados[Nombre]),FALSE)</f>
        <v>FLORES SANTIAGO PEDRO</v>
      </c>
      <c r="C70" s="36" t="s">
        <v>139</v>
      </c>
      <c r="D70" s="36" t="s">
        <v>139</v>
      </c>
      <c r="E70" s="36" t="s">
        <v>139</v>
      </c>
      <c r="F70" s="36" t="s">
        <v>139</v>
      </c>
      <c r="G70" s="36" t="s">
        <v>139</v>
      </c>
      <c r="H70" s="36" t="s">
        <v>139</v>
      </c>
      <c r="I70" s="36" t="s">
        <v>139</v>
      </c>
      <c r="J70" s="36" t="s">
        <v>139</v>
      </c>
      <c r="K70" s="36" t="s">
        <v>139</v>
      </c>
      <c r="L70" s="36" t="s">
        <v>139</v>
      </c>
      <c r="M70" s="36" t="s">
        <v>139</v>
      </c>
      <c r="N70" s="36" t="s">
        <v>139</v>
      </c>
      <c r="O70" s="36" t="s">
        <v>139</v>
      </c>
      <c r="P70" s="36" t="s">
        <v>139</v>
      </c>
      <c r="Q70" s="36" t="s">
        <v>139</v>
      </c>
      <c r="R70" s="36" t="s">
        <v>139</v>
      </c>
      <c r="S70" s="36" t="s">
        <v>139</v>
      </c>
      <c r="T70" s="36" t="s">
        <v>139</v>
      </c>
      <c r="U70" s="36" t="s">
        <v>139</v>
      </c>
      <c r="V70" s="36" t="s">
        <v>139</v>
      </c>
      <c r="W70" s="36" t="s">
        <v>139</v>
      </c>
      <c r="X70" s="36" t="s">
        <v>139</v>
      </c>
      <c r="Y70" s="36" t="s">
        <v>139</v>
      </c>
      <c r="Z70" s="36" t="s">
        <v>139</v>
      </c>
      <c r="AA70" s="36" t="s">
        <v>139</v>
      </c>
      <c r="AB70" s="36" t="s">
        <v>139</v>
      </c>
      <c r="AC70" s="36" t="s">
        <v>139</v>
      </c>
      <c r="AD70" s="36" t="s">
        <v>139</v>
      </c>
      <c r="AE70" s="36" t="s">
        <v>139</v>
      </c>
      <c r="AF70" s="36" t="s">
        <v>139</v>
      </c>
      <c r="AG70" s="36" t="s">
        <v>139</v>
      </c>
      <c r="AH70" s="36" t="s">
        <v>139</v>
      </c>
      <c r="AI70" s="36" t="s">
        <v>139</v>
      </c>
      <c r="AJ70" s="36" t="s">
        <v>139</v>
      </c>
      <c r="AK70" s="36" t="s">
        <v>139</v>
      </c>
      <c r="AL70" s="36" t="s">
        <v>139</v>
      </c>
      <c r="AM70" s="36" t="s">
        <v>139</v>
      </c>
      <c r="AN70" s="36" t="s">
        <v>139</v>
      </c>
      <c r="AO70" s="36" t="s">
        <v>139</v>
      </c>
      <c r="AP70" s="36" t="s">
        <v>139</v>
      </c>
      <c r="AQ70" s="36" t="s">
        <v>139</v>
      </c>
      <c r="AR70" s="36" t="s">
        <v>139</v>
      </c>
      <c r="AS70" s="36" t="s">
        <v>139</v>
      </c>
      <c r="AT70" s="36" t="s">
        <v>139</v>
      </c>
      <c r="AU70" s="36" t="s">
        <v>139</v>
      </c>
      <c r="AV70" s="36" t="s">
        <v>139</v>
      </c>
      <c r="AW70" s="36" t="s">
        <v>139</v>
      </c>
      <c r="AX70" s="36" t="s">
        <v>139</v>
      </c>
      <c r="AY70" s="36" t="s">
        <v>139</v>
      </c>
      <c r="AZ70" s="36" t="s">
        <v>139</v>
      </c>
      <c r="BA70" s="36" t="s">
        <v>139</v>
      </c>
      <c r="BB70" s="36" t="s">
        <v>139</v>
      </c>
      <c r="BC70" s="36" t="s">
        <v>139</v>
      </c>
      <c r="BD70" s="36" t="s">
        <v>139</v>
      </c>
      <c r="BE70" s="36" t="s">
        <v>139</v>
      </c>
      <c r="BF70" s="36" t="s">
        <v>139</v>
      </c>
      <c r="BG70" s="36" t="s">
        <v>139</v>
      </c>
      <c r="BH70" s="36" t="s">
        <v>139</v>
      </c>
      <c r="BI70" s="36" t="s">
        <v>139</v>
      </c>
      <c r="BJ70" s="36" t="s">
        <v>139</v>
      </c>
      <c r="BK70" s="36" t="s">
        <v>139</v>
      </c>
      <c r="BL70" s="36" t="s">
        <v>139</v>
      </c>
      <c r="BM70" s="36" t="s">
        <v>139</v>
      </c>
      <c r="BN70" s="36" t="s">
        <v>139</v>
      </c>
      <c r="BO70" s="36" t="s">
        <v>139</v>
      </c>
      <c r="BP70" s="36" t="s">
        <v>139</v>
      </c>
      <c r="BQ70" s="36" t="s">
        <v>139</v>
      </c>
      <c r="BR70" s="36" t="s">
        <v>139</v>
      </c>
      <c r="BS70" s="36" t="s">
        <v>139</v>
      </c>
      <c r="BT70" s="36" t="s">
        <v>139</v>
      </c>
      <c r="BU70" s="36" t="s">
        <v>139</v>
      </c>
      <c r="BV70" s="36" t="s">
        <v>139</v>
      </c>
      <c r="BW70" s="36" t="s">
        <v>139</v>
      </c>
      <c r="BX70" s="36" t="s">
        <v>139</v>
      </c>
      <c r="BY70" s="36" t="s">
        <v>139</v>
      </c>
      <c r="BZ70" s="36" t="s">
        <v>139</v>
      </c>
      <c r="CA70" s="36" t="s">
        <v>139</v>
      </c>
      <c r="CB70" s="36" t="s">
        <v>139</v>
      </c>
      <c r="CC70" s="36" t="s">
        <v>139</v>
      </c>
      <c r="CD70" s="36" t="s">
        <v>139</v>
      </c>
      <c r="CE70" s="36" t="s">
        <v>139</v>
      </c>
      <c r="CF70" s="36" t="s">
        <v>139</v>
      </c>
      <c r="CG70" s="36" t="s">
        <v>139</v>
      </c>
      <c r="CH70" s="36" t="s">
        <v>139</v>
      </c>
      <c r="CI70" s="36" t="s">
        <v>139</v>
      </c>
      <c r="CJ70" s="36" t="s">
        <v>139</v>
      </c>
      <c r="CK70" s="36" t="s">
        <v>139</v>
      </c>
      <c r="CL70" s="36" t="s">
        <v>139</v>
      </c>
      <c r="CM70" s="36" t="s">
        <v>139</v>
      </c>
      <c r="CN70" s="36" t="s">
        <v>139</v>
      </c>
      <c r="CO70" s="36" t="s">
        <v>139</v>
      </c>
      <c r="CP70" s="36" t="s">
        <v>139</v>
      </c>
      <c r="CQ70" s="36" t="s">
        <v>139</v>
      </c>
      <c r="CR70" s="36" t="s">
        <v>139</v>
      </c>
      <c r="CS70" s="36" t="s">
        <v>139</v>
      </c>
      <c r="CT70" s="36" t="s">
        <v>139</v>
      </c>
      <c r="CU70" s="36" t="s">
        <v>139</v>
      </c>
      <c r="CV70" s="36" t="s">
        <v>139</v>
      </c>
      <c r="CW70" s="36" t="s">
        <v>139</v>
      </c>
      <c r="CX70" s="36" t="s">
        <v>139</v>
      </c>
      <c r="CY70" s="36" t="s">
        <v>139</v>
      </c>
      <c r="CZ70" s="36" t="s">
        <v>139</v>
      </c>
      <c r="DA70" s="36" t="s">
        <v>139</v>
      </c>
      <c r="DB70" s="36" t="s">
        <v>139</v>
      </c>
      <c r="DC70" s="36" t="s">
        <v>139</v>
      </c>
      <c r="DD70" s="36" t="s">
        <v>139</v>
      </c>
      <c r="DE70" s="36" t="s">
        <v>139</v>
      </c>
      <c r="DF70" s="36" t="s">
        <v>139</v>
      </c>
      <c r="DG70" s="36" t="s">
        <v>139</v>
      </c>
      <c r="DH70" s="36" t="s">
        <v>139</v>
      </c>
      <c r="DI70" s="36" t="s">
        <v>139</v>
      </c>
      <c r="DJ70" s="36" t="s">
        <v>139</v>
      </c>
      <c r="DK70" s="36" t="s">
        <v>139</v>
      </c>
      <c r="DL70" s="36" t="s">
        <v>139</v>
      </c>
      <c r="DM70" s="36" t="s">
        <v>139</v>
      </c>
      <c r="DN70" s="36" t="s">
        <v>139</v>
      </c>
      <c r="DO70" s="36" t="s">
        <v>139</v>
      </c>
      <c r="DP70" s="36" t="s">
        <v>139</v>
      </c>
      <c r="DQ70" s="36" t="s">
        <v>139</v>
      </c>
      <c r="DR70" s="36" t="s">
        <v>139</v>
      </c>
      <c r="DS70" s="36" t="s">
        <v>139</v>
      </c>
      <c r="DT70" s="36" t="s">
        <v>139</v>
      </c>
      <c r="DU70" s="36" t="s">
        <v>139</v>
      </c>
      <c r="DV70" s="36" t="s">
        <v>139</v>
      </c>
      <c r="DW70" s="36" t="s">
        <v>139</v>
      </c>
      <c r="DX70" s="36" t="s">
        <v>139</v>
      </c>
      <c r="DY70" s="36" t="s">
        <v>139</v>
      </c>
      <c r="DZ70" s="36" t="s">
        <v>139</v>
      </c>
      <c r="EA70" s="36" t="s">
        <v>139</v>
      </c>
      <c r="EB70" s="36" t="s">
        <v>139</v>
      </c>
      <c r="EC70" s="36" t="s">
        <v>139</v>
      </c>
      <c r="ED70" s="36" t="s">
        <v>139</v>
      </c>
      <c r="EE70" s="36" t="s">
        <v>139</v>
      </c>
      <c r="EF70" s="36" t="s">
        <v>139</v>
      </c>
      <c r="EG70" s="36" t="s">
        <v>139</v>
      </c>
      <c r="EH70" s="36" t="s">
        <v>139</v>
      </c>
      <c r="EI70" s="36" t="s">
        <v>139</v>
      </c>
      <c r="EJ70" s="36" t="s">
        <v>139</v>
      </c>
      <c r="EK70" s="36" t="s">
        <v>139</v>
      </c>
      <c r="EL70" s="36" t="s">
        <v>139</v>
      </c>
      <c r="EM70" s="36" t="s">
        <v>139</v>
      </c>
      <c r="EN70" s="36" t="s">
        <v>139</v>
      </c>
      <c r="EO70" s="36" t="s">
        <v>139</v>
      </c>
      <c r="EP70" s="36" t="s">
        <v>139</v>
      </c>
      <c r="EQ70" s="36" t="s">
        <v>139</v>
      </c>
      <c r="ER70" s="36" t="s">
        <v>139</v>
      </c>
      <c r="ES70" s="36" t="s">
        <v>139</v>
      </c>
      <c r="ET70" s="36" t="s">
        <v>139</v>
      </c>
      <c r="EU70" s="36" t="s">
        <v>139</v>
      </c>
      <c r="EV70" s="36" t="s">
        <v>139</v>
      </c>
      <c r="EW70" s="36" t="s">
        <v>139</v>
      </c>
      <c r="EX70" s="36" t="s">
        <v>139</v>
      </c>
      <c r="EY70" s="36" t="s">
        <v>139</v>
      </c>
      <c r="EZ70" s="36" t="s">
        <v>139</v>
      </c>
      <c r="FA70" s="36" t="s">
        <v>139</v>
      </c>
      <c r="FB70" s="36" t="s">
        <v>139</v>
      </c>
      <c r="FC70" s="36" t="s">
        <v>139</v>
      </c>
      <c r="FD70" s="36" t="s">
        <v>139</v>
      </c>
      <c r="FE70" s="36" t="s">
        <v>139</v>
      </c>
      <c r="FF70" s="36" t="s">
        <v>139</v>
      </c>
      <c r="FG70" s="36" t="s">
        <v>139</v>
      </c>
      <c r="FH70" s="36" t="s">
        <v>139</v>
      </c>
      <c r="FI70" s="36" t="s">
        <v>139</v>
      </c>
      <c r="FJ70" s="36" t="s">
        <v>139</v>
      </c>
      <c r="FK70" s="36" t="s">
        <v>139</v>
      </c>
      <c r="FL70" s="36" t="s">
        <v>139</v>
      </c>
      <c r="FM70" s="36" t="s">
        <v>139</v>
      </c>
      <c r="FN70" s="36" t="s">
        <v>139</v>
      </c>
      <c r="FO70" s="36" t="s">
        <v>139</v>
      </c>
      <c r="FP70" s="36" t="s">
        <v>139</v>
      </c>
      <c r="FQ70" s="36" t="s">
        <v>139</v>
      </c>
      <c r="FR70" s="36" t="s">
        <v>139</v>
      </c>
      <c r="FS70" s="36" t="s">
        <v>139</v>
      </c>
      <c r="FT70" s="36" t="s">
        <v>139</v>
      </c>
      <c r="FU70" s="36" t="s">
        <v>139</v>
      </c>
      <c r="FV70" s="36" t="s">
        <v>139</v>
      </c>
      <c r="FW70" s="36" t="s">
        <v>139</v>
      </c>
      <c r="FX70" s="36" t="s">
        <v>139</v>
      </c>
      <c r="FY70" s="36" t="s">
        <v>139</v>
      </c>
      <c r="FZ70" s="36" t="s">
        <v>139</v>
      </c>
      <c r="GA70" s="36" t="s">
        <v>139</v>
      </c>
      <c r="GB70" s="36" t="s">
        <v>139</v>
      </c>
      <c r="GC70" s="36" t="s">
        <v>139</v>
      </c>
      <c r="GD70" s="36" t="s">
        <v>139</v>
      </c>
      <c r="GE70" s="36" t="s">
        <v>139</v>
      </c>
      <c r="GF70" s="36" t="s">
        <v>139</v>
      </c>
      <c r="GG70" s="36" t="s">
        <v>139</v>
      </c>
      <c r="GH70" s="36" t="s">
        <v>139</v>
      </c>
      <c r="GI70" s="36" t="s">
        <v>139</v>
      </c>
      <c r="GJ70" s="36" t="s">
        <v>139</v>
      </c>
      <c r="GK70" s="36" t="s">
        <v>139</v>
      </c>
      <c r="GL70" s="36" t="s">
        <v>139</v>
      </c>
      <c r="GM70" s="36" t="s">
        <v>139</v>
      </c>
      <c r="GN70" s="36" t="s">
        <v>139</v>
      </c>
      <c r="GO70" s="36" t="s">
        <v>139</v>
      </c>
      <c r="GP70" s="36" t="s">
        <v>139</v>
      </c>
      <c r="GQ70" s="36" t="s">
        <v>139</v>
      </c>
      <c r="GR70" s="36" t="s">
        <v>139</v>
      </c>
      <c r="GS70" s="36" t="s">
        <v>139</v>
      </c>
      <c r="GT70" s="36" t="s">
        <v>139</v>
      </c>
      <c r="GU70" s="36" t="s">
        <v>139</v>
      </c>
      <c r="GV70" s="36" t="s">
        <v>139</v>
      </c>
      <c r="GW70" s="36" t="s">
        <v>139</v>
      </c>
      <c r="GX70" s="36" t="s">
        <v>139</v>
      </c>
      <c r="GY70" s="36" t="s">
        <v>139</v>
      </c>
      <c r="GZ70" s="36" t="s">
        <v>139</v>
      </c>
      <c r="HA70" s="36" t="s">
        <v>139</v>
      </c>
      <c r="HB70" s="36" t="s">
        <v>139</v>
      </c>
      <c r="HC70" s="36" t="s">
        <v>139</v>
      </c>
      <c r="HD70" s="36" t="s">
        <v>139</v>
      </c>
      <c r="HE70" s="36" t="s">
        <v>139</v>
      </c>
      <c r="HF70" s="36" t="s">
        <v>139</v>
      </c>
      <c r="HG70" s="36" t="s">
        <v>139</v>
      </c>
      <c r="HH70" s="36" t="s">
        <v>139</v>
      </c>
      <c r="HI70" s="36" t="s">
        <v>139</v>
      </c>
      <c r="HJ70" s="36" t="s">
        <v>139</v>
      </c>
      <c r="HK70" s="36" t="s">
        <v>139</v>
      </c>
      <c r="HL70" s="36" t="s">
        <v>139</v>
      </c>
      <c r="HM70" s="36" t="s">
        <v>139</v>
      </c>
      <c r="HN70" s="36" t="s">
        <v>139</v>
      </c>
      <c r="HO70" s="36" t="s">
        <v>139</v>
      </c>
      <c r="HP70" s="36" t="s">
        <v>139</v>
      </c>
      <c r="HQ70" s="36" t="s">
        <v>139</v>
      </c>
      <c r="HR70" s="36" t="s">
        <v>139</v>
      </c>
      <c r="HS70" s="36" t="s">
        <v>139</v>
      </c>
      <c r="HT70" s="36" t="s">
        <v>139</v>
      </c>
      <c r="HU70" s="36" t="s">
        <v>139</v>
      </c>
      <c r="HV70" s="36" t="s">
        <v>139</v>
      </c>
      <c r="HW70" s="36" t="s">
        <v>139</v>
      </c>
      <c r="HX70" s="36" t="s">
        <v>139</v>
      </c>
      <c r="HY70" s="36" t="s">
        <v>139</v>
      </c>
      <c r="HZ70" s="36" t="s">
        <v>139</v>
      </c>
      <c r="IA70" s="36" t="s">
        <v>139</v>
      </c>
      <c r="IB70" s="36" t="s">
        <v>139</v>
      </c>
      <c r="IC70" s="36" t="s">
        <v>139</v>
      </c>
      <c r="ID70" s="36" t="s">
        <v>139</v>
      </c>
      <c r="IE70" s="36" t="s">
        <v>139</v>
      </c>
      <c r="IF70" s="36" t="s">
        <v>139</v>
      </c>
      <c r="IG70" s="36" t="s">
        <v>139</v>
      </c>
      <c r="IH70" s="36" t="s">
        <v>139</v>
      </c>
      <c r="II70" s="36" t="s">
        <v>139</v>
      </c>
      <c r="IJ70" s="36" t="s">
        <v>139</v>
      </c>
      <c r="IK70" s="36" t="s">
        <v>139</v>
      </c>
      <c r="IL70" s="36" t="s">
        <v>139</v>
      </c>
      <c r="IM70" s="36" t="s">
        <v>139</v>
      </c>
      <c r="IN70" s="36" t="s">
        <v>139</v>
      </c>
      <c r="IO70" s="36" t="s">
        <v>139</v>
      </c>
      <c r="IP70" s="36" t="s">
        <v>139</v>
      </c>
      <c r="IQ70" s="36" t="s">
        <v>139</v>
      </c>
      <c r="IR70" s="36" t="s">
        <v>139</v>
      </c>
      <c r="IS70" s="36" t="s">
        <v>139</v>
      </c>
      <c r="IT70" s="36" t="s">
        <v>139</v>
      </c>
      <c r="IU70" s="36" t="s">
        <v>139</v>
      </c>
      <c r="IV70" s="36" t="s">
        <v>139</v>
      </c>
      <c r="IW70" s="36" t="s">
        <v>139</v>
      </c>
      <c r="IX70" s="36" t="s">
        <v>139</v>
      </c>
      <c r="IY70" s="36" t="s">
        <v>139</v>
      </c>
      <c r="IZ70" s="36" t="s">
        <v>139</v>
      </c>
      <c r="JA70" s="36" t="s">
        <v>139</v>
      </c>
      <c r="JB70" s="36" t="s">
        <v>139</v>
      </c>
      <c r="JC70" s="36" t="s">
        <v>139</v>
      </c>
      <c r="JD70" s="36" t="s">
        <v>139</v>
      </c>
      <c r="JE70" s="36" t="s">
        <v>139</v>
      </c>
      <c r="JF70" s="36" t="s">
        <v>139</v>
      </c>
      <c r="JG70" s="36" t="s">
        <v>139</v>
      </c>
      <c r="JH70" s="36" t="s">
        <v>139</v>
      </c>
      <c r="JI70" s="36" t="s">
        <v>139</v>
      </c>
      <c r="JJ70" s="36" t="s">
        <v>139</v>
      </c>
      <c r="JK70" s="36" t="s">
        <v>139</v>
      </c>
      <c r="JL70" s="36" t="s">
        <v>139</v>
      </c>
      <c r="JM70" s="36" t="s">
        <v>139</v>
      </c>
      <c r="JN70" s="36" t="s">
        <v>139</v>
      </c>
      <c r="JO70" s="36" t="s">
        <v>139</v>
      </c>
      <c r="JP70" s="36" t="s">
        <v>139</v>
      </c>
      <c r="JQ70" s="36" t="s">
        <v>139</v>
      </c>
      <c r="JR70" s="36" t="s">
        <v>139</v>
      </c>
      <c r="JS70" s="36" t="s">
        <v>139</v>
      </c>
      <c r="JT70" s="36" t="s">
        <v>139</v>
      </c>
      <c r="JU70" s="36" t="s">
        <v>139</v>
      </c>
      <c r="JV70" s="36" t="s">
        <v>139</v>
      </c>
      <c r="JW70" s="36" t="s">
        <v>139</v>
      </c>
      <c r="JX70" s="36" t="s">
        <v>139</v>
      </c>
      <c r="JY70" s="36" t="s">
        <v>139</v>
      </c>
      <c r="JZ70" s="36" t="s">
        <v>139</v>
      </c>
      <c r="KA70" s="36" t="s">
        <v>139</v>
      </c>
      <c r="KB70" s="36" t="s">
        <v>139</v>
      </c>
      <c r="KC70" s="36" t="s">
        <v>139</v>
      </c>
      <c r="KD70" s="36" t="s">
        <v>139</v>
      </c>
      <c r="KE70" s="36" t="s">
        <v>139</v>
      </c>
      <c r="KF70" s="36" t="s">
        <v>139</v>
      </c>
      <c r="KG70" s="36" t="s">
        <v>139</v>
      </c>
      <c r="KH70" s="36" t="s">
        <v>139</v>
      </c>
      <c r="KI70" s="36" t="s">
        <v>139</v>
      </c>
      <c r="KJ70" s="36" t="s">
        <v>139</v>
      </c>
      <c r="KK70" s="36" t="s">
        <v>139</v>
      </c>
      <c r="KL70" s="36" t="s">
        <v>139</v>
      </c>
      <c r="KM70" s="36" t="s">
        <v>139</v>
      </c>
      <c r="KN70" s="36" t="s">
        <v>139</v>
      </c>
      <c r="KO70" s="36" t="s">
        <v>139</v>
      </c>
      <c r="KP70" s="36" t="s">
        <v>139</v>
      </c>
      <c r="KQ70" s="36" t="s">
        <v>139</v>
      </c>
      <c r="KR70" s="36" t="s">
        <v>139</v>
      </c>
      <c r="KS70" s="36" t="s">
        <v>139</v>
      </c>
      <c r="KT70" s="36" t="s">
        <v>139</v>
      </c>
      <c r="KU70" s="36" t="s">
        <v>139</v>
      </c>
      <c r="KV70" s="36" t="s">
        <v>139</v>
      </c>
      <c r="KW70" s="36" t="s">
        <v>139</v>
      </c>
      <c r="KX70" s="36" t="s">
        <v>139</v>
      </c>
      <c r="KY70" s="36" t="s">
        <v>139</v>
      </c>
      <c r="KZ70" s="36" t="s">
        <v>139</v>
      </c>
      <c r="LA70" s="36" t="s">
        <v>139</v>
      </c>
      <c r="LB70" s="36" t="s">
        <v>139</v>
      </c>
      <c r="LC70" s="36" t="s">
        <v>139</v>
      </c>
      <c r="LD70" s="36" t="s">
        <v>139</v>
      </c>
      <c r="LE70" s="36" t="s">
        <v>139</v>
      </c>
      <c r="LF70" s="36" t="s">
        <v>139</v>
      </c>
      <c r="LG70" s="36" t="s">
        <v>139</v>
      </c>
      <c r="LH70" s="36" t="s">
        <v>139</v>
      </c>
      <c r="LI70" s="36" t="s">
        <v>139</v>
      </c>
      <c r="LJ70" s="36" t="s">
        <v>139</v>
      </c>
      <c r="LK70" s="36" t="s">
        <v>139</v>
      </c>
      <c r="LL70" s="36" t="s">
        <v>139</v>
      </c>
      <c r="LM70" s="36" t="s">
        <v>139</v>
      </c>
      <c r="LN70" s="36" t="s">
        <v>139</v>
      </c>
      <c r="LO70" s="36" t="s">
        <v>139</v>
      </c>
      <c r="LP70" s="36" t="s">
        <v>139</v>
      </c>
      <c r="LQ70" s="36" t="s">
        <v>139</v>
      </c>
      <c r="LR70" s="36" t="s">
        <v>139</v>
      </c>
      <c r="LS70" s="36" t="s">
        <v>139</v>
      </c>
      <c r="LT70" s="36" t="s">
        <v>139</v>
      </c>
      <c r="LU70" s="36" t="s">
        <v>139</v>
      </c>
      <c r="LV70" s="36" t="s">
        <v>139</v>
      </c>
      <c r="LW70" s="36" t="s">
        <v>139</v>
      </c>
      <c r="LX70" s="36" t="s">
        <v>139</v>
      </c>
      <c r="LY70" s="36" t="s">
        <v>139</v>
      </c>
      <c r="LZ70" s="36" t="s">
        <v>139</v>
      </c>
      <c r="MA70" s="36" t="s">
        <v>139</v>
      </c>
      <c r="MB70" s="36" t="s">
        <v>139</v>
      </c>
      <c r="MC70" s="36" t="s">
        <v>139</v>
      </c>
      <c r="MD70" s="36" t="s">
        <v>139</v>
      </c>
      <c r="ME70" s="36" t="s">
        <v>139</v>
      </c>
      <c r="MF70" s="36" t="s">
        <v>139</v>
      </c>
      <c r="MG70" s="36" t="s">
        <v>139</v>
      </c>
      <c r="MH70" s="36" t="s">
        <v>139</v>
      </c>
      <c r="MI70" s="36" t="s">
        <v>139</v>
      </c>
      <c r="MJ70" s="36" t="s">
        <v>139</v>
      </c>
      <c r="MK70" s="36" t="s">
        <v>139</v>
      </c>
      <c r="ML70" s="36" t="s">
        <v>139</v>
      </c>
      <c r="MM70" s="36" t="s">
        <v>139</v>
      </c>
      <c r="MN70" s="36" t="s">
        <v>139</v>
      </c>
      <c r="MO70" s="36" t="s">
        <v>139</v>
      </c>
      <c r="MP70" s="36" t="s">
        <v>139</v>
      </c>
      <c r="MQ70" s="36" t="s">
        <v>139</v>
      </c>
      <c r="MR70" s="36" t="s">
        <v>139</v>
      </c>
      <c r="MS70" s="36" t="s">
        <v>139</v>
      </c>
      <c r="MT70" s="36" t="s">
        <v>139</v>
      </c>
      <c r="MU70" s="36" t="s">
        <v>139</v>
      </c>
      <c r="MV70" s="36" t="s">
        <v>139</v>
      </c>
      <c r="MW70" s="36" t="s">
        <v>139</v>
      </c>
      <c r="MX70" s="36" t="s">
        <v>139</v>
      </c>
      <c r="MY70" s="36" t="s">
        <v>139</v>
      </c>
      <c r="MZ70" s="36" t="s">
        <v>139</v>
      </c>
      <c r="NA70" s="36" t="s">
        <v>139</v>
      </c>
      <c r="NB70" s="36" t="s">
        <v>139</v>
      </c>
      <c r="NC70" s="36" t="s">
        <v>139</v>
      </c>
      <c r="ND70" s="36" t="s">
        <v>139</v>
      </c>
      <c r="NE70" s="36" t="s">
        <v>139</v>
      </c>
      <c r="NF70" s="36" t="s">
        <v>139</v>
      </c>
      <c r="NG70" s="36" t="s">
        <v>139</v>
      </c>
      <c r="NH70" s="36" t="s">
        <v>139</v>
      </c>
      <c r="NI70" s="36" t="s">
        <v>139</v>
      </c>
      <c r="NJ70" s="36" t="s">
        <v>139</v>
      </c>
      <c r="NK70" s="36" t="s">
        <v>139</v>
      </c>
      <c r="NL70" s="36" t="s">
        <v>139</v>
      </c>
      <c r="NM70" s="36" t="s">
        <v>139</v>
      </c>
      <c r="NN70" s="36" t="s">
        <v>139</v>
      </c>
      <c r="NO70" s="36" t="s">
        <v>139</v>
      </c>
      <c r="NP70" s="36" t="s">
        <v>139</v>
      </c>
      <c r="NQ70" s="36" t="s">
        <v>139</v>
      </c>
      <c r="NR70" s="36" t="s">
        <v>139</v>
      </c>
      <c r="NS70" s="36" t="s">
        <v>139</v>
      </c>
      <c r="NT70" s="36" t="s">
        <v>139</v>
      </c>
      <c r="NU70" s="36" t="s">
        <v>139</v>
      </c>
      <c r="NV70" s="36" t="s">
        <v>139</v>
      </c>
      <c r="NW70" s="36" t="s">
        <v>139</v>
      </c>
      <c r="NX70" s="36" t="s">
        <v>139</v>
      </c>
      <c r="NY70" s="36" t="s">
        <v>139</v>
      </c>
      <c r="NZ70" s="36" t="s">
        <v>139</v>
      </c>
      <c r="OA70" s="36" t="s">
        <v>139</v>
      </c>
      <c r="OB70" s="36" t="s">
        <v>139</v>
      </c>
      <c r="OC70" s="36" t="s">
        <v>139</v>
      </c>
      <c r="OD70" s="36" t="s">
        <v>139</v>
      </c>
      <c r="OE70" s="36" t="s">
        <v>139</v>
      </c>
      <c r="OF70" s="36" t="s">
        <v>139</v>
      </c>
      <c r="OG70" s="36" t="s">
        <v>139</v>
      </c>
      <c r="OH70" s="36" t="s">
        <v>139</v>
      </c>
      <c r="OI70" s="36" t="s">
        <v>139</v>
      </c>
      <c r="OJ70" s="36" t="s">
        <v>139</v>
      </c>
      <c r="OK70" s="36" t="s">
        <v>139</v>
      </c>
      <c r="OL70" s="36" t="s">
        <v>139</v>
      </c>
      <c r="OM70" s="36" t="s">
        <v>139</v>
      </c>
      <c r="ON70" s="36" t="s">
        <v>139</v>
      </c>
      <c r="OO70" s="36" t="s">
        <v>139</v>
      </c>
      <c r="OP70" s="36" t="s">
        <v>139</v>
      </c>
      <c r="OQ70" s="36" t="s">
        <v>139</v>
      </c>
      <c r="OR70" s="36" t="s">
        <v>139</v>
      </c>
      <c r="OS70" s="36" t="s">
        <v>139</v>
      </c>
      <c r="OT70" s="36" t="s">
        <v>139</v>
      </c>
      <c r="OU70" s="36" t="s">
        <v>139</v>
      </c>
      <c r="OV70" s="36" t="s">
        <v>139</v>
      </c>
      <c r="OW70" s="36" t="s">
        <v>139</v>
      </c>
      <c r="OX70" s="36" t="s">
        <v>139</v>
      </c>
      <c r="OY70" s="36" t="s">
        <v>139</v>
      </c>
      <c r="OZ70" s="36" t="s">
        <v>139</v>
      </c>
      <c r="PA70" s="36" t="s">
        <v>139</v>
      </c>
      <c r="PB70" s="36" t="s">
        <v>139</v>
      </c>
      <c r="PC70" s="36" t="s">
        <v>139</v>
      </c>
      <c r="PD70" s="36" t="s">
        <v>139</v>
      </c>
      <c r="PE70" s="36" t="s">
        <v>139</v>
      </c>
      <c r="PF70" s="36" t="s">
        <v>139</v>
      </c>
      <c r="PG70" s="36" t="s">
        <v>139</v>
      </c>
      <c r="PH70" s="36" t="s">
        <v>139</v>
      </c>
      <c r="PI70" s="36" t="s">
        <v>139</v>
      </c>
      <c r="PJ70" s="36" t="s">
        <v>139</v>
      </c>
      <c r="PK70" s="36" t="s">
        <v>139</v>
      </c>
      <c r="PL70" s="36" t="s">
        <v>139</v>
      </c>
      <c r="PM70" s="36" t="s">
        <v>139</v>
      </c>
      <c r="PN70" s="36" t="s">
        <v>139</v>
      </c>
      <c r="PO70" s="74">
        <f>COUNTIFS($C$27:$PN$27,("&lt;"&amp;$B$3),$C$27:$PN$27,("&gt;="&amp;$B$2),$C70:$PN70,TabAsistencias[[#Headers],[1]])</f>
        <v>30</v>
      </c>
      <c r="PP70" s="74">
        <f>COUNTIFS($C$27:$PN$27,("&lt;"&amp;$B$3),$C$27:$PN$27,("&gt;="&amp;$B$2),$C70:$PN70,TabAsistencias[[#Headers],[E]])</f>
        <v>0</v>
      </c>
      <c r="PQ70" s="74">
        <f>COUNTIFS($C$27:$PN$27,("&lt;"&amp;$B$3),$C$27:$PN$27,("&gt;="&amp;$B$2),$C70:$PN70,TabAsistencias[[#Headers],[DE]])</f>
        <v>0</v>
      </c>
      <c r="PR70" s="74">
        <f>COUNTIFS($C$27:$PN$27,("&lt;"&amp;$B$3),$C$27:$PN$27,("&gt;="&amp;$B$2),$C70:$PN70,TabAsistencias[[#Headers],[V]])</f>
        <v>0</v>
      </c>
      <c r="PS70" s="74">
        <f>COUNTIFS($C$27:$PN$27,("&lt;"&amp;$B$3),$C$27:$PN$27,("&gt;="&amp;$B$2),$C70:$PN70,TabAsistencias[[#Headers],[DO]])</f>
        <v>0</v>
      </c>
      <c r="PT70" s="74">
        <f>COUNTIFS($C$27:$PN$27,("&lt;"&amp;$B$3),$C$27:$PN$27,("&gt;="&amp;$B$2),$C70:$PN70,TabAsistencias[[#Headers],[P]])</f>
        <v>0</v>
      </c>
      <c r="PU70" s="74">
        <f>COUNTIFS($C$27:$PN$27,("&lt;"&amp;$B$3),$C$27:$PN$27,("&gt;="&amp;$B$2),$C70:$PN70,TabAsistencias[[#Headers],[F]])</f>
        <v>0</v>
      </c>
      <c r="PV70" s="74">
        <f>COUNTIFS($C$27:$PN$27,("&lt;"&amp;$B$3),$C$27:$PN$27,("&gt;="&amp;$B$2),$C70:$PN70,TabAsistencias[[#Headers],[R]])</f>
        <v>0</v>
      </c>
      <c r="PW70" s="74">
        <f>COUNTIFS($C$27:$PN$27,("&lt;"&amp;$B$3),$C$27:$PN$27,("&gt;="&amp;$B$2),$C70:$PN70,TabAsistencias[[#Headers],[PP]])</f>
        <v>0</v>
      </c>
      <c r="PX70" s="74">
        <f>COUNTIFS($C$27:$PN$27,("&lt;"&amp;$B$3),$C$27:$PN$27,("&gt;="&amp;$B$2),$C70:$PN70,TabAsistencias[[#Headers],[0]])</f>
        <v>0</v>
      </c>
      <c r="PY70" s="74">
        <f>COUNTIFS($C$27:$PN$27,("&lt;"&amp;$B$3),$C$27:$PN$27,("&gt;="&amp;$B$2),$C70:$PN70,TabAsistencias[[#Headers],[IG]])</f>
        <v>0</v>
      </c>
      <c r="PZ70" s="74">
        <f>COUNTIFS($C$27:$PN$27,("&lt;"&amp;$B$3),$C$27:$PN$27,("&gt;="&amp;$B$2),$C70:$PN70,TabAsistencias[[#Headers],[NA]])</f>
        <v>0</v>
      </c>
      <c r="QA70" s="74">
        <f>COUNTIFS($C$27:$PN$27,("&lt;"&amp;$B$3),$C$27:$PN$27,("&gt;="&amp;$B$2),$C70:$PN70,TabAsistencias[[#Headers],[DF]])</f>
        <v>0</v>
      </c>
      <c r="QB70" s="74">
        <f>COUNTIFS($C$27:$PN$27,("&lt;"&amp;$B$3),$C$27:$PN$27,("&gt;="&amp;$B$2),$C70:$PN70,TabAsistencias[[#Headers],[3]])</f>
        <v>0</v>
      </c>
      <c r="QC70" s="74">
        <f>COUNTIFS($C$27:$PN$27,("&lt;"&amp;$B$3),$C$27:$PN$27,("&gt;="&amp;$B$2),$C70:$PN70,TabAsistencias[[#Headers],[CP]])</f>
        <v>0</v>
      </c>
      <c r="QD70" s="74">
        <f>COUNTIFS($C$27:$PN$27,("&lt;"&amp;$B$3),$C$27:$PN$27,("&gt;="&amp;$B$2),$C70:$PN70,TabAsistencias[[#Headers],[I]])</f>
        <v>0</v>
      </c>
      <c r="QE70" s="74">
        <f>COUNTIFS($C$27:$PN$27,("&lt;"&amp;$B$3),$C$27:$PN$27,("&gt;="&amp;$B$2),$C70:$PN70,TabAsistencias[[#Headers],[T/2]])</f>
        <v>0</v>
      </c>
      <c r="QF70" s="74">
        <f>COUNTIFS($C$27:$PN$27,("&lt;"&amp;$B$3),$C$27:$PN$27,("&gt;="&amp;$B$2),$C70:$PN70,TabAsistencias[[#Headers],[ME]])</f>
        <v>0</v>
      </c>
      <c r="QG70" s="74">
        <f>COUNTIFS($C$27:$PN$27,("&lt;"&amp;$B$3),$C$27:$PN$27,("&gt;="&amp;$B$2),$C70:$PN70,TabAsistencias[[#Headers],[DP]])</f>
        <v>0</v>
      </c>
      <c r="QH70" s="74">
        <f>COUNTIFS($C$27:$PN$27,("&lt;"&amp;$B$3),$C$27:$PN$27,("&gt;="&amp;$B$2),$C70:$PN70,TabAsistencias[[#Headers],[B]])</f>
        <v>0</v>
      </c>
      <c r="QI70" s="74">
        <f>(TabAsistencias[[#This Row],[1]]*'Tablas de informacion'!$C$124)+(TabAsistencias[[#This Row],[E]]*'Tablas de informacion'!$C$125)+(TabAsistencias[[#This Row],[DE]]*'Tablas de informacion'!C$126)+(TabAsistencias[[#This Row],[V]]*'Tablas de informacion'!C$127)+(TabAsistencias[[#This Row],[DO]]*'Tablas de informacion'!C$128)+(TabAsistencias[[#This Row],[P]]*'Tablas de informacion'!C$129)+(TabAsistencias[[#This Row],[F]]*'Tablas de informacion'!C$130)+(TabAsistencias[[#This Row],[R]]*'Tablas de informacion'!C$131)+(TabAsistencias[[#This Row],[PP]]*'Tablas de informacion'!C$132)+(TabAsistencias[[#This Row],[0]]*'Tablas de informacion'!C$133)+(TabAsistencias[[#This Row],[IG]]*'Tablas de informacion'!C$134)+(TabAsistencias[[#This Row],[NA]]*'Tablas de informacion'!C$135)+(TabAsistencias[[#This Row],[DF]]*'Tablas de informacion'!C$136)+(TabAsistencias[[#This Row],[3]]*'Tablas de informacion'!C$137)+(TabAsistencias[[#This Row],[CP]]*'Tablas de informacion'!C$138)+(TabAsistencias[[#This Row],[I]]*'Tablas de informacion'!C$139)+(TabAsistencias[[#This Row],[T/2]]*'Tablas de informacion'!C$140)+(TabAsistencias[[#This Row],[ME]]*'Tablas de informacion'!C$141)+(TabAsistencias[[#This Row],[DP]]*'Tablas de informacion'!C$142)+(TabAsistencias[[#This Row],[B]]*'Tablas de informacion'!C$143)-INT(TabAsistencias[[#This Row],[R]]/3)</f>
        <v>30</v>
      </c>
      <c r="QJ70" s="74">
        <f>COUNTIFS($C$27:$PN$27,("&lt;"&amp;$B$3),$C$27:$PN$27,("&gt;="&amp;$B$2),$C$28:$PN$28,1,$C70:$PN70,TabAsistencias[[#Headers],[1]])+
COUNTIFS($C$27:$PN$27,("&lt;"&amp;$B$3),$C$27:$PN$27,("&gt;="&amp;$B$2),$C$28:$PN$28,1,$C70:$PN70,TabAsistencias[[#Headers],[DO]])+
COUNTIFS($C$27:$PN$27,("&lt;"&amp;$B$3),$C$27:$PN$27,("&gt;="&amp;$B$2),$C$28:$PN$28,1,$C70:$PN70,TabAsistencias[[#Headers],[R]])+
COUNTIFS($C$27:$PN$27,("&lt;"&amp;$B$3),$C$27:$PN$27,("&gt;="&amp;$B$2),$C$28:$PN$28,1,$C70:$PN70,TabAsistencias[[#Headers],[NA]])+
COUNTIFS($C$27:$PN$27,("&lt;"&amp;$B$3),$C$27:$PN$27,("&gt;="&amp;$B$2),$C$28:$PN$28,1,$C70:$PN70,TabAsistencias[[#Headers],[DF]])+
COUNTIFS($C$27:$PN$27,("&lt;"&amp;$B$3),$C$27:$PN$27,("&gt;="&amp;$B$2),$C$28:$PN$28,1,$C70:$PN70,TabAsistencias[[#Headers],[3]])+
COUNTIFS($C$27:$PN$27,("&lt;"&amp;$B$3),$C$27:$PN$27,("&gt;="&amp;$B$2),$C$28:$PN$28,1,$C70:$PN70,TabAsistencias[[#Headers],[CP]])+
COUNTIFS($C$27:$PN$27,("&lt;"&amp;$B$3),$C$27:$PN$27,("&gt;="&amp;$B$2),$C$28:$PN$28,1,$C70:$PN70,TabAsistencias[[#Headers],[T/2]])</f>
        <v>4</v>
      </c>
      <c r="QK70" s="315" cm="1">
        <f t="array" ref="QK70">IFERROR(VLOOKUP(
DATEDIF((VLOOKUP(TabAsistencias[[#This Row],[ID]],TabEmpleados[],COLUMN(TabEmpleados[Fecha de ingreso]),FALSE)),Asistencias!$B$3,"Y"),
TabFactorIntegracion[],COLUMN(TabFactorIntegracion[Días vacacionales
establecidos por ley]),FALSE),0)
-
COUNTIF($AH70:$PN70,TabAsistencias[[#Headers],[V]])</f>
        <v>12</v>
      </c>
      <c r="QL70" s="319">
        <f>SUM(TabAsistencias[[#This Row],[''1]],TabAsistencias[[#This Row],[''DE]],TabAsistencias[[#This Row],[''DO]],TabAsistencias[[#This Row],[''R]],TabAsistencias[[#This Row],[''NA]],TabAsistencias[[#This Row],[''DF]],TabAsistencias[[#This Row],[''3]],TabAsistencias[[#This Row],[''CP]],TabAsistencias[[#This Row],[''T/2]],TabAsistencias[[#This Row],[''DP]])</f>
        <v>73</v>
      </c>
      <c r="QM70" s="314">
        <f>COUNTIFS($C$27:$PN$27,("&lt;"&amp;$B$5),$C$27:$PN$27,("&gt;="&amp;$B$4),$C70:$PN70,TabAsistencias[[#Headers],[1]])</f>
        <v>73</v>
      </c>
      <c r="QN70" s="314">
        <f>COUNTIFS($C$27:$PN$27,("&lt;"&amp;$B$5),$C$27:$PN$27,("&gt;="&amp;$B$4),$C70:$PN70,TabAsistencias[[#Headers],[DE]])</f>
        <v>0</v>
      </c>
      <c r="QO70" s="314">
        <f>COUNTIFS($C$27:$PN$27,("&lt;"&amp;$B$5),$C$27:$PN$27,("&gt;="&amp;$B$4),$C70:$PN70,TabAsistencias[[#Headers],[V]])</f>
        <v>0</v>
      </c>
      <c r="QP70" s="314">
        <f>COUNTIFS($C$27:$PN$27,("&lt;"&amp;$B$5),$C$27:$PN$27,("&gt;="&amp;$B$4),$C70:$PN70,TabAsistencias[[#Headers],[DO]])</f>
        <v>0</v>
      </c>
      <c r="QQ70" s="314">
        <f>COUNTIFS($C$27:$PN$27,("&lt;"&amp;$B$5),$C$27:$PN$27,("&gt;="&amp;$B$4),$C70:$PN70,TabAsistencias[[#Headers],[P]])</f>
        <v>0</v>
      </c>
      <c r="QR70" s="314">
        <f>COUNTIFS($C$27:$PN$27,("&lt;"&amp;$B$5),$C$27:$PN$27,("&gt;="&amp;$B$4),$C70:$PN70,TabAsistencias[[#Headers],[F]])</f>
        <v>0</v>
      </c>
      <c r="QS70" s="314">
        <f>COUNTIFS($C$27:$PN$27,("&lt;"&amp;$B$5),$C$27:$PN$27,("&gt;="&amp;$B$4),$C70:$PN70,TabAsistencias[[#Headers],[R]])</f>
        <v>0</v>
      </c>
      <c r="QT70" s="314">
        <f>COUNTIFS($C$27:$PN$27,("&lt;"&amp;$B$5),$C$27:$PN$27,("&gt;="&amp;$B$4),$C70:$PN70,TabAsistencias[[#Headers],[PP]])</f>
        <v>0</v>
      </c>
      <c r="QU70" s="314">
        <f>COUNTIFS($C$27:$PN$27,("&lt;"&amp;$B$5),$C$27:$PN$27,("&gt;="&amp;$B$4),$C70:$PN70,TabAsistencias[[#Headers],[0]])</f>
        <v>0</v>
      </c>
      <c r="QV70" s="314">
        <f>COUNTIFS($C$27:$PN$27,("&lt;"&amp;$B$5),$C$27:$PN$27,("&gt;="&amp;$B$4),$C70:$PN70,TabAsistencias[[#Headers],[IG]])</f>
        <v>0</v>
      </c>
      <c r="QW70" s="314">
        <f>COUNTIFS($C$27:$PN$27,("&lt;"&amp;$B$5),$C$27:$PN$27,("&gt;="&amp;$B$4),$C70:$PN70,TabAsistencias[[#Headers],[NA]])</f>
        <v>0</v>
      </c>
      <c r="QX70" s="314">
        <f>COUNTIFS($C$27:$PN$27,("&lt;"&amp;$B$5),$C$27:$PN$27,("&gt;="&amp;$B$4),$C70:$PN70,TabAsistencias[[#Headers],[DF]])</f>
        <v>0</v>
      </c>
      <c r="QY70" s="314">
        <f>COUNTIFS($C$27:$PN$27,("&lt;"&amp;$B$5),$C$27:$PN$27,("&gt;="&amp;$B$4),$C70:$PN70,TabAsistencias[[#Headers],[3]])</f>
        <v>0</v>
      </c>
      <c r="QZ70" s="314">
        <f>COUNTIFS($C$27:$PN$27,("&lt;"&amp;$B$5),$C$27:$PN$27,("&gt;="&amp;$B$4),$C70:$PN70,TabAsistencias[[#Headers],[CP]])</f>
        <v>0</v>
      </c>
      <c r="RA70" s="314">
        <f>COUNTIFS($C$27:$PN$27,("&lt;"&amp;$B$5),$C$27:$PN$27,("&gt;="&amp;$B$4),$C70:$PN70,TabAsistencias[[#Headers],[I]])</f>
        <v>0</v>
      </c>
      <c r="RB70" s="314">
        <f>COUNTIFS($C$27:$PN$27,("&lt;"&amp;$B$5),$C$27:$PN$27,("&gt;="&amp;$B$4),$C70:$PN70,TabAsistencias[[#Headers],[T/2]])</f>
        <v>0</v>
      </c>
      <c r="RC70" s="314">
        <f>COUNTIFS($C$27:$PN$27,("&lt;"&amp;$B$5),$C$27:$PN$27,("&gt;="&amp;$B$4),$C70:$PN70,TabAsistencias[[#Headers],[ME]])</f>
        <v>0</v>
      </c>
      <c r="RD70" s="314">
        <f>COUNTIFS($C$27:$PN$27,("&lt;"&amp;$B$5),$C$27:$PN$27,("&gt;="&amp;$B$4),$C70:$PN70,TabAsistencias[[#Headers],[DP]])</f>
        <v>0</v>
      </c>
      <c r="RE70" s="314">
        <f>COUNTIFS($C$27:$PN$27,("&lt;"&amp;$B$5),$C$27:$PN$27,("&gt;="&amp;$B$4),$C70:$PN70,TabAsistencias[[#Headers],[B]])</f>
        <v>0</v>
      </c>
      <c r="RF70" s="314">
        <f>COUNTIFS($C$27:$PN$27,("&lt;"&amp;$B$5),$C$27:$PN$27,("&gt;="&amp;$B$4),$C$28:$PN$28,1,$C70:$PN70,TabAsistencias[[#Headers],[1]])+
COUNTIFS($C$27:$PN$27,("&lt;"&amp;$B$5),$C$27:$PN$27,("&gt;="&amp;$B$4),$C$28:$PN$28,1,$C70:$PN70,TabAsistencias[[#Headers],[DO]])+
COUNTIFS($C$27:$PN$27,("&lt;"&amp;$B$5),$C$27:$PN$27,("&gt;="&amp;$B$4),$C$28:$PN$28,1,$C70:$PN70,TabAsistencias[[#Headers],[R]])+
COUNTIFS($C$27:$PN$27,("&lt;"&amp;$B$5),$C$27:$PN$27,("&gt;="&amp;$B$4),$C$28:$PN$28,1,$C70:$PN70,TabAsistencias[[#Headers],[NA]])+
COUNTIFS($C$27:$PN$27,("&lt;"&amp;$B$5),$C$27:$PN$27,("&gt;="&amp;$B$4),$C$28:$PN$28,1,$C70:$PN70,TabAsistencias[[#Headers],[DF]])+
COUNTIFS($C$27:$PN$27,("&lt;"&amp;$B$5),$C$27:$PN$27,("&gt;="&amp;$B$4),$C$28:$PN$28,1,$C70:$PN70,TabAsistencias[[#Headers],[3]])+
COUNTIFS($C$27:$PN$27,("&lt;"&amp;$B$5),$C$27:$PN$27,("&gt;="&amp;$B$4),$C$28:$PN$28,1,$C70:$PN70,TabAsistencias[[#Headers],[CP]])+
COUNTIFS($C$27:$PN$27,("&lt;"&amp;$B$5),$C$27:$PN$27,("&gt;="&amp;$B$4),$C$28:$PN$28,1,$C70:$PN70,TabAsistencias[[#Headers],[T/2]])</f>
        <v>11</v>
      </c>
      <c r="RG70" s="320" cm="1">
        <f t="array" ref="RG70">IFERROR(VLOOKUP(
DATEDIF((VLOOKUP(TabAsistencias[[#This Row],[ID]],TabEmpleados[],COLUMN(TabEmpleados[Fecha de alta NSS]),FALSE)),Asistencias!$B$3,"Y"),
TabFactorIntegracion[],COLUMN(TabFactorIntegracion[Días vacacionales
establecidos por ley]),FALSE),0)
-
COUNTIF($AH70:$PN70,TabAsistencias[[#Headers],[V]])</f>
        <v>12</v>
      </c>
    </row>
    <row r="71" spans="1:475" x14ac:dyDescent="0.25">
      <c r="A71" s="92">
        <f t="shared" si="434"/>
        <v>41</v>
      </c>
      <c r="B71" s="30" t="str" cm="1">
        <f t="array" ref="B71">VLOOKUP(TabAsistencias[[#This Row],[ID]],TabEmpleados[],COLUMN(TabEmpleados[Nombre]),FALSE)</f>
        <v>LOPEZ TORRES ROSENDO EDUARDO</v>
      </c>
      <c r="C71" s="36" t="s">
        <v>139</v>
      </c>
      <c r="D71" s="36" t="s">
        <v>139</v>
      </c>
      <c r="E71" s="36" t="s">
        <v>139</v>
      </c>
      <c r="F71" s="36" t="s">
        <v>139</v>
      </c>
      <c r="G71" s="36" t="s">
        <v>139</v>
      </c>
      <c r="H71" s="36" t="s">
        <v>139</v>
      </c>
      <c r="I71" s="36" t="s">
        <v>139</v>
      </c>
      <c r="J71" s="36" t="s">
        <v>139</v>
      </c>
      <c r="K71" s="36" t="s">
        <v>139</v>
      </c>
      <c r="L71" s="36" t="s">
        <v>139</v>
      </c>
      <c r="M71" s="36" t="s">
        <v>139</v>
      </c>
      <c r="N71" s="36" t="s">
        <v>139</v>
      </c>
      <c r="O71" s="36" t="s">
        <v>139</v>
      </c>
      <c r="P71" s="36" t="s">
        <v>139</v>
      </c>
      <c r="Q71" s="36" t="s">
        <v>139</v>
      </c>
      <c r="R71" s="36" t="s">
        <v>139</v>
      </c>
      <c r="S71" s="36" t="s">
        <v>139</v>
      </c>
      <c r="T71" s="36" t="s">
        <v>139</v>
      </c>
      <c r="U71" s="36" t="s">
        <v>139</v>
      </c>
      <c r="V71" s="36" t="s">
        <v>139</v>
      </c>
      <c r="W71" s="36" t="s">
        <v>139</v>
      </c>
      <c r="X71" s="36" t="s">
        <v>139</v>
      </c>
      <c r="Y71" s="36" t="s">
        <v>139</v>
      </c>
      <c r="Z71" s="36" t="s">
        <v>139</v>
      </c>
      <c r="AA71" s="36" t="s">
        <v>139</v>
      </c>
      <c r="AB71" s="36" t="s">
        <v>139</v>
      </c>
      <c r="AC71" s="36" t="s">
        <v>139</v>
      </c>
      <c r="AD71" s="36" t="s">
        <v>139</v>
      </c>
      <c r="AE71" s="36" t="s">
        <v>139</v>
      </c>
      <c r="AF71" s="36" t="s">
        <v>139</v>
      </c>
      <c r="AG71" s="36" t="s">
        <v>139</v>
      </c>
      <c r="AH71" s="36" t="s">
        <v>139</v>
      </c>
      <c r="AI71" s="36" t="s">
        <v>139</v>
      </c>
      <c r="AJ71" s="36" t="s">
        <v>139</v>
      </c>
      <c r="AK71" s="36" t="s">
        <v>139</v>
      </c>
      <c r="AL71" s="36" t="s">
        <v>139</v>
      </c>
      <c r="AM71" s="36" t="s">
        <v>139</v>
      </c>
      <c r="AN71" s="36" t="s">
        <v>139</v>
      </c>
      <c r="AO71" s="36" t="s">
        <v>139</v>
      </c>
      <c r="AP71" s="36" t="s">
        <v>139</v>
      </c>
      <c r="AQ71" s="36" t="s">
        <v>139</v>
      </c>
      <c r="AR71" s="36" t="s">
        <v>139</v>
      </c>
      <c r="AS71" s="36" t="s">
        <v>139</v>
      </c>
      <c r="AT71" s="36" t="s">
        <v>139</v>
      </c>
      <c r="AU71" s="36" t="s">
        <v>139</v>
      </c>
      <c r="AV71" s="36" t="s">
        <v>139</v>
      </c>
      <c r="AW71" s="36" t="s">
        <v>139</v>
      </c>
      <c r="AX71" s="36" t="s">
        <v>139</v>
      </c>
      <c r="AY71" s="36" t="s">
        <v>139</v>
      </c>
      <c r="AZ71" s="36" t="s">
        <v>139</v>
      </c>
      <c r="BA71" s="36" t="s">
        <v>139</v>
      </c>
      <c r="BB71" s="36" t="s">
        <v>139</v>
      </c>
      <c r="BC71" s="36" t="s">
        <v>139</v>
      </c>
      <c r="BD71" s="36" t="s">
        <v>139</v>
      </c>
      <c r="BE71" s="36" t="s">
        <v>139</v>
      </c>
      <c r="BF71" s="36" t="s">
        <v>139</v>
      </c>
      <c r="BG71" s="36" t="s">
        <v>139</v>
      </c>
      <c r="BH71" s="36" t="s">
        <v>139</v>
      </c>
      <c r="BI71" s="36" t="s">
        <v>139</v>
      </c>
      <c r="BJ71" s="36" t="s">
        <v>139</v>
      </c>
      <c r="BK71" s="36" t="s">
        <v>139</v>
      </c>
      <c r="BL71" s="36" t="s">
        <v>139</v>
      </c>
      <c r="BM71" s="36" t="s">
        <v>139</v>
      </c>
      <c r="BN71" s="36" t="s">
        <v>139</v>
      </c>
      <c r="BO71" s="36" t="s">
        <v>139</v>
      </c>
      <c r="BP71" s="36" t="s">
        <v>139</v>
      </c>
      <c r="BQ71" s="36" t="s">
        <v>139</v>
      </c>
      <c r="BR71" s="36" t="s">
        <v>139</v>
      </c>
      <c r="BS71" s="36" t="s">
        <v>139</v>
      </c>
      <c r="BT71" s="36" t="s">
        <v>139</v>
      </c>
      <c r="BU71" s="36" t="s">
        <v>139</v>
      </c>
      <c r="BV71" s="36" t="s">
        <v>139</v>
      </c>
      <c r="BW71" s="36" t="s">
        <v>139</v>
      </c>
      <c r="BX71" s="36" t="s">
        <v>139</v>
      </c>
      <c r="BY71" s="36" t="s">
        <v>139</v>
      </c>
      <c r="BZ71" s="36" t="s">
        <v>139</v>
      </c>
      <c r="CA71" s="36" t="s">
        <v>139</v>
      </c>
      <c r="CB71" s="36" t="s">
        <v>139</v>
      </c>
      <c r="CC71" s="36" t="s">
        <v>139</v>
      </c>
      <c r="CD71" s="36" t="s">
        <v>139</v>
      </c>
      <c r="CE71" s="36" t="s">
        <v>139</v>
      </c>
      <c r="CF71" s="36" t="s">
        <v>139</v>
      </c>
      <c r="CG71" s="36" t="s">
        <v>139</v>
      </c>
      <c r="CH71" s="36" t="s">
        <v>139</v>
      </c>
      <c r="CI71" s="36" t="s">
        <v>139</v>
      </c>
      <c r="CJ71" s="36" t="s">
        <v>139</v>
      </c>
      <c r="CK71" s="36" t="s">
        <v>139</v>
      </c>
      <c r="CL71" s="36" t="s">
        <v>139</v>
      </c>
      <c r="CM71" s="36" t="s">
        <v>139</v>
      </c>
      <c r="CN71" s="36" t="s">
        <v>139</v>
      </c>
      <c r="CO71" s="36" t="s">
        <v>139</v>
      </c>
      <c r="CP71" s="36" t="s">
        <v>139</v>
      </c>
      <c r="CQ71" s="36" t="s">
        <v>139</v>
      </c>
      <c r="CR71" s="36" t="s">
        <v>139</v>
      </c>
      <c r="CS71" s="36" t="s">
        <v>139</v>
      </c>
      <c r="CT71" s="36" t="s">
        <v>139</v>
      </c>
      <c r="CU71" s="36" t="s">
        <v>139</v>
      </c>
      <c r="CV71" s="36" t="s">
        <v>139</v>
      </c>
      <c r="CW71" s="36" t="s">
        <v>139</v>
      </c>
      <c r="CX71" s="36" t="s">
        <v>139</v>
      </c>
      <c r="CY71" s="36" t="s">
        <v>139</v>
      </c>
      <c r="CZ71" s="36" t="s">
        <v>139</v>
      </c>
      <c r="DA71" s="36" t="s">
        <v>139</v>
      </c>
      <c r="DB71" s="36" t="s">
        <v>139</v>
      </c>
      <c r="DC71" s="36" t="s">
        <v>139</v>
      </c>
      <c r="DD71" s="36" t="s">
        <v>139</v>
      </c>
      <c r="DE71" s="36" t="s">
        <v>139</v>
      </c>
      <c r="DF71" s="36" t="s">
        <v>139</v>
      </c>
      <c r="DG71" s="36" t="s">
        <v>139</v>
      </c>
      <c r="DH71" s="36" t="s">
        <v>139</v>
      </c>
      <c r="DI71" s="36" t="s">
        <v>139</v>
      </c>
      <c r="DJ71" s="36" t="s">
        <v>139</v>
      </c>
      <c r="DK71" s="36" t="s">
        <v>139</v>
      </c>
      <c r="DL71" s="36" t="s">
        <v>139</v>
      </c>
      <c r="DM71" s="36" t="s">
        <v>139</v>
      </c>
      <c r="DN71" s="36" t="s">
        <v>139</v>
      </c>
      <c r="DO71" s="36" t="s">
        <v>139</v>
      </c>
      <c r="DP71" s="36" t="s">
        <v>139</v>
      </c>
      <c r="DQ71" s="36" t="s">
        <v>139</v>
      </c>
      <c r="DR71" s="36" t="s">
        <v>139</v>
      </c>
      <c r="DS71" s="36" t="s">
        <v>139</v>
      </c>
      <c r="DT71" s="36" t="s">
        <v>139</v>
      </c>
      <c r="DU71" s="36" t="s">
        <v>139</v>
      </c>
      <c r="DV71" s="36" t="s">
        <v>139</v>
      </c>
      <c r="DW71" s="36" t="s">
        <v>139</v>
      </c>
      <c r="DX71" s="36" t="s">
        <v>139</v>
      </c>
      <c r="DY71" s="36" t="s">
        <v>139</v>
      </c>
      <c r="DZ71" s="36" t="s">
        <v>139</v>
      </c>
      <c r="EA71" s="36" t="s">
        <v>139</v>
      </c>
      <c r="EB71" s="36" t="s">
        <v>139</v>
      </c>
      <c r="EC71" s="36" t="s">
        <v>139</v>
      </c>
      <c r="ED71" s="36" t="s">
        <v>139</v>
      </c>
      <c r="EE71" s="36" t="s">
        <v>139</v>
      </c>
      <c r="EF71" s="36" t="s">
        <v>139</v>
      </c>
      <c r="EG71" s="36" t="s">
        <v>139</v>
      </c>
      <c r="EH71" s="36" t="s">
        <v>139</v>
      </c>
      <c r="EI71" s="36" t="s">
        <v>139</v>
      </c>
      <c r="EJ71" s="36" t="s">
        <v>139</v>
      </c>
      <c r="EK71" s="36" t="s">
        <v>139</v>
      </c>
      <c r="EL71" s="36" t="s">
        <v>139</v>
      </c>
      <c r="EM71" s="36" t="s">
        <v>139</v>
      </c>
      <c r="EN71" s="36" t="s">
        <v>139</v>
      </c>
      <c r="EO71" s="36" t="s">
        <v>139</v>
      </c>
      <c r="EP71" s="36" t="s">
        <v>139</v>
      </c>
      <c r="EQ71" s="36" t="s">
        <v>139</v>
      </c>
      <c r="ER71" s="36" t="s">
        <v>139</v>
      </c>
      <c r="ES71" s="36" t="s">
        <v>139</v>
      </c>
      <c r="ET71" s="36" t="s">
        <v>139</v>
      </c>
      <c r="EU71" s="36" t="s">
        <v>139</v>
      </c>
      <c r="EV71" s="36" t="s">
        <v>139</v>
      </c>
      <c r="EW71" s="36" t="s">
        <v>139</v>
      </c>
      <c r="EX71" s="36" t="s">
        <v>139</v>
      </c>
      <c r="EY71" s="36" t="s">
        <v>139</v>
      </c>
      <c r="EZ71" s="36" t="s">
        <v>139</v>
      </c>
      <c r="FA71" s="36" t="s">
        <v>139</v>
      </c>
      <c r="FB71" s="36" t="s">
        <v>139</v>
      </c>
      <c r="FC71" s="36" t="s">
        <v>139</v>
      </c>
      <c r="FD71" s="36" t="s">
        <v>139</v>
      </c>
      <c r="FE71" s="36" t="s">
        <v>139</v>
      </c>
      <c r="FF71" s="36" t="s">
        <v>139</v>
      </c>
      <c r="FG71" s="36" t="s">
        <v>139</v>
      </c>
      <c r="FH71" s="36" t="s">
        <v>139</v>
      </c>
      <c r="FI71" s="36" t="s">
        <v>139</v>
      </c>
      <c r="FJ71" s="36" t="s">
        <v>139</v>
      </c>
      <c r="FK71" s="36" t="s">
        <v>139</v>
      </c>
      <c r="FL71" s="36" t="s">
        <v>139</v>
      </c>
      <c r="FM71" s="36" t="s">
        <v>139</v>
      </c>
      <c r="FN71" s="36" t="s">
        <v>139</v>
      </c>
      <c r="FO71" s="36" t="s">
        <v>139</v>
      </c>
      <c r="FP71" s="36" t="s">
        <v>139</v>
      </c>
      <c r="FQ71" s="36" t="s">
        <v>139</v>
      </c>
      <c r="FR71" s="36" t="s">
        <v>139</v>
      </c>
      <c r="FS71" s="36" t="s">
        <v>139</v>
      </c>
      <c r="FT71" s="36" t="s">
        <v>139</v>
      </c>
      <c r="FU71" s="36" t="s">
        <v>139</v>
      </c>
      <c r="FV71" s="36" t="s">
        <v>139</v>
      </c>
      <c r="FW71" s="36" t="s">
        <v>139</v>
      </c>
      <c r="FX71" s="36" t="s">
        <v>139</v>
      </c>
      <c r="FY71" s="36" t="s">
        <v>139</v>
      </c>
      <c r="FZ71" s="36" t="s">
        <v>139</v>
      </c>
      <c r="GA71" s="36" t="s">
        <v>139</v>
      </c>
      <c r="GB71" s="36" t="s">
        <v>139</v>
      </c>
      <c r="GC71" s="36" t="s">
        <v>139</v>
      </c>
      <c r="GD71" s="36" t="s">
        <v>139</v>
      </c>
      <c r="GE71" s="36" t="s">
        <v>139</v>
      </c>
      <c r="GF71" s="36" t="s">
        <v>139</v>
      </c>
      <c r="GG71" s="36" t="s">
        <v>139</v>
      </c>
      <c r="GH71" s="36" t="s">
        <v>139</v>
      </c>
      <c r="GI71" s="36" t="s">
        <v>139</v>
      </c>
      <c r="GJ71" s="36" t="s">
        <v>139</v>
      </c>
      <c r="GK71" s="36" t="s">
        <v>139</v>
      </c>
      <c r="GL71" s="36" t="s">
        <v>139</v>
      </c>
      <c r="GM71" s="36" t="s">
        <v>139</v>
      </c>
      <c r="GN71" s="36" t="s">
        <v>139</v>
      </c>
      <c r="GO71" s="36" t="s">
        <v>139</v>
      </c>
      <c r="GP71" s="36" t="s">
        <v>139</v>
      </c>
      <c r="GQ71" s="36" t="s">
        <v>139</v>
      </c>
      <c r="GR71" s="36" t="s">
        <v>139</v>
      </c>
      <c r="GS71" s="36" t="s">
        <v>139</v>
      </c>
      <c r="GT71" s="36" t="s">
        <v>139</v>
      </c>
      <c r="GU71" s="36" t="s">
        <v>139</v>
      </c>
      <c r="GV71" s="36" t="s">
        <v>139</v>
      </c>
      <c r="GW71" s="36" t="s">
        <v>139</v>
      </c>
      <c r="GX71" s="36" t="s">
        <v>139</v>
      </c>
      <c r="GY71" s="36" t="s">
        <v>139</v>
      </c>
      <c r="GZ71" s="36" t="s">
        <v>139</v>
      </c>
      <c r="HA71" s="36" t="s">
        <v>139</v>
      </c>
      <c r="HB71" s="36" t="s">
        <v>139</v>
      </c>
      <c r="HC71" s="36" t="s">
        <v>139</v>
      </c>
      <c r="HD71" s="36" t="s">
        <v>139</v>
      </c>
      <c r="HE71" s="36" t="s">
        <v>139</v>
      </c>
      <c r="HF71" s="36" t="s">
        <v>139</v>
      </c>
      <c r="HG71" s="36" t="s">
        <v>139</v>
      </c>
      <c r="HH71" s="36" t="s">
        <v>139</v>
      </c>
      <c r="HI71" s="36" t="s">
        <v>139</v>
      </c>
      <c r="HJ71" s="36" t="s">
        <v>139</v>
      </c>
      <c r="HK71" s="36" t="s">
        <v>139</v>
      </c>
      <c r="HL71" s="36" t="s">
        <v>139</v>
      </c>
      <c r="HM71" s="36" t="s">
        <v>139</v>
      </c>
      <c r="HN71" s="36" t="s">
        <v>139</v>
      </c>
      <c r="HO71" s="36" t="s">
        <v>139</v>
      </c>
      <c r="HP71" s="36" t="s">
        <v>139</v>
      </c>
      <c r="HQ71" s="36" t="s">
        <v>139</v>
      </c>
      <c r="HR71" s="36" t="s">
        <v>139</v>
      </c>
      <c r="HS71" s="36" t="s">
        <v>139</v>
      </c>
      <c r="HT71" s="36" t="s">
        <v>139</v>
      </c>
      <c r="HU71" s="36" t="s">
        <v>139</v>
      </c>
      <c r="HV71" s="36" t="s">
        <v>139</v>
      </c>
      <c r="HW71" s="36" t="s">
        <v>139</v>
      </c>
      <c r="HX71" s="36" t="s">
        <v>139</v>
      </c>
      <c r="HY71" s="36" t="s">
        <v>139</v>
      </c>
      <c r="HZ71" s="36" t="s">
        <v>139</v>
      </c>
      <c r="IA71" s="36" t="s">
        <v>139</v>
      </c>
      <c r="IB71" s="36" t="s">
        <v>139</v>
      </c>
      <c r="IC71" s="36" t="s">
        <v>139</v>
      </c>
      <c r="ID71" s="36" t="s">
        <v>139</v>
      </c>
      <c r="IE71" s="36" t="s">
        <v>139</v>
      </c>
      <c r="IF71" s="36" t="s">
        <v>139</v>
      </c>
      <c r="IG71" s="36" t="s">
        <v>139</v>
      </c>
      <c r="IH71" s="36" t="s">
        <v>139</v>
      </c>
      <c r="II71" s="36" t="s">
        <v>139</v>
      </c>
      <c r="IJ71" s="36" t="s">
        <v>139</v>
      </c>
      <c r="IK71" s="36" t="s">
        <v>139</v>
      </c>
      <c r="IL71" s="36" t="s">
        <v>139</v>
      </c>
      <c r="IM71" s="36" t="s">
        <v>139</v>
      </c>
      <c r="IN71" s="36" t="s">
        <v>139</v>
      </c>
      <c r="IO71" s="36" t="s">
        <v>139</v>
      </c>
      <c r="IP71" s="36" t="s">
        <v>139</v>
      </c>
      <c r="IQ71" s="36" t="s">
        <v>139</v>
      </c>
      <c r="IR71" s="36" t="s">
        <v>139</v>
      </c>
      <c r="IS71" s="36" t="s">
        <v>139</v>
      </c>
      <c r="IT71" s="36" t="s">
        <v>139</v>
      </c>
      <c r="IU71" s="36" t="s">
        <v>139</v>
      </c>
      <c r="IV71" s="36" t="s">
        <v>139</v>
      </c>
      <c r="IW71" s="36" t="s">
        <v>139</v>
      </c>
      <c r="IX71" s="36" t="s">
        <v>139</v>
      </c>
      <c r="IY71" s="36" t="s">
        <v>139</v>
      </c>
      <c r="IZ71" s="36" t="s">
        <v>139</v>
      </c>
      <c r="JA71" s="36" t="s">
        <v>139</v>
      </c>
      <c r="JB71" s="36" t="s">
        <v>139</v>
      </c>
      <c r="JC71" s="36" t="s">
        <v>139</v>
      </c>
      <c r="JD71" s="36" t="s">
        <v>139</v>
      </c>
      <c r="JE71" s="36" t="s">
        <v>139</v>
      </c>
      <c r="JF71" s="36" t="s">
        <v>139</v>
      </c>
      <c r="JG71" s="36" t="s">
        <v>139</v>
      </c>
      <c r="JH71" s="36" t="s">
        <v>139</v>
      </c>
      <c r="JI71" s="36" t="s">
        <v>139</v>
      </c>
      <c r="JJ71" s="36" t="s">
        <v>139</v>
      </c>
      <c r="JK71" s="36" t="s">
        <v>139</v>
      </c>
      <c r="JL71" s="36" t="s">
        <v>139</v>
      </c>
      <c r="JM71" s="36" t="s">
        <v>139</v>
      </c>
      <c r="JN71" s="36" t="s">
        <v>139</v>
      </c>
      <c r="JO71" s="36" t="s">
        <v>139</v>
      </c>
      <c r="JP71" s="36" t="s">
        <v>139</v>
      </c>
      <c r="JQ71" s="36" t="s">
        <v>139</v>
      </c>
      <c r="JR71" s="36" t="s">
        <v>139</v>
      </c>
      <c r="JS71" s="36" t="s">
        <v>139</v>
      </c>
      <c r="JT71" s="36" t="s">
        <v>139</v>
      </c>
      <c r="JU71" s="36" t="s">
        <v>139</v>
      </c>
      <c r="JV71" s="36" t="s">
        <v>139</v>
      </c>
      <c r="JW71" s="36" t="s">
        <v>139</v>
      </c>
      <c r="JX71" s="36" t="s">
        <v>139</v>
      </c>
      <c r="JY71" s="36" t="s">
        <v>139</v>
      </c>
      <c r="JZ71" s="36" t="s">
        <v>139</v>
      </c>
      <c r="KA71" s="36" t="s">
        <v>139</v>
      </c>
      <c r="KB71" s="36" t="s">
        <v>139</v>
      </c>
      <c r="KC71" s="36" t="s">
        <v>139</v>
      </c>
      <c r="KD71" s="36" t="s">
        <v>139</v>
      </c>
      <c r="KE71" s="36" t="s">
        <v>139</v>
      </c>
      <c r="KF71" s="36" t="s">
        <v>139</v>
      </c>
      <c r="KG71" s="36" t="s">
        <v>139</v>
      </c>
      <c r="KH71" s="36" t="s">
        <v>139</v>
      </c>
      <c r="KI71" s="36" t="s">
        <v>139</v>
      </c>
      <c r="KJ71" s="36" t="s">
        <v>139</v>
      </c>
      <c r="KK71" s="36" t="s">
        <v>139</v>
      </c>
      <c r="KL71" s="36" t="s">
        <v>139</v>
      </c>
      <c r="KM71" s="36" t="s">
        <v>139</v>
      </c>
      <c r="KN71" s="36" t="s">
        <v>139</v>
      </c>
      <c r="KO71" s="36" t="s">
        <v>139</v>
      </c>
      <c r="KP71" s="36" t="s">
        <v>139</v>
      </c>
      <c r="KQ71" s="36" t="s">
        <v>139</v>
      </c>
      <c r="KR71" s="36" t="s">
        <v>139</v>
      </c>
      <c r="KS71" s="36" t="s">
        <v>139</v>
      </c>
      <c r="KT71" s="36" t="s">
        <v>139</v>
      </c>
      <c r="KU71" s="36" t="s">
        <v>139</v>
      </c>
      <c r="KV71" s="36" t="s">
        <v>139</v>
      </c>
      <c r="KW71" s="36" t="s">
        <v>139</v>
      </c>
      <c r="KX71" s="36" t="s">
        <v>139</v>
      </c>
      <c r="KY71" s="36" t="s">
        <v>139</v>
      </c>
      <c r="KZ71" s="36" t="s">
        <v>139</v>
      </c>
      <c r="LA71" s="36" t="s">
        <v>139</v>
      </c>
      <c r="LB71" s="36" t="s">
        <v>139</v>
      </c>
      <c r="LC71" s="36" t="s">
        <v>139</v>
      </c>
      <c r="LD71" s="36" t="s">
        <v>139</v>
      </c>
      <c r="LE71" s="36" t="s">
        <v>139</v>
      </c>
      <c r="LF71" s="36" t="s">
        <v>139</v>
      </c>
      <c r="LG71" s="36" t="s">
        <v>139</v>
      </c>
      <c r="LH71" s="36" t="s">
        <v>139</v>
      </c>
      <c r="LI71" s="36" t="s">
        <v>139</v>
      </c>
      <c r="LJ71" s="36" t="s">
        <v>139</v>
      </c>
      <c r="LK71" s="36" t="s">
        <v>139</v>
      </c>
      <c r="LL71" s="36" t="s">
        <v>139</v>
      </c>
      <c r="LM71" s="36" t="s">
        <v>139</v>
      </c>
      <c r="LN71" s="36" t="s">
        <v>139</v>
      </c>
      <c r="LO71" s="36" t="s">
        <v>139</v>
      </c>
      <c r="LP71" s="36" t="s">
        <v>139</v>
      </c>
      <c r="LQ71" s="36" t="s">
        <v>139</v>
      </c>
      <c r="LR71" s="36" t="s">
        <v>139</v>
      </c>
      <c r="LS71" s="36" t="s">
        <v>139</v>
      </c>
      <c r="LT71" s="36" t="s">
        <v>139</v>
      </c>
      <c r="LU71" s="36" t="s">
        <v>139</v>
      </c>
      <c r="LV71" s="36" t="s">
        <v>139</v>
      </c>
      <c r="LW71" s="36" t="s">
        <v>139</v>
      </c>
      <c r="LX71" s="36" t="s">
        <v>139</v>
      </c>
      <c r="LY71" s="36" t="s">
        <v>139</v>
      </c>
      <c r="LZ71" s="36" t="s">
        <v>139</v>
      </c>
      <c r="MA71" s="36" t="s">
        <v>139</v>
      </c>
      <c r="MB71" s="36" t="s">
        <v>139</v>
      </c>
      <c r="MC71" s="36" t="s">
        <v>139</v>
      </c>
      <c r="MD71" s="36" t="s">
        <v>139</v>
      </c>
      <c r="ME71" s="36" t="s">
        <v>139</v>
      </c>
      <c r="MF71" s="36" t="s">
        <v>139</v>
      </c>
      <c r="MG71" s="36" t="s">
        <v>139</v>
      </c>
      <c r="MH71" s="36" t="s">
        <v>139</v>
      </c>
      <c r="MI71" s="36" t="s">
        <v>139</v>
      </c>
      <c r="MJ71" s="36" t="s">
        <v>139</v>
      </c>
      <c r="MK71" s="36" t="s">
        <v>139</v>
      </c>
      <c r="ML71" s="36" t="s">
        <v>139</v>
      </c>
      <c r="MM71" s="36" t="s">
        <v>139</v>
      </c>
      <c r="MN71" s="36" t="s">
        <v>139</v>
      </c>
      <c r="MO71" s="36" t="s">
        <v>139</v>
      </c>
      <c r="MP71" s="36" t="s">
        <v>139</v>
      </c>
      <c r="MQ71" s="36" t="s">
        <v>139</v>
      </c>
      <c r="MR71" s="36" t="s">
        <v>139</v>
      </c>
      <c r="MS71" s="36" t="s">
        <v>139</v>
      </c>
      <c r="MT71" s="36" t="s">
        <v>139</v>
      </c>
      <c r="MU71" s="36" t="s">
        <v>139</v>
      </c>
      <c r="MV71" s="36" t="s">
        <v>139</v>
      </c>
      <c r="MW71" s="36" t="s">
        <v>139</v>
      </c>
      <c r="MX71" s="36" t="s">
        <v>139</v>
      </c>
      <c r="MY71" s="36" t="s">
        <v>139</v>
      </c>
      <c r="MZ71" s="36" t="s">
        <v>139</v>
      </c>
      <c r="NA71" s="36" t="s">
        <v>139</v>
      </c>
      <c r="NB71" s="36" t="s">
        <v>139</v>
      </c>
      <c r="NC71" s="36" t="s">
        <v>139</v>
      </c>
      <c r="ND71" s="36" t="s">
        <v>139</v>
      </c>
      <c r="NE71" s="36" t="s">
        <v>139</v>
      </c>
      <c r="NF71" s="36" t="s">
        <v>139</v>
      </c>
      <c r="NG71" s="36" t="s">
        <v>139</v>
      </c>
      <c r="NH71" s="36" t="s">
        <v>139</v>
      </c>
      <c r="NI71" s="36" t="s">
        <v>139</v>
      </c>
      <c r="NJ71" s="36" t="s">
        <v>139</v>
      </c>
      <c r="NK71" s="36" t="s">
        <v>139</v>
      </c>
      <c r="NL71" s="36" t="s">
        <v>139</v>
      </c>
      <c r="NM71" s="36" t="s">
        <v>139</v>
      </c>
      <c r="NN71" s="36" t="s">
        <v>139</v>
      </c>
      <c r="NO71" s="36" t="s">
        <v>139</v>
      </c>
      <c r="NP71" s="36" t="s">
        <v>139</v>
      </c>
      <c r="NQ71" s="36" t="s">
        <v>139</v>
      </c>
      <c r="NR71" s="36" t="s">
        <v>139</v>
      </c>
      <c r="NS71" s="36" t="s">
        <v>139</v>
      </c>
      <c r="NT71" s="36" t="s">
        <v>139</v>
      </c>
      <c r="NU71" s="36" t="s">
        <v>139</v>
      </c>
      <c r="NV71" s="36" t="s">
        <v>139</v>
      </c>
      <c r="NW71" s="36" t="s">
        <v>139</v>
      </c>
      <c r="NX71" s="36" t="s">
        <v>139</v>
      </c>
      <c r="NY71" s="36" t="s">
        <v>139</v>
      </c>
      <c r="NZ71" s="36" t="s">
        <v>139</v>
      </c>
      <c r="OA71" s="36" t="s">
        <v>139</v>
      </c>
      <c r="OB71" s="36" t="s">
        <v>139</v>
      </c>
      <c r="OC71" s="36" t="s">
        <v>139</v>
      </c>
      <c r="OD71" s="36" t="s">
        <v>139</v>
      </c>
      <c r="OE71" s="36" t="s">
        <v>139</v>
      </c>
      <c r="OF71" s="36" t="s">
        <v>139</v>
      </c>
      <c r="OG71" s="36" t="s">
        <v>139</v>
      </c>
      <c r="OH71" s="36" t="s">
        <v>139</v>
      </c>
      <c r="OI71" s="36" t="s">
        <v>139</v>
      </c>
      <c r="OJ71" s="36" t="s">
        <v>139</v>
      </c>
      <c r="OK71" s="36" t="s">
        <v>139</v>
      </c>
      <c r="OL71" s="36" t="s">
        <v>139</v>
      </c>
      <c r="OM71" s="36" t="s">
        <v>139</v>
      </c>
      <c r="ON71" s="36" t="s">
        <v>139</v>
      </c>
      <c r="OO71" s="36" t="s">
        <v>139</v>
      </c>
      <c r="OP71" s="36" t="s">
        <v>139</v>
      </c>
      <c r="OQ71" s="36" t="s">
        <v>139</v>
      </c>
      <c r="OR71" s="36" t="s">
        <v>139</v>
      </c>
      <c r="OS71" s="36" t="s">
        <v>139</v>
      </c>
      <c r="OT71" s="36" t="s">
        <v>139</v>
      </c>
      <c r="OU71" s="36" t="s">
        <v>139</v>
      </c>
      <c r="OV71" s="36" t="s">
        <v>139</v>
      </c>
      <c r="OW71" s="36" t="s">
        <v>139</v>
      </c>
      <c r="OX71" s="36" t="s">
        <v>139</v>
      </c>
      <c r="OY71" s="36" t="s">
        <v>139</v>
      </c>
      <c r="OZ71" s="36" t="s">
        <v>139</v>
      </c>
      <c r="PA71" s="36" t="s">
        <v>139</v>
      </c>
      <c r="PB71" s="36" t="s">
        <v>139</v>
      </c>
      <c r="PC71" s="36" t="s">
        <v>139</v>
      </c>
      <c r="PD71" s="36" t="s">
        <v>139</v>
      </c>
      <c r="PE71" s="36" t="s">
        <v>139</v>
      </c>
      <c r="PF71" s="36" t="s">
        <v>139</v>
      </c>
      <c r="PG71" s="36" t="s">
        <v>139</v>
      </c>
      <c r="PH71" s="36" t="s">
        <v>139</v>
      </c>
      <c r="PI71" s="36" t="s">
        <v>139</v>
      </c>
      <c r="PJ71" s="36" t="s">
        <v>139</v>
      </c>
      <c r="PK71" s="36" t="s">
        <v>139</v>
      </c>
      <c r="PL71" s="36" t="s">
        <v>139</v>
      </c>
      <c r="PM71" s="36" t="s">
        <v>139</v>
      </c>
      <c r="PN71" s="36" t="s">
        <v>139</v>
      </c>
      <c r="PO71" s="74">
        <f>COUNTIFS($C$27:$PN$27,("&lt;"&amp;$B$3),$C$27:$PN$27,("&gt;="&amp;$B$2),$C71:$PN71,TabAsistencias[[#Headers],[1]])</f>
        <v>30</v>
      </c>
      <c r="PP71" s="74">
        <f>COUNTIFS($C$27:$PN$27,("&lt;"&amp;$B$3),$C$27:$PN$27,("&gt;="&amp;$B$2),$C71:$PN71,TabAsistencias[[#Headers],[E]])</f>
        <v>0</v>
      </c>
      <c r="PQ71" s="74">
        <f>COUNTIFS($C$27:$PN$27,("&lt;"&amp;$B$3),$C$27:$PN$27,("&gt;="&amp;$B$2),$C71:$PN71,TabAsistencias[[#Headers],[DE]])</f>
        <v>0</v>
      </c>
      <c r="PR71" s="74">
        <f>COUNTIFS($C$27:$PN$27,("&lt;"&amp;$B$3),$C$27:$PN$27,("&gt;="&amp;$B$2),$C71:$PN71,TabAsistencias[[#Headers],[V]])</f>
        <v>0</v>
      </c>
      <c r="PS71" s="74">
        <f>COUNTIFS($C$27:$PN$27,("&lt;"&amp;$B$3),$C$27:$PN$27,("&gt;="&amp;$B$2),$C71:$PN71,TabAsistencias[[#Headers],[DO]])</f>
        <v>0</v>
      </c>
      <c r="PT71" s="74">
        <f>COUNTIFS($C$27:$PN$27,("&lt;"&amp;$B$3),$C$27:$PN$27,("&gt;="&amp;$B$2),$C71:$PN71,TabAsistencias[[#Headers],[P]])</f>
        <v>0</v>
      </c>
      <c r="PU71" s="74">
        <f>COUNTIFS($C$27:$PN$27,("&lt;"&amp;$B$3),$C$27:$PN$27,("&gt;="&amp;$B$2),$C71:$PN71,TabAsistencias[[#Headers],[F]])</f>
        <v>0</v>
      </c>
      <c r="PV71" s="74">
        <f>COUNTIFS($C$27:$PN$27,("&lt;"&amp;$B$3),$C$27:$PN$27,("&gt;="&amp;$B$2),$C71:$PN71,TabAsistencias[[#Headers],[R]])</f>
        <v>0</v>
      </c>
      <c r="PW71" s="74">
        <f>COUNTIFS($C$27:$PN$27,("&lt;"&amp;$B$3),$C$27:$PN$27,("&gt;="&amp;$B$2),$C71:$PN71,TabAsistencias[[#Headers],[PP]])</f>
        <v>0</v>
      </c>
      <c r="PX71" s="74">
        <f>COUNTIFS($C$27:$PN$27,("&lt;"&amp;$B$3),$C$27:$PN$27,("&gt;="&amp;$B$2),$C71:$PN71,TabAsistencias[[#Headers],[0]])</f>
        <v>0</v>
      </c>
      <c r="PY71" s="74">
        <f>COUNTIFS($C$27:$PN$27,("&lt;"&amp;$B$3),$C$27:$PN$27,("&gt;="&amp;$B$2),$C71:$PN71,TabAsistencias[[#Headers],[IG]])</f>
        <v>0</v>
      </c>
      <c r="PZ71" s="74">
        <f>COUNTIFS($C$27:$PN$27,("&lt;"&amp;$B$3),$C$27:$PN$27,("&gt;="&amp;$B$2),$C71:$PN71,TabAsistencias[[#Headers],[NA]])</f>
        <v>0</v>
      </c>
      <c r="QA71" s="74">
        <f>COUNTIFS($C$27:$PN$27,("&lt;"&amp;$B$3),$C$27:$PN$27,("&gt;="&amp;$B$2),$C71:$PN71,TabAsistencias[[#Headers],[DF]])</f>
        <v>0</v>
      </c>
      <c r="QB71" s="74">
        <f>COUNTIFS($C$27:$PN$27,("&lt;"&amp;$B$3),$C$27:$PN$27,("&gt;="&amp;$B$2),$C71:$PN71,TabAsistencias[[#Headers],[3]])</f>
        <v>0</v>
      </c>
      <c r="QC71" s="74">
        <f>COUNTIFS($C$27:$PN$27,("&lt;"&amp;$B$3),$C$27:$PN$27,("&gt;="&amp;$B$2),$C71:$PN71,TabAsistencias[[#Headers],[CP]])</f>
        <v>0</v>
      </c>
      <c r="QD71" s="74">
        <f>COUNTIFS($C$27:$PN$27,("&lt;"&amp;$B$3),$C$27:$PN$27,("&gt;="&amp;$B$2),$C71:$PN71,TabAsistencias[[#Headers],[I]])</f>
        <v>0</v>
      </c>
      <c r="QE71" s="74">
        <f>COUNTIFS($C$27:$PN$27,("&lt;"&amp;$B$3),$C$27:$PN$27,("&gt;="&amp;$B$2),$C71:$PN71,TabAsistencias[[#Headers],[T/2]])</f>
        <v>0</v>
      </c>
      <c r="QF71" s="74">
        <f>COUNTIFS($C$27:$PN$27,("&lt;"&amp;$B$3),$C$27:$PN$27,("&gt;="&amp;$B$2),$C71:$PN71,TabAsistencias[[#Headers],[ME]])</f>
        <v>0</v>
      </c>
      <c r="QG71" s="74">
        <f>COUNTIFS($C$27:$PN$27,("&lt;"&amp;$B$3),$C$27:$PN$27,("&gt;="&amp;$B$2),$C71:$PN71,TabAsistencias[[#Headers],[DP]])</f>
        <v>0</v>
      </c>
      <c r="QH71" s="74">
        <f>COUNTIFS($C$27:$PN$27,("&lt;"&amp;$B$3),$C$27:$PN$27,("&gt;="&amp;$B$2),$C71:$PN71,TabAsistencias[[#Headers],[B]])</f>
        <v>0</v>
      </c>
      <c r="QI71" s="74">
        <f>(TabAsistencias[[#This Row],[1]]*'Tablas de informacion'!$C$124)+(TabAsistencias[[#This Row],[E]]*'Tablas de informacion'!$C$125)+(TabAsistencias[[#This Row],[DE]]*'Tablas de informacion'!C$126)+(TabAsistencias[[#This Row],[V]]*'Tablas de informacion'!C$127)+(TabAsistencias[[#This Row],[DO]]*'Tablas de informacion'!C$128)+(TabAsistencias[[#This Row],[P]]*'Tablas de informacion'!C$129)+(TabAsistencias[[#This Row],[F]]*'Tablas de informacion'!C$130)+(TabAsistencias[[#This Row],[R]]*'Tablas de informacion'!C$131)+(TabAsistencias[[#This Row],[PP]]*'Tablas de informacion'!C$132)+(TabAsistencias[[#This Row],[0]]*'Tablas de informacion'!C$133)+(TabAsistencias[[#This Row],[IG]]*'Tablas de informacion'!C$134)+(TabAsistencias[[#This Row],[NA]]*'Tablas de informacion'!C$135)+(TabAsistencias[[#This Row],[DF]]*'Tablas de informacion'!C$136)+(TabAsistencias[[#This Row],[3]]*'Tablas de informacion'!C$137)+(TabAsistencias[[#This Row],[CP]]*'Tablas de informacion'!C$138)+(TabAsistencias[[#This Row],[I]]*'Tablas de informacion'!C$139)+(TabAsistencias[[#This Row],[T/2]]*'Tablas de informacion'!C$140)+(TabAsistencias[[#This Row],[ME]]*'Tablas de informacion'!C$141)+(TabAsistencias[[#This Row],[DP]]*'Tablas de informacion'!C$142)+(TabAsistencias[[#This Row],[B]]*'Tablas de informacion'!C$143)-INT(TabAsistencias[[#This Row],[R]]/3)</f>
        <v>30</v>
      </c>
      <c r="QJ71" s="74">
        <f>COUNTIFS($C$27:$PN$27,("&lt;"&amp;$B$3),$C$27:$PN$27,("&gt;="&amp;$B$2),$C$28:$PN$28,1,$C71:$PN71,TabAsistencias[[#Headers],[1]])+
COUNTIFS($C$27:$PN$27,("&lt;"&amp;$B$3),$C$27:$PN$27,("&gt;="&amp;$B$2),$C$28:$PN$28,1,$C71:$PN71,TabAsistencias[[#Headers],[DO]])+
COUNTIFS($C$27:$PN$27,("&lt;"&amp;$B$3),$C$27:$PN$27,("&gt;="&amp;$B$2),$C$28:$PN$28,1,$C71:$PN71,TabAsistencias[[#Headers],[R]])+
COUNTIFS($C$27:$PN$27,("&lt;"&amp;$B$3),$C$27:$PN$27,("&gt;="&amp;$B$2),$C$28:$PN$28,1,$C71:$PN71,TabAsistencias[[#Headers],[NA]])+
COUNTIFS($C$27:$PN$27,("&lt;"&amp;$B$3),$C$27:$PN$27,("&gt;="&amp;$B$2),$C$28:$PN$28,1,$C71:$PN71,TabAsistencias[[#Headers],[DF]])+
COUNTIFS($C$27:$PN$27,("&lt;"&amp;$B$3),$C$27:$PN$27,("&gt;="&amp;$B$2),$C$28:$PN$28,1,$C71:$PN71,TabAsistencias[[#Headers],[3]])+
COUNTIFS($C$27:$PN$27,("&lt;"&amp;$B$3),$C$27:$PN$27,("&gt;="&amp;$B$2),$C$28:$PN$28,1,$C71:$PN71,TabAsistencias[[#Headers],[CP]])+
COUNTIFS($C$27:$PN$27,("&lt;"&amp;$B$3),$C$27:$PN$27,("&gt;="&amp;$B$2),$C$28:$PN$28,1,$C71:$PN71,TabAsistencias[[#Headers],[T/2]])</f>
        <v>4</v>
      </c>
      <c r="QK71" s="315" cm="1">
        <f t="array" ref="QK71">IFERROR(VLOOKUP(
DATEDIF((VLOOKUP(TabAsistencias[[#This Row],[ID]],TabEmpleados[],COLUMN(TabEmpleados[Fecha de ingreso]),FALSE)),Asistencias!$B$3,"Y"),
TabFactorIntegracion[],COLUMN(TabFactorIntegracion[Días vacacionales
establecidos por ley]),FALSE),0)
-
COUNTIF($AH71:$PN71,TabAsistencias[[#Headers],[V]])</f>
        <v>12</v>
      </c>
      <c r="QL71" s="319">
        <f>SUM(TabAsistencias[[#This Row],[''1]],TabAsistencias[[#This Row],[''DE]],TabAsistencias[[#This Row],[''DO]],TabAsistencias[[#This Row],[''R]],TabAsistencias[[#This Row],[''NA]],TabAsistencias[[#This Row],[''DF]],TabAsistencias[[#This Row],[''3]],TabAsistencias[[#This Row],[''CP]],TabAsistencias[[#This Row],[''T/2]],TabAsistencias[[#This Row],[''DP]])</f>
        <v>73</v>
      </c>
      <c r="QM71" s="314">
        <f>COUNTIFS($C$27:$PN$27,("&lt;"&amp;$B$5),$C$27:$PN$27,("&gt;="&amp;$B$4),$C71:$PN71,TabAsistencias[[#Headers],[1]])</f>
        <v>73</v>
      </c>
      <c r="QN71" s="314">
        <f>COUNTIFS($C$27:$PN$27,("&lt;"&amp;$B$5),$C$27:$PN$27,("&gt;="&amp;$B$4),$C71:$PN71,TabAsistencias[[#Headers],[DE]])</f>
        <v>0</v>
      </c>
      <c r="QO71" s="314">
        <f>COUNTIFS($C$27:$PN$27,("&lt;"&amp;$B$5),$C$27:$PN$27,("&gt;="&amp;$B$4),$C71:$PN71,TabAsistencias[[#Headers],[V]])</f>
        <v>0</v>
      </c>
      <c r="QP71" s="314">
        <f>COUNTIFS($C$27:$PN$27,("&lt;"&amp;$B$5),$C$27:$PN$27,("&gt;="&amp;$B$4),$C71:$PN71,TabAsistencias[[#Headers],[DO]])</f>
        <v>0</v>
      </c>
      <c r="QQ71" s="314">
        <f>COUNTIFS($C$27:$PN$27,("&lt;"&amp;$B$5),$C$27:$PN$27,("&gt;="&amp;$B$4),$C71:$PN71,TabAsistencias[[#Headers],[P]])</f>
        <v>0</v>
      </c>
      <c r="QR71" s="314">
        <f>COUNTIFS($C$27:$PN$27,("&lt;"&amp;$B$5),$C$27:$PN$27,("&gt;="&amp;$B$4),$C71:$PN71,TabAsistencias[[#Headers],[F]])</f>
        <v>0</v>
      </c>
      <c r="QS71" s="314">
        <f>COUNTIFS($C$27:$PN$27,("&lt;"&amp;$B$5),$C$27:$PN$27,("&gt;="&amp;$B$4),$C71:$PN71,TabAsistencias[[#Headers],[R]])</f>
        <v>0</v>
      </c>
      <c r="QT71" s="314">
        <f>COUNTIFS($C$27:$PN$27,("&lt;"&amp;$B$5),$C$27:$PN$27,("&gt;="&amp;$B$4),$C71:$PN71,TabAsistencias[[#Headers],[PP]])</f>
        <v>0</v>
      </c>
      <c r="QU71" s="314">
        <f>COUNTIFS($C$27:$PN$27,("&lt;"&amp;$B$5),$C$27:$PN$27,("&gt;="&amp;$B$4),$C71:$PN71,TabAsistencias[[#Headers],[0]])</f>
        <v>0</v>
      </c>
      <c r="QV71" s="314">
        <f>COUNTIFS($C$27:$PN$27,("&lt;"&amp;$B$5),$C$27:$PN$27,("&gt;="&amp;$B$4),$C71:$PN71,TabAsistencias[[#Headers],[IG]])</f>
        <v>0</v>
      </c>
      <c r="QW71" s="314">
        <f>COUNTIFS($C$27:$PN$27,("&lt;"&amp;$B$5),$C$27:$PN$27,("&gt;="&amp;$B$4),$C71:$PN71,TabAsistencias[[#Headers],[NA]])</f>
        <v>0</v>
      </c>
      <c r="QX71" s="314">
        <f>COUNTIFS($C$27:$PN$27,("&lt;"&amp;$B$5),$C$27:$PN$27,("&gt;="&amp;$B$4),$C71:$PN71,TabAsistencias[[#Headers],[DF]])</f>
        <v>0</v>
      </c>
      <c r="QY71" s="314">
        <f>COUNTIFS($C$27:$PN$27,("&lt;"&amp;$B$5),$C$27:$PN$27,("&gt;="&amp;$B$4),$C71:$PN71,TabAsistencias[[#Headers],[3]])</f>
        <v>0</v>
      </c>
      <c r="QZ71" s="314">
        <f>COUNTIFS($C$27:$PN$27,("&lt;"&amp;$B$5),$C$27:$PN$27,("&gt;="&amp;$B$4),$C71:$PN71,TabAsistencias[[#Headers],[CP]])</f>
        <v>0</v>
      </c>
      <c r="RA71" s="314">
        <f>COUNTIFS($C$27:$PN$27,("&lt;"&amp;$B$5),$C$27:$PN$27,("&gt;="&amp;$B$4),$C71:$PN71,TabAsistencias[[#Headers],[I]])</f>
        <v>0</v>
      </c>
      <c r="RB71" s="314">
        <f>COUNTIFS($C$27:$PN$27,("&lt;"&amp;$B$5),$C$27:$PN$27,("&gt;="&amp;$B$4),$C71:$PN71,TabAsistencias[[#Headers],[T/2]])</f>
        <v>0</v>
      </c>
      <c r="RC71" s="314">
        <f>COUNTIFS($C$27:$PN$27,("&lt;"&amp;$B$5),$C$27:$PN$27,("&gt;="&amp;$B$4),$C71:$PN71,TabAsistencias[[#Headers],[ME]])</f>
        <v>0</v>
      </c>
      <c r="RD71" s="314">
        <f>COUNTIFS($C$27:$PN$27,("&lt;"&amp;$B$5),$C$27:$PN$27,("&gt;="&amp;$B$4),$C71:$PN71,TabAsistencias[[#Headers],[DP]])</f>
        <v>0</v>
      </c>
      <c r="RE71" s="314">
        <f>COUNTIFS($C$27:$PN$27,("&lt;"&amp;$B$5),$C$27:$PN$27,("&gt;="&amp;$B$4),$C71:$PN71,TabAsistencias[[#Headers],[B]])</f>
        <v>0</v>
      </c>
      <c r="RF71" s="314">
        <f>COUNTIFS($C$27:$PN$27,("&lt;"&amp;$B$5),$C$27:$PN$27,("&gt;="&amp;$B$4),$C$28:$PN$28,1,$C71:$PN71,TabAsistencias[[#Headers],[1]])+
COUNTIFS($C$27:$PN$27,("&lt;"&amp;$B$5),$C$27:$PN$27,("&gt;="&amp;$B$4),$C$28:$PN$28,1,$C71:$PN71,TabAsistencias[[#Headers],[DO]])+
COUNTIFS($C$27:$PN$27,("&lt;"&amp;$B$5),$C$27:$PN$27,("&gt;="&amp;$B$4),$C$28:$PN$28,1,$C71:$PN71,TabAsistencias[[#Headers],[R]])+
COUNTIFS($C$27:$PN$27,("&lt;"&amp;$B$5),$C$27:$PN$27,("&gt;="&amp;$B$4),$C$28:$PN$28,1,$C71:$PN71,TabAsistencias[[#Headers],[NA]])+
COUNTIFS($C$27:$PN$27,("&lt;"&amp;$B$5),$C$27:$PN$27,("&gt;="&amp;$B$4),$C$28:$PN$28,1,$C71:$PN71,TabAsistencias[[#Headers],[DF]])+
COUNTIFS($C$27:$PN$27,("&lt;"&amp;$B$5),$C$27:$PN$27,("&gt;="&amp;$B$4),$C$28:$PN$28,1,$C71:$PN71,TabAsistencias[[#Headers],[3]])+
COUNTIFS($C$27:$PN$27,("&lt;"&amp;$B$5),$C$27:$PN$27,("&gt;="&amp;$B$4),$C$28:$PN$28,1,$C71:$PN71,TabAsistencias[[#Headers],[CP]])+
COUNTIFS($C$27:$PN$27,("&lt;"&amp;$B$5),$C$27:$PN$27,("&gt;="&amp;$B$4),$C$28:$PN$28,1,$C71:$PN71,TabAsistencias[[#Headers],[T/2]])</f>
        <v>11</v>
      </c>
      <c r="RG71" s="320" cm="1">
        <f t="array" ref="RG71">IFERROR(VLOOKUP(
DATEDIF((VLOOKUP(TabAsistencias[[#This Row],[ID]],TabEmpleados[],COLUMN(TabEmpleados[Fecha de alta NSS]),FALSE)),Asistencias!$B$3,"Y"),
TabFactorIntegracion[],COLUMN(TabFactorIntegracion[Días vacacionales
establecidos por ley]),FALSE),0)
-
COUNTIF($AH71:$PN71,TabAsistencias[[#Headers],[V]])</f>
        <v>12</v>
      </c>
    </row>
    <row r="72" spans="1:475" x14ac:dyDescent="0.25">
      <c r="A72" s="92">
        <f t="shared" si="434"/>
        <v>42</v>
      </c>
      <c r="B72" s="30" t="str" cm="1">
        <f t="array" ref="B72">VLOOKUP(TabAsistencias[[#This Row],[ID]],TabEmpleados[],COLUMN(TabEmpleados[Nombre]),FALSE)</f>
        <v>GAYTAN VASQUEZ ERICK</v>
      </c>
      <c r="C72" s="36" t="s">
        <v>139</v>
      </c>
      <c r="D72" s="36" t="s">
        <v>139</v>
      </c>
      <c r="E72" s="36" t="s">
        <v>139</v>
      </c>
      <c r="F72" s="36" t="s">
        <v>139</v>
      </c>
      <c r="G72" s="36" t="s">
        <v>139</v>
      </c>
      <c r="H72" s="36" t="s">
        <v>139</v>
      </c>
      <c r="I72" s="36" t="s">
        <v>139</v>
      </c>
      <c r="J72" s="36" t="s">
        <v>139</v>
      </c>
      <c r="K72" s="36" t="s">
        <v>139</v>
      </c>
      <c r="L72" s="36" t="s">
        <v>139</v>
      </c>
      <c r="M72" s="36" t="s">
        <v>139</v>
      </c>
      <c r="N72" s="36" t="s">
        <v>139</v>
      </c>
      <c r="O72" s="36" t="s">
        <v>139</v>
      </c>
      <c r="P72" s="36" t="s">
        <v>139</v>
      </c>
      <c r="Q72" s="36" t="s">
        <v>139</v>
      </c>
      <c r="R72" s="36" t="s">
        <v>139</v>
      </c>
      <c r="S72" s="36" t="s">
        <v>139</v>
      </c>
      <c r="T72" s="36" t="s">
        <v>139</v>
      </c>
      <c r="U72" s="36" t="s">
        <v>139</v>
      </c>
      <c r="V72" s="36" t="s">
        <v>139</v>
      </c>
      <c r="W72" s="36" t="s">
        <v>139</v>
      </c>
      <c r="X72" s="36" t="s">
        <v>139</v>
      </c>
      <c r="Y72" s="36" t="s">
        <v>139</v>
      </c>
      <c r="Z72" s="36" t="s">
        <v>139</v>
      </c>
      <c r="AA72" s="36" t="s">
        <v>139</v>
      </c>
      <c r="AB72" s="36" t="s">
        <v>139</v>
      </c>
      <c r="AC72" s="36" t="s">
        <v>139</v>
      </c>
      <c r="AD72" s="36" t="s">
        <v>139</v>
      </c>
      <c r="AE72" s="36" t="s">
        <v>139</v>
      </c>
      <c r="AF72" s="36" t="s">
        <v>139</v>
      </c>
      <c r="AG72" s="36" t="s">
        <v>139</v>
      </c>
      <c r="AH72" s="36" t="s">
        <v>139</v>
      </c>
      <c r="AI72" s="36" t="s">
        <v>139</v>
      </c>
      <c r="AJ72" s="36" t="s">
        <v>139</v>
      </c>
      <c r="AK72" s="36" t="s">
        <v>139</v>
      </c>
      <c r="AL72" s="36" t="s">
        <v>139</v>
      </c>
      <c r="AM72" s="36" t="s">
        <v>139</v>
      </c>
      <c r="AN72" s="36" t="s">
        <v>139</v>
      </c>
      <c r="AO72" s="36" t="s">
        <v>139</v>
      </c>
      <c r="AP72" s="36" t="s">
        <v>139</v>
      </c>
      <c r="AQ72" s="36" t="s">
        <v>139</v>
      </c>
      <c r="AR72" s="36" t="s">
        <v>139</v>
      </c>
      <c r="AS72" s="36" t="s">
        <v>139</v>
      </c>
      <c r="AT72" s="36" t="s">
        <v>139</v>
      </c>
      <c r="AU72" s="36" t="s">
        <v>139</v>
      </c>
      <c r="AV72" s="36" t="s">
        <v>139</v>
      </c>
      <c r="AW72" s="36" t="s">
        <v>139</v>
      </c>
      <c r="AX72" s="36" t="s">
        <v>139</v>
      </c>
      <c r="AY72" s="36" t="s">
        <v>139</v>
      </c>
      <c r="AZ72" s="36" t="s">
        <v>139</v>
      </c>
      <c r="BA72" s="36" t="s">
        <v>139</v>
      </c>
      <c r="BB72" s="36" t="s">
        <v>139</v>
      </c>
      <c r="BC72" s="36" t="s">
        <v>139</v>
      </c>
      <c r="BD72" s="36" t="s">
        <v>139</v>
      </c>
      <c r="BE72" s="36" t="s">
        <v>139</v>
      </c>
      <c r="BF72" s="36" t="s">
        <v>139</v>
      </c>
      <c r="BG72" s="36" t="s">
        <v>139</v>
      </c>
      <c r="BH72" s="36" t="s">
        <v>139</v>
      </c>
      <c r="BI72" s="36" t="s">
        <v>139</v>
      </c>
      <c r="BJ72" s="36" t="s">
        <v>139</v>
      </c>
      <c r="BK72" s="36" t="s">
        <v>139</v>
      </c>
      <c r="BL72" s="36" t="s">
        <v>139</v>
      </c>
      <c r="BM72" s="36" t="s">
        <v>139</v>
      </c>
      <c r="BN72" s="36" t="s">
        <v>139</v>
      </c>
      <c r="BO72" s="36" t="s">
        <v>139</v>
      </c>
      <c r="BP72" s="36" t="s">
        <v>139</v>
      </c>
      <c r="BQ72" s="36" t="s">
        <v>139</v>
      </c>
      <c r="BR72" s="36" t="s">
        <v>139</v>
      </c>
      <c r="BS72" s="36" t="s">
        <v>139</v>
      </c>
      <c r="BT72" s="36" t="s">
        <v>139</v>
      </c>
      <c r="BU72" s="36" t="s">
        <v>139</v>
      </c>
      <c r="BV72" s="36" t="s">
        <v>139</v>
      </c>
      <c r="BW72" s="36" t="s">
        <v>139</v>
      </c>
      <c r="BX72" s="36" t="s">
        <v>139</v>
      </c>
      <c r="BY72" s="36" t="s">
        <v>139</v>
      </c>
      <c r="BZ72" s="36" t="s">
        <v>139</v>
      </c>
      <c r="CA72" s="36" t="s">
        <v>139</v>
      </c>
      <c r="CB72" s="36" t="s">
        <v>139</v>
      </c>
      <c r="CC72" s="36" t="s">
        <v>139</v>
      </c>
      <c r="CD72" s="36" t="s">
        <v>139</v>
      </c>
      <c r="CE72" s="36" t="s">
        <v>139</v>
      </c>
      <c r="CF72" s="36" t="s">
        <v>139</v>
      </c>
      <c r="CG72" s="36" t="s">
        <v>139</v>
      </c>
      <c r="CH72" s="36" t="s">
        <v>139</v>
      </c>
      <c r="CI72" s="36" t="s">
        <v>139</v>
      </c>
      <c r="CJ72" s="36" t="s">
        <v>139</v>
      </c>
      <c r="CK72" s="36" t="s">
        <v>139</v>
      </c>
      <c r="CL72" s="36" t="s">
        <v>139</v>
      </c>
      <c r="CM72" s="36" t="s">
        <v>139</v>
      </c>
      <c r="CN72" s="36" t="s">
        <v>139</v>
      </c>
      <c r="CO72" s="36" t="s">
        <v>139</v>
      </c>
      <c r="CP72" s="36" t="s">
        <v>139</v>
      </c>
      <c r="CQ72" s="36" t="s">
        <v>139</v>
      </c>
      <c r="CR72" s="36" t="s">
        <v>139</v>
      </c>
      <c r="CS72" s="36" t="s">
        <v>139</v>
      </c>
      <c r="CT72" s="36" t="s">
        <v>139</v>
      </c>
      <c r="CU72" s="36" t="s">
        <v>139</v>
      </c>
      <c r="CV72" s="36" t="s">
        <v>139</v>
      </c>
      <c r="CW72" s="36" t="s">
        <v>139</v>
      </c>
      <c r="CX72" s="36" t="s">
        <v>139</v>
      </c>
      <c r="CY72" s="36" t="s">
        <v>139</v>
      </c>
      <c r="CZ72" s="36" t="s">
        <v>139</v>
      </c>
      <c r="DA72" s="36" t="s">
        <v>139</v>
      </c>
      <c r="DB72" s="36" t="s">
        <v>139</v>
      </c>
      <c r="DC72" s="36" t="s">
        <v>139</v>
      </c>
      <c r="DD72" s="36" t="s">
        <v>139</v>
      </c>
      <c r="DE72" s="36" t="s">
        <v>139</v>
      </c>
      <c r="DF72" s="36" t="s">
        <v>139</v>
      </c>
      <c r="DG72" s="36" t="s">
        <v>139</v>
      </c>
      <c r="DH72" s="36" t="s">
        <v>139</v>
      </c>
      <c r="DI72" s="36" t="s">
        <v>139</v>
      </c>
      <c r="DJ72" s="36" t="s">
        <v>139</v>
      </c>
      <c r="DK72" s="36" t="s">
        <v>139</v>
      </c>
      <c r="DL72" s="36" t="s">
        <v>139</v>
      </c>
      <c r="DM72" s="36" t="s">
        <v>139</v>
      </c>
      <c r="DN72" s="36" t="s">
        <v>139</v>
      </c>
      <c r="DO72" s="36" t="s">
        <v>139</v>
      </c>
      <c r="DP72" s="36" t="s">
        <v>139</v>
      </c>
      <c r="DQ72" s="36" t="s">
        <v>139</v>
      </c>
      <c r="DR72" s="36" t="s">
        <v>139</v>
      </c>
      <c r="DS72" s="36" t="s">
        <v>139</v>
      </c>
      <c r="DT72" s="36" t="s">
        <v>139</v>
      </c>
      <c r="DU72" s="36" t="s">
        <v>139</v>
      </c>
      <c r="DV72" s="36" t="s">
        <v>139</v>
      </c>
      <c r="DW72" s="36" t="s">
        <v>139</v>
      </c>
      <c r="DX72" s="36" t="s">
        <v>139</v>
      </c>
      <c r="DY72" s="36" t="s">
        <v>139</v>
      </c>
      <c r="DZ72" s="36" t="s">
        <v>139</v>
      </c>
      <c r="EA72" s="36" t="s">
        <v>139</v>
      </c>
      <c r="EB72" s="36" t="s">
        <v>139</v>
      </c>
      <c r="EC72" s="36" t="s">
        <v>139</v>
      </c>
      <c r="ED72" s="36" t="s">
        <v>139</v>
      </c>
      <c r="EE72" s="36" t="s">
        <v>139</v>
      </c>
      <c r="EF72" s="36" t="s">
        <v>139</v>
      </c>
      <c r="EG72" s="36" t="s">
        <v>139</v>
      </c>
      <c r="EH72" s="36" t="s">
        <v>139</v>
      </c>
      <c r="EI72" s="36" t="s">
        <v>139</v>
      </c>
      <c r="EJ72" s="36" t="s">
        <v>139</v>
      </c>
      <c r="EK72" s="36" t="s">
        <v>139</v>
      </c>
      <c r="EL72" s="36" t="s">
        <v>139</v>
      </c>
      <c r="EM72" s="36" t="s">
        <v>139</v>
      </c>
      <c r="EN72" s="36" t="s">
        <v>139</v>
      </c>
      <c r="EO72" s="36" t="s">
        <v>139</v>
      </c>
      <c r="EP72" s="36" t="s">
        <v>139</v>
      </c>
      <c r="EQ72" s="36" t="s">
        <v>139</v>
      </c>
      <c r="ER72" s="36" t="s">
        <v>139</v>
      </c>
      <c r="ES72" s="36" t="s">
        <v>139</v>
      </c>
      <c r="ET72" s="36" t="s">
        <v>139</v>
      </c>
      <c r="EU72" s="36" t="s">
        <v>139</v>
      </c>
      <c r="EV72" s="36" t="s">
        <v>139</v>
      </c>
      <c r="EW72" s="36" t="s">
        <v>139</v>
      </c>
      <c r="EX72" s="36" t="s">
        <v>139</v>
      </c>
      <c r="EY72" s="36" t="s">
        <v>139</v>
      </c>
      <c r="EZ72" s="36" t="s">
        <v>139</v>
      </c>
      <c r="FA72" s="36" t="s">
        <v>139</v>
      </c>
      <c r="FB72" s="36" t="s">
        <v>139</v>
      </c>
      <c r="FC72" s="36" t="s">
        <v>139</v>
      </c>
      <c r="FD72" s="36" t="s">
        <v>139</v>
      </c>
      <c r="FE72" s="36" t="s">
        <v>139</v>
      </c>
      <c r="FF72" s="36" t="s">
        <v>139</v>
      </c>
      <c r="FG72" s="36" t="s">
        <v>139</v>
      </c>
      <c r="FH72" s="36" t="s">
        <v>139</v>
      </c>
      <c r="FI72" s="36" t="s">
        <v>139</v>
      </c>
      <c r="FJ72" s="36" t="s">
        <v>139</v>
      </c>
      <c r="FK72" s="36" t="s">
        <v>139</v>
      </c>
      <c r="FL72" s="36" t="s">
        <v>139</v>
      </c>
      <c r="FM72" s="36" t="s">
        <v>139</v>
      </c>
      <c r="FN72" s="36" t="s">
        <v>139</v>
      </c>
      <c r="FO72" s="36" t="s">
        <v>139</v>
      </c>
      <c r="FP72" s="36" t="s">
        <v>139</v>
      </c>
      <c r="FQ72" s="36" t="s">
        <v>139</v>
      </c>
      <c r="FR72" s="36" t="s">
        <v>139</v>
      </c>
      <c r="FS72" s="36" t="s">
        <v>139</v>
      </c>
      <c r="FT72" s="36" t="s">
        <v>139</v>
      </c>
      <c r="FU72" s="36" t="s">
        <v>139</v>
      </c>
      <c r="FV72" s="36" t="s">
        <v>139</v>
      </c>
      <c r="FW72" s="36" t="s">
        <v>139</v>
      </c>
      <c r="FX72" s="36" t="s">
        <v>139</v>
      </c>
      <c r="FY72" s="36" t="s">
        <v>139</v>
      </c>
      <c r="FZ72" s="36" t="s">
        <v>139</v>
      </c>
      <c r="GA72" s="36" t="s">
        <v>139</v>
      </c>
      <c r="GB72" s="36" t="s">
        <v>139</v>
      </c>
      <c r="GC72" s="36" t="s">
        <v>139</v>
      </c>
      <c r="GD72" s="36" t="s">
        <v>139</v>
      </c>
      <c r="GE72" s="36" t="s">
        <v>139</v>
      </c>
      <c r="GF72" s="36" t="s">
        <v>139</v>
      </c>
      <c r="GG72" s="36" t="s">
        <v>139</v>
      </c>
      <c r="GH72" s="36" t="s">
        <v>139</v>
      </c>
      <c r="GI72" s="36" t="s">
        <v>139</v>
      </c>
      <c r="GJ72" s="36" t="s">
        <v>139</v>
      </c>
      <c r="GK72" s="36" t="s">
        <v>139</v>
      </c>
      <c r="GL72" s="36" t="s">
        <v>139</v>
      </c>
      <c r="GM72" s="36" t="s">
        <v>139</v>
      </c>
      <c r="GN72" s="36" t="s">
        <v>139</v>
      </c>
      <c r="GO72" s="36" t="s">
        <v>139</v>
      </c>
      <c r="GP72" s="36" t="s">
        <v>139</v>
      </c>
      <c r="GQ72" s="36" t="s">
        <v>139</v>
      </c>
      <c r="GR72" s="36" t="s">
        <v>139</v>
      </c>
      <c r="GS72" s="36" t="s">
        <v>139</v>
      </c>
      <c r="GT72" s="36" t="s">
        <v>139</v>
      </c>
      <c r="GU72" s="36" t="s">
        <v>139</v>
      </c>
      <c r="GV72" s="36" t="s">
        <v>139</v>
      </c>
      <c r="GW72" s="36" t="s">
        <v>139</v>
      </c>
      <c r="GX72" s="36" t="s">
        <v>139</v>
      </c>
      <c r="GY72" s="36" t="s">
        <v>139</v>
      </c>
      <c r="GZ72" s="36" t="s">
        <v>139</v>
      </c>
      <c r="HA72" s="36" t="s">
        <v>139</v>
      </c>
      <c r="HB72" s="36" t="s">
        <v>139</v>
      </c>
      <c r="HC72" s="36" t="s">
        <v>139</v>
      </c>
      <c r="HD72" s="36" t="s">
        <v>139</v>
      </c>
      <c r="HE72" s="36" t="s">
        <v>139</v>
      </c>
      <c r="HF72" s="36" t="s">
        <v>139</v>
      </c>
      <c r="HG72" s="36" t="s">
        <v>139</v>
      </c>
      <c r="HH72" s="36" t="s">
        <v>139</v>
      </c>
      <c r="HI72" s="36" t="s">
        <v>139</v>
      </c>
      <c r="HJ72" s="36" t="s">
        <v>139</v>
      </c>
      <c r="HK72" s="36" t="s">
        <v>139</v>
      </c>
      <c r="HL72" s="36" t="s">
        <v>139</v>
      </c>
      <c r="HM72" s="36" t="s">
        <v>139</v>
      </c>
      <c r="HN72" s="36" t="s">
        <v>139</v>
      </c>
      <c r="HO72" s="36" t="s">
        <v>139</v>
      </c>
      <c r="HP72" s="36" t="s">
        <v>139</v>
      </c>
      <c r="HQ72" s="36" t="s">
        <v>139</v>
      </c>
      <c r="HR72" s="36" t="s">
        <v>139</v>
      </c>
      <c r="HS72" s="36" t="s">
        <v>139</v>
      </c>
      <c r="HT72" s="36" t="s">
        <v>139</v>
      </c>
      <c r="HU72" s="36" t="s">
        <v>139</v>
      </c>
      <c r="HV72" s="36" t="s">
        <v>139</v>
      </c>
      <c r="HW72" s="36" t="s">
        <v>139</v>
      </c>
      <c r="HX72" s="36" t="s">
        <v>139</v>
      </c>
      <c r="HY72" s="36" t="s">
        <v>139</v>
      </c>
      <c r="HZ72" s="36" t="s">
        <v>139</v>
      </c>
      <c r="IA72" s="36" t="s">
        <v>139</v>
      </c>
      <c r="IB72" s="36" t="s">
        <v>139</v>
      </c>
      <c r="IC72" s="36" t="s">
        <v>139</v>
      </c>
      <c r="ID72" s="36" t="s">
        <v>139</v>
      </c>
      <c r="IE72" s="36" t="s">
        <v>139</v>
      </c>
      <c r="IF72" s="36" t="s">
        <v>139</v>
      </c>
      <c r="IG72" s="36" t="s">
        <v>139</v>
      </c>
      <c r="IH72" s="36" t="s">
        <v>139</v>
      </c>
      <c r="II72" s="36" t="s">
        <v>139</v>
      </c>
      <c r="IJ72" s="36" t="s">
        <v>139</v>
      </c>
      <c r="IK72" s="36" t="s">
        <v>139</v>
      </c>
      <c r="IL72" s="36" t="s">
        <v>139</v>
      </c>
      <c r="IM72" s="36" t="s">
        <v>139</v>
      </c>
      <c r="IN72" s="36" t="s">
        <v>139</v>
      </c>
      <c r="IO72" s="36" t="s">
        <v>139</v>
      </c>
      <c r="IP72" s="36" t="s">
        <v>139</v>
      </c>
      <c r="IQ72" s="36" t="s">
        <v>139</v>
      </c>
      <c r="IR72" s="36" t="s">
        <v>139</v>
      </c>
      <c r="IS72" s="36" t="s">
        <v>139</v>
      </c>
      <c r="IT72" s="36" t="s">
        <v>139</v>
      </c>
      <c r="IU72" s="36" t="s">
        <v>139</v>
      </c>
      <c r="IV72" s="36" t="s">
        <v>139</v>
      </c>
      <c r="IW72" s="36" t="s">
        <v>139</v>
      </c>
      <c r="IX72" s="36" t="s">
        <v>139</v>
      </c>
      <c r="IY72" s="36" t="s">
        <v>139</v>
      </c>
      <c r="IZ72" s="36" t="s">
        <v>139</v>
      </c>
      <c r="JA72" s="36" t="s">
        <v>139</v>
      </c>
      <c r="JB72" s="36" t="s">
        <v>139</v>
      </c>
      <c r="JC72" s="36" t="s">
        <v>139</v>
      </c>
      <c r="JD72" s="36" t="s">
        <v>139</v>
      </c>
      <c r="JE72" s="36" t="s">
        <v>139</v>
      </c>
      <c r="JF72" s="36" t="s">
        <v>139</v>
      </c>
      <c r="JG72" s="36" t="s">
        <v>139</v>
      </c>
      <c r="JH72" s="36" t="s">
        <v>139</v>
      </c>
      <c r="JI72" s="36" t="s">
        <v>139</v>
      </c>
      <c r="JJ72" s="36" t="s">
        <v>139</v>
      </c>
      <c r="JK72" s="36" t="s">
        <v>139</v>
      </c>
      <c r="JL72" s="36" t="s">
        <v>139</v>
      </c>
      <c r="JM72" s="36" t="s">
        <v>139</v>
      </c>
      <c r="JN72" s="36" t="s">
        <v>139</v>
      </c>
      <c r="JO72" s="36" t="s">
        <v>139</v>
      </c>
      <c r="JP72" s="36" t="s">
        <v>139</v>
      </c>
      <c r="JQ72" s="36" t="s">
        <v>139</v>
      </c>
      <c r="JR72" s="36" t="s">
        <v>139</v>
      </c>
      <c r="JS72" s="36" t="s">
        <v>139</v>
      </c>
      <c r="JT72" s="36" t="s">
        <v>139</v>
      </c>
      <c r="JU72" s="36" t="s">
        <v>139</v>
      </c>
      <c r="JV72" s="36" t="s">
        <v>139</v>
      </c>
      <c r="JW72" s="36" t="s">
        <v>139</v>
      </c>
      <c r="JX72" s="36" t="s">
        <v>139</v>
      </c>
      <c r="JY72" s="36" t="s">
        <v>139</v>
      </c>
      <c r="JZ72" s="36" t="s">
        <v>139</v>
      </c>
      <c r="KA72" s="36" t="s">
        <v>139</v>
      </c>
      <c r="KB72" s="36" t="s">
        <v>139</v>
      </c>
      <c r="KC72" s="36" t="s">
        <v>139</v>
      </c>
      <c r="KD72" s="36" t="s">
        <v>139</v>
      </c>
      <c r="KE72" s="36" t="s">
        <v>139</v>
      </c>
      <c r="KF72" s="36" t="s">
        <v>139</v>
      </c>
      <c r="KG72" s="36" t="s">
        <v>139</v>
      </c>
      <c r="KH72" s="36" t="s">
        <v>139</v>
      </c>
      <c r="KI72" s="36" t="s">
        <v>139</v>
      </c>
      <c r="KJ72" s="36" t="s">
        <v>139</v>
      </c>
      <c r="KK72" s="36" t="s">
        <v>139</v>
      </c>
      <c r="KL72" s="36" t="s">
        <v>139</v>
      </c>
      <c r="KM72" s="36" t="s">
        <v>139</v>
      </c>
      <c r="KN72" s="36" t="s">
        <v>139</v>
      </c>
      <c r="KO72" s="36" t="s">
        <v>139</v>
      </c>
      <c r="KP72" s="36" t="s">
        <v>139</v>
      </c>
      <c r="KQ72" s="36" t="s">
        <v>139</v>
      </c>
      <c r="KR72" s="36" t="s">
        <v>139</v>
      </c>
      <c r="KS72" s="36" t="s">
        <v>139</v>
      </c>
      <c r="KT72" s="36" t="s">
        <v>139</v>
      </c>
      <c r="KU72" s="36" t="s">
        <v>139</v>
      </c>
      <c r="KV72" s="36" t="s">
        <v>139</v>
      </c>
      <c r="KW72" s="36" t="s">
        <v>139</v>
      </c>
      <c r="KX72" s="36" t="s">
        <v>139</v>
      </c>
      <c r="KY72" s="36" t="s">
        <v>139</v>
      </c>
      <c r="KZ72" s="36" t="s">
        <v>139</v>
      </c>
      <c r="LA72" s="36" t="s">
        <v>139</v>
      </c>
      <c r="LB72" s="36" t="s">
        <v>139</v>
      </c>
      <c r="LC72" s="36" t="s">
        <v>139</v>
      </c>
      <c r="LD72" s="36" t="s">
        <v>139</v>
      </c>
      <c r="LE72" s="36" t="s">
        <v>139</v>
      </c>
      <c r="LF72" s="36" t="s">
        <v>139</v>
      </c>
      <c r="LG72" s="36" t="s">
        <v>139</v>
      </c>
      <c r="LH72" s="36" t="s">
        <v>139</v>
      </c>
      <c r="LI72" s="36" t="s">
        <v>139</v>
      </c>
      <c r="LJ72" s="36" t="s">
        <v>139</v>
      </c>
      <c r="LK72" s="36" t="s">
        <v>139</v>
      </c>
      <c r="LL72" s="36" t="s">
        <v>139</v>
      </c>
      <c r="LM72" s="36" t="s">
        <v>139</v>
      </c>
      <c r="LN72" s="36" t="s">
        <v>139</v>
      </c>
      <c r="LO72" s="36" t="s">
        <v>139</v>
      </c>
      <c r="LP72" s="36" t="s">
        <v>139</v>
      </c>
      <c r="LQ72" s="36" t="s">
        <v>139</v>
      </c>
      <c r="LR72" s="36" t="s">
        <v>139</v>
      </c>
      <c r="LS72" s="36" t="s">
        <v>139</v>
      </c>
      <c r="LT72" s="36" t="s">
        <v>139</v>
      </c>
      <c r="LU72" s="36" t="s">
        <v>139</v>
      </c>
      <c r="LV72" s="36" t="s">
        <v>139</v>
      </c>
      <c r="LW72" s="36" t="s">
        <v>139</v>
      </c>
      <c r="LX72" s="36" t="s">
        <v>139</v>
      </c>
      <c r="LY72" s="36" t="s">
        <v>139</v>
      </c>
      <c r="LZ72" s="36" t="s">
        <v>139</v>
      </c>
      <c r="MA72" s="36" t="s">
        <v>139</v>
      </c>
      <c r="MB72" s="36" t="s">
        <v>139</v>
      </c>
      <c r="MC72" s="36" t="s">
        <v>139</v>
      </c>
      <c r="MD72" s="36" t="s">
        <v>139</v>
      </c>
      <c r="ME72" s="36" t="s">
        <v>139</v>
      </c>
      <c r="MF72" s="36" t="s">
        <v>139</v>
      </c>
      <c r="MG72" s="36" t="s">
        <v>139</v>
      </c>
      <c r="MH72" s="36" t="s">
        <v>139</v>
      </c>
      <c r="MI72" s="36" t="s">
        <v>139</v>
      </c>
      <c r="MJ72" s="36" t="s">
        <v>139</v>
      </c>
      <c r="MK72" s="36" t="s">
        <v>139</v>
      </c>
      <c r="ML72" s="36" t="s">
        <v>139</v>
      </c>
      <c r="MM72" s="36" t="s">
        <v>139</v>
      </c>
      <c r="MN72" s="36" t="s">
        <v>139</v>
      </c>
      <c r="MO72" s="36" t="s">
        <v>139</v>
      </c>
      <c r="MP72" s="36" t="s">
        <v>139</v>
      </c>
      <c r="MQ72" s="36" t="s">
        <v>139</v>
      </c>
      <c r="MR72" s="36" t="s">
        <v>139</v>
      </c>
      <c r="MS72" s="36" t="s">
        <v>139</v>
      </c>
      <c r="MT72" s="36" t="s">
        <v>139</v>
      </c>
      <c r="MU72" s="36" t="s">
        <v>139</v>
      </c>
      <c r="MV72" s="36" t="s">
        <v>139</v>
      </c>
      <c r="MW72" s="36" t="s">
        <v>139</v>
      </c>
      <c r="MX72" s="36" t="s">
        <v>139</v>
      </c>
      <c r="MY72" s="36" t="s">
        <v>139</v>
      </c>
      <c r="MZ72" s="36" t="s">
        <v>139</v>
      </c>
      <c r="NA72" s="36" t="s">
        <v>139</v>
      </c>
      <c r="NB72" s="36" t="s">
        <v>139</v>
      </c>
      <c r="NC72" s="36" t="s">
        <v>139</v>
      </c>
      <c r="ND72" s="36" t="s">
        <v>139</v>
      </c>
      <c r="NE72" s="36" t="s">
        <v>139</v>
      </c>
      <c r="NF72" s="36" t="s">
        <v>139</v>
      </c>
      <c r="NG72" s="36" t="s">
        <v>139</v>
      </c>
      <c r="NH72" s="36" t="s">
        <v>139</v>
      </c>
      <c r="NI72" s="36" t="s">
        <v>139</v>
      </c>
      <c r="NJ72" s="36" t="s">
        <v>139</v>
      </c>
      <c r="NK72" s="36" t="s">
        <v>139</v>
      </c>
      <c r="NL72" s="36" t="s">
        <v>139</v>
      </c>
      <c r="NM72" s="36" t="s">
        <v>139</v>
      </c>
      <c r="NN72" s="36" t="s">
        <v>139</v>
      </c>
      <c r="NO72" s="36" t="s">
        <v>139</v>
      </c>
      <c r="NP72" s="36" t="s">
        <v>139</v>
      </c>
      <c r="NQ72" s="36" t="s">
        <v>139</v>
      </c>
      <c r="NR72" s="36" t="s">
        <v>139</v>
      </c>
      <c r="NS72" s="36" t="s">
        <v>139</v>
      </c>
      <c r="NT72" s="36" t="s">
        <v>139</v>
      </c>
      <c r="NU72" s="36" t="s">
        <v>139</v>
      </c>
      <c r="NV72" s="36" t="s">
        <v>139</v>
      </c>
      <c r="NW72" s="36" t="s">
        <v>139</v>
      </c>
      <c r="NX72" s="36" t="s">
        <v>139</v>
      </c>
      <c r="NY72" s="36" t="s">
        <v>139</v>
      </c>
      <c r="NZ72" s="36" t="s">
        <v>139</v>
      </c>
      <c r="OA72" s="36" t="s">
        <v>139</v>
      </c>
      <c r="OB72" s="36" t="s">
        <v>139</v>
      </c>
      <c r="OC72" s="36" t="s">
        <v>139</v>
      </c>
      <c r="OD72" s="36" t="s">
        <v>139</v>
      </c>
      <c r="OE72" s="36" t="s">
        <v>139</v>
      </c>
      <c r="OF72" s="36" t="s">
        <v>139</v>
      </c>
      <c r="OG72" s="36" t="s">
        <v>139</v>
      </c>
      <c r="OH72" s="36" t="s">
        <v>139</v>
      </c>
      <c r="OI72" s="36" t="s">
        <v>139</v>
      </c>
      <c r="OJ72" s="36" t="s">
        <v>139</v>
      </c>
      <c r="OK72" s="36" t="s">
        <v>139</v>
      </c>
      <c r="OL72" s="36" t="s">
        <v>139</v>
      </c>
      <c r="OM72" s="36" t="s">
        <v>139</v>
      </c>
      <c r="ON72" s="36" t="s">
        <v>139</v>
      </c>
      <c r="OO72" s="36" t="s">
        <v>139</v>
      </c>
      <c r="OP72" s="36" t="s">
        <v>139</v>
      </c>
      <c r="OQ72" s="36" t="s">
        <v>139</v>
      </c>
      <c r="OR72" s="36" t="s">
        <v>139</v>
      </c>
      <c r="OS72" s="36" t="s">
        <v>139</v>
      </c>
      <c r="OT72" s="36" t="s">
        <v>139</v>
      </c>
      <c r="OU72" s="36" t="s">
        <v>139</v>
      </c>
      <c r="OV72" s="36" t="s">
        <v>139</v>
      </c>
      <c r="OW72" s="36" t="s">
        <v>139</v>
      </c>
      <c r="OX72" s="36" t="s">
        <v>139</v>
      </c>
      <c r="OY72" s="36" t="s">
        <v>139</v>
      </c>
      <c r="OZ72" s="36" t="s">
        <v>139</v>
      </c>
      <c r="PA72" s="36" t="s">
        <v>139</v>
      </c>
      <c r="PB72" s="36" t="s">
        <v>139</v>
      </c>
      <c r="PC72" s="36" t="s">
        <v>139</v>
      </c>
      <c r="PD72" s="36" t="s">
        <v>139</v>
      </c>
      <c r="PE72" s="36" t="s">
        <v>139</v>
      </c>
      <c r="PF72" s="36" t="s">
        <v>139</v>
      </c>
      <c r="PG72" s="36" t="s">
        <v>139</v>
      </c>
      <c r="PH72" s="36" t="s">
        <v>139</v>
      </c>
      <c r="PI72" s="36" t="s">
        <v>139</v>
      </c>
      <c r="PJ72" s="36" t="s">
        <v>139</v>
      </c>
      <c r="PK72" s="36" t="s">
        <v>139</v>
      </c>
      <c r="PL72" s="36" t="s">
        <v>139</v>
      </c>
      <c r="PM72" s="36" t="s">
        <v>139</v>
      </c>
      <c r="PN72" s="36" t="s">
        <v>139</v>
      </c>
      <c r="PO72" s="74">
        <f>COUNTIFS($C$27:$PN$27,("&lt;"&amp;$B$3),$C$27:$PN$27,("&gt;="&amp;$B$2),$C72:$PN72,TabAsistencias[[#Headers],[1]])</f>
        <v>30</v>
      </c>
      <c r="PP72" s="74">
        <f>COUNTIFS($C$27:$PN$27,("&lt;"&amp;$B$3),$C$27:$PN$27,("&gt;="&amp;$B$2),$C72:$PN72,TabAsistencias[[#Headers],[E]])</f>
        <v>0</v>
      </c>
      <c r="PQ72" s="74">
        <f>COUNTIFS($C$27:$PN$27,("&lt;"&amp;$B$3),$C$27:$PN$27,("&gt;="&amp;$B$2),$C72:$PN72,TabAsistencias[[#Headers],[DE]])</f>
        <v>0</v>
      </c>
      <c r="PR72" s="74">
        <f>COUNTIFS($C$27:$PN$27,("&lt;"&amp;$B$3),$C$27:$PN$27,("&gt;="&amp;$B$2),$C72:$PN72,TabAsistencias[[#Headers],[V]])</f>
        <v>0</v>
      </c>
      <c r="PS72" s="74">
        <f>COUNTIFS($C$27:$PN$27,("&lt;"&amp;$B$3),$C$27:$PN$27,("&gt;="&amp;$B$2),$C72:$PN72,TabAsistencias[[#Headers],[DO]])</f>
        <v>0</v>
      </c>
      <c r="PT72" s="74">
        <f>COUNTIFS($C$27:$PN$27,("&lt;"&amp;$B$3),$C$27:$PN$27,("&gt;="&amp;$B$2),$C72:$PN72,TabAsistencias[[#Headers],[P]])</f>
        <v>0</v>
      </c>
      <c r="PU72" s="74">
        <f>COUNTIFS($C$27:$PN$27,("&lt;"&amp;$B$3),$C$27:$PN$27,("&gt;="&amp;$B$2),$C72:$PN72,TabAsistencias[[#Headers],[F]])</f>
        <v>0</v>
      </c>
      <c r="PV72" s="74">
        <f>COUNTIFS($C$27:$PN$27,("&lt;"&amp;$B$3),$C$27:$PN$27,("&gt;="&amp;$B$2),$C72:$PN72,TabAsistencias[[#Headers],[R]])</f>
        <v>0</v>
      </c>
      <c r="PW72" s="74">
        <f>COUNTIFS($C$27:$PN$27,("&lt;"&amp;$B$3),$C$27:$PN$27,("&gt;="&amp;$B$2),$C72:$PN72,TabAsistencias[[#Headers],[PP]])</f>
        <v>0</v>
      </c>
      <c r="PX72" s="74">
        <f>COUNTIFS($C$27:$PN$27,("&lt;"&amp;$B$3),$C$27:$PN$27,("&gt;="&amp;$B$2),$C72:$PN72,TabAsistencias[[#Headers],[0]])</f>
        <v>0</v>
      </c>
      <c r="PY72" s="74">
        <f>COUNTIFS($C$27:$PN$27,("&lt;"&amp;$B$3),$C$27:$PN$27,("&gt;="&amp;$B$2),$C72:$PN72,TabAsistencias[[#Headers],[IG]])</f>
        <v>0</v>
      </c>
      <c r="PZ72" s="74">
        <f>COUNTIFS($C$27:$PN$27,("&lt;"&amp;$B$3),$C$27:$PN$27,("&gt;="&amp;$B$2),$C72:$PN72,TabAsistencias[[#Headers],[NA]])</f>
        <v>0</v>
      </c>
      <c r="QA72" s="74">
        <f>COUNTIFS($C$27:$PN$27,("&lt;"&amp;$B$3),$C$27:$PN$27,("&gt;="&amp;$B$2),$C72:$PN72,TabAsistencias[[#Headers],[DF]])</f>
        <v>0</v>
      </c>
      <c r="QB72" s="74">
        <f>COUNTIFS($C$27:$PN$27,("&lt;"&amp;$B$3),$C$27:$PN$27,("&gt;="&amp;$B$2),$C72:$PN72,TabAsistencias[[#Headers],[3]])</f>
        <v>0</v>
      </c>
      <c r="QC72" s="74">
        <f>COUNTIFS($C$27:$PN$27,("&lt;"&amp;$B$3),$C$27:$PN$27,("&gt;="&amp;$B$2),$C72:$PN72,TabAsistencias[[#Headers],[CP]])</f>
        <v>0</v>
      </c>
      <c r="QD72" s="74">
        <f>COUNTIFS($C$27:$PN$27,("&lt;"&amp;$B$3),$C$27:$PN$27,("&gt;="&amp;$B$2),$C72:$PN72,TabAsistencias[[#Headers],[I]])</f>
        <v>0</v>
      </c>
      <c r="QE72" s="74">
        <f>COUNTIFS($C$27:$PN$27,("&lt;"&amp;$B$3),$C$27:$PN$27,("&gt;="&amp;$B$2),$C72:$PN72,TabAsistencias[[#Headers],[T/2]])</f>
        <v>0</v>
      </c>
      <c r="QF72" s="74">
        <f>COUNTIFS($C$27:$PN$27,("&lt;"&amp;$B$3),$C$27:$PN$27,("&gt;="&amp;$B$2),$C72:$PN72,TabAsistencias[[#Headers],[ME]])</f>
        <v>0</v>
      </c>
      <c r="QG72" s="74">
        <f>COUNTIFS($C$27:$PN$27,("&lt;"&amp;$B$3),$C$27:$PN$27,("&gt;="&amp;$B$2),$C72:$PN72,TabAsistencias[[#Headers],[DP]])</f>
        <v>0</v>
      </c>
      <c r="QH72" s="74">
        <f>COUNTIFS($C$27:$PN$27,("&lt;"&amp;$B$3),$C$27:$PN$27,("&gt;="&amp;$B$2),$C72:$PN72,TabAsistencias[[#Headers],[B]])</f>
        <v>0</v>
      </c>
      <c r="QI72" s="74">
        <f>(TabAsistencias[[#This Row],[1]]*'Tablas de informacion'!$C$124)+(TabAsistencias[[#This Row],[E]]*'Tablas de informacion'!$C$125)+(TabAsistencias[[#This Row],[DE]]*'Tablas de informacion'!C$126)+(TabAsistencias[[#This Row],[V]]*'Tablas de informacion'!C$127)+(TabAsistencias[[#This Row],[DO]]*'Tablas de informacion'!C$128)+(TabAsistencias[[#This Row],[P]]*'Tablas de informacion'!C$129)+(TabAsistencias[[#This Row],[F]]*'Tablas de informacion'!C$130)+(TabAsistencias[[#This Row],[R]]*'Tablas de informacion'!C$131)+(TabAsistencias[[#This Row],[PP]]*'Tablas de informacion'!C$132)+(TabAsistencias[[#This Row],[0]]*'Tablas de informacion'!C$133)+(TabAsistencias[[#This Row],[IG]]*'Tablas de informacion'!C$134)+(TabAsistencias[[#This Row],[NA]]*'Tablas de informacion'!C$135)+(TabAsistencias[[#This Row],[DF]]*'Tablas de informacion'!C$136)+(TabAsistencias[[#This Row],[3]]*'Tablas de informacion'!C$137)+(TabAsistencias[[#This Row],[CP]]*'Tablas de informacion'!C$138)+(TabAsistencias[[#This Row],[I]]*'Tablas de informacion'!C$139)+(TabAsistencias[[#This Row],[T/2]]*'Tablas de informacion'!C$140)+(TabAsistencias[[#This Row],[ME]]*'Tablas de informacion'!C$141)+(TabAsistencias[[#This Row],[DP]]*'Tablas de informacion'!C$142)+(TabAsistencias[[#This Row],[B]]*'Tablas de informacion'!C$143)-INT(TabAsistencias[[#This Row],[R]]/3)</f>
        <v>30</v>
      </c>
      <c r="QJ72" s="74">
        <f>COUNTIFS($C$27:$PN$27,("&lt;"&amp;$B$3),$C$27:$PN$27,("&gt;="&amp;$B$2),$C$28:$PN$28,1,$C72:$PN72,TabAsistencias[[#Headers],[1]])+
COUNTIFS($C$27:$PN$27,("&lt;"&amp;$B$3),$C$27:$PN$27,("&gt;="&amp;$B$2),$C$28:$PN$28,1,$C72:$PN72,TabAsistencias[[#Headers],[DO]])+
COUNTIFS($C$27:$PN$27,("&lt;"&amp;$B$3),$C$27:$PN$27,("&gt;="&amp;$B$2),$C$28:$PN$28,1,$C72:$PN72,TabAsistencias[[#Headers],[R]])+
COUNTIFS($C$27:$PN$27,("&lt;"&amp;$B$3),$C$27:$PN$27,("&gt;="&amp;$B$2),$C$28:$PN$28,1,$C72:$PN72,TabAsistencias[[#Headers],[NA]])+
COUNTIFS($C$27:$PN$27,("&lt;"&amp;$B$3),$C$27:$PN$27,("&gt;="&amp;$B$2),$C$28:$PN$28,1,$C72:$PN72,TabAsistencias[[#Headers],[DF]])+
COUNTIFS($C$27:$PN$27,("&lt;"&amp;$B$3),$C$27:$PN$27,("&gt;="&amp;$B$2),$C$28:$PN$28,1,$C72:$PN72,TabAsistencias[[#Headers],[3]])+
COUNTIFS($C$27:$PN$27,("&lt;"&amp;$B$3),$C$27:$PN$27,("&gt;="&amp;$B$2),$C$28:$PN$28,1,$C72:$PN72,TabAsistencias[[#Headers],[CP]])+
COUNTIFS($C$27:$PN$27,("&lt;"&amp;$B$3),$C$27:$PN$27,("&gt;="&amp;$B$2),$C$28:$PN$28,1,$C72:$PN72,TabAsistencias[[#Headers],[T/2]])</f>
        <v>4</v>
      </c>
      <c r="QK72" s="315" cm="1">
        <f t="array" ref="QK72">IFERROR(VLOOKUP(
DATEDIF((VLOOKUP(TabAsistencias[[#This Row],[ID]],TabEmpleados[],COLUMN(TabEmpleados[Fecha de ingreso]),FALSE)),Asistencias!$B$3,"Y"),
TabFactorIntegracion[],COLUMN(TabFactorIntegracion[Días vacacionales
establecidos por ley]),FALSE),0)
-
COUNTIF($AH72:$PN72,TabAsistencias[[#Headers],[V]])</f>
        <v>24</v>
      </c>
      <c r="QL72" s="319">
        <f>SUM(TabAsistencias[[#This Row],[''1]],TabAsistencias[[#This Row],[''DE]],TabAsistencias[[#This Row],[''DO]],TabAsistencias[[#This Row],[''R]],TabAsistencias[[#This Row],[''NA]],TabAsistencias[[#This Row],[''DF]],TabAsistencias[[#This Row],[''3]],TabAsistencias[[#This Row],[''CP]],TabAsistencias[[#This Row],[''T/2]],TabAsistencias[[#This Row],[''DP]])</f>
        <v>73</v>
      </c>
      <c r="QM72" s="314">
        <f>COUNTIFS($C$27:$PN$27,("&lt;"&amp;$B$5),$C$27:$PN$27,("&gt;="&amp;$B$4),$C72:$PN72,TabAsistencias[[#Headers],[1]])</f>
        <v>73</v>
      </c>
      <c r="QN72" s="314">
        <f>COUNTIFS($C$27:$PN$27,("&lt;"&amp;$B$5),$C$27:$PN$27,("&gt;="&amp;$B$4),$C72:$PN72,TabAsistencias[[#Headers],[DE]])</f>
        <v>0</v>
      </c>
      <c r="QO72" s="314">
        <f>COUNTIFS($C$27:$PN$27,("&lt;"&amp;$B$5),$C$27:$PN$27,("&gt;="&amp;$B$4),$C72:$PN72,TabAsistencias[[#Headers],[V]])</f>
        <v>0</v>
      </c>
      <c r="QP72" s="314">
        <f>COUNTIFS($C$27:$PN$27,("&lt;"&amp;$B$5),$C$27:$PN$27,("&gt;="&amp;$B$4),$C72:$PN72,TabAsistencias[[#Headers],[DO]])</f>
        <v>0</v>
      </c>
      <c r="QQ72" s="314">
        <f>COUNTIFS($C$27:$PN$27,("&lt;"&amp;$B$5),$C$27:$PN$27,("&gt;="&amp;$B$4),$C72:$PN72,TabAsistencias[[#Headers],[P]])</f>
        <v>0</v>
      </c>
      <c r="QR72" s="314">
        <f>COUNTIFS($C$27:$PN$27,("&lt;"&amp;$B$5),$C$27:$PN$27,("&gt;="&amp;$B$4),$C72:$PN72,TabAsistencias[[#Headers],[F]])</f>
        <v>0</v>
      </c>
      <c r="QS72" s="314">
        <f>COUNTIFS($C$27:$PN$27,("&lt;"&amp;$B$5),$C$27:$PN$27,("&gt;="&amp;$B$4),$C72:$PN72,TabAsistencias[[#Headers],[R]])</f>
        <v>0</v>
      </c>
      <c r="QT72" s="314">
        <f>COUNTIFS($C$27:$PN$27,("&lt;"&amp;$B$5),$C$27:$PN$27,("&gt;="&amp;$B$4),$C72:$PN72,TabAsistencias[[#Headers],[PP]])</f>
        <v>0</v>
      </c>
      <c r="QU72" s="314">
        <f>COUNTIFS($C$27:$PN$27,("&lt;"&amp;$B$5),$C$27:$PN$27,("&gt;="&amp;$B$4),$C72:$PN72,TabAsistencias[[#Headers],[0]])</f>
        <v>0</v>
      </c>
      <c r="QV72" s="314">
        <f>COUNTIFS($C$27:$PN$27,("&lt;"&amp;$B$5),$C$27:$PN$27,("&gt;="&amp;$B$4),$C72:$PN72,TabAsistencias[[#Headers],[IG]])</f>
        <v>0</v>
      </c>
      <c r="QW72" s="314">
        <f>COUNTIFS($C$27:$PN$27,("&lt;"&amp;$B$5),$C$27:$PN$27,("&gt;="&amp;$B$4),$C72:$PN72,TabAsistencias[[#Headers],[NA]])</f>
        <v>0</v>
      </c>
      <c r="QX72" s="314">
        <f>COUNTIFS($C$27:$PN$27,("&lt;"&amp;$B$5),$C$27:$PN$27,("&gt;="&amp;$B$4),$C72:$PN72,TabAsistencias[[#Headers],[DF]])</f>
        <v>0</v>
      </c>
      <c r="QY72" s="314">
        <f>COUNTIFS($C$27:$PN$27,("&lt;"&amp;$B$5),$C$27:$PN$27,("&gt;="&amp;$B$4),$C72:$PN72,TabAsistencias[[#Headers],[3]])</f>
        <v>0</v>
      </c>
      <c r="QZ72" s="314">
        <f>COUNTIFS($C$27:$PN$27,("&lt;"&amp;$B$5),$C$27:$PN$27,("&gt;="&amp;$B$4),$C72:$PN72,TabAsistencias[[#Headers],[CP]])</f>
        <v>0</v>
      </c>
      <c r="RA72" s="314">
        <f>COUNTIFS($C$27:$PN$27,("&lt;"&amp;$B$5),$C$27:$PN$27,("&gt;="&amp;$B$4),$C72:$PN72,TabAsistencias[[#Headers],[I]])</f>
        <v>0</v>
      </c>
      <c r="RB72" s="314">
        <f>COUNTIFS($C$27:$PN$27,("&lt;"&amp;$B$5),$C$27:$PN$27,("&gt;="&amp;$B$4),$C72:$PN72,TabAsistencias[[#Headers],[T/2]])</f>
        <v>0</v>
      </c>
      <c r="RC72" s="314">
        <f>COUNTIFS($C$27:$PN$27,("&lt;"&amp;$B$5),$C$27:$PN$27,("&gt;="&amp;$B$4),$C72:$PN72,TabAsistencias[[#Headers],[ME]])</f>
        <v>0</v>
      </c>
      <c r="RD72" s="314">
        <f>COUNTIFS($C$27:$PN$27,("&lt;"&amp;$B$5),$C$27:$PN$27,("&gt;="&amp;$B$4),$C72:$PN72,TabAsistencias[[#Headers],[DP]])</f>
        <v>0</v>
      </c>
      <c r="RE72" s="314">
        <f>COUNTIFS($C$27:$PN$27,("&lt;"&amp;$B$5),$C$27:$PN$27,("&gt;="&amp;$B$4),$C72:$PN72,TabAsistencias[[#Headers],[B]])</f>
        <v>0</v>
      </c>
      <c r="RF72" s="314">
        <f>COUNTIFS($C$27:$PN$27,("&lt;"&amp;$B$5),$C$27:$PN$27,("&gt;="&amp;$B$4),$C$28:$PN$28,1,$C72:$PN72,TabAsistencias[[#Headers],[1]])+
COUNTIFS($C$27:$PN$27,("&lt;"&amp;$B$5),$C$27:$PN$27,("&gt;="&amp;$B$4),$C$28:$PN$28,1,$C72:$PN72,TabAsistencias[[#Headers],[DO]])+
COUNTIFS($C$27:$PN$27,("&lt;"&amp;$B$5),$C$27:$PN$27,("&gt;="&amp;$B$4),$C$28:$PN$28,1,$C72:$PN72,TabAsistencias[[#Headers],[R]])+
COUNTIFS($C$27:$PN$27,("&lt;"&amp;$B$5),$C$27:$PN$27,("&gt;="&amp;$B$4),$C$28:$PN$28,1,$C72:$PN72,TabAsistencias[[#Headers],[NA]])+
COUNTIFS($C$27:$PN$27,("&lt;"&amp;$B$5),$C$27:$PN$27,("&gt;="&amp;$B$4),$C$28:$PN$28,1,$C72:$PN72,TabAsistencias[[#Headers],[DF]])+
COUNTIFS($C$27:$PN$27,("&lt;"&amp;$B$5),$C$27:$PN$27,("&gt;="&amp;$B$4),$C$28:$PN$28,1,$C72:$PN72,TabAsistencias[[#Headers],[3]])+
COUNTIFS($C$27:$PN$27,("&lt;"&amp;$B$5),$C$27:$PN$27,("&gt;="&amp;$B$4),$C$28:$PN$28,1,$C72:$PN72,TabAsistencias[[#Headers],[CP]])+
COUNTIFS($C$27:$PN$27,("&lt;"&amp;$B$5),$C$27:$PN$27,("&gt;="&amp;$B$4),$C$28:$PN$28,1,$C72:$PN72,TabAsistencias[[#Headers],[T/2]])</f>
        <v>11</v>
      </c>
      <c r="RG72" s="320" cm="1">
        <f t="array" ref="RG72">IFERROR(VLOOKUP(
DATEDIF((VLOOKUP(TabAsistencias[[#This Row],[ID]],TabEmpleados[],COLUMN(TabEmpleados[Fecha de alta NSS]),FALSE)),Asistencias!$B$3,"Y"),
TabFactorIntegracion[],COLUMN(TabFactorIntegracion[Días vacacionales
establecidos por ley]),FALSE),0)
-
COUNTIF($AH72:$PN72,TabAsistencias[[#Headers],[V]])</f>
        <v>24</v>
      </c>
    </row>
    <row r="73" spans="1:475" x14ac:dyDescent="0.25">
      <c r="A73" s="92">
        <f t="shared" si="434"/>
        <v>43</v>
      </c>
      <c r="B73" s="30" t="str" cm="1">
        <f t="array" ref="B73">VLOOKUP(TabAsistencias[[#This Row],[ID]],TabEmpleados[],COLUMN(TabEmpleados[Nombre]),FALSE)</f>
        <v>SAMARIO MANZANO ABRAHAM  ROSALINO</v>
      </c>
      <c r="C73" s="36" t="s">
        <v>139</v>
      </c>
      <c r="D73" s="36" t="s">
        <v>139</v>
      </c>
      <c r="E73" s="36" t="s">
        <v>139</v>
      </c>
      <c r="F73" s="36" t="s">
        <v>139</v>
      </c>
      <c r="G73" s="36" t="s">
        <v>139</v>
      </c>
      <c r="H73" s="36" t="s">
        <v>139</v>
      </c>
      <c r="I73" s="36" t="s">
        <v>139</v>
      </c>
      <c r="J73" s="36" t="s">
        <v>139</v>
      </c>
      <c r="K73" s="36" t="s">
        <v>139</v>
      </c>
      <c r="L73" s="36" t="s">
        <v>139</v>
      </c>
      <c r="M73" s="36" t="s">
        <v>139</v>
      </c>
      <c r="N73" s="36" t="s">
        <v>139</v>
      </c>
      <c r="O73" s="36" t="s">
        <v>139</v>
      </c>
      <c r="P73" s="36" t="s">
        <v>139</v>
      </c>
      <c r="Q73" s="36" t="s">
        <v>139</v>
      </c>
      <c r="R73" s="36" t="s">
        <v>139</v>
      </c>
      <c r="S73" s="36" t="s">
        <v>139</v>
      </c>
      <c r="T73" s="36" t="s">
        <v>139</v>
      </c>
      <c r="U73" s="36" t="s">
        <v>139</v>
      </c>
      <c r="V73" s="36" t="s">
        <v>139</v>
      </c>
      <c r="W73" s="36" t="s">
        <v>139</v>
      </c>
      <c r="X73" s="36" t="s">
        <v>139</v>
      </c>
      <c r="Y73" s="36" t="s">
        <v>139</v>
      </c>
      <c r="Z73" s="36" t="s">
        <v>139</v>
      </c>
      <c r="AA73" s="36" t="s">
        <v>139</v>
      </c>
      <c r="AB73" s="36" t="s">
        <v>139</v>
      </c>
      <c r="AC73" s="36" t="s">
        <v>139</v>
      </c>
      <c r="AD73" s="36" t="s">
        <v>139</v>
      </c>
      <c r="AE73" s="36" t="s">
        <v>139</v>
      </c>
      <c r="AF73" s="36" t="s">
        <v>139</v>
      </c>
      <c r="AG73" s="36" t="s">
        <v>139</v>
      </c>
      <c r="AH73" s="36" t="s">
        <v>139</v>
      </c>
      <c r="AI73" s="36" t="s">
        <v>139</v>
      </c>
      <c r="AJ73" s="36" t="s">
        <v>139</v>
      </c>
      <c r="AK73" s="36" t="s">
        <v>139</v>
      </c>
      <c r="AL73" s="36" t="s">
        <v>139</v>
      </c>
      <c r="AM73" s="36" t="s">
        <v>139</v>
      </c>
      <c r="AN73" s="36" t="s">
        <v>139</v>
      </c>
      <c r="AO73" s="36" t="s">
        <v>139</v>
      </c>
      <c r="AP73" s="36" t="s">
        <v>139</v>
      </c>
      <c r="AQ73" s="36" t="s">
        <v>139</v>
      </c>
      <c r="AR73" s="36" t="s">
        <v>139</v>
      </c>
      <c r="AS73" s="36" t="s">
        <v>139</v>
      </c>
      <c r="AT73" s="36" t="s">
        <v>139</v>
      </c>
      <c r="AU73" s="36" t="s">
        <v>139</v>
      </c>
      <c r="AV73" s="36" t="s">
        <v>139</v>
      </c>
      <c r="AW73" s="36" t="s">
        <v>139</v>
      </c>
      <c r="AX73" s="36" t="s">
        <v>139</v>
      </c>
      <c r="AY73" s="36" t="s">
        <v>139</v>
      </c>
      <c r="AZ73" s="36" t="s">
        <v>139</v>
      </c>
      <c r="BA73" s="36" t="s">
        <v>139</v>
      </c>
      <c r="BB73" s="36" t="s">
        <v>139</v>
      </c>
      <c r="BC73" s="36" t="s">
        <v>139</v>
      </c>
      <c r="BD73" s="36" t="s">
        <v>139</v>
      </c>
      <c r="BE73" s="36" t="s">
        <v>139</v>
      </c>
      <c r="BF73" s="36" t="s">
        <v>139</v>
      </c>
      <c r="BG73" s="36" t="s">
        <v>139</v>
      </c>
      <c r="BH73" s="36" t="s">
        <v>139</v>
      </c>
      <c r="BI73" s="36" t="s">
        <v>139</v>
      </c>
      <c r="BJ73" s="36" t="s">
        <v>139</v>
      </c>
      <c r="BK73" s="36" t="s">
        <v>139</v>
      </c>
      <c r="BL73" s="36" t="s">
        <v>139</v>
      </c>
      <c r="BM73" s="36" t="s">
        <v>139</v>
      </c>
      <c r="BN73" s="36" t="s">
        <v>139</v>
      </c>
      <c r="BO73" s="36" t="s">
        <v>139</v>
      </c>
      <c r="BP73" s="36" t="s">
        <v>139</v>
      </c>
      <c r="BQ73" s="36" t="s">
        <v>139</v>
      </c>
      <c r="BR73" s="36" t="s">
        <v>139</v>
      </c>
      <c r="BS73" s="36" t="s">
        <v>139</v>
      </c>
      <c r="BT73" s="36" t="s">
        <v>139</v>
      </c>
      <c r="BU73" s="36" t="s">
        <v>139</v>
      </c>
      <c r="BV73" s="36" t="s">
        <v>139</v>
      </c>
      <c r="BW73" s="36" t="s">
        <v>139</v>
      </c>
      <c r="BX73" s="36" t="s">
        <v>139</v>
      </c>
      <c r="BY73" s="36" t="s">
        <v>139</v>
      </c>
      <c r="BZ73" s="36" t="s">
        <v>139</v>
      </c>
      <c r="CA73" s="36" t="s">
        <v>139</v>
      </c>
      <c r="CB73" s="36" t="s">
        <v>139</v>
      </c>
      <c r="CC73" s="36" t="s">
        <v>139</v>
      </c>
      <c r="CD73" s="36" t="s">
        <v>139</v>
      </c>
      <c r="CE73" s="36" t="s">
        <v>139</v>
      </c>
      <c r="CF73" s="36" t="s">
        <v>139</v>
      </c>
      <c r="CG73" s="36" t="s">
        <v>139</v>
      </c>
      <c r="CH73" s="36" t="s">
        <v>139</v>
      </c>
      <c r="CI73" s="36" t="s">
        <v>139</v>
      </c>
      <c r="CJ73" s="36" t="s">
        <v>139</v>
      </c>
      <c r="CK73" s="36" t="s">
        <v>139</v>
      </c>
      <c r="CL73" s="36" t="s">
        <v>139</v>
      </c>
      <c r="CM73" s="36" t="s">
        <v>139</v>
      </c>
      <c r="CN73" s="36" t="s">
        <v>139</v>
      </c>
      <c r="CO73" s="36" t="s">
        <v>139</v>
      </c>
      <c r="CP73" s="36" t="s">
        <v>139</v>
      </c>
      <c r="CQ73" s="36" t="s">
        <v>139</v>
      </c>
      <c r="CR73" s="36" t="s">
        <v>139</v>
      </c>
      <c r="CS73" s="36" t="s">
        <v>139</v>
      </c>
      <c r="CT73" s="36" t="s">
        <v>139</v>
      </c>
      <c r="CU73" s="36" t="s">
        <v>139</v>
      </c>
      <c r="CV73" s="36" t="s">
        <v>139</v>
      </c>
      <c r="CW73" s="36" t="s">
        <v>139</v>
      </c>
      <c r="CX73" s="36" t="s">
        <v>139</v>
      </c>
      <c r="CY73" s="36" t="s">
        <v>139</v>
      </c>
      <c r="CZ73" s="36" t="s">
        <v>139</v>
      </c>
      <c r="DA73" s="36" t="s">
        <v>139</v>
      </c>
      <c r="DB73" s="36" t="s">
        <v>139</v>
      </c>
      <c r="DC73" s="36" t="s">
        <v>139</v>
      </c>
      <c r="DD73" s="36" t="s">
        <v>139</v>
      </c>
      <c r="DE73" s="36" t="s">
        <v>139</v>
      </c>
      <c r="DF73" s="36" t="s">
        <v>139</v>
      </c>
      <c r="DG73" s="36" t="s">
        <v>139</v>
      </c>
      <c r="DH73" s="36" t="s">
        <v>139</v>
      </c>
      <c r="DI73" s="36" t="s">
        <v>139</v>
      </c>
      <c r="DJ73" s="36" t="s">
        <v>139</v>
      </c>
      <c r="DK73" s="36" t="s">
        <v>139</v>
      </c>
      <c r="DL73" s="36" t="s">
        <v>139</v>
      </c>
      <c r="DM73" s="36" t="s">
        <v>139</v>
      </c>
      <c r="DN73" s="36" t="s">
        <v>139</v>
      </c>
      <c r="DO73" s="36" t="s">
        <v>139</v>
      </c>
      <c r="DP73" s="36" t="s">
        <v>139</v>
      </c>
      <c r="DQ73" s="36" t="s">
        <v>139</v>
      </c>
      <c r="DR73" s="36" t="s">
        <v>139</v>
      </c>
      <c r="DS73" s="36" t="s">
        <v>139</v>
      </c>
      <c r="DT73" s="36" t="s">
        <v>139</v>
      </c>
      <c r="DU73" s="36" t="s">
        <v>139</v>
      </c>
      <c r="DV73" s="36" t="s">
        <v>139</v>
      </c>
      <c r="DW73" s="36" t="s">
        <v>139</v>
      </c>
      <c r="DX73" s="36" t="s">
        <v>139</v>
      </c>
      <c r="DY73" s="36" t="s">
        <v>139</v>
      </c>
      <c r="DZ73" s="36" t="s">
        <v>139</v>
      </c>
      <c r="EA73" s="36" t="s">
        <v>139</v>
      </c>
      <c r="EB73" s="36" t="s">
        <v>139</v>
      </c>
      <c r="EC73" s="36" t="s">
        <v>139</v>
      </c>
      <c r="ED73" s="36" t="s">
        <v>139</v>
      </c>
      <c r="EE73" s="36" t="s">
        <v>139</v>
      </c>
      <c r="EF73" s="36" t="s">
        <v>139</v>
      </c>
      <c r="EG73" s="36" t="s">
        <v>139</v>
      </c>
      <c r="EH73" s="36" t="s">
        <v>139</v>
      </c>
      <c r="EI73" s="36" t="s">
        <v>139</v>
      </c>
      <c r="EJ73" s="36" t="s">
        <v>139</v>
      </c>
      <c r="EK73" s="36" t="s">
        <v>139</v>
      </c>
      <c r="EL73" s="36" t="s">
        <v>139</v>
      </c>
      <c r="EM73" s="36" t="s">
        <v>139</v>
      </c>
      <c r="EN73" s="36" t="s">
        <v>139</v>
      </c>
      <c r="EO73" s="36" t="s">
        <v>139</v>
      </c>
      <c r="EP73" s="36" t="s">
        <v>139</v>
      </c>
      <c r="EQ73" s="36" t="s">
        <v>139</v>
      </c>
      <c r="ER73" s="36" t="s">
        <v>139</v>
      </c>
      <c r="ES73" s="36" t="s">
        <v>139</v>
      </c>
      <c r="ET73" s="36" t="s">
        <v>139</v>
      </c>
      <c r="EU73" s="36" t="s">
        <v>139</v>
      </c>
      <c r="EV73" s="36" t="s">
        <v>139</v>
      </c>
      <c r="EW73" s="36" t="s">
        <v>139</v>
      </c>
      <c r="EX73" s="36" t="s">
        <v>139</v>
      </c>
      <c r="EY73" s="36" t="s">
        <v>139</v>
      </c>
      <c r="EZ73" s="36" t="s">
        <v>139</v>
      </c>
      <c r="FA73" s="36" t="s">
        <v>139</v>
      </c>
      <c r="FB73" s="36" t="s">
        <v>139</v>
      </c>
      <c r="FC73" s="36" t="s">
        <v>139</v>
      </c>
      <c r="FD73" s="36" t="s">
        <v>139</v>
      </c>
      <c r="FE73" s="36" t="s">
        <v>139</v>
      </c>
      <c r="FF73" s="36" t="s">
        <v>139</v>
      </c>
      <c r="FG73" s="36" t="s">
        <v>139</v>
      </c>
      <c r="FH73" s="36" t="s">
        <v>139</v>
      </c>
      <c r="FI73" s="36" t="s">
        <v>139</v>
      </c>
      <c r="FJ73" s="36" t="s">
        <v>139</v>
      </c>
      <c r="FK73" s="36" t="s">
        <v>139</v>
      </c>
      <c r="FL73" s="36" t="s">
        <v>139</v>
      </c>
      <c r="FM73" s="36" t="s">
        <v>139</v>
      </c>
      <c r="FN73" s="36" t="s">
        <v>139</v>
      </c>
      <c r="FO73" s="36" t="s">
        <v>139</v>
      </c>
      <c r="FP73" s="36" t="s">
        <v>139</v>
      </c>
      <c r="FQ73" s="36" t="s">
        <v>139</v>
      </c>
      <c r="FR73" s="36" t="s">
        <v>139</v>
      </c>
      <c r="FS73" s="36" t="s">
        <v>139</v>
      </c>
      <c r="FT73" s="36" t="s">
        <v>139</v>
      </c>
      <c r="FU73" s="36" t="s">
        <v>139</v>
      </c>
      <c r="FV73" s="36" t="s">
        <v>139</v>
      </c>
      <c r="FW73" s="36" t="s">
        <v>139</v>
      </c>
      <c r="FX73" s="36" t="s">
        <v>139</v>
      </c>
      <c r="FY73" s="36" t="s">
        <v>139</v>
      </c>
      <c r="FZ73" s="36" t="s">
        <v>139</v>
      </c>
      <c r="GA73" s="36" t="s">
        <v>139</v>
      </c>
      <c r="GB73" s="36" t="s">
        <v>139</v>
      </c>
      <c r="GC73" s="36" t="s">
        <v>139</v>
      </c>
      <c r="GD73" s="36" t="s">
        <v>139</v>
      </c>
      <c r="GE73" s="36" t="s">
        <v>139</v>
      </c>
      <c r="GF73" s="36" t="s">
        <v>139</v>
      </c>
      <c r="GG73" s="36" t="s">
        <v>139</v>
      </c>
      <c r="GH73" s="36" t="s">
        <v>139</v>
      </c>
      <c r="GI73" s="36" t="s">
        <v>139</v>
      </c>
      <c r="GJ73" s="36" t="s">
        <v>139</v>
      </c>
      <c r="GK73" s="36" t="s">
        <v>139</v>
      </c>
      <c r="GL73" s="36" t="s">
        <v>139</v>
      </c>
      <c r="GM73" s="36" t="s">
        <v>139</v>
      </c>
      <c r="GN73" s="36" t="s">
        <v>139</v>
      </c>
      <c r="GO73" s="36" t="s">
        <v>139</v>
      </c>
      <c r="GP73" s="36" t="s">
        <v>139</v>
      </c>
      <c r="GQ73" s="36" t="s">
        <v>139</v>
      </c>
      <c r="GR73" s="36" t="s">
        <v>139</v>
      </c>
      <c r="GS73" s="36" t="s">
        <v>139</v>
      </c>
      <c r="GT73" s="36" t="s">
        <v>139</v>
      </c>
      <c r="GU73" s="36" t="s">
        <v>139</v>
      </c>
      <c r="GV73" s="36" t="s">
        <v>139</v>
      </c>
      <c r="GW73" s="36" t="s">
        <v>139</v>
      </c>
      <c r="GX73" s="36" t="s">
        <v>139</v>
      </c>
      <c r="GY73" s="36" t="s">
        <v>139</v>
      </c>
      <c r="GZ73" s="36" t="s">
        <v>139</v>
      </c>
      <c r="HA73" s="36" t="s">
        <v>139</v>
      </c>
      <c r="HB73" s="36" t="s">
        <v>139</v>
      </c>
      <c r="HC73" s="36" t="s">
        <v>139</v>
      </c>
      <c r="HD73" s="36" t="s">
        <v>139</v>
      </c>
      <c r="HE73" s="36" t="s">
        <v>139</v>
      </c>
      <c r="HF73" s="36" t="s">
        <v>139</v>
      </c>
      <c r="HG73" s="36" t="s">
        <v>139</v>
      </c>
      <c r="HH73" s="36" t="s">
        <v>139</v>
      </c>
      <c r="HI73" s="36" t="s">
        <v>139</v>
      </c>
      <c r="HJ73" s="36" t="s">
        <v>139</v>
      </c>
      <c r="HK73" s="36" t="s">
        <v>139</v>
      </c>
      <c r="HL73" s="36" t="s">
        <v>139</v>
      </c>
      <c r="HM73" s="36" t="s">
        <v>139</v>
      </c>
      <c r="HN73" s="36" t="s">
        <v>139</v>
      </c>
      <c r="HO73" s="36" t="s">
        <v>139</v>
      </c>
      <c r="HP73" s="36" t="s">
        <v>139</v>
      </c>
      <c r="HQ73" s="36" t="s">
        <v>139</v>
      </c>
      <c r="HR73" s="36" t="s">
        <v>139</v>
      </c>
      <c r="HS73" s="36" t="s">
        <v>139</v>
      </c>
      <c r="HT73" s="36" t="s">
        <v>139</v>
      </c>
      <c r="HU73" s="36" t="s">
        <v>139</v>
      </c>
      <c r="HV73" s="36" t="s">
        <v>139</v>
      </c>
      <c r="HW73" s="36" t="s">
        <v>139</v>
      </c>
      <c r="HX73" s="36" t="s">
        <v>139</v>
      </c>
      <c r="HY73" s="36" t="s">
        <v>139</v>
      </c>
      <c r="HZ73" s="36" t="s">
        <v>139</v>
      </c>
      <c r="IA73" s="36" t="s">
        <v>139</v>
      </c>
      <c r="IB73" s="36" t="s">
        <v>139</v>
      </c>
      <c r="IC73" s="36" t="s">
        <v>139</v>
      </c>
      <c r="ID73" s="36" t="s">
        <v>139</v>
      </c>
      <c r="IE73" s="36" t="s">
        <v>139</v>
      </c>
      <c r="IF73" s="36" t="s">
        <v>139</v>
      </c>
      <c r="IG73" s="36" t="s">
        <v>139</v>
      </c>
      <c r="IH73" s="36" t="s">
        <v>139</v>
      </c>
      <c r="II73" s="36" t="s">
        <v>139</v>
      </c>
      <c r="IJ73" s="36" t="s">
        <v>139</v>
      </c>
      <c r="IK73" s="36" t="s">
        <v>139</v>
      </c>
      <c r="IL73" s="36" t="s">
        <v>139</v>
      </c>
      <c r="IM73" s="36" t="s">
        <v>139</v>
      </c>
      <c r="IN73" s="36" t="s">
        <v>139</v>
      </c>
      <c r="IO73" s="36" t="s">
        <v>139</v>
      </c>
      <c r="IP73" s="36" t="s">
        <v>139</v>
      </c>
      <c r="IQ73" s="36" t="s">
        <v>139</v>
      </c>
      <c r="IR73" s="36" t="s">
        <v>139</v>
      </c>
      <c r="IS73" s="36" t="s">
        <v>139</v>
      </c>
      <c r="IT73" s="36" t="s">
        <v>139</v>
      </c>
      <c r="IU73" s="36" t="s">
        <v>139</v>
      </c>
      <c r="IV73" s="36" t="s">
        <v>139</v>
      </c>
      <c r="IW73" s="36" t="s">
        <v>139</v>
      </c>
      <c r="IX73" s="36" t="s">
        <v>139</v>
      </c>
      <c r="IY73" s="36" t="s">
        <v>139</v>
      </c>
      <c r="IZ73" s="36" t="s">
        <v>139</v>
      </c>
      <c r="JA73" s="36" t="s">
        <v>139</v>
      </c>
      <c r="JB73" s="36" t="s">
        <v>139</v>
      </c>
      <c r="JC73" s="36" t="s">
        <v>139</v>
      </c>
      <c r="JD73" s="36" t="s">
        <v>139</v>
      </c>
      <c r="JE73" s="36" t="s">
        <v>139</v>
      </c>
      <c r="JF73" s="36" t="s">
        <v>139</v>
      </c>
      <c r="JG73" s="36" t="s">
        <v>139</v>
      </c>
      <c r="JH73" s="36" t="s">
        <v>139</v>
      </c>
      <c r="JI73" s="36" t="s">
        <v>139</v>
      </c>
      <c r="JJ73" s="36" t="s">
        <v>139</v>
      </c>
      <c r="JK73" s="36" t="s">
        <v>139</v>
      </c>
      <c r="JL73" s="36" t="s">
        <v>139</v>
      </c>
      <c r="JM73" s="36" t="s">
        <v>139</v>
      </c>
      <c r="JN73" s="36" t="s">
        <v>139</v>
      </c>
      <c r="JO73" s="36" t="s">
        <v>139</v>
      </c>
      <c r="JP73" s="36" t="s">
        <v>139</v>
      </c>
      <c r="JQ73" s="36" t="s">
        <v>139</v>
      </c>
      <c r="JR73" s="36" t="s">
        <v>139</v>
      </c>
      <c r="JS73" s="36" t="s">
        <v>139</v>
      </c>
      <c r="JT73" s="36" t="s">
        <v>139</v>
      </c>
      <c r="JU73" s="36" t="s">
        <v>139</v>
      </c>
      <c r="JV73" s="36" t="s">
        <v>139</v>
      </c>
      <c r="JW73" s="36" t="s">
        <v>139</v>
      </c>
      <c r="JX73" s="36" t="s">
        <v>139</v>
      </c>
      <c r="JY73" s="36" t="s">
        <v>139</v>
      </c>
      <c r="JZ73" s="36" t="s">
        <v>139</v>
      </c>
      <c r="KA73" s="36" t="s">
        <v>139</v>
      </c>
      <c r="KB73" s="36" t="s">
        <v>139</v>
      </c>
      <c r="KC73" s="36" t="s">
        <v>139</v>
      </c>
      <c r="KD73" s="36" t="s">
        <v>139</v>
      </c>
      <c r="KE73" s="36" t="s">
        <v>139</v>
      </c>
      <c r="KF73" s="36" t="s">
        <v>139</v>
      </c>
      <c r="KG73" s="36" t="s">
        <v>139</v>
      </c>
      <c r="KH73" s="36" t="s">
        <v>139</v>
      </c>
      <c r="KI73" s="36" t="s">
        <v>139</v>
      </c>
      <c r="KJ73" s="36" t="s">
        <v>139</v>
      </c>
      <c r="KK73" s="36" t="s">
        <v>139</v>
      </c>
      <c r="KL73" s="36" t="s">
        <v>139</v>
      </c>
      <c r="KM73" s="36" t="s">
        <v>139</v>
      </c>
      <c r="KN73" s="36" t="s">
        <v>139</v>
      </c>
      <c r="KO73" s="36" t="s">
        <v>139</v>
      </c>
      <c r="KP73" s="36" t="s">
        <v>139</v>
      </c>
      <c r="KQ73" s="36" t="s">
        <v>139</v>
      </c>
      <c r="KR73" s="36" t="s">
        <v>139</v>
      </c>
      <c r="KS73" s="36" t="s">
        <v>139</v>
      </c>
      <c r="KT73" s="36" t="s">
        <v>139</v>
      </c>
      <c r="KU73" s="36" t="s">
        <v>139</v>
      </c>
      <c r="KV73" s="36" t="s">
        <v>139</v>
      </c>
      <c r="KW73" s="36" t="s">
        <v>139</v>
      </c>
      <c r="KX73" s="36" t="s">
        <v>139</v>
      </c>
      <c r="KY73" s="36" t="s">
        <v>139</v>
      </c>
      <c r="KZ73" s="36" t="s">
        <v>139</v>
      </c>
      <c r="LA73" s="36" t="s">
        <v>139</v>
      </c>
      <c r="LB73" s="36" t="s">
        <v>139</v>
      </c>
      <c r="LC73" s="36" t="s">
        <v>139</v>
      </c>
      <c r="LD73" s="36" t="s">
        <v>139</v>
      </c>
      <c r="LE73" s="36" t="s">
        <v>139</v>
      </c>
      <c r="LF73" s="36" t="s">
        <v>139</v>
      </c>
      <c r="LG73" s="36" t="s">
        <v>139</v>
      </c>
      <c r="LH73" s="36" t="s">
        <v>139</v>
      </c>
      <c r="LI73" s="36" t="s">
        <v>139</v>
      </c>
      <c r="LJ73" s="36" t="s">
        <v>139</v>
      </c>
      <c r="LK73" s="36" t="s">
        <v>139</v>
      </c>
      <c r="LL73" s="36" t="s">
        <v>139</v>
      </c>
      <c r="LM73" s="36" t="s">
        <v>139</v>
      </c>
      <c r="LN73" s="36" t="s">
        <v>139</v>
      </c>
      <c r="LO73" s="36" t="s">
        <v>139</v>
      </c>
      <c r="LP73" s="36" t="s">
        <v>139</v>
      </c>
      <c r="LQ73" s="36" t="s">
        <v>139</v>
      </c>
      <c r="LR73" s="36" t="s">
        <v>139</v>
      </c>
      <c r="LS73" s="36" t="s">
        <v>139</v>
      </c>
      <c r="LT73" s="36" t="s">
        <v>139</v>
      </c>
      <c r="LU73" s="36" t="s">
        <v>139</v>
      </c>
      <c r="LV73" s="36" t="s">
        <v>139</v>
      </c>
      <c r="LW73" s="36" t="s">
        <v>139</v>
      </c>
      <c r="LX73" s="36" t="s">
        <v>139</v>
      </c>
      <c r="LY73" s="36" t="s">
        <v>139</v>
      </c>
      <c r="LZ73" s="36" t="s">
        <v>139</v>
      </c>
      <c r="MA73" s="36" t="s">
        <v>139</v>
      </c>
      <c r="MB73" s="36" t="s">
        <v>139</v>
      </c>
      <c r="MC73" s="36" t="s">
        <v>139</v>
      </c>
      <c r="MD73" s="36" t="s">
        <v>139</v>
      </c>
      <c r="ME73" s="36" t="s">
        <v>139</v>
      </c>
      <c r="MF73" s="36" t="s">
        <v>139</v>
      </c>
      <c r="MG73" s="36" t="s">
        <v>139</v>
      </c>
      <c r="MH73" s="36" t="s">
        <v>139</v>
      </c>
      <c r="MI73" s="36" t="s">
        <v>139</v>
      </c>
      <c r="MJ73" s="36" t="s">
        <v>139</v>
      </c>
      <c r="MK73" s="36" t="s">
        <v>139</v>
      </c>
      <c r="ML73" s="36" t="s">
        <v>139</v>
      </c>
      <c r="MM73" s="36" t="s">
        <v>139</v>
      </c>
      <c r="MN73" s="36" t="s">
        <v>139</v>
      </c>
      <c r="MO73" s="36" t="s">
        <v>139</v>
      </c>
      <c r="MP73" s="36" t="s">
        <v>139</v>
      </c>
      <c r="MQ73" s="36" t="s">
        <v>139</v>
      </c>
      <c r="MR73" s="36" t="s">
        <v>139</v>
      </c>
      <c r="MS73" s="36" t="s">
        <v>139</v>
      </c>
      <c r="MT73" s="36" t="s">
        <v>139</v>
      </c>
      <c r="MU73" s="36" t="s">
        <v>139</v>
      </c>
      <c r="MV73" s="36" t="s">
        <v>139</v>
      </c>
      <c r="MW73" s="36" t="s">
        <v>139</v>
      </c>
      <c r="MX73" s="36" t="s">
        <v>139</v>
      </c>
      <c r="MY73" s="36" t="s">
        <v>139</v>
      </c>
      <c r="MZ73" s="36" t="s">
        <v>139</v>
      </c>
      <c r="NA73" s="36" t="s">
        <v>139</v>
      </c>
      <c r="NB73" s="36" t="s">
        <v>139</v>
      </c>
      <c r="NC73" s="36" t="s">
        <v>139</v>
      </c>
      <c r="ND73" s="36" t="s">
        <v>139</v>
      </c>
      <c r="NE73" s="36" t="s">
        <v>139</v>
      </c>
      <c r="NF73" s="36" t="s">
        <v>139</v>
      </c>
      <c r="NG73" s="36" t="s">
        <v>139</v>
      </c>
      <c r="NH73" s="36" t="s">
        <v>139</v>
      </c>
      <c r="NI73" s="36" t="s">
        <v>139</v>
      </c>
      <c r="NJ73" s="36" t="s">
        <v>139</v>
      </c>
      <c r="NK73" s="36" t="s">
        <v>139</v>
      </c>
      <c r="NL73" s="36" t="s">
        <v>139</v>
      </c>
      <c r="NM73" s="36" t="s">
        <v>139</v>
      </c>
      <c r="NN73" s="36" t="s">
        <v>139</v>
      </c>
      <c r="NO73" s="36" t="s">
        <v>139</v>
      </c>
      <c r="NP73" s="36" t="s">
        <v>139</v>
      </c>
      <c r="NQ73" s="36" t="s">
        <v>139</v>
      </c>
      <c r="NR73" s="36" t="s">
        <v>139</v>
      </c>
      <c r="NS73" s="36" t="s">
        <v>139</v>
      </c>
      <c r="NT73" s="36" t="s">
        <v>139</v>
      </c>
      <c r="NU73" s="36" t="s">
        <v>139</v>
      </c>
      <c r="NV73" s="36" t="s">
        <v>139</v>
      </c>
      <c r="NW73" s="36" t="s">
        <v>139</v>
      </c>
      <c r="NX73" s="36" t="s">
        <v>139</v>
      </c>
      <c r="NY73" s="36" t="s">
        <v>139</v>
      </c>
      <c r="NZ73" s="36" t="s">
        <v>139</v>
      </c>
      <c r="OA73" s="36" t="s">
        <v>139</v>
      </c>
      <c r="OB73" s="36" t="s">
        <v>139</v>
      </c>
      <c r="OC73" s="36" t="s">
        <v>139</v>
      </c>
      <c r="OD73" s="36" t="s">
        <v>139</v>
      </c>
      <c r="OE73" s="36" t="s">
        <v>139</v>
      </c>
      <c r="OF73" s="36" t="s">
        <v>139</v>
      </c>
      <c r="OG73" s="36" t="s">
        <v>139</v>
      </c>
      <c r="OH73" s="36" t="s">
        <v>139</v>
      </c>
      <c r="OI73" s="36" t="s">
        <v>139</v>
      </c>
      <c r="OJ73" s="36" t="s">
        <v>139</v>
      </c>
      <c r="OK73" s="36" t="s">
        <v>139</v>
      </c>
      <c r="OL73" s="36" t="s">
        <v>139</v>
      </c>
      <c r="OM73" s="36" t="s">
        <v>139</v>
      </c>
      <c r="ON73" s="36" t="s">
        <v>139</v>
      </c>
      <c r="OO73" s="36" t="s">
        <v>139</v>
      </c>
      <c r="OP73" s="36" t="s">
        <v>139</v>
      </c>
      <c r="OQ73" s="36" t="s">
        <v>139</v>
      </c>
      <c r="OR73" s="36" t="s">
        <v>139</v>
      </c>
      <c r="OS73" s="36" t="s">
        <v>139</v>
      </c>
      <c r="OT73" s="36" t="s">
        <v>139</v>
      </c>
      <c r="OU73" s="36" t="s">
        <v>139</v>
      </c>
      <c r="OV73" s="36" t="s">
        <v>139</v>
      </c>
      <c r="OW73" s="36" t="s">
        <v>139</v>
      </c>
      <c r="OX73" s="36" t="s">
        <v>139</v>
      </c>
      <c r="OY73" s="36" t="s">
        <v>139</v>
      </c>
      <c r="OZ73" s="36" t="s">
        <v>139</v>
      </c>
      <c r="PA73" s="36" t="s">
        <v>139</v>
      </c>
      <c r="PB73" s="36" t="s">
        <v>139</v>
      </c>
      <c r="PC73" s="36" t="s">
        <v>139</v>
      </c>
      <c r="PD73" s="36" t="s">
        <v>139</v>
      </c>
      <c r="PE73" s="36" t="s">
        <v>139</v>
      </c>
      <c r="PF73" s="36" t="s">
        <v>139</v>
      </c>
      <c r="PG73" s="36" t="s">
        <v>139</v>
      </c>
      <c r="PH73" s="36" t="s">
        <v>139</v>
      </c>
      <c r="PI73" s="36" t="s">
        <v>139</v>
      </c>
      <c r="PJ73" s="36" t="s">
        <v>139</v>
      </c>
      <c r="PK73" s="36" t="s">
        <v>139</v>
      </c>
      <c r="PL73" s="36" t="s">
        <v>139</v>
      </c>
      <c r="PM73" s="36" t="s">
        <v>139</v>
      </c>
      <c r="PN73" s="36" t="s">
        <v>139</v>
      </c>
      <c r="PO73" s="74">
        <f>COUNTIFS($C$27:$PN$27,("&lt;"&amp;$B$3),$C$27:$PN$27,("&gt;="&amp;$B$2),$C73:$PN73,TabAsistencias[[#Headers],[1]])</f>
        <v>30</v>
      </c>
      <c r="PP73" s="74">
        <f>COUNTIFS($C$27:$PN$27,("&lt;"&amp;$B$3),$C$27:$PN$27,("&gt;="&amp;$B$2),$C73:$PN73,TabAsistencias[[#Headers],[E]])</f>
        <v>0</v>
      </c>
      <c r="PQ73" s="74">
        <f>COUNTIFS($C$27:$PN$27,("&lt;"&amp;$B$3),$C$27:$PN$27,("&gt;="&amp;$B$2),$C73:$PN73,TabAsistencias[[#Headers],[DE]])</f>
        <v>0</v>
      </c>
      <c r="PR73" s="74">
        <f>COUNTIFS($C$27:$PN$27,("&lt;"&amp;$B$3),$C$27:$PN$27,("&gt;="&amp;$B$2),$C73:$PN73,TabAsistencias[[#Headers],[V]])</f>
        <v>0</v>
      </c>
      <c r="PS73" s="74">
        <f>COUNTIFS($C$27:$PN$27,("&lt;"&amp;$B$3),$C$27:$PN$27,("&gt;="&amp;$B$2),$C73:$PN73,TabAsistencias[[#Headers],[DO]])</f>
        <v>0</v>
      </c>
      <c r="PT73" s="74">
        <f>COUNTIFS($C$27:$PN$27,("&lt;"&amp;$B$3),$C$27:$PN$27,("&gt;="&amp;$B$2),$C73:$PN73,TabAsistencias[[#Headers],[P]])</f>
        <v>0</v>
      </c>
      <c r="PU73" s="74">
        <f>COUNTIFS($C$27:$PN$27,("&lt;"&amp;$B$3),$C$27:$PN$27,("&gt;="&amp;$B$2),$C73:$PN73,TabAsistencias[[#Headers],[F]])</f>
        <v>0</v>
      </c>
      <c r="PV73" s="74">
        <f>COUNTIFS($C$27:$PN$27,("&lt;"&amp;$B$3),$C$27:$PN$27,("&gt;="&amp;$B$2),$C73:$PN73,TabAsistencias[[#Headers],[R]])</f>
        <v>0</v>
      </c>
      <c r="PW73" s="74">
        <f>COUNTIFS($C$27:$PN$27,("&lt;"&amp;$B$3),$C$27:$PN$27,("&gt;="&amp;$B$2),$C73:$PN73,TabAsistencias[[#Headers],[PP]])</f>
        <v>0</v>
      </c>
      <c r="PX73" s="74">
        <f>COUNTIFS($C$27:$PN$27,("&lt;"&amp;$B$3),$C$27:$PN$27,("&gt;="&amp;$B$2),$C73:$PN73,TabAsistencias[[#Headers],[0]])</f>
        <v>0</v>
      </c>
      <c r="PY73" s="74">
        <f>COUNTIFS($C$27:$PN$27,("&lt;"&amp;$B$3),$C$27:$PN$27,("&gt;="&amp;$B$2),$C73:$PN73,TabAsistencias[[#Headers],[IG]])</f>
        <v>0</v>
      </c>
      <c r="PZ73" s="74">
        <f>COUNTIFS($C$27:$PN$27,("&lt;"&amp;$B$3),$C$27:$PN$27,("&gt;="&amp;$B$2),$C73:$PN73,TabAsistencias[[#Headers],[NA]])</f>
        <v>0</v>
      </c>
      <c r="QA73" s="74">
        <f>COUNTIFS($C$27:$PN$27,("&lt;"&amp;$B$3),$C$27:$PN$27,("&gt;="&amp;$B$2),$C73:$PN73,TabAsistencias[[#Headers],[DF]])</f>
        <v>0</v>
      </c>
      <c r="QB73" s="74">
        <f>COUNTIFS($C$27:$PN$27,("&lt;"&amp;$B$3),$C$27:$PN$27,("&gt;="&amp;$B$2),$C73:$PN73,TabAsistencias[[#Headers],[3]])</f>
        <v>0</v>
      </c>
      <c r="QC73" s="74">
        <f>COUNTIFS($C$27:$PN$27,("&lt;"&amp;$B$3),$C$27:$PN$27,("&gt;="&amp;$B$2),$C73:$PN73,TabAsistencias[[#Headers],[CP]])</f>
        <v>0</v>
      </c>
      <c r="QD73" s="74">
        <f>COUNTIFS($C$27:$PN$27,("&lt;"&amp;$B$3),$C$27:$PN$27,("&gt;="&amp;$B$2),$C73:$PN73,TabAsistencias[[#Headers],[I]])</f>
        <v>0</v>
      </c>
      <c r="QE73" s="74">
        <f>COUNTIFS($C$27:$PN$27,("&lt;"&amp;$B$3),$C$27:$PN$27,("&gt;="&amp;$B$2),$C73:$PN73,TabAsistencias[[#Headers],[T/2]])</f>
        <v>0</v>
      </c>
      <c r="QF73" s="74">
        <f>COUNTIFS($C$27:$PN$27,("&lt;"&amp;$B$3),$C$27:$PN$27,("&gt;="&amp;$B$2),$C73:$PN73,TabAsistencias[[#Headers],[ME]])</f>
        <v>0</v>
      </c>
      <c r="QG73" s="74">
        <f>COUNTIFS($C$27:$PN$27,("&lt;"&amp;$B$3),$C$27:$PN$27,("&gt;="&amp;$B$2),$C73:$PN73,TabAsistencias[[#Headers],[DP]])</f>
        <v>0</v>
      </c>
      <c r="QH73" s="74">
        <f>COUNTIFS($C$27:$PN$27,("&lt;"&amp;$B$3),$C$27:$PN$27,("&gt;="&amp;$B$2),$C73:$PN73,TabAsistencias[[#Headers],[B]])</f>
        <v>0</v>
      </c>
      <c r="QI73" s="74">
        <f>(TabAsistencias[[#This Row],[1]]*'Tablas de informacion'!$C$124)+(TabAsistencias[[#This Row],[E]]*'Tablas de informacion'!$C$125)+(TabAsistencias[[#This Row],[DE]]*'Tablas de informacion'!C$126)+(TabAsistencias[[#This Row],[V]]*'Tablas de informacion'!C$127)+(TabAsistencias[[#This Row],[DO]]*'Tablas de informacion'!C$128)+(TabAsistencias[[#This Row],[P]]*'Tablas de informacion'!C$129)+(TabAsistencias[[#This Row],[F]]*'Tablas de informacion'!C$130)+(TabAsistencias[[#This Row],[R]]*'Tablas de informacion'!C$131)+(TabAsistencias[[#This Row],[PP]]*'Tablas de informacion'!C$132)+(TabAsistencias[[#This Row],[0]]*'Tablas de informacion'!C$133)+(TabAsistencias[[#This Row],[IG]]*'Tablas de informacion'!C$134)+(TabAsistencias[[#This Row],[NA]]*'Tablas de informacion'!C$135)+(TabAsistencias[[#This Row],[DF]]*'Tablas de informacion'!C$136)+(TabAsistencias[[#This Row],[3]]*'Tablas de informacion'!C$137)+(TabAsistencias[[#This Row],[CP]]*'Tablas de informacion'!C$138)+(TabAsistencias[[#This Row],[I]]*'Tablas de informacion'!C$139)+(TabAsistencias[[#This Row],[T/2]]*'Tablas de informacion'!C$140)+(TabAsistencias[[#This Row],[ME]]*'Tablas de informacion'!C$141)+(TabAsistencias[[#This Row],[DP]]*'Tablas de informacion'!C$142)+(TabAsistencias[[#This Row],[B]]*'Tablas de informacion'!C$143)-INT(TabAsistencias[[#This Row],[R]]/3)</f>
        <v>30</v>
      </c>
      <c r="QJ73" s="74">
        <f>COUNTIFS($C$27:$PN$27,("&lt;"&amp;$B$3),$C$27:$PN$27,("&gt;="&amp;$B$2),$C$28:$PN$28,1,$C73:$PN73,TabAsistencias[[#Headers],[1]])+
COUNTIFS($C$27:$PN$27,("&lt;"&amp;$B$3),$C$27:$PN$27,("&gt;="&amp;$B$2),$C$28:$PN$28,1,$C73:$PN73,TabAsistencias[[#Headers],[DO]])+
COUNTIFS($C$27:$PN$27,("&lt;"&amp;$B$3),$C$27:$PN$27,("&gt;="&amp;$B$2),$C$28:$PN$28,1,$C73:$PN73,TabAsistencias[[#Headers],[R]])+
COUNTIFS($C$27:$PN$27,("&lt;"&amp;$B$3),$C$27:$PN$27,("&gt;="&amp;$B$2),$C$28:$PN$28,1,$C73:$PN73,TabAsistencias[[#Headers],[NA]])+
COUNTIFS($C$27:$PN$27,("&lt;"&amp;$B$3),$C$27:$PN$27,("&gt;="&amp;$B$2),$C$28:$PN$28,1,$C73:$PN73,TabAsistencias[[#Headers],[DF]])+
COUNTIFS($C$27:$PN$27,("&lt;"&amp;$B$3),$C$27:$PN$27,("&gt;="&amp;$B$2),$C$28:$PN$28,1,$C73:$PN73,TabAsistencias[[#Headers],[3]])+
COUNTIFS($C$27:$PN$27,("&lt;"&amp;$B$3),$C$27:$PN$27,("&gt;="&amp;$B$2),$C$28:$PN$28,1,$C73:$PN73,TabAsistencias[[#Headers],[CP]])+
COUNTIFS($C$27:$PN$27,("&lt;"&amp;$B$3),$C$27:$PN$27,("&gt;="&amp;$B$2),$C$28:$PN$28,1,$C73:$PN73,TabAsistencias[[#Headers],[T/2]])</f>
        <v>4</v>
      </c>
      <c r="QK73" s="315" cm="1">
        <f t="array" ref="QK73">IFERROR(VLOOKUP(
DATEDIF((VLOOKUP(TabAsistencias[[#This Row],[ID]],TabEmpleados[],COLUMN(TabEmpleados[Fecha de ingreso]),FALSE)),Asistencias!$B$3,"Y"),
TabFactorIntegracion[],COLUMN(TabFactorIntegracion[Días vacacionales
establecidos por ley]),FALSE),0)
-
COUNTIF($AH73:$PN73,TabAsistencias[[#Headers],[V]])</f>
        <v>12</v>
      </c>
      <c r="QL73" s="319">
        <f>SUM(TabAsistencias[[#This Row],[''1]],TabAsistencias[[#This Row],[''DE]],TabAsistencias[[#This Row],[''DO]],TabAsistencias[[#This Row],[''R]],TabAsistencias[[#This Row],[''NA]],TabAsistencias[[#This Row],[''DF]],TabAsistencias[[#This Row],[''3]],TabAsistencias[[#This Row],[''CP]],TabAsistencias[[#This Row],[''T/2]],TabAsistencias[[#This Row],[''DP]])</f>
        <v>73</v>
      </c>
      <c r="QM73" s="314">
        <f>COUNTIFS($C$27:$PN$27,("&lt;"&amp;$B$5),$C$27:$PN$27,("&gt;="&amp;$B$4),$C73:$PN73,TabAsistencias[[#Headers],[1]])</f>
        <v>73</v>
      </c>
      <c r="QN73" s="314">
        <f>COUNTIFS($C$27:$PN$27,("&lt;"&amp;$B$5),$C$27:$PN$27,("&gt;="&amp;$B$4),$C73:$PN73,TabAsistencias[[#Headers],[DE]])</f>
        <v>0</v>
      </c>
      <c r="QO73" s="314">
        <f>COUNTIFS($C$27:$PN$27,("&lt;"&amp;$B$5),$C$27:$PN$27,("&gt;="&amp;$B$4),$C73:$PN73,TabAsistencias[[#Headers],[V]])</f>
        <v>0</v>
      </c>
      <c r="QP73" s="314">
        <f>COUNTIFS($C$27:$PN$27,("&lt;"&amp;$B$5),$C$27:$PN$27,("&gt;="&amp;$B$4),$C73:$PN73,TabAsistencias[[#Headers],[DO]])</f>
        <v>0</v>
      </c>
      <c r="QQ73" s="314">
        <f>COUNTIFS($C$27:$PN$27,("&lt;"&amp;$B$5),$C$27:$PN$27,("&gt;="&amp;$B$4),$C73:$PN73,TabAsistencias[[#Headers],[P]])</f>
        <v>0</v>
      </c>
      <c r="QR73" s="314">
        <f>COUNTIFS($C$27:$PN$27,("&lt;"&amp;$B$5),$C$27:$PN$27,("&gt;="&amp;$B$4),$C73:$PN73,TabAsistencias[[#Headers],[F]])</f>
        <v>0</v>
      </c>
      <c r="QS73" s="314">
        <f>COUNTIFS($C$27:$PN$27,("&lt;"&amp;$B$5),$C$27:$PN$27,("&gt;="&amp;$B$4),$C73:$PN73,TabAsistencias[[#Headers],[R]])</f>
        <v>0</v>
      </c>
      <c r="QT73" s="314">
        <f>COUNTIFS($C$27:$PN$27,("&lt;"&amp;$B$5),$C$27:$PN$27,("&gt;="&amp;$B$4),$C73:$PN73,TabAsistencias[[#Headers],[PP]])</f>
        <v>0</v>
      </c>
      <c r="QU73" s="314">
        <f>COUNTIFS($C$27:$PN$27,("&lt;"&amp;$B$5),$C$27:$PN$27,("&gt;="&amp;$B$4),$C73:$PN73,TabAsistencias[[#Headers],[0]])</f>
        <v>0</v>
      </c>
      <c r="QV73" s="314">
        <f>COUNTIFS($C$27:$PN$27,("&lt;"&amp;$B$5),$C$27:$PN$27,("&gt;="&amp;$B$4),$C73:$PN73,TabAsistencias[[#Headers],[IG]])</f>
        <v>0</v>
      </c>
      <c r="QW73" s="314">
        <f>COUNTIFS($C$27:$PN$27,("&lt;"&amp;$B$5),$C$27:$PN$27,("&gt;="&amp;$B$4),$C73:$PN73,TabAsistencias[[#Headers],[NA]])</f>
        <v>0</v>
      </c>
      <c r="QX73" s="314">
        <f>COUNTIFS($C$27:$PN$27,("&lt;"&amp;$B$5),$C$27:$PN$27,("&gt;="&amp;$B$4),$C73:$PN73,TabAsistencias[[#Headers],[DF]])</f>
        <v>0</v>
      </c>
      <c r="QY73" s="314">
        <f>COUNTIFS($C$27:$PN$27,("&lt;"&amp;$B$5),$C$27:$PN$27,("&gt;="&amp;$B$4),$C73:$PN73,TabAsistencias[[#Headers],[3]])</f>
        <v>0</v>
      </c>
      <c r="QZ73" s="314">
        <f>COUNTIFS($C$27:$PN$27,("&lt;"&amp;$B$5),$C$27:$PN$27,("&gt;="&amp;$B$4),$C73:$PN73,TabAsistencias[[#Headers],[CP]])</f>
        <v>0</v>
      </c>
      <c r="RA73" s="314">
        <f>COUNTIFS($C$27:$PN$27,("&lt;"&amp;$B$5),$C$27:$PN$27,("&gt;="&amp;$B$4),$C73:$PN73,TabAsistencias[[#Headers],[I]])</f>
        <v>0</v>
      </c>
      <c r="RB73" s="314">
        <f>COUNTIFS($C$27:$PN$27,("&lt;"&amp;$B$5),$C$27:$PN$27,("&gt;="&amp;$B$4),$C73:$PN73,TabAsistencias[[#Headers],[T/2]])</f>
        <v>0</v>
      </c>
      <c r="RC73" s="314">
        <f>COUNTIFS($C$27:$PN$27,("&lt;"&amp;$B$5),$C$27:$PN$27,("&gt;="&amp;$B$4),$C73:$PN73,TabAsistencias[[#Headers],[ME]])</f>
        <v>0</v>
      </c>
      <c r="RD73" s="314">
        <f>COUNTIFS($C$27:$PN$27,("&lt;"&amp;$B$5),$C$27:$PN$27,("&gt;="&amp;$B$4),$C73:$PN73,TabAsistencias[[#Headers],[DP]])</f>
        <v>0</v>
      </c>
      <c r="RE73" s="314">
        <f>COUNTIFS($C$27:$PN$27,("&lt;"&amp;$B$5),$C$27:$PN$27,("&gt;="&amp;$B$4),$C73:$PN73,TabAsistencias[[#Headers],[B]])</f>
        <v>0</v>
      </c>
      <c r="RF73" s="314">
        <f>COUNTIFS($C$27:$PN$27,("&lt;"&amp;$B$5),$C$27:$PN$27,("&gt;="&amp;$B$4),$C$28:$PN$28,1,$C73:$PN73,TabAsistencias[[#Headers],[1]])+
COUNTIFS($C$27:$PN$27,("&lt;"&amp;$B$5),$C$27:$PN$27,("&gt;="&amp;$B$4),$C$28:$PN$28,1,$C73:$PN73,TabAsistencias[[#Headers],[DO]])+
COUNTIFS($C$27:$PN$27,("&lt;"&amp;$B$5),$C$27:$PN$27,("&gt;="&amp;$B$4),$C$28:$PN$28,1,$C73:$PN73,TabAsistencias[[#Headers],[R]])+
COUNTIFS($C$27:$PN$27,("&lt;"&amp;$B$5),$C$27:$PN$27,("&gt;="&amp;$B$4),$C$28:$PN$28,1,$C73:$PN73,TabAsistencias[[#Headers],[NA]])+
COUNTIFS($C$27:$PN$27,("&lt;"&amp;$B$5),$C$27:$PN$27,("&gt;="&amp;$B$4),$C$28:$PN$28,1,$C73:$PN73,TabAsistencias[[#Headers],[DF]])+
COUNTIFS($C$27:$PN$27,("&lt;"&amp;$B$5),$C$27:$PN$27,("&gt;="&amp;$B$4),$C$28:$PN$28,1,$C73:$PN73,TabAsistencias[[#Headers],[3]])+
COUNTIFS($C$27:$PN$27,("&lt;"&amp;$B$5),$C$27:$PN$27,("&gt;="&amp;$B$4),$C$28:$PN$28,1,$C73:$PN73,TabAsistencias[[#Headers],[CP]])+
COUNTIFS($C$27:$PN$27,("&lt;"&amp;$B$5),$C$27:$PN$27,("&gt;="&amp;$B$4),$C$28:$PN$28,1,$C73:$PN73,TabAsistencias[[#Headers],[T/2]])</f>
        <v>11</v>
      </c>
      <c r="RG73" s="320" cm="1">
        <f t="array" ref="RG73">IFERROR(VLOOKUP(
DATEDIF((VLOOKUP(TabAsistencias[[#This Row],[ID]],TabEmpleados[],COLUMN(TabEmpleados[Fecha de alta NSS]),FALSE)),Asistencias!$B$3,"Y"),
TabFactorIntegracion[],COLUMN(TabFactorIntegracion[Días vacacionales
establecidos por ley]),FALSE),0)
-
COUNTIF($AH73:$PN73,TabAsistencias[[#Headers],[V]])</f>
        <v>12</v>
      </c>
    </row>
    <row r="74" spans="1:475" x14ac:dyDescent="0.25">
      <c r="A74" s="92">
        <f t="shared" si="434"/>
        <v>44</v>
      </c>
      <c r="B74" s="30" t="str" cm="1">
        <f t="array" ref="B74">VLOOKUP(TabAsistencias[[#This Row],[ID]],TabEmpleados[],COLUMN(TabEmpleados[Nombre]),FALSE)</f>
        <v>LORENZO GREGORIO JESUS OCTAVIANO</v>
      </c>
      <c r="C74" s="36" t="s">
        <v>139</v>
      </c>
      <c r="D74" s="36" t="s">
        <v>139</v>
      </c>
      <c r="E74" s="36" t="s">
        <v>139</v>
      </c>
      <c r="F74" s="36" t="s">
        <v>139</v>
      </c>
      <c r="G74" s="36" t="s">
        <v>139</v>
      </c>
      <c r="H74" s="36" t="s">
        <v>139</v>
      </c>
      <c r="I74" s="36" t="s">
        <v>139</v>
      </c>
      <c r="J74" s="36" t="s">
        <v>139</v>
      </c>
      <c r="K74" s="36" t="s">
        <v>139</v>
      </c>
      <c r="L74" s="36" t="s">
        <v>139</v>
      </c>
      <c r="M74" s="36" t="s">
        <v>139</v>
      </c>
      <c r="N74" s="36" t="s">
        <v>139</v>
      </c>
      <c r="O74" s="36" t="s">
        <v>139</v>
      </c>
      <c r="P74" s="36" t="s">
        <v>139</v>
      </c>
      <c r="Q74" s="36" t="s">
        <v>139</v>
      </c>
      <c r="R74" s="36" t="s">
        <v>139</v>
      </c>
      <c r="S74" s="36" t="s">
        <v>139</v>
      </c>
      <c r="T74" s="36" t="s">
        <v>139</v>
      </c>
      <c r="U74" s="36" t="s">
        <v>139</v>
      </c>
      <c r="V74" s="36" t="s">
        <v>139</v>
      </c>
      <c r="W74" s="36" t="s">
        <v>139</v>
      </c>
      <c r="X74" s="36" t="s">
        <v>139</v>
      </c>
      <c r="Y74" s="36" t="s">
        <v>139</v>
      </c>
      <c r="Z74" s="36" t="s">
        <v>139</v>
      </c>
      <c r="AA74" s="36" t="s">
        <v>139</v>
      </c>
      <c r="AB74" s="36" t="s">
        <v>139</v>
      </c>
      <c r="AC74" s="36" t="s">
        <v>139</v>
      </c>
      <c r="AD74" s="36" t="s">
        <v>139</v>
      </c>
      <c r="AE74" s="36" t="s">
        <v>139</v>
      </c>
      <c r="AF74" s="36" t="s">
        <v>139</v>
      </c>
      <c r="AG74" s="36" t="s">
        <v>139</v>
      </c>
      <c r="AH74" s="36" t="s">
        <v>139</v>
      </c>
      <c r="AI74" s="36" t="s">
        <v>139</v>
      </c>
      <c r="AJ74" s="36" t="s">
        <v>139</v>
      </c>
      <c r="AK74" s="36" t="s">
        <v>139</v>
      </c>
      <c r="AL74" s="36" t="s">
        <v>139</v>
      </c>
      <c r="AM74" s="36" t="s">
        <v>139</v>
      </c>
      <c r="AN74" s="36" t="s">
        <v>139</v>
      </c>
      <c r="AO74" s="36" t="s">
        <v>139</v>
      </c>
      <c r="AP74" s="36" t="s">
        <v>139</v>
      </c>
      <c r="AQ74" s="36" t="s">
        <v>139</v>
      </c>
      <c r="AR74" s="36" t="s">
        <v>139</v>
      </c>
      <c r="AS74" s="36" t="s">
        <v>139</v>
      </c>
      <c r="AT74" s="36" t="s">
        <v>139</v>
      </c>
      <c r="AU74" s="36" t="s">
        <v>139</v>
      </c>
      <c r="AV74" s="36" t="s">
        <v>139</v>
      </c>
      <c r="AW74" s="36" t="s">
        <v>139</v>
      </c>
      <c r="AX74" s="36" t="s">
        <v>139</v>
      </c>
      <c r="AY74" s="36" t="s">
        <v>139</v>
      </c>
      <c r="AZ74" s="36" t="s">
        <v>139</v>
      </c>
      <c r="BA74" s="36" t="s">
        <v>139</v>
      </c>
      <c r="BB74" s="36" t="s">
        <v>139</v>
      </c>
      <c r="BC74" s="36" t="s">
        <v>139</v>
      </c>
      <c r="BD74" s="36" t="s">
        <v>139</v>
      </c>
      <c r="BE74" s="36" t="s">
        <v>139</v>
      </c>
      <c r="BF74" s="36" t="s">
        <v>139</v>
      </c>
      <c r="BG74" s="36" t="s">
        <v>139</v>
      </c>
      <c r="BH74" s="36" t="s">
        <v>139</v>
      </c>
      <c r="BI74" s="36" t="s">
        <v>139</v>
      </c>
      <c r="BJ74" s="36" t="s">
        <v>139</v>
      </c>
      <c r="BK74" s="36" t="s">
        <v>139</v>
      </c>
      <c r="BL74" s="36" t="s">
        <v>139</v>
      </c>
      <c r="BM74" s="36" t="s">
        <v>139</v>
      </c>
      <c r="BN74" s="36" t="s">
        <v>139</v>
      </c>
      <c r="BO74" s="36" t="s">
        <v>139</v>
      </c>
      <c r="BP74" s="36" t="s">
        <v>139</v>
      </c>
      <c r="BQ74" s="36" t="s">
        <v>139</v>
      </c>
      <c r="BR74" s="36" t="s">
        <v>139</v>
      </c>
      <c r="BS74" s="36" t="s">
        <v>139</v>
      </c>
      <c r="BT74" s="36" t="s">
        <v>139</v>
      </c>
      <c r="BU74" s="36" t="s">
        <v>139</v>
      </c>
      <c r="BV74" s="36" t="s">
        <v>139</v>
      </c>
      <c r="BW74" s="36" t="s">
        <v>139</v>
      </c>
      <c r="BX74" s="36" t="s">
        <v>139</v>
      </c>
      <c r="BY74" s="36" t="s">
        <v>139</v>
      </c>
      <c r="BZ74" s="36" t="s">
        <v>139</v>
      </c>
      <c r="CA74" s="36" t="s">
        <v>139</v>
      </c>
      <c r="CB74" s="36" t="s">
        <v>139</v>
      </c>
      <c r="CC74" s="36" t="s">
        <v>139</v>
      </c>
      <c r="CD74" s="36" t="s">
        <v>139</v>
      </c>
      <c r="CE74" s="36" t="s">
        <v>139</v>
      </c>
      <c r="CF74" s="36" t="s">
        <v>139</v>
      </c>
      <c r="CG74" s="36" t="s">
        <v>139</v>
      </c>
      <c r="CH74" s="36" t="s">
        <v>139</v>
      </c>
      <c r="CI74" s="36" t="s">
        <v>139</v>
      </c>
      <c r="CJ74" s="36" t="s">
        <v>139</v>
      </c>
      <c r="CK74" s="36" t="s">
        <v>139</v>
      </c>
      <c r="CL74" s="36" t="s">
        <v>139</v>
      </c>
      <c r="CM74" s="36" t="s">
        <v>139</v>
      </c>
      <c r="CN74" s="36" t="s">
        <v>139</v>
      </c>
      <c r="CO74" s="36" t="s">
        <v>139</v>
      </c>
      <c r="CP74" s="36" t="s">
        <v>139</v>
      </c>
      <c r="CQ74" s="36" t="s">
        <v>139</v>
      </c>
      <c r="CR74" s="36" t="s">
        <v>139</v>
      </c>
      <c r="CS74" s="36" t="s">
        <v>139</v>
      </c>
      <c r="CT74" s="36" t="s">
        <v>139</v>
      </c>
      <c r="CU74" s="36" t="s">
        <v>139</v>
      </c>
      <c r="CV74" s="36" t="s">
        <v>139</v>
      </c>
      <c r="CW74" s="36" t="s">
        <v>139</v>
      </c>
      <c r="CX74" s="36" t="s">
        <v>139</v>
      </c>
      <c r="CY74" s="36" t="s">
        <v>139</v>
      </c>
      <c r="CZ74" s="36" t="s">
        <v>139</v>
      </c>
      <c r="DA74" s="36" t="s">
        <v>139</v>
      </c>
      <c r="DB74" s="36" t="s">
        <v>139</v>
      </c>
      <c r="DC74" s="36" t="s">
        <v>139</v>
      </c>
      <c r="DD74" s="36" t="s">
        <v>139</v>
      </c>
      <c r="DE74" s="36" t="s">
        <v>139</v>
      </c>
      <c r="DF74" s="36" t="s">
        <v>139</v>
      </c>
      <c r="DG74" s="36" t="s">
        <v>139</v>
      </c>
      <c r="DH74" s="36" t="s">
        <v>139</v>
      </c>
      <c r="DI74" s="36" t="s">
        <v>139</v>
      </c>
      <c r="DJ74" s="36" t="s">
        <v>139</v>
      </c>
      <c r="DK74" s="36" t="s">
        <v>139</v>
      </c>
      <c r="DL74" s="36" t="s">
        <v>139</v>
      </c>
      <c r="DM74" s="36" t="s">
        <v>139</v>
      </c>
      <c r="DN74" s="36" t="s">
        <v>139</v>
      </c>
      <c r="DO74" s="36" t="s">
        <v>139</v>
      </c>
      <c r="DP74" s="36" t="s">
        <v>139</v>
      </c>
      <c r="DQ74" s="36" t="s">
        <v>139</v>
      </c>
      <c r="DR74" s="36" t="s">
        <v>139</v>
      </c>
      <c r="DS74" s="36" t="s">
        <v>139</v>
      </c>
      <c r="DT74" s="36" t="s">
        <v>139</v>
      </c>
      <c r="DU74" s="36" t="s">
        <v>139</v>
      </c>
      <c r="DV74" s="36" t="s">
        <v>139</v>
      </c>
      <c r="DW74" s="36" t="s">
        <v>139</v>
      </c>
      <c r="DX74" s="36" t="s">
        <v>139</v>
      </c>
      <c r="DY74" s="36" t="s">
        <v>139</v>
      </c>
      <c r="DZ74" s="36" t="s">
        <v>139</v>
      </c>
      <c r="EA74" s="36" t="s">
        <v>139</v>
      </c>
      <c r="EB74" s="36" t="s">
        <v>139</v>
      </c>
      <c r="EC74" s="36" t="s">
        <v>139</v>
      </c>
      <c r="ED74" s="36" t="s">
        <v>139</v>
      </c>
      <c r="EE74" s="36" t="s">
        <v>139</v>
      </c>
      <c r="EF74" s="36" t="s">
        <v>139</v>
      </c>
      <c r="EG74" s="36" t="s">
        <v>139</v>
      </c>
      <c r="EH74" s="36" t="s">
        <v>139</v>
      </c>
      <c r="EI74" s="36" t="s">
        <v>139</v>
      </c>
      <c r="EJ74" s="36" t="s">
        <v>139</v>
      </c>
      <c r="EK74" s="36" t="s">
        <v>139</v>
      </c>
      <c r="EL74" s="36" t="s">
        <v>139</v>
      </c>
      <c r="EM74" s="36" t="s">
        <v>139</v>
      </c>
      <c r="EN74" s="36" t="s">
        <v>139</v>
      </c>
      <c r="EO74" s="36" t="s">
        <v>139</v>
      </c>
      <c r="EP74" s="36" t="s">
        <v>139</v>
      </c>
      <c r="EQ74" s="36" t="s">
        <v>139</v>
      </c>
      <c r="ER74" s="36" t="s">
        <v>139</v>
      </c>
      <c r="ES74" s="36" t="s">
        <v>139</v>
      </c>
      <c r="ET74" s="36" t="s">
        <v>139</v>
      </c>
      <c r="EU74" s="36" t="s">
        <v>139</v>
      </c>
      <c r="EV74" s="36" t="s">
        <v>139</v>
      </c>
      <c r="EW74" s="36" t="s">
        <v>139</v>
      </c>
      <c r="EX74" s="36" t="s">
        <v>139</v>
      </c>
      <c r="EY74" s="36" t="s">
        <v>139</v>
      </c>
      <c r="EZ74" s="36" t="s">
        <v>139</v>
      </c>
      <c r="FA74" s="36" t="s">
        <v>139</v>
      </c>
      <c r="FB74" s="36" t="s">
        <v>139</v>
      </c>
      <c r="FC74" s="36" t="s">
        <v>139</v>
      </c>
      <c r="FD74" s="36" t="s">
        <v>139</v>
      </c>
      <c r="FE74" s="36" t="s">
        <v>139</v>
      </c>
      <c r="FF74" s="36" t="s">
        <v>139</v>
      </c>
      <c r="FG74" s="36" t="s">
        <v>139</v>
      </c>
      <c r="FH74" s="36" t="s">
        <v>139</v>
      </c>
      <c r="FI74" s="36" t="s">
        <v>139</v>
      </c>
      <c r="FJ74" s="36" t="s">
        <v>139</v>
      </c>
      <c r="FK74" s="36" t="s">
        <v>139</v>
      </c>
      <c r="FL74" s="36" t="s">
        <v>139</v>
      </c>
      <c r="FM74" s="36" t="s">
        <v>139</v>
      </c>
      <c r="FN74" s="36" t="s">
        <v>139</v>
      </c>
      <c r="FO74" s="36" t="s">
        <v>139</v>
      </c>
      <c r="FP74" s="36" t="s">
        <v>139</v>
      </c>
      <c r="FQ74" s="36" t="s">
        <v>139</v>
      </c>
      <c r="FR74" s="36" t="s">
        <v>139</v>
      </c>
      <c r="FS74" s="36" t="s">
        <v>139</v>
      </c>
      <c r="FT74" s="36" t="s">
        <v>139</v>
      </c>
      <c r="FU74" s="36" t="s">
        <v>139</v>
      </c>
      <c r="FV74" s="36" t="s">
        <v>139</v>
      </c>
      <c r="FW74" s="36" t="s">
        <v>139</v>
      </c>
      <c r="FX74" s="36" t="s">
        <v>139</v>
      </c>
      <c r="FY74" s="36" t="s">
        <v>139</v>
      </c>
      <c r="FZ74" s="36" t="s">
        <v>139</v>
      </c>
      <c r="GA74" s="36" t="s">
        <v>139</v>
      </c>
      <c r="GB74" s="36" t="s">
        <v>139</v>
      </c>
      <c r="GC74" s="36" t="s">
        <v>139</v>
      </c>
      <c r="GD74" s="36" t="s">
        <v>139</v>
      </c>
      <c r="GE74" s="36" t="s">
        <v>139</v>
      </c>
      <c r="GF74" s="36" t="s">
        <v>139</v>
      </c>
      <c r="GG74" s="36" t="s">
        <v>139</v>
      </c>
      <c r="GH74" s="36" t="s">
        <v>139</v>
      </c>
      <c r="GI74" s="36" t="s">
        <v>139</v>
      </c>
      <c r="GJ74" s="36" t="s">
        <v>139</v>
      </c>
      <c r="GK74" s="36" t="s">
        <v>139</v>
      </c>
      <c r="GL74" s="36" t="s">
        <v>139</v>
      </c>
      <c r="GM74" s="36" t="s">
        <v>139</v>
      </c>
      <c r="GN74" s="36" t="s">
        <v>139</v>
      </c>
      <c r="GO74" s="36" t="s">
        <v>139</v>
      </c>
      <c r="GP74" s="36" t="s">
        <v>139</v>
      </c>
      <c r="GQ74" s="36" t="s">
        <v>139</v>
      </c>
      <c r="GR74" s="36" t="s">
        <v>139</v>
      </c>
      <c r="GS74" s="36" t="s">
        <v>139</v>
      </c>
      <c r="GT74" s="36" t="s">
        <v>139</v>
      </c>
      <c r="GU74" s="36" t="s">
        <v>139</v>
      </c>
      <c r="GV74" s="36" t="s">
        <v>139</v>
      </c>
      <c r="GW74" s="36" t="s">
        <v>139</v>
      </c>
      <c r="GX74" s="36" t="s">
        <v>139</v>
      </c>
      <c r="GY74" s="36" t="s">
        <v>139</v>
      </c>
      <c r="GZ74" s="36" t="s">
        <v>139</v>
      </c>
      <c r="HA74" s="36" t="s">
        <v>139</v>
      </c>
      <c r="HB74" s="36" t="s">
        <v>139</v>
      </c>
      <c r="HC74" s="36" t="s">
        <v>139</v>
      </c>
      <c r="HD74" s="36" t="s">
        <v>139</v>
      </c>
      <c r="HE74" s="36" t="s">
        <v>139</v>
      </c>
      <c r="HF74" s="36" t="s">
        <v>139</v>
      </c>
      <c r="HG74" s="36" t="s">
        <v>139</v>
      </c>
      <c r="HH74" s="36" t="s">
        <v>139</v>
      </c>
      <c r="HI74" s="36" t="s">
        <v>139</v>
      </c>
      <c r="HJ74" s="36" t="s">
        <v>139</v>
      </c>
      <c r="HK74" s="36" t="s">
        <v>139</v>
      </c>
      <c r="HL74" s="36" t="s">
        <v>139</v>
      </c>
      <c r="HM74" s="36" t="s">
        <v>139</v>
      </c>
      <c r="HN74" s="36" t="s">
        <v>139</v>
      </c>
      <c r="HO74" s="36" t="s">
        <v>139</v>
      </c>
      <c r="HP74" s="36" t="s">
        <v>139</v>
      </c>
      <c r="HQ74" s="36" t="s">
        <v>139</v>
      </c>
      <c r="HR74" s="36" t="s">
        <v>139</v>
      </c>
      <c r="HS74" s="36" t="s">
        <v>139</v>
      </c>
      <c r="HT74" s="36" t="s">
        <v>139</v>
      </c>
      <c r="HU74" s="36" t="s">
        <v>139</v>
      </c>
      <c r="HV74" s="36" t="s">
        <v>139</v>
      </c>
      <c r="HW74" s="36" t="s">
        <v>139</v>
      </c>
      <c r="HX74" s="36" t="s">
        <v>139</v>
      </c>
      <c r="HY74" s="36" t="s">
        <v>139</v>
      </c>
      <c r="HZ74" s="36" t="s">
        <v>139</v>
      </c>
      <c r="IA74" s="36" t="s">
        <v>139</v>
      </c>
      <c r="IB74" s="36" t="s">
        <v>139</v>
      </c>
      <c r="IC74" s="36" t="s">
        <v>139</v>
      </c>
      <c r="ID74" s="36" t="s">
        <v>139</v>
      </c>
      <c r="IE74" s="36" t="s">
        <v>139</v>
      </c>
      <c r="IF74" s="36" t="s">
        <v>139</v>
      </c>
      <c r="IG74" s="36" t="s">
        <v>139</v>
      </c>
      <c r="IH74" s="36" t="s">
        <v>139</v>
      </c>
      <c r="II74" s="36" t="s">
        <v>139</v>
      </c>
      <c r="IJ74" s="36" t="s">
        <v>139</v>
      </c>
      <c r="IK74" s="36" t="s">
        <v>139</v>
      </c>
      <c r="IL74" s="36" t="s">
        <v>139</v>
      </c>
      <c r="IM74" s="36" t="s">
        <v>139</v>
      </c>
      <c r="IN74" s="36" t="s">
        <v>139</v>
      </c>
      <c r="IO74" s="36" t="s">
        <v>139</v>
      </c>
      <c r="IP74" s="36" t="s">
        <v>139</v>
      </c>
      <c r="IQ74" s="36" t="s">
        <v>139</v>
      </c>
      <c r="IR74" s="36" t="s">
        <v>139</v>
      </c>
      <c r="IS74" s="36" t="s">
        <v>139</v>
      </c>
      <c r="IT74" s="36" t="s">
        <v>139</v>
      </c>
      <c r="IU74" s="36" t="s">
        <v>139</v>
      </c>
      <c r="IV74" s="36" t="s">
        <v>139</v>
      </c>
      <c r="IW74" s="36" t="s">
        <v>139</v>
      </c>
      <c r="IX74" s="36" t="s">
        <v>139</v>
      </c>
      <c r="IY74" s="36" t="s">
        <v>139</v>
      </c>
      <c r="IZ74" s="36" t="s">
        <v>139</v>
      </c>
      <c r="JA74" s="36" t="s">
        <v>139</v>
      </c>
      <c r="JB74" s="36" t="s">
        <v>139</v>
      </c>
      <c r="JC74" s="36" t="s">
        <v>139</v>
      </c>
      <c r="JD74" s="36" t="s">
        <v>139</v>
      </c>
      <c r="JE74" s="36" t="s">
        <v>139</v>
      </c>
      <c r="JF74" s="36" t="s">
        <v>139</v>
      </c>
      <c r="JG74" s="36" t="s">
        <v>139</v>
      </c>
      <c r="JH74" s="36" t="s">
        <v>139</v>
      </c>
      <c r="JI74" s="36" t="s">
        <v>139</v>
      </c>
      <c r="JJ74" s="36" t="s">
        <v>139</v>
      </c>
      <c r="JK74" s="36" t="s">
        <v>139</v>
      </c>
      <c r="JL74" s="36" t="s">
        <v>139</v>
      </c>
      <c r="JM74" s="36" t="s">
        <v>139</v>
      </c>
      <c r="JN74" s="36" t="s">
        <v>139</v>
      </c>
      <c r="JO74" s="36" t="s">
        <v>139</v>
      </c>
      <c r="JP74" s="36" t="s">
        <v>139</v>
      </c>
      <c r="JQ74" s="36" t="s">
        <v>139</v>
      </c>
      <c r="JR74" s="36" t="s">
        <v>139</v>
      </c>
      <c r="JS74" s="36" t="s">
        <v>139</v>
      </c>
      <c r="JT74" s="36" t="s">
        <v>139</v>
      </c>
      <c r="JU74" s="36" t="s">
        <v>139</v>
      </c>
      <c r="JV74" s="36" t="s">
        <v>139</v>
      </c>
      <c r="JW74" s="36" t="s">
        <v>139</v>
      </c>
      <c r="JX74" s="36" t="s">
        <v>139</v>
      </c>
      <c r="JY74" s="36" t="s">
        <v>139</v>
      </c>
      <c r="JZ74" s="36" t="s">
        <v>139</v>
      </c>
      <c r="KA74" s="36" t="s">
        <v>139</v>
      </c>
      <c r="KB74" s="36" t="s">
        <v>139</v>
      </c>
      <c r="KC74" s="36" t="s">
        <v>139</v>
      </c>
      <c r="KD74" s="36" t="s">
        <v>139</v>
      </c>
      <c r="KE74" s="36" t="s">
        <v>139</v>
      </c>
      <c r="KF74" s="36" t="s">
        <v>139</v>
      </c>
      <c r="KG74" s="36" t="s">
        <v>139</v>
      </c>
      <c r="KH74" s="36" t="s">
        <v>139</v>
      </c>
      <c r="KI74" s="36" t="s">
        <v>139</v>
      </c>
      <c r="KJ74" s="36" t="s">
        <v>139</v>
      </c>
      <c r="KK74" s="36" t="s">
        <v>139</v>
      </c>
      <c r="KL74" s="36" t="s">
        <v>139</v>
      </c>
      <c r="KM74" s="36" t="s">
        <v>139</v>
      </c>
      <c r="KN74" s="36" t="s">
        <v>139</v>
      </c>
      <c r="KO74" s="36" t="s">
        <v>139</v>
      </c>
      <c r="KP74" s="36" t="s">
        <v>139</v>
      </c>
      <c r="KQ74" s="36" t="s">
        <v>139</v>
      </c>
      <c r="KR74" s="36" t="s">
        <v>139</v>
      </c>
      <c r="KS74" s="36" t="s">
        <v>139</v>
      </c>
      <c r="KT74" s="36" t="s">
        <v>139</v>
      </c>
      <c r="KU74" s="36" t="s">
        <v>139</v>
      </c>
      <c r="KV74" s="36" t="s">
        <v>139</v>
      </c>
      <c r="KW74" s="36" t="s">
        <v>139</v>
      </c>
      <c r="KX74" s="36" t="s">
        <v>139</v>
      </c>
      <c r="KY74" s="36" t="s">
        <v>139</v>
      </c>
      <c r="KZ74" s="36" t="s">
        <v>139</v>
      </c>
      <c r="LA74" s="36" t="s">
        <v>139</v>
      </c>
      <c r="LB74" s="36" t="s">
        <v>139</v>
      </c>
      <c r="LC74" s="36" t="s">
        <v>139</v>
      </c>
      <c r="LD74" s="36" t="s">
        <v>139</v>
      </c>
      <c r="LE74" s="36" t="s">
        <v>139</v>
      </c>
      <c r="LF74" s="36" t="s">
        <v>139</v>
      </c>
      <c r="LG74" s="36" t="s">
        <v>139</v>
      </c>
      <c r="LH74" s="36" t="s">
        <v>139</v>
      </c>
      <c r="LI74" s="36" t="s">
        <v>139</v>
      </c>
      <c r="LJ74" s="36" t="s">
        <v>139</v>
      </c>
      <c r="LK74" s="36" t="s">
        <v>139</v>
      </c>
      <c r="LL74" s="36" t="s">
        <v>139</v>
      </c>
      <c r="LM74" s="36" t="s">
        <v>139</v>
      </c>
      <c r="LN74" s="36" t="s">
        <v>139</v>
      </c>
      <c r="LO74" s="36" t="s">
        <v>139</v>
      </c>
      <c r="LP74" s="36" t="s">
        <v>139</v>
      </c>
      <c r="LQ74" s="36" t="s">
        <v>139</v>
      </c>
      <c r="LR74" s="36" t="s">
        <v>139</v>
      </c>
      <c r="LS74" s="36" t="s">
        <v>139</v>
      </c>
      <c r="LT74" s="36" t="s">
        <v>139</v>
      </c>
      <c r="LU74" s="36" t="s">
        <v>139</v>
      </c>
      <c r="LV74" s="36" t="s">
        <v>139</v>
      </c>
      <c r="LW74" s="36" t="s">
        <v>139</v>
      </c>
      <c r="LX74" s="36" t="s">
        <v>139</v>
      </c>
      <c r="LY74" s="36" t="s">
        <v>139</v>
      </c>
      <c r="LZ74" s="36" t="s">
        <v>139</v>
      </c>
      <c r="MA74" s="36" t="s">
        <v>139</v>
      </c>
      <c r="MB74" s="36" t="s">
        <v>139</v>
      </c>
      <c r="MC74" s="36" t="s">
        <v>139</v>
      </c>
      <c r="MD74" s="36" t="s">
        <v>139</v>
      </c>
      <c r="ME74" s="36" t="s">
        <v>139</v>
      </c>
      <c r="MF74" s="36" t="s">
        <v>139</v>
      </c>
      <c r="MG74" s="36" t="s">
        <v>139</v>
      </c>
      <c r="MH74" s="36" t="s">
        <v>139</v>
      </c>
      <c r="MI74" s="36" t="s">
        <v>139</v>
      </c>
      <c r="MJ74" s="36" t="s">
        <v>139</v>
      </c>
      <c r="MK74" s="36" t="s">
        <v>139</v>
      </c>
      <c r="ML74" s="36" t="s">
        <v>139</v>
      </c>
      <c r="MM74" s="36" t="s">
        <v>139</v>
      </c>
      <c r="MN74" s="36" t="s">
        <v>139</v>
      </c>
      <c r="MO74" s="36" t="s">
        <v>139</v>
      </c>
      <c r="MP74" s="36" t="s">
        <v>139</v>
      </c>
      <c r="MQ74" s="36" t="s">
        <v>139</v>
      </c>
      <c r="MR74" s="36" t="s">
        <v>139</v>
      </c>
      <c r="MS74" s="36" t="s">
        <v>139</v>
      </c>
      <c r="MT74" s="36" t="s">
        <v>139</v>
      </c>
      <c r="MU74" s="36" t="s">
        <v>139</v>
      </c>
      <c r="MV74" s="36" t="s">
        <v>139</v>
      </c>
      <c r="MW74" s="36" t="s">
        <v>139</v>
      </c>
      <c r="MX74" s="36" t="s">
        <v>139</v>
      </c>
      <c r="MY74" s="36" t="s">
        <v>139</v>
      </c>
      <c r="MZ74" s="36" t="s">
        <v>139</v>
      </c>
      <c r="NA74" s="36" t="s">
        <v>139</v>
      </c>
      <c r="NB74" s="36" t="s">
        <v>139</v>
      </c>
      <c r="NC74" s="36" t="s">
        <v>139</v>
      </c>
      <c r="ND74" s="36" t="s">
        <v>139</v>
      </c>
      <c r="NE74" s="36" t="s">
        <v>139</v>
      </c>
      <c r="NF74" s="36" t="s">
        <v>139</v>
      </c>
      <c r="NG74" s="36" t="s">
        <v>139</v>
      </c>
      <c r="NH74" s="36" t="s">
        <v>139</v>
      </c>
      <c r="NI74" s="36" t="s">
        <v>139</v>
      </c>
      <c r="NJ74" s="36" t="s">
        <v>139</v>
      </c>
      <c r="NK74" s="36" t="s">
        <v>139</v>
      </c>
      <c r="NL74" s="36" t="s">
        <v>139</v>
      </c>
      <c r="NM74" s="36" t="s">
        <v>139</v>
      </c>
      <c r="NN74" s="36" t="s">
        <v>139</v>
      </c>
      <c r="NO74" s="36" t="s">
        <v>139</v>
      </c>
      <c r="NP74" s="36" t="s">
        <v>139</v>
      </c>
      <c r="NQ74" s="36" t="s">
        <v>139</v>
      </c>
      <c r="NR74" s="36" t="s">
        <v>139</v>
      </c>
      <c r="NS74" s="36" t="s">
        <v>139</v>
      </c>
      <c r="NT74" s="36" t="s">
        <v>139</v>
      </c>
      <c r="NU74" s="36" t="s">
        <v>139</v>
      </c>
      <c r="NV74" s="36" t="s">
        <v>139</v>
      </c>
      <c r="NW74" s="36" t="s">
        <v>139</v>
      </c>
      <c r="NX74" s="36" t="s">
        <v>139</v>
      </c>
      <c r="NY74" s="36" t="s">
        <v>139</v>
      </c>
      <c r="NZ74" s="36" t="s">
        <v>139</v>
      </c>
      <c r="OA74" s="36" t="s">
        <v>139</v>
      </c>
      <c r="OB74" s="36" t="s">
        <v>139</v>
      </c>
      <c r="OC74" s="36" t="s">
        <v>139</v>
      </c>
      <c r="OD74" s="36" t="s">
        <v>139</v>
      </c>
      <c r="OE74" s="36" t="s">
        <v>139</v>
      </c>
      <c r="OF74" s="36" t="s">
        <v>139</v>
      </c>
      <c r="OG74" s="36" t="s">
        <v>139</v>
      </c>
      <c r="OH74" s="36" t="s">
        <v>139</v>
      </c>
      <c r="OI74" s="36" t="s">
        <v>139</v>
      </c>
      <c r="OJ74" s="36" t="s">
        <v>139</v>
      </c>
      <c r="OK74" s="36" t="s">
        <v>139</v>
      </c>
      <c r="OL74" s="36" t="s">
        <v>139</v>
      </c>
      <c r="OM74" s="36" t="s">
        <v>139</v>
      </c>
      <c r="ON74" s="36" t="s">
        <v>139</v>
      </c>
      <c r="OO74" s="36" t="s">
        <v>139</v>
      </c>
      <c r="OP74" s="36" t="s">
        <v>139</v>
      </c>
      <c r="OQ74" s="36" t="s">
        <v>139</v>
      </c>
      <c r="OR74" s="36" t="s">
        <v>139</v>
      </c>
      <c r="OS74" s="36" t="s">
        <v>139</v>
      </c>
      <c r="OT74" s="36" t="s">
        <v>139</v>
      </c>
      <c r="OU74" s="36" t="s">
        <v>139</v>
      </c>
      <c r="OV74" s="36" t="s">
        <v>139</v>
      </c>
      <c r="OW74" s="36" t="s">
        <v>139</v>
      </c>
      <c r="OX74" s="36" t="s">
        <v>139</v>
      </c>
      <c r="OY74" s="36" t="s">
        <v>139</v>
      </c>
      <c r="OZ74" s="36" t="s">
        <v>139</v>
      </c>
      <c r="PA74" s="36" t="s">
        <v>139</v>
      </c>
      <c r="PB74" s="36" t="s">
        <v>139</v>
      </c>
      <c r="PC74" s="36" t="s">
        <v>139</v>
      </c>
      <c r="PD74" s="36" t="s">
        <v>139</v>
      </c>
      <c r="PE74" s="36" t="s">
        <v>139</v>
      </c>
      <c r="PF74" s="36" t="s">
        <v>139</v>
      </c>
      <c r="PG74" s="36" t="s">
        <v>139</v>
      </c>
      <c r="PH74" s="36" t="s">
        <v>139</v>
      </c>
      <c r="PI74" s="36" t="s">
        <v>139</v>
      </c>
      <c r="PJ74" s="36" t="s">
        <v>139</v>
      </c>
      <c r="PK74" s="36" t="s">
        <v>139</v>
      </c>
      <c r="PL74" s="36" t="s">
        <v>139</v>
      </c>
      <c r="PM74" s="36" t="s">
        <v>139</v>
      </c>
      <c r="PN74" s="36" t="s">
        <v>139</v>
      </c>
      <c r="PO74" s="74">
        <f>COUNTIFS($C$27:$PN$27,("&lt;"&amp;$B$3),$C$27:$PN$27,("&gt;="&amp;$B$2),$C74:$PN74,TabAsistencias[[#Headers],[1]])</f>
        <v>30</v>
      </c>
      <c r="PP74" s="74">
        <f>COUNTIFS($C$27:$PN$27,("&lt;"&amp;$B$3),$C$27:$PN$27,("&gt;="&amp;$B$2),$C74:$PN74,TabAsistencias[[#Headers],[E]])</f>
        <v>0</v>
      </c>
      <c r="PQ74" s="74">
        <f>COUNTIFS($C$27:$PN$27,("&lt;"&amp;$B$3),$C$27:$PN$27,("&gt;="&amp;$B$2),$C74:$PN74,TabAsistencias[[#Headers],[DE]])</f>
        <v>0</v>
      </c>
      <c r="PR74" s="74">
        <f>COUNTIFS($C$27:$PN$27,("&lt;"&amp;$B$3),$C$27:$PN$27,("&gt;="&amp;$B$2),$C74:$PN74,TabAsistencias[[#Headers],[V]])</f>
        <v>0</v>
      </c>
      <c r="PS74" s="74">
        <f>COUNTIFS($C$27:$PN$27,("&lt;"&amp;$B$3),$C$27:$PN$27,("&gt;="&amp;$B$2),$C74:$PN74,TabAsistencias[[#Headers],[DO]])</f>
        <v>0</v>
      </c>
      <c r="PT74" s="74">
        <f>COUNTIFS($C$27:$PN$27,("&lt;"&amp;$B$3),$C$27:$PN$27,("&gt;="&amp;$B$2),$C74:$PN74,TabAsistencias[[#Headers],[P]])</f>
        <v>0</v>
      </c>
      <c r="PU74" s="74">
        <f>COUNTIFS($C$27:$PN$27,("&lt;"&amp;$B$3),$C$27:$PN$27,("&gt;="&amp;$B$2),$C74:$PN74,TabAsistencias[[#Headers],[F]])</f>
        <v>0</v>
      </c>
      <c r="PV74" s="74">
        <f>COUNTIFS($C$27:$PN$27,("&lt;"&amp;$B$3),$C$27:$PN$27,("&gt;="&amp;$B$2),$C74:$PN74,TabAsistencias[[#Headers],[R]])</f>
        <v>0</v>
      </c>
      <c r="PW74" s="74">
        <f>COUNTIFS($C$27:$PN$27,("&lt;"&amp;$B$3),$C$27:$PN$27,("&gt;="&amp;$B$2),$C74:$PN74,TabAsistencias[[#Headers],[PP]])</f>
        <v>0</v>
      </c>
      <c r="PX74" s="74">
        <f>COUNTIFS($C$27:$PN$27,("&lt;"&amp;$B$3),$C$27:$PN$27,("&gt;="&amp;$B$2),$C74:$PN74,TabAsistencias[[#Headers],[0]])</f>
        <v>0</v>
      </c>
      <c r="PY74" s="74">
        <f>COUNTIFS($C$27:$PN$27,("&lt;"&amp;$B$3),$C$27:$PN$27,("&gt;="&amp;$B$2),$C74:$PN74,TabAsistencias[[#Headers],[IG]])</f>
        <v>0</v>
      </c>
      <c r="PZ74" s="74">
        <f>COUNTIFS($C$27:$PN$27,("&lt;"&amp;$B$3),$C$27:$PN$27,("&gt;="&amp;$B$2),$C74:$PN74,TabAsistencias[[#Headers],[NA]])</f>
        <v>0</v>
      </c>
      <c r="QA74" s="74">
        <f>COUNTIFS($C$27:$PN$27,("&lt;"&amp;$B$3),$C$27:$PN$27,("&gt;="&amp;$B$2),$C74:$PN74,TabAsistencias[[#Headers],[DF]])</f>
        <v>0</v>
      </c>
      <c r="QB74" s="74">
        <f>COUNTIFS($C$27:$PN$27,("&lt;"&amp;$B$3),$C$27:$PN$27,("&gt;="&amp;$B$2),$C74:$PN74,TabAsistencias[[#Headers],[3]])</f>
        <v>0</v>
      </c>
      <c r="QC74" s="74">
        <f>COUNTIFS($C$27:$PN$27,("&lt;"&amp;$B$3),$C$27:$PN$27,("&gt;="&amp;$B$2),$C74:$PN74,TabAsistencias[[#Headers],[CP]])</f>
        <v>0</v>
      </c>
      <c r="QD74" s="74">
        <f>COUNTIFS($C$27:$PN$27,("&lt;"&amp;$B$3),$C$27:$PN$27,("&gt;="&amp;$B$2),$C74:$PN74,TabAsistencias[[#Headers],[I]])</f>
        <v>0</v>
      </c>
      <c r="QE74" s="74">
        <f>COUNTIFS($C$27:$PN$27,("&lt;"&amp;$B$3),$C$27:$PN$27,("&gt;="&amp;$B$2),$C74:$PN74,TabAsistencias[[#Headers],[T/2]])</f>
        <v>0</v>
      </c>
      <c r="QF74" s="74">
        <f>COUNTIFS($C$27:$PN$27,("&lt;"&amp;$B$3),$C$27:$PN$27,("&gt;="&amp;$B$2),$C74:$PN74,TabAsistencias[[#Headers],[ME]])</f>
        <v>0</v>
      </c>
      <c r="QG74" s="74">
        <f>COUNTIFS($C$27:$PN$27,("&lt;"&amp;$B$3),$C$27:$PN$27,("&gt;="&amp;$B$2),$C74:$PN74,TabAsistencias[[#Headers],[DP]])</f>
        <v>0</v>
      </c>
      <c r="QH74" s="74">
        <f>COUNTIFS($C$27:$PN$27,("&lt;"&amp;$B$3),$C$27:$PN$27,("&gt;="&amp;$B$2),$C74:$PN74,TabAsistencias[[#Headers],[B]])</f>
        <v>0</v>
      </c>
      <c r="QI74" s="74">
        <f>(TabAsistencias[[#This Row],[1]]*'Tablas de informacion'!$C$124)+(TabAsistencias[[#This Row],[E]]*'Tablas de informacion'!$C$125)+(TabAsistencias[[#This Row],[DE]]*'Tablas de informacion'!C$126)+(TabAsistencias[[#This Row],[V]]*'Tablas de informacion'!C$127)+(TabAsistencias[[#This Row],[DO]]*'Tablas de informacion'!C$128)+(TabAsistencias[[#This Row],[P]]*'Tablas de informacion'!C$129)+(TabAsistencias[[#This Row],[F]]*'Tablas de informacion'!C$130)+(TabAsistencias[[#This Row],[R]]*'Tablas de informacion'!C$131)+(TabAsistencias[[#This Row],[PP]]*'Tablas de informacion'!C$132)+(TabAsistencias[[#This Row],[0]]*'Tablas de informacion'!C$133)+(TabAsistencias[[#This Row],[IG]]*'Tablas de informacion'!C$134)+(TabAsistencias[[#This Row],[NA]]*'Tablas de informacion'!C$135)+(TabAsistencias[[#This Row],[DF]]*'Tablas de informacion'!C$136)+(TabAsistencias[[#This Row],[3]]*'Tablas de informacion'!C$137)+(TabAsistencias[[#This Row],[CP]]*'Tablas de informacion'!C$138)+(TabAsistencias[[#This Row],[I]]*'Tablas de informacion'!C$139)+(TabAsistencias[[#This Row],[T/2]]*'Tablas de informacion'!C$140)+(TabAsistencias[[#This Row],[ME]]*'Tablas de informacion'!C$141)+(TabAsistencias[[#This Row],[DP]]*'Tablas de informacion'!C$142)+(TabAsistencias[[#This Row],[B]]*'Tablas de informacion'!C$143)-INT(TabAsistencias[[#This Row],[R]]/3)</f>
        <v>30</v>
      </c>
      <c r="QJ74" s="74">
        <f>COUNTIFS($C$27:$PN$27,("&lt;"&amp;$B$3),$C$27:$PN$27,("&gt;="&amp;$B$2),$C$28:$PN$28,1,$C74:$PN74,TabAsistencias[[#Headers],[1]])+
COUNTIFS($C$27:$PN$27,("&lt;"&amp;$B$3),$C$27:$PN$27,("&gt;="&amp;$B$2),$C$28:$PN$28,1,$C74:$PN74,TabAsistencias[[#Headers],[DO]])+
COUNTIFS($C$27:$PN$27,("&lt;"&amp;$B$3),$C$27:$PN$27,("&gt;="&amp;$B$2),$C$28:$PN$28,1,$C74:$PN74,TabAsistencias[[#Headers],[R]])+
COUNTIFS($C$27:$PN$27,("&lt;"&amp;$B$3),$C$27:$PN$27,("&gt;="&amp;$B$2),$C$28:$PN$28,1,$C74:$PN74,TabAsistencias[[#Headers],[NA]])+
COUNTIFS($C$27:$PN$27,("&lt;"&amp;$B$3),$C$27:$PN$27,("&gt;="&amp;$B$2),$C$28:$PN$28,1,$C74:$PN74,TabAsistencias[[#Headers],[DF]])+
COUNTIFS($C$27:$PN$27,("&lt;"&amp;$B$3),$C$27:$PN$27,("&gt;="&amp;$B$2),$C$28:$PN$28,1,$C74:$PN74,TabAsistencias[[#Headers],[3]])+
COUNTIFS($C$27:$PN$27,("&lt;"&amp;$B$3),$C$27:$PN$27,("&gt;="&amp;$B$2),$C$28:$PN$28,1,$C74:$PN74,TabAsistencias[[#Headers],[CP]])+
COUNTIFS($C$27:$PN$27,("&lt;"&amp;$B$3),$C$27:$PN$27,("&gt;="&amp;$B$2),$C$28:$PN$28,1,$C74:$PN74,TabAsistencias[[#Headers],[T/2]])</f>
        <v>4</v>
      </c>
      <c r="QK74" s="315" cm="1">
        <f t="array" ref="QK74">IFERROR(VLOOKUP(
DATEDIF((VLOOKUP(TabAsistencias[[#This Row],[ID]],TabEmpleados[],COLUMN(TabEmpleados[Fecha de ingreso]),FALSE)),Asistencias!$B$3,"Y"),
TabFactorIntegracion[],COLUMN(TabFactorIntegracion[Días vacacionales
establecidos por ley]),FALSE),0)
-
COUNTIF($AH74:$PN74,TabAsistencias[[#Headers],[V]])</f>
        <v>12</v>
      </c>
      <c r="QL74" s="319">
        <f>SUM(TabAsistencias[[#This Row],[''1]],TabAsistencias[[#This Row],[''DE]],TabAsistencias[[#This Row],[''DO]],TabAsistencias[[#This Row],[''R]],TabAsistencias[[#This Row],[''NA]],TabAsistencias[[#This Row],[''DF]],TabAsistencias[[#This Row],[''3]],TabAsistencias[[#This Row],[''CP]],TabAsistencias[[#This Row],[''T/2]],TabAsistencias[[#This Row],[''DP]])</f>
        <v>73</v>
      </c>
      <c r="QM74" s="314">
        <f>COUNTIFS($C$27:$PN$27,("&lt;"&amp;$B$5),$C$27:$PN$27,("&gt;="&amp;$B$4),$C74:$PN74,TabAsistencias[[#Headers],[1]])</f>
        <v>73</v>
      </c>
      <c r="QN74" s="314">
        <f>COUNTIFS($C$27:$PN$27,("&lt;"&amp;$B$5),$C$27:$PN$27,("&gt;="&amp;$B$4),$C74:$PN74,TabAsistencias[[#Headers],[DE]])</f>
        <v>0</v>
      </c>
      <c r="QO74" s="314">
        <f>COUNTIFS($C$27:$PN$27,("&lt;"&amp;$B$5),$C$27:$PN$27,("&gt;="&amp;$B$4),$C74:$PN74,TabAsistencias[[#Headers],[V]])</f>
        <v>0</v>
      </c>
      <c r="QP74" s="314">
        <f>COUNTIFS($C$27:$PN$27,("&lt;"&amp;$B$5),$C$27:$PN$27,("&gt;="&amp;$B$4),$C74:$PN74,TabAsistencias[[#Headers],[DO]])</f>
        <v>0</v>
      </c>
      <c r="QQ74" s="314">
        <f>COUNTIFS($C$27:$PN$27,("&lt;"&amp;$B$5),$C$27:$PN$27,("&gt;="&amp;$B$4),$C74:$PN74,TabAsistencias[[#Headers],[P]])</f>
        <v>0</v>
      </c>
      <c r="QR74" s="314">
        <f>COUNTIFS($C$27:$PN$27,("&lt;"&amp;$B$5),$C$27:$PN$27,("&gt;="&amp;$B$4),$C74:$PN74,TabAsistencias[[#Headers],[F]])</f>
        <v>0</v>
      </c>
      <c r="QS74" s="314">
        <f>COUNTIFS($C$27:$PN$27,("&lt;"&amp;$B$5),$C$27:$PN$27,("&gt;="&amp;$B$4),$C74:$PN74,TabAsistencias[[#Headers],[R]])</f>
        <v>0</v>
      </c>
      <c r="QT74" s="314">
        <f>COUNTIFS($C$27:$PN$27,("&lt;"&amp;$B$5),$C$27:$PN$27,("&gt;="&amp;$B$4),$C74:$PN74,TabAsistencias[[#Headers],[PP]])</f>
        <v>0</v>
      </c>
      <c r="QU74" s="314">
        <f>COUNTIFS($C$27:$PN$27,("&lt;"&amp;$B$5),$C$27:$PN$27,("&gt;="&amp;$B$4),$C74:$PN74,TabAsistencias[[#Headers],[0]])</f>
        <v>0</v>
      </c>
      <c r="QV74" s="314">
        <f>COUNTIFS($C$27:$PN$27,("&lt;"&amp;$B$5),$C$27:$PN$27,("&gt;="&amp;$B$4),$C74:$PN74,TabAsistencias[[#Headers],[IG]])</f>
        <v>0</v>
      </c>
      <c r="QW74" s="314">
        <f>COUNTIFS($C$27:$PN$27,("&lt;"&amp;$B$5),$C$27:$PN$27,("&gt;="&amp;$B$4),$C74:$PN74,TabAsistencias[[#Headers],[NA]])</f>
        <v>0</v>
      </c>
      <c r="QX74" s="314">
        <f>COUNTIFS($C$27:$PN$27,("&lt;"&amp;$B$5),$C$27:$PN$27,("&gt;="&amp;$B$4),$C74:$PN74,TabAsistencias[[#Headers],[DF]])</f>
        <v>0</v>
      </c>
      <c r="QY74" s="314">
        <f>COUNTIFS($C$27:$PN$27,("&lt;"&amp;$B$5),$C$27:$PN$27,("&gt;="&amp;$B$4),$C74:$PN74,TabAsistencias[[#Headers],[3]])</f>
        <v>0</v>
      </c>
      <c r="QZ74" s="314">
        <f>COUNTIFS($C$27:$PN$27,("&lt;"&amp;$B$5),$C$27:$PN$27,("&gt;="&amp;$B$4),$C74:$PN74,TabAsistencias[[#Headers],[CP]])</f>
        <v>0</v>
      </c>
      <c r="RA74" s="314">
        <f>COUNTIFS($C$27:$PN$27,("&lt;"&amp;$B$5),$C$27:$PN$27,("&gt;="&amp;$B$4),$C74:$PN74,TabAsistencias[[#Headers],[I]])</f>
        <v>0</v>
      </c>
      <c r="RB74" s="314">
        <f>COUNTIFS($C$27:$PN$27,("&lt;"&amp;$B$5),$C$27:$PN$27,("&gt;="&amp;$B$4),$C74:$PN74,TabAsistencias[[#Headers],[T/2]])</f>
        <v>0</v>
      </c>
      <c r="RC74" s="314">
        <f>COUNTIFS($C$27:$PN$27,("&lt;"&amp;$B$5),$C$27:$PN$27,("&gt;="&amp;$B$4),$C74:$PN74,TabAsistencias[[#Headers],[ME]])</f>
        <v>0</v>
      </c>
      <c r="RD74" s="314">
        <f>COUNTIFS($C$27:$PN$27,("&lt;"&amp;$B$5),$C$27:$PN$27,("&gt;="&amp;$B$4),$C74:$PN74,TabAsistencias[[#Headers],[DP]])</f>
        <v>0</v>
      </c>
      <c r="RE74" s="314">
        <f>COUNTIFS($C$27:$PN$27,("&lt;"&amp;$B$5),$C$27:$PN$27,("&gt;="&amp;$B$4),$C74:$PN74,TabAsistencias[[#Headers],[B]])</f>
        <v>0</v>
      </c>
      <c r="RF74" s="314">
        <f>COUNTIFS($C$27:$PN$27,("&lt;"&amp;$B$5),$C$27:$PN$27,("&gt;="&amp;$B$4),$C$28:$PN$28,1,$C74:$PN74,TabAsistencias[[#Headers],[1]])+
COUNTIFS($C$27:$PN$27,("&lt;"&amp;$B$5),$C$27:$PN$27,("&gt;="&amp;$B$4),$C$28:$PN$28,1,$C74:$PN74,TabAsistencias[[#Headers],[DO]])+
COUNTIFS($C$27:$PN$27,("&lt;"&amp;$B$5),$C$27:$PN$27,("&gt;="&amp;$B$4),$C$28:$PN$28,1,$C74:$PN74,TabAsistencias[[#Headers],[R]])+
COUNTIFS($C$27:$PN$27,("&lt;"&amp;$B$5),$C$27:$PN$27,("&gt;="&amp;$B$4),$C$28:$PN$28,1,$C74:$PN74,TabAsistencias[[#Headers],[NA]])+
COUNTIFS($C$27:$PN$27,("&lt;"&amp;$B$5),$C$27:$PN$27,("&gt;="&amp;$B$4),$C$28:$PN$28,1,$C74:$PN74,TabAsistencias[[#Headers],[DF]])+
COUNTIFS($C$27:$PN$27,("&lt;"&amp;$B$5),$C$27:$PN$27,("&gt;="&amp;$B$4),$C$28:$PN$28,1,$C74:$PN74,TabAsistencias[[#Headers],[3]])+
COUNTIFS($C$27:$PN$27,("&lt;"&amp;$B$5),$C$27:$PN$27,("&gt;="&amp;$B$4),$C$28:$PN$28,1,$C74:$PN74,TabAsistencias[[#Headers],[CP]])+
COUNTIFS($C$27:$PN$27,("&lt;"&amp;$B$5),$C$27:$PN$27,("&gt;="&amp;$B$4),$C$28:$PN$28,1,$C74:$PN74,TabAsistencias[[#Headers],[T/2]])</f>
        <v>11</v>
      </c>
      <c r="RG74" s="320" cm="1">
        <f t="array" ref="RG74">IFERROR(VLOOKUP(
DATEDIF((VLOOKUP(TabAsistencias[[#This Row],[ID]],TabEmpleados[],COLUMN(TabEmpleados[Fecha de alta NSS]),FALSE)),Asistencias!$B$3,"Y"),
TabFactorIntegracion[],COLUMN(TabFactorIntegracion[Días vacacionales
establecidos por ley]),FALSE),0)
-
COUNTIF($AH74:$PN74,TabAsistencias[[#Headers],[V]])</f>
        <v>12</v>
      </c>
    </row>
    <row r="75" spans="1:475" x14ac:dyDescent="0.25">
      <c r="A75" s="92">
        <f t="shared" si="434"/>
        <v>45</v>
      </c>
      <c r="B75" s="30" t="str" cm="1">
        <f t="array" ref="B75">VLOOKUP(TabAsistencias[[#This Row],[ID]],TabEmpleados[],COLUMN(TabEmpleados[Nombre]),FALSE)</f>
        <v>CABRERA HEREDIA EDGAR OMAR</v>
      </c>
      <c r="C75" s="36" t="s">
        <v>139</v>
      </c>
      <c r="D75" s="36" t="s">
        <v>139</v>
      </c>
      <c r="E75" s="36" t="s">
        <v>139</v>
      </c>
      <c r="F75" s="36" t="s">
        <v>139</v>
      </c>
      <c r="G75" s="36" t="s">
        <v>139</v>
      </c>
      <c r="H75" s="36" t="s">
        <v>139</v>
      </c>
      <c r="I75" s="36" t="s">
        <v>139</v>
      </c>
      <c r="J75" s="36" t="s">
        <v>139</v>
      </c>
      <c r="K75" s="36" t="s">
        <v>139</v>
      </c>
      <c r="L75" s="36" t="s">
        <v>139</v>
      </c>
      <c r="M75" s="36" t="s">
        <v>139</v>
      </c>
      <c r="N75" s="36" t="s">
        <v>139</v>
      </c>
      <c r="O75" s="36" t="s">
        <v>139</v>
      </c>
      <c r="P75" s="36" t="s">
        <v>139</v>
      </c>
      <c r="Q75" s="36" t="s">
        <v>139</v>
      </c>
      <c r="R75" s="36" t="s">
        <v>139</v>
      </c>
      <c r="S75" s="36" t="s">
        <v>139</v>
      </c>
      <c r="T75" s="36" t="s">
        <v>139</v>
      </c>
      <c r="U75" s="36" t="s">
        <v>139</v>
      </c>
      <c r="V75" s="36" t="s">
        <v>139</v>
      </c>
      <c r="W75" s="36" t="s">
        <v>139</v>
      </c>
      <c r="X75" s="36" t="s">
        <v>139</v>
      </c>
      <c r="Y75" s="36" t="s">
        <v>139</v>
      </c>
      <c r="Z75" s="36" t="s">
        <v>139</v>
      </c>
      <c r="AA75" s="36" t="s">
        <v>139</v>
      </c>
      <c r="AB75" s="36" t="s">
        <v>139</v>
      </c>
      <c r="AC75" s="36" t="s">
        <v>139</v>
      </c>
      <c r="AD75" s="36" t="s">
        <v>139</v>
      </c>
      <c r="AE75" s="36" t="s">
        <v>139</v>
      </c>
      <c r="AF75" s="36" t="s">
        <v>139</v>
      </c>
      <c r="AG75" s="36" t="s">
        <v>139</v>
      </c>
      <c r="AH75" s="36" t="s">
        <v>139</v>
      </c>
      <c r="AI75" s="36" t="s">
        <v>139</v>
      </c>
      <c r="AJ75" s="36" t="s">
        <v>139</v>
      </c>
      <c r="AK75" s="36" t="s">
        <v>139</v>
      </c>
      <c r="AL75" s="36" t="s">
        <v>139</v>
      </c>
      <c r="AM75" s="36" t="s">
        <v>139</v>
      </c>
      <c r="AN75" s="36" t="s">
        <v>139</v>
      </c>
      <c r="AO75" s="36" t="s">
        <v>139</v>
      </c>
      <c r="AP75" s="36" t="s">
        <v>139</v>
      </c>
      <c r="AQ75" s="36" t="s">
        <v>139</v>
      </c>
      <c r="AR75" s="36" t="s">
        <v>139</v>
      </c>
      <c r="AS75" s="36" t="s">
        <v>139</v>
      </c>
      <c r="AT75" s="36" t="s">
        <v>139</v>
      </c>
      <c r="AU75" s="36" t="s">
        <v>139</v>
      </c>
      <c r="AV75" s="36" t="s">
        <v>139</v>
      </c>
      <c r="AW75" s="36" t="s">
        <v>139</v>
      </c>
      <c r="AX75" s="36" t="s">
        <v>139</v>
      </c>
      <c r="AY75" s="36" t="s">
        <v>139</v>
      </c>
      <c r="AZ75" s="36" t="s">
        <v>139</v>
      </c>
      <c r="BA75" s="36" t="s">
        <v>139</v>
      </c>
      <c r="BB75" s="36" t="s">
        <v>139</v>
      </c>
      <c r="BC75" s="36" t="s">
        <v>139</v>
      </c>
      <c r="BD75" s="36" t="s">
        <v>139</v>
      </c>
      <c r="BE75" s="36" t="s">
        <v>139</v>
      </c>
      <c r="BF75" s="36" t="s">
        <v>139</v>
      </c>
      <c r="BG75" s="36" t="s">
        <v>139</v>
      </c>
      <c r="BH75" s="36" t="s">
        <v>139</v>
      </c>
      <c r="BI75" s="36" t="s">
        <v>139</v>
      </c>
      <c r="BJ75" s="36" t="s">
        <v>139</v>
      </c>
      <c r="BK75" s="36" t="s">
        <v>139</v>
      </c>
      <c r="BL75" s="36" t="s">
        <v>139</v>
      </c>
      <c r="BM75" s="36" t="s">
        <v>139</v>
      </c>
      <c r="BN75" s="36" t="s">
        <v>139</v>
      </c>
      <c r="BO75" s="36" t="s">
        <v>139</v>
      </c>
      <c r="BP75" s="36" t="s">
        <v>139</v>
      </c>
      <c r="BQ75" s="36" t="s">
        <v>139</v>
      </c>
      <c r="BR75" s="36" t="s">
        <v>139</v>
      </c>
      <c r="BS75" s="36" t="s">
        <v>139</v>
      </c>
      <c r="BT75" s="36" t="s">
        <v>139</v>
      </c>
      <c r="BU75" s="36" t="s">
        <v>139</v>
      </c>
      <c r="BV75" s="36" t="s">
        <v>139</v>
      </c>
      <c r="BW75" s="36" t="s">
        <v>139</v>
      </c>
      <c r="BX75" s="36" t="s">
        <v>139</v>
      </c>
      <c r="BY75" s="36" t="s">
        <v>139</v>
      </c>
      <c r="BZ75" s="36" t="s">
        <v>139</v>
      </c>
      <c r="CA75" s="36" t="s">
        <v>139</v>
      </c>
      <c r="CB75" s="36" t="s">
        <v>139</v>
      </c>
      <c r="CC75" s="36" t="s">
        <v>139</v>
      </c>
      <c r="CD75" s="36" t="s">
        <v>139</v>
      </c>
      <c r="CE75" s="36" t="s">
        <v>139</v>
      </c>
      <c r="CF75" s="36" t="s">
        <v>139</v>
      </c>
      <c r="CG75" s="36" t="s">
        <v>139</v>
      </c>
      <c r="CH75" s="36" t="s">
        <v>139</v>
      </c>
      <c r="CI75" s="36" t="s">
        <v>139</v>
      </c>
      <c r="CJ75" s="36" t="s">
        <v>139</v>
      </c>
      <c r="CK75" s="36" t="s">
        <v>139</v>
      </c>
      <c r="CL75" s="36" t="s">
        <v>139</v>
      </c>
      <c r="CM75" s="36" t="s">
        <v>139</v>
      </c>
      <c r="CN75" s="36" t="s">
        <v>139</v>
      </c>
      <c r="CO75" s="36" t="s">
        <v>139</v>
      </c>
      <c r="CP75" s="36" t="s">
        <v>139</v>
      </c>
      <c r="CQ75" s="36" t="s">
        <v>139</v>
      </c>
      <c r="CR75" s="36" t="s">
        <v>139</v>
      </c>
      <c r="CS75" s="36" t="s">
        <v>139</v>
      </c>
      <c r="CT75" s="36" t="s">
        <v>139</v>
      </c>
      <c r="CU75" s="36" t="s">
        <v>139</v>
      </c>
      <c r="CV75" s="36" t="s">
        <v>139</v>
      </c>
      <c r="CW75" s="36" t="s">
        <v>139</v>
      </c>
      <c r="CX75" s="36" t="s">
        <v>139</v>
      </c>
      <c r="CY75" s="36" t="s">
        <v>139</v>
      </c>
      <c r="CZ75" s="36" t="s">
        <v>139</v>
      </c>
      <c r="DA75" s="36" t="s">
        <v>139</v>
      </c>
      <c r="DB75" s="36" t="s">
        <v>139</v>
      </c>
      <c r="DC75" s="36" t="s">
        <v>139</v>
      </c>
      <c r="DD75" s="36" t="s">
        <v>139</v>
      </c>
      <c r="DE75" s="36" t="s">
        <v>139</v>
      </c>
      <c r="DF75" s="36" t="s">
        <v>139</v>
      </c>
      <c r="DG75" s="36" t="s">
        <v>139</v>
      </c>
      <c r="DH75" s="36" t="s">
        <v>139</v>
      </c>
      <c r="DI75" s="36" t="s">
        <v>139</v>
      </c>
      <c r="DJ75" s="36" t="s">
        <v>139</v>
      </c>
      <c r="DK75" s="36" t="s">
        <v>139</v>
      </c>
      <c r="DL75" s="36" t="s">
        <v>139</v>
      </c>
      <c r="DM75" s="36" t="s">
        <v>139</v>
      </c>
      <c r="DN75" s="36" t="s">
        <v>139</v>
      </c>
      <c r="DO75" s="36" t="s">
        <v>139</v>
      </c>
      <c r="DP75" s="36" t="s">
        <v>139</v>
      </c>
      <c r="DQ75" s="36" t="s">
        <v>139</v>
      </c>
      <c r="DR75" s="36" t="s">
        <v>139</v>
      </c>
      <c r="DS75" s="36" t="s">
        <v>139</v>
      </c>
      <c r="DT75" s="36" t="s">
        <v>139</v>
      </c>
      <c r="DU75" s="36" t="s">
        <v>139</v>
      </c>
      <c r="DV75" s="36" t="s">
        <v>139</v>
      </c>
      <c r="DW75" s="36" t="s">
        <v>139</v>
      </c>
      <c r="DX75" s="36" t="s">
        <v>139</v>
      </c>
      <c r="DY75" s="36" t="s">
        <v>139</v>
      </c>
      <c r="DZ75" s="36" t="s">
        <v>139</v>
      </c>
      <c r="EA75" s="36" t="s">
        <v>139</v>
      </c>
      <c r="EB75" s="36" t="s">
        <v>139</v>
      </c>
      <c r="EC75" s="36" t="s">
        <v>139</v>
      </c>
      <c r="ED75" s="36" t="s">
        <v>139</v>
      </c>
      <c r="EE75" s="36" t="s">
        <v>139</v>
      </c>
      <c r="EF75" s="36" t="s">
        <v>139</v>
      </c>
      <c r="EG75" s="36" t="s">
        <v>139</v>
      </c>
      <c r="EH75" s="36" t="s">
        <v>139</v>
      </c>
      <c r="EI75" s="36" t="s">
        <v>139</v>
      </c>
      <c r="EJ75" s="36" t="s">
        <v>139</v>
      </c>
      <c r="EK75" s="36" t="s">
        <v>139</v>
      </c>
      <c r="EL75" s="36" t="s">
        <v>139</v>
      </c>
      <c r="EM75" s="36" t="s">
        <v>139</v>
      </c>
      <c r="EN75" s="36" t="s">
        <v>139</v>
      </c>
      <c r="EO75" s="36" t="s">
        <v>139</v>
      </c>
      <c r="EP75" s="36" t="s">
        <v>139</v>
      </c>
      <c r="EQ75" s="36" t="s">
        <v>139</v>
      </c>
      <c r="ER75" s="36" t="s">
        <v>139</v>
      </c>
      <c r="ES75" s="36" t="s">
        <v>139</v>
      </c>
      <c r="ET75" s="36" t="s">
        <v>139</v>
      </c>
      <c r="EU75" s="36" t="s">
        <v>139</v>
      </c>
      <c r="EV75" s="36" t="s">
        <v>139</v>
      </c>
      <c r="EW75" s="36" t="s">
        <v>139</v>
      </c>
      <c r="EX75" s="36" t="s">
        <v>139</v>
      </c>
      <c r="EY75" s="36" t="s">
        <v>139</v>
      </c>
      <c r="EZ75" s="36" t="s">
        <v>139</v>
      </c>
      <c r="FA75" s="36" t="s">
        <v>139</v>
      </c>
      <c r="FB75" s="36" t="s">
        <v>139</v>
      </c>
      <c r="FC75" s="36" t="s">
        <v>139</v>
      </c>
      <c r="FD75" s="36" t="s">
        <v>139</v>
      </c>
      <c r="FE75" s="36" t="s">
        <v>139</v>
      </c>
      <c r="FF75" s="36" t="s">
        <v>139</v>
      </c>
      <c r="FG75" s="36" t="s">
        <v>139</v>
      </c>
      <c r="FH75" s="36" t="s">
        <v>139</v>
      </c>
      <c r="FI75" s="36" t="s">
        <v>139</v>
      </c>
      <c r="FJ75" s="36" t="s">
        <v>139</v>
      </c>
      <c r="FK75" s="36" t="s">
        <v>139</v>
      </c>
      <c r="FL75" s="36" t="s">
        <v>139</v>
      </c>
      <c r="FM75" s="36" t="s">
        <v>139</v>
      </c>
      <c r="FN75" s="36" t="s">
        <v>139</v>
      </c>
      <c r="FO75" s="36" t="s">
        <v>139</v>
      </c>
      <c r="FP75" s="36" t="s">
        <v>139</v>
      </c>
      <c r="FQ75" s="36" t="s">
        <v>139</v>
      </c>
      <c r="FR75" s="36" t="s">
        <v>139</v>
      </c>
      <c r="FS75" s="36" t="s">
        <v>139</v>
      </c>
      <c r="FT75" s="36" t="s">
        <v>139</v>
      </c>
      <c r="FU75" s="36" t="s">
        <v>139</v>
      </c>
      <c r="FV75" s="36" t="s">
        <v>139</v>
      </c>
      <c r="FW75" s="36" t="s">
        <v>139</v>
      </c>
      <c r="FX75" s="36" t="s">
        <v>139</v>
      </c>
      <c r="FY75" s="36" t="s">
        <v>139</v>
      </c>
      <c r="FZ75" s="36" t="s">
        <v>139</v>
      </c>
      <c r="GA75" s="36" t="s">
        <v>139</v>
      </c>
      <c r="GB75" s="36" t="s">
        <v>139</v>
      </c>
      <c r="GC75" s="36" t="s">
        <v>139</v>
      </c>
      <c r="GD75" s="36" t="s">
        <v>139</v>
      </c>
      <c r="GE75" s="36" t="s">
        <v>139</v>
      </c>
      <c r="GF75" s="36" t="s">
        <v>139</v>
      </c>
      <c r="GG75" s="36" t="s">
        <v>139</v>
      </c>
      <c r="GH75" s="36" t="s">
        <v>139</v>
      </c>
      <c r="GI75" s="36" t="s">
        <v>139</v>
      </c>
      <c r="GJ75" s="36" t="s">
        <v>139</v>
      </c>
      <c r="GK75" s="36" t="s">
        <v>139</v>
      </c>
      <c r="GL75" s="36" t="s">
        <v>139</v>
      </c>
      <c r="GM75" s="36" t="s">
        <v>139</v>
      </c>
      <c r="GN75" s="36" t="s">
        <v>139</v>
      </c>
      <c r="GO75" s="36" t="s">
        <v>139</v>
      </c>
      <c r="GP75" s="36" t="s">
        <v>139</v>
      </c>
      <c r="GQ75" s="36" t="s">
        <v>139</v>
      </c>
      <c r="GR75" s="36" t="s">
        <v>139</v>
      </c>
      <c r="GS75" s="36" t="s">
        <v>139</v>
      </c>
      <c r="GT75" s="36" t="s">
        <v>139</v>
      </c>
      <c r="GU75" s="36" t="s">
        <v>139</v>
      </c>
      <c r="GV75" s="36" t="s">
        <v>139</v>
      </c>
      <c r="GW75" s="36" t="s">
        <v>139</v>
      </c>
      <c r="GX75" s="36" t="s">
        <v>139</v>
      </c>
      <c r="GY75" s="36" t="s">
        <v>139</v>
      </c>
      <c r="GZ75" s="36" t="s">
        <v>139</v>
      </c>
      <c r="HA75" s="36" t="s">
        <v>139</v>
      </c>
      <c r="HB75" s="36" t="s">
        <v>139</v>
      </c>
      <c r="HC75" s="36" t="s">
        <v>139</v>
      </c>
      <c r="HD75" s="36" t="s">
        <v>139</v>
      </c>
      <c r="HE75" s="36" t="s">
        <v>139</v>
      </c>
      <c r="HF75" s="36" t="s">
        <v>139</v>
      </c>
      <c r="HG75" s="36" t="s">
        <v>139</v>
      </c>
      <c r="HH75" s="36" t="s">
        <v>139</v>
      </c>
      <c r="HI75" s="36" t="s">
        <v>139</v>
      </c>
      <c r="HJ75" s="36" t="s">
        <v>139</v>
      </c>
      <c r="HK75" s="36" t="s">
        <v>139</v>
      </c>
      <c r="HL75" s="36" t="s">
        <v>139</v>
      </c>
      <c r="HM75" s="36" t="s">
        <v>139</v>
      </c>
      <c r="HN75" s="36" t="s">
        <v>139</v>
      </c>
      <c r="HO75" s="36" t="s">
        <v>139</v>
      </c>
      <c r="HP75" s="36" t="s">
        <v>139</v>
      </c>
      <c r="HQ75" s="36" t="s">
        <v>139</v>
      </c>
      <c r="HR75" s="36" t="s">
        <v>139</v>
      </c>
      <c r="HS75" s="36" t="s">
        <v>139</v>
      </c>
      <c r="HT75" s="36" t="s">
        <v>139</v>
      </c>
      <c r="HU75" s="36" t="s">
        <v>139</v>
      </c>
      <c r="HV75" s="36" t="s">
        <v>139</v>
      </c>
      <c r="HW75" s="36" t="s">
        <v>139</v>
      </c>
      <c r="HX75" s="36" t="s">
        <v>139</v>
      </c>
      <c r="HY75" s="36" t="s">
        <v>139</v>
      </c>
      <c r="HZ75" s="36" t="s">
        <v>139</v>
      </c>
      <c r="IA75" s="36" t="s">
        <v>139</v>
      </c>
      <c r="IB75" s="36" t="s">
        <v>139</v>
      </c>
      <c r="IC75" s="36" t="s">
        <v>139</v>
      </c>
      <c r="ID75" s="36" t="s">
        <v>139</v>
      </c>
      <c r="IE75" s="36" t="s">
        <v>139</v>
      </c>
      <c r="IF75" s="36" t="s">
        <v>139</v>
      </c>
      <c r="IG75" s="36" t="s">
        <v>139</v>
      </c>
      <c r="IH75" s="36" t="s">
        <v>139</v>
      </c>
      <c r="II75" s="36" t="s">
        <v>139</v>
      </c>
      <c r="IJ75" s="36" t="s">
        <v>139</v>
      </c>
      <c r="IK75" s="36" t="s">
        <v>139</v>
      </c>
      <c r="IL75" s="36" t="s">
        <v>139</v>
      </c>
      <c r="IM75" s="36" t="s">
        <v>139</v>
      </c>
      <c r="IN75" s="36" t="s">
        <v>139</v>
      </c>
      <c r="IO75" s="36" t="s">
        <v>139</v>
      </c>
      <c r="IP75" s="36" t="s">
        <v>139</v>
      </c>
      <c r="IQ75" s="36" t="s">
        <v>139</v>
      </c>
      <c r="IR75" s="36" t="s">
        <v>139</v>
      </c>
      <c r="IS75" s="36" t="s">
        <v>139</v>
      </c>
      <c r="IT75" s="36" t="s">
        <v>139</v>
      </c>
      <c r="IU75" s="36" t="s">
        <v>139</v>
      </c>
      <c r="IV75" s="36" t="s">
        <v>139</v>
      </c>
      <c r="IW75" s="36" t="s">
        <v>139</v>
      </c>
      <c r="IX75" s="36" t="s">
        <v>139</v>
      </c>
      <c r="IY75" s="36" t="s">
        <v>139</v>
      </c>
      <c r="IZ75" s="36" t="s">
        <v>139</v>
      </c>
      <c r="JA75" s="36" t="s">
        <v>139</v>
      </c>
      <c r="JB75" s="36" t="s">
        <v>139</v>
      </c>
      <c r="JC75" s="36" t="s">
        <v>139</v>
      </c>
      <c r="JD75" s="36" t="s">
        <v>139</v>
      </c>
      <c r="JE75" s="36" t="s">
        <v>139</v>
      </c>
      <c r="JF75" s="36" t="s">
        <v>139</v>
      </c>
      <c r="JG75" s="36" t="s">
        <v>139</v>
      </c>
      <c r="JH75" s="36" t="s">
        <v>139</v>
      </c>
      <c r="JI75" s="36" t="s">
        <v>139</v>
      </c>
      <c r="JJ75" s="36" t="s">
        <v>139</v>
      </c>
      <c r="JK75" s="36" t="s">
        <v>139</v>
      </c>
      <c r="JL75" s="36" t="s">
        <v>139</v>
      </c>
      <c r="JM75" s="36" t="s">
        <v>139</v>
      </c>
      <c r="JN75" s="36" t="s">
        <v>139</v>
      </c>
      <c r="JO75" s="36" t="s">
        <v>139</v>
      </c>
      <c r="JP75" s="36" t="s">
        <v>139</v>
      </c>
      <c r="JQ75" s="36" t="s">
        <v>139</v>
      </c>
      <c r="JR75" s="36" t="s">
        <v>139</v>
      </c>
      <c r="JS75" s="36" t="s">
        <v>139</v>
      </c>
      <c r="JT75" s="36" t="s">
        <v>139</v>
      </c>
      <c r="JU75" s="36" t="s">
        <v>139</v>
      </c>
      <c r="JV75" s="36" t="s">
        <v>139</v>
      </c>
      <c r="JW75" s="36" t="s">
        <v>139</v>
      </c>
      <c r="JX75" s="36" t="s">
        <v>139</v>
      </c>
      <c r="JY75" s="36" t="s">
        <v>139</v>
      </c>
      <c r="JZ75" s="36" t="s">
        <v>139</v>
      </c>
      <c r="KA75" s="36" t="s">
        <v>139</v>
      </c>
      <c r="KB75" s="36" t="s">
        <v>139</v>
      </c>
      <c r="KC75" s="36" t="s">
        <v>139</v>
      </c>
      <c r="KD75" s="36" t="s">
        <v>139</v>
      </c>
      <c r="KE75" s="36" t="s">
        <v>139</v>
      </c>
      <c r="KF75" s="36" t="s">
        <v>139</v>
      </c>
      <c r="KG75" s="36" t="s">
        <v>139</v>
      </c>
      <c r="KH75" s="36" t="s">
        <v>139</v>
      </c>
      <c r="KI75" s="36" t="s">
        <v>139</v>
      </c>
      <c r="KJ75" s="36" t="s">
        <v>139</v>
      </c>
      <c r="KK75" s="36" t="s">
        <v>139</v>
      </c>
      <c r="KL75" s="36" t="s">
        <v>139</v>
      </c>
      <c r="KM75" s="36" t="s">
        <v>139</v>
      </c>
      <c r="KN75" s="36" t="s">
        <v>139</v>
      </c>
      <c r="KO75" s="36" t="s">
        <v>139</v>
      </c>
      <c r="KP75" s="36" t="s">
        <v>139</v>
      </c>
      <c r="KQ75" s="36" t="s">
        <v>139</v>
      </c>
      <c r="KR75" s="36" t="s">
        <v>139</v>
      </c>
      <c r="KS75" s="36" t="s">
        <v>139</v>
      </c>
      <c r="KT75" s="36" t="s">
        <v>139</v>
      </c>
      <c r="KU75" s="36" t="s">
        <v>139</v>
      </c>
      <c r="KV75" s="36" t="s">
        <v>139</v>
      </c>
      <c r="KW75" s="36" t="s">
        <v>139</v>
      </c>
      <c r="KX75" s="36" t="s">
        <v>139</v>
      </c>
      <c r="KY75" s="36" t="s">
        <v>139</v>
      </c>
      <c r="KZ75" s="36" t="s">
        <v>139</v>
      </c>
      <c r="LA75" s="36" t="s">
        <v>139</v>
      </c>
      <c r="LB75" s="36" t="s">
        <v>139</v>
      </c>
      <c r="LC75" s="36" t="s">
        <v>139</v>
      </c>
      <c r="LD75" s="36" t="s">
        <v>139</v>
      </c>
      <c r="LE75" s="36" t="s">
        <v>139</v>
      </c>
      <c r="LF75" s="36" t="s">
        <v>139</v>
      </c>
      <c r="LG75" s="36" t="s">
        <v>139</v>
      </c>
      <c r="LH75" s="36" t="s">
        <v>139</v>
      </c>
      <c r="LI75" s="36" t="s">
        <v>139</v>
      </c>
      <c r="LJ75" s="36" t="s">
        <v>139</v>
      </c>
      <c r="LK75" s="36" t="s">
        <v>139</v>
      </c>
      <c r="LL75" s="36" t="s">
        <v>139</v>
      </c>
      <c r="LM75" s="36" t="s">
        <v>139</v>
      </c>
      <c r="LN75" s="36" t="s">
        <v>139</v>
      </c>
      <c r="LO75" s="36" t="s">
        <v>139</v>
      </c>
      <c r="LP75" s="36" t="s">
        <v>139</v>
      </c>
      <c r="LQ75" s="36" t="s">
        <v>139</v>
      </c>
      <c r="LR75" s="36" t="s">
        <v>139</v>
      </c>
      <c r="LS75" s="36" t="s">
        <v>139</v>
      </c>
      <c r="LT75" s="36" t="s">
        <v>139</v>
      </c>
      <c r="LU75" s="36" t="s">
        <v>139</v>
      </c>
      <c r="LV75" s="36" t="s">
        <v>139</v>
      </c>
      <c r="LW75" s="36" t="s">
        <v>139</v>
      </c>
      <c r="LX75" s="36" t="s">
        <v>139</v>
      </c>
      <c r="LY75" s="36" t="s">
        <v>139</v>
      </c>
      <c r="LZ75" s="36" t="s">
        <v>139</v>
      </c>
      <c r="MA75" s="36" t="s">
        <v>139</v>
      </c>
      <c r="MB75" s="36" t="s">
        <v>139</v>
      </c>
      <c r="MC75" s="36" t="s">
        <v>139</v>
      </c>
      <c r="MD75" s="36" t="s">
        <v>139</v>
      </c>
      <c r="ME75" s="36" t="s">
        <v>139</v>
      </c>
      <c r="MF75" s="36" t="s">
        <v>139</v>
      </c>
      <c r="MG75" s="36" t="s">
        <v>139</v>
      </c>
      <c r="MH75" s="36" t="s">
        <v>139</v>
      </c>
      <c r="MI75" s="36" t="s">
        <v>139</v>
      </c>
      <c r="MJ75" s="36" t="s">
        <v>139</v>
      </c>
      <c r="MK75" s="36" t="s">
        <v>139</v>
      </c>
      <c r="ML75" s="36" t="s">
        <v>139</v>
      </c>
      <c r="MM75" s="36" t="s">
        <v>139</v>
      </c>
      <c r="MN75" s="36" t="s">
        <v>139</v>
      </c>
      <c r="MO75" s="36" t="s">
        <v>139</v>
      </c>
      <c r="MP75" s="36" t="s">
        <v>139</v>
      </c>
      <c r="MQ75" s="36" t="s">
        <v>139</v>
      </c>
      <c r="MR75" s="36" t="s">
        <v>139</v>
      </c>
      <c r="MS75" s="36" t="s">
        <v>139</v>
      </c>
      <c r="MT75" s="36" t="s">
        <v>139</v>
      </c>
      <c r="MU75" s="36" t="s">
        <v>139</v>
      </c>
      <c r="MV75" s="36" t="s">
        <v>139</v>
      </c>
      <c r="MW75" s="36" t="s">
        <v>139</v>
      </c>
      <c r="MX75" s="36" t="s">
        <v>139</v>
      </c>
      <c r="MY75" s="36" t="s">
        <v>139</v>
      </c>
      <c r="MZ75" s="36" t="s">
        <v>139</v>
      </c>
      <c r="NA75" s="36" t="s">
        <v>139</v>
      </c>
      <c r="NB75" s="36" t="s">
        <v>139</v>
      </c>
      <c r="NC75" s="36" t="s">
        <v>139</v>
      </c>
      <c r="ND75" s="36" t="s">
        <v>139</v>
      </c>
      <c r="NE75" s="36" t="s">
        <v>139</v>
      </c>
      <c r="NF75" s="36" t="s">
        <v>139</v>
      </c>
      <c r="NG75" s="36" t="s">
        <v>139</v>
      </c>
      <c r="NH75" s="36" t="s">
        <v>139</v>
      </c>
      <c r="NI75" s="36" t="s">
        <v>139</v>
      </c>
      <c r="NJ75" s="36" t="s">
        <v>139</v>
      </c>
      <c r="NK75" s="36" t="s">
        <v>139</v>
      </c>
      <c r="NL75" s="36" t="s">
        <v>139</v>
      </c>
      <c r="NM75" s="36" t="s">
        <v>139</v>
      </c>
      <c r="NN75" s="36" t="s">
        <v>139</v>
      </c>
      <c r="NO75" s="36" t="s">
        <v>139</v>
      </c>
      <c r="NP75" s="36" t="s">
        <v>139</v>
      </c>
      <c r="NQ75" s="36" t="s">
        <v>139</v>
      </c>
      <c r="NR75" s="36" t="s">
        <v>139</v>
      </c>
      <c r="NS75" s="36" t="s">
        <v>139</v>
      </c>
      <c r="NT75" s="36" t="s">
        <v>139</v>
      </c>
      <c r="NU75" s="36" t="s">
        <v>139</v>
      </c>
      <c r="NV75" s="36" t="s">
        <v>139</v>
      </c>
      <c r="NW75" s="36" t="s">
        <v>139</v>
      </c>
      <c r="NX75" s="36" t="s">
        <v>139</v>
      </c>
      <c r="NY75" s="36" t="s">
        <v>139</v>
      </c>
      <c r="NZ75" s="36" t="s">
        <v>139</v>
      </c>
      <c r="OA75" s="36" t="s">
        <v>139</v>
      </c>
      <c r="OB75" s="36" t="s">
        <v>139</v>
      </c>
      <c r="OC75" s="36" t="s">
        <v>139</v>
      </c>
      <c r="OD75" s="36" t="s">
        <v>139</v>
      </c>
      <c r="OE75" s="36" t="s">
        <v>139</v>
      </c>
      <c r="OF75" s="36" t="s">
        <v>139</v>
      </c>
      <c r="OG75" s="36" t="s">
        <v>139</v>
      </c>
      <c r="OH75" s="36" t="s">
        <v>139</v>
      </c>
      <c r="OI75" s="36" t="s">
        <v>139</v>
      </c>
      <c r="OJ75" s="36" t="s">
        <v>139</v>
      </c>
      <c r="OK75" s="36" t="s">
        <v>139</v>
      </c>
      <c r="OL75" s="36" t="s">
        <v>139</v>
      </c>
      <c r="OM75" s="36" t="s">
        <v>139</v>
      </c>
      <c r="ON75" s="36" t="s">
        <v>139</v>
      </c>
      <c r="OO75" s="36" t="s">
        <v>139</v>
      </c>
      <c r="OP75" s="36" t="s">
        <v>139</v>
      </c>
      <c r="OQ75" s="36" t="s">
        <v>139</v>
      </c>
      <c r="OR75" s="36" t="s">
        <v>139</v>
      </c>
      <c r="OS75" s="36" t="s">
        <v>139</v>
      </c>
      <c r="OT75" s="36" t="s">
        <v>139</v>
      </c>
      <c r="OU75" s="36" t="s">
        <v>139</v>
      </c>
      <c r="OV75" s="36" t="s">
        <v>139</v>
      </c>
      <c r="OW75" s="36" t="s">
        <v>139</v>
      </c>
      <c r="OX75" s="36" t="s">
        <v>139</v>
      </c>
      <c r="OY75" s="36" t="s">
        <v>139</v>
      </c>
      <c r="OZ75" s="36" t="s">
        <v>139</v>
      </c>
      <c r="PA75" s="36" t="s">
        <v>139</v>
      </c>
      <c r="PB75" s="36" t="s">
        <v>139</v>
      </c>
      <c r="PC75" s="36" t="s">
        <v>139</v>
      </c>
      <c r="PD75" s="36" t="s">
        <v>139</v>
      </c>
      <c r="PE75" s="36" t="s">
        <v>139</v>
      </c>
      <c r="PF75" s="36" t="s">
        <v>139</v>
      </c>
      <c r="PG75" s="36" t="s">
        <v>139</v>
      </c>
      <c r="PH75" s="36" t="s">
        <v>139</v>
      </c>
      <c r="PI75" s="36" t="s">
        <v>139</v>
      </c>
      <c r="PJ75" s="36" t="s">
        <v>139</v>
      </c>
      <c r="PK75" s="36" t="s">
        <v>139</v>
      </c>
      <c r="PL75" s="36" t="s">
        <v>139</v>
      </c>
      <c r="PM75" s="36" t="s">
        <v>139</v>
      </c>
      <c r="PN75" s="36" t="s">
        <v>139</v>
      </c>
      <c r="PO75" s="74">
        <f>COUNTIFS($C$27:$PN$27,("&lt;"&amp;$B$3),$C$27:$PN$27,("&gt;="&amp;$B$2),$C75:$PN75,TabAsistencias[[#Headers],[1]])</f>
        <v>30</v>
      </c>
      <c r="PP75" s="74">
        <f>COUNTIFS($C$27:$PN$27,("&lt;"&amp;$B$3),$C$27:$PN$27,("&gt;="&amp;$B$2),$C75:$PN75,TabAsistencias[[#Headers],[E]])</f>
        <v>0</v>
      </c>
      <c r="PQ75" s="74">
        <f>COUNTIFS($C$27:$PN$27,("&lt;"&amp;$B$3),$C$27:$PN$27,("&gt;="&amp;$B$2),$C75:$PN75,TabAsistencias[[#Headers],[DE]])</f>
        <v>0</v>
      </c>
      <c r="PR75" s="74">
        <f>COUNTIFS($C$27:$PN$27,("&lt;"&amp;$B$3),$C$27:$PN$27,("&gt;="&amp;$B$2),$C75:$PN75,TabAsistencias[[#Headers],[V]])</f>
        <v>0</v>
      </c>
      <c r="PS75" s="74">
        <f>COUNTIFS($C$27:$PN$27,("&lt;"&amp;$B$3),$C$27:$PN$27,("&gt;="&amp;$B$2),$C75:$PN75,TabAsistencias[[#Headers],[DO]])</f>
        <v>0</v>
      </c>
      <c r="PT75" s="74">
        <f>COUNTIFS($C$27:$PN$27,("&lt;"&amp;$B$3),$C$27:$PN$27,("&gt;="&amp;$B$2),$C75:$PN75,TabAsistencias[[#Headers],[P]])</f>
        <v>0</v>
      </c>
      <c r="PU75" s="74">
        <f>COUNTIFS($C$27:$PN$27,("&lt;"&amp;$B$3),$C$27:$PN$27,("&gt;="&amp;$B$2),$C75:$PN75,TabAsistencias[[#Headers],[F]])</f>
        <v>0</v>
      </c>
      <c r="PV75" s="74">
        <f>COUNTIFS($C$27:$PN$27,("&lt;"&amp;$B$3),$C$27:$PN$27,("&gt;="&amp;$B$2),$C75:$PN75,TabAsistencias[[#Headers],[R]])</f>
        <v>0</v>
      </c>
      <c r="PW75" s="74">
        <f>COUNTIFS($C$27:$PN$27,("&lt;"&amp;$B$3),$C$27:$PN$27,("&gt;="&amp;$B$2),$C75:$PN75,TabAsistencias[[#Headers],[PP]])</f>
        <v>0</v>
      </c>
      <c r="PX75" s="74">
        <f>COUNTIFS($C$27:$PN$27,("&lt;"&amp;$B$3),$C$27:$PN$27,("&gt;="&amp;$B$2),$C75:$PN75,TabAsistencias[[#Headers],[0]])</f>
        <v>0</v>
      </c>
      <c r="PY75" s="74">
        <f>COUNTIFS($C$27:$PN$27,("&lt;"&amp;$B$3),$C$27:$PN$27,("&gt;="&amp;$B$2),$C75:$PN75,TabAsistencias[[#Headers],[IG]])</f>
        <v>0</v>
      </c>
      <c r="PZ75" s="74">
        <f>COUNTIFS($C$27:$PN$27,("&lt;"&amp;$B$3),$C$27:$PN$27,("&gt;="&amp;$B$2),$C75:$PN75,TabAsistencias[[#Headers],[NA]])</f>
        <v>0</v>
      </c>
      <c r="QA75" s="74">
        <f>COUNTIFS($C$27:$PN$27,("&lt;"&amp;$B$3),$C$27:$PN$27,("&gt;="&amp;$B$2),$C75:$PN75,TabAsistencias[[#Headers],[DF]])</f>
        <v>0</v>
      </c>
      <c r="QB75" s="74">
        <f>COUNTIFS($C$27:$PN$27,("&lt;"&amp;$B$3),$C$27:$PN$27,("&gt;="&amp;$B$2),$C75:$PN75,TabAsistencias[[#Headers],[3]])</f>
        <v>0</v>
      </c>
      <c r="QC75" s="74">
        <f>COUNTIFS($C$27:$PN$27,("&lt;"&amp;$B$3),$C$27:$PN$27,("&gt;="&amp;$B$2),$C75:$PN75,TabAsistencias[[#Headers],[CP]])</f>
        <v>0</v>
      </c>
      <c r="QD75" s="74">
        <f>COUNTIFS($C$27:$PN$27,("&lt;"&amp;$B$3),$C$27:$PN$27,("&gt;="&amp;$B$2),$C75:$PN75,TabAsistencias[[#Headers],[I]])</f>
        <v>0</v>
      </c>
      <c r="QE75" s="74">
        <f>COUNTIFS($C$27:$PN$27,("&lt;"&amp;$B$3),$C$27:$PN$27,("&gt;="&amp;$B$2),$C75:$PN75,TabAsistencias[[#Headers],[T/2]])</f>
        <v>0</v>
      </c>
      <c r="QF75" s="74">
        <f>COUNTIFS($C$27:$PN$27,("&lt;"&amp;$B$3),$C$27:$PN$27,("&gt;="&amp;$B$2),$C75:$PN75,TabAsistencias[[#Headers],[ME]])</f>
        <v>0</v>
      </c>
      <c r="QG75" s="74">
        <f>COUNTIFS($C$27:$PN$27,("&lt;"&amp;$B$3),$C$27:$PN$27,("&gt;="&amp;$B$2),$C75:$PN75,TabAsistencias[[#Headers],[DP]])</f>
        <v>0</v>
      </c>
      <c r="QH75" s="74">
        <f>COUNTIFS($C$27:$PN$27,("&lt;"&amp;$B$3),$C$27:$PN$27,("&gt;="&amp;$B$2),$C75:$PN75,TabAsistencias[[#Headers],[B]])</f>
        <v>0</v>
      </c>
      <c r="QI75" s="74">
        <f>(TabAsistencias[[#This Row],[1]]*'Tablas de informacion'!$C$124)+(TabAsistencias[[#This Row],[E]]*'Tablas de informacion'!$C$125)+(TabAsistencias[[#This Row],[DE]]*'Tablas de informacion'!C$126)+(TabAsistencias[[#This Row],[V]]*'Tablas de informacion'!C$127)+(TabAsistencias[[#This Row],[DO]]*'Tablas de informacion'!C$128)+(TabAsistencias[[#This Row],[P]]*'Tablas de informacion'!C$129)+(TabAsistencias[[#This Row],[F]]*'Tablas de informacion'!C$130)+(TabAsistencias[[#This Row],[R]]*'Tablas de informacion'!C$131)+(TabAsistencias[[#This Row],[PP]]*'Tablas de informacion'!C$132)+(TabAsistencias[[#This Row],[0]]*'Tablas de informacion'!C$133)+(TabAsistencias[[#This Row],[IG]]*'Tablas de informacion'!C$134)+(TabAsistencias[[#This Row],[NA]]*'Tablas de informacion'!C$135)+(TabAsistencias[[#This Row],[DF]]*'Tablas de informacion'!C$136)+(TabAsistencias[[#This Row],[3]]*'Tablas de informacion'!C$137)+(TabAsistencias[[#This Row],[CP]]*'Tablas de informacion'!C$138)+(TabAsistencias[[#This Row],[I]]*'Tablas de informacion'!C$139)+(TabAsistencias[[#This Row],[T/2]]*'Tablas de informacion'!C$140)+(TabAsistencias[[#This Row],[ME]]*'Tablas de informacion'!C$141)+(TabAsistencias[[#This Row],[DP]]*'Tablas de informacion'!C$142)+(TabAsistencias[[#This Row],[B]]*'Tablas de informacion'!C$143)-INT(TabAsistencias[[#This Row],[R]]/3)</f>
        <v>30</v>
      </c>
      <c r="QJ75" s="74">
        <f>COUNTIFS($C$27:$PN$27,("&lt;"&amp;$B$3),$C$27:$PN$27,("&gt;="&amp;$B$2),$C$28:$PN$28,1,$C75:$PN75,TabAsistencias[[#Headers],[1]])+
COUNTIFS($C$27:$PN$27,("&lt;"&amp;$B$3),$C$27:$PN$27,("&gt;="&amp;$B$2),$C$28:$PN$28,1,$C75:$PN75,TabAsistencias[[#Headers],[DO]])+
COUNTIFS($C$27:$PN$27,("&lt;"&amp;$B$3),$C$27:$PN$27,("&gt;="&amp;$B$2),$C$28:$PN$28,1,$C75:$PN75,TabAsistencias[[#Headers],[R]])+
COUNTIFS($C$27:$PN$27,("&lt;"&amp;$B$3),$C$27:$PN$27,("&gt;="&amp;$B$2),$C$28:$PN$28,1,$C75:$PN75,TabAsistencias[[#Headers],[NA]])+
COUNTIFS($C$27:$PN$27,("&lt;"&amp;$B$3),$C$27:$PN$27,("&gt;="&amp;$B$2),$C$28:$PN$28,1,$C75:$PN75,TabAsistencias[[#Headers],[DF]])+
COUNTIFS($C$27:$PN$27,("&lt;"&amp;$B$3),$C$27:$PN$27,("&gt;="&amp;$B$2),$C$28:$PN$28,1,$C75:$PN75,TabAsistencias[[#Headers],[3]])+
COUNTIFS($C$27:$PN$27,("&lt;"&amp;$B$3),$C$27:$PN$27,("&gt;="&amp;$B$2),$C$28:$PN$28,1,$C75:$PN75,TabAsistencias[[#Headers],[CP]])+
COUNTIFS($C$27:$PN$27,("&lt;"&amp;$B$3),$C$27:$PN$27,("&gt;="&amp;$B$2),$C$28:$PN$28,1,$C75:$PN75,TabAsistencias[[#Headers],[T/2]])</f>
        <v>4</v>
      </c>
      <c r="QK75" s="315" cm="1">
        <f t="array" ref="QK75">IFERROR(VLOOKUP(
DATEDIF((VLOOKUP(TabAsistencias[[#This Row],[ID]],TabEmpleados[],COLUMN(TabEmpleados[Fecha de ingreso]),FALSE)),Asistencias!$B$3,"Y"),
TabFactorIntegracion[],COLUMN(TabFactorIntegracion[Días vacacionales
establecidos por ley]),FALSE),0)
-
COUNTIF($AH75:$PN75,TabAsistencias[[#Headers],[V]])</f>
        <v>20</v>
      </c>
      <c r="QL75" s="319">
        <f>SUM(TabAsistencias[[#This Row],[''1]],TabAsistencias[[#This Row],[''DE]],TabAsistencias[[#This Row],[''DO]],TabAsistencias[[#This Row],[''R]],TabAsistencias[[#This Row],[''NA]],TabAsistencias[[#This Row],[''DF]],TabAsistencias[[#This Row],[''3]],TabAsistencias[[#This Row],[''CP]],TabAsistencias[[#This Row],[''T/2]],TabAsistencias[[#This Row],[''DP]])</f>
        <v>73</v>
      </c>
      <c r="QM75" s="314">
        <f>COUNTIFS($C$27:$PN$27,("&lt;"&amp;$B$5),$C$27:$PN$27,("&gt;="&amp;$B$4),$C75:$PN75,TabAsistencias[[#Headers],[1]])</f>
        <v>73</v>
      </c>
      <c r="QN75" s="314">
        <f>COUNTIFS($C$27:$PN$27,("&lt;"&amp;$B$5),$C$27:$PN$27,("&gt;="&amp;$B$4),$C75:$PN75,TabAsistencias[[#Headers],[DE]])</f>
        <v>0</v>
      </c>
      <c r="QO75" s="314">
        <f>COUNTIFS($C$27:$PN$27,("&lt;"&amp;$B$5),$C$27:$PN$27,("&gt;="&amp;$B$4),$C75:$PN75,TabAsistencias[[#Headers],[V]])</f>
        <v>0</v>
      </c>
      <c r="QP75" s="314">
        <f>COUNTIFS($C$27:$PN$27,("&lt;"&amp;$B$5),$C$27:$PN$27,("&gt;="&amp;$B$4),$C75:$PN75,TabAsistencias[[#Headers],[DO]])</f>
        <v>0</v>
      </c>
      <c r="QQ75" s="314">
        <f>COUNTIFS($C$27:$PN$27,("&lt;"&amp;$B$5),$C$27:$PN$27,("&gt;="&amp;$B$4),$C75:$PN75,TabAsistencias[[#Headers],[P]])</f>
        <v>0</v>
      </c>
      <c r="QR75" s="314">
        <f>COUNTIFS($C$27:$PN$27,("&lt;"&amp;$B$5),$C$27:$PN$27,("&gt;="&amp;$B$4),$C75:$PN75,TabAsistencias[[#Headers],[F]])</f>
        <v>0</v>
      </c>
      <c r="QS75" s="314">
        <f>COUNTIFS($C$27:$PN$27,("&lt;"&amp;$B$5),$C$27:$PN$27,("&gt;="&amp;$B$4),$C75:$PN75,TabAsistencias[[#Headers],[R]])</f>
        <v>0</v>
      </c>
      <c r="QT75" s="314">
        <f>COUNTIFS($C$27:$PN$27,("&lt;"&amp;$B$5),$C$27:$PN$27,("&gt;="&amp;$B$4),$C75:$PN75,TabAsistencias[[#Headers],[PP]])</f>
        <v>0</v>
      </c>
      <c r="QU75" s="314">
        <f>COUNTIFS($C$27:$PN$27,("&lt;"&amp;$B$5),$C$27:$PN$27,("&gt;="&amp;$B$4),$C75:$PN75,TabAsistencias[[#Headers],[0]])</f>
        <v>0</v>
      </c>
      <c r="QV75" s="314">
        <f>COUNTIFS($C$27:$PN$27,("&lt;"&amp;$B$5),$C$27:$PN$27,("&gt;="&amp;$B$4),$C75:$PN75,TabAsistencias[[#Headers],[IG]])</f>
        <v>0</v>
      </c>
      <c r="QW75" s="314">
        <f>COUNTIFS($C$27:$PN$27,("&lt;"&amp;$B$5),$C$27:$PN$27,("&gt;="&amp;$B$4),$C75:$PN75,TabAsistencias[[#Headers],[NA]])</f>
        <v>0</v>
      </c>
      <c r="QX75" s="314">
        <f>COUNTIFS($C$27:$PN$27,("&lt;"&amp;$B$5),$C$27:$PN$27,("&gt;="&amp;$B$4),$C75:$PN75,TabAsistencias[[#Headers],[DF]])</f>
        <v>0</v>
      </c>
      <c r="QY75" s="314">
        <f>COUNTIFS($C$27:$PN$27,("&lt;"&amp;$B$5),$C$27:$PN$27,("&gt;="&amp;$B$4),$C75:$PN75,TabAsistencias[[#Headers],[3]])</f>
        <v>0</v>
      </c>
      <c r="QZ75" s="314">
        <f>COUNTIFS($C$27:$PN$27,("&lt;"&amp;$B$5),$C$27:$PN$27,("&gt;="&amp;$B$4),$C75:$PN75,TabAsistencias[[#Headers],[CP]])</f>
        <v>0</v>
      </c>
      <c r="RA75" s="314">
        <f>COUNTIFS($C$27:$PN$27,("&lt;"&amp;$B$5),$C$27:$PN$27,("&gt;="&amp;$B$4),$C75:$PN75,TabAsistencias[[#Headers],[I]])</f>
        <v>0</v>
      </c>
      <c r="RB75" s="314">
        <f>COUNTIFS($C$27:$PN$27,("&lt;"&amp;$B$5),$C$27:$PN$27,("&gt;="&amp;$B$4),$C75:$PN75,TabAsistencias[[#Headers],[T/2]])</f>
        <v>0</v>
      </c>
      <c r="RC75" s="314">
        <f>COUNTIFS($C$27:$PN$27,("&lt;"&amp;$B$5),$C$27:$PN$27,("&gt;="&amp;$B$4),$C75:$PN75,TabAsistencias[[#Headers],[ME]])</f>
        <v>0</v>
      </c>
      <c r="RD75" s="314">
        <f>COUNTIFS($C$27:$PN$27,("&lt;"&amp;$B$5),$C$27:$PN$27,("&gt;="&amp;$B$4),$C75:$PN75,TabAsistencias[[#Headers],[DP]])</f>
        <v>0</v>
      </c>
      <c r="RE75" s="314">
        <f>COUNTIFS($C$27:$PN$27,("&lt;"&amp;$B$5),$C$27:$PN$27,("&gt;="&amp;$B$4),$C75:$PN75,TabAsistencias[[#Headers],[B]])</f>
        <v>0</v>
      </c>
      <c r="RF75" s="314">
        <f>COUNTIFS($C$27:$PN$27,("&lt;"&amp;$B$5),$C$27:$PN$27,("&gt;="&amp;$B$4),$C$28:$PN$28,1,$C75:$PN75,TabAsistencias[[#Headers],[1]])+
COUNTIFS($C$27:$PN$27,("&lt;"&amp;$B$5),$C$27:$PN$27,("&gt;="&amp;$B$4),$C$28:$PN$28,1,$C75:$PN75,TabAsistencias[[#Headers],[DO]])+
COUNTIFS($C$27:$PN$27,("&lt;"&amp;$B$5),$C$27:$PN$27,("&gt;="&amp;$B$4),$C$28:$PN$28,1,$C75:$PN75,TabAsistencias[[#Headers],[R]])+
COUNTIFS($C$27:$PN$27,("&lt;"&amp;$B$5),$C$27:$PN$27,("&gt;="&amp;$B$4),$C$28:$PN$28,1,$C75:$PN75,TabAsistencias[[#Headers],[NA]])+
COUNTIFS($C$27:$PN$27,("&lt;"&amp;$B$5),$C$27:$PN$27,("&gt;="&amp;$B$4),$C$28:$PN$28,1,$C75:$PN75,TabAsistencias[[#Headers],[DF]])+
COUNTIFS($C$27:$PN$27,("&lt;"&amp;$B$5),$C$27:$PN$27,("&gt;="&amp;$B$4),$C$28:$PN$28,1,$C75:$PN75,TabAsistencias[[#Headers],[3]])+
COUNTIFS($C$27:$PN$27,("&lt;"&amp;$B$5),$C$27:$PN$27,("&gt;="&amp;$B$4),$C$28:$PN$28,1,$C75:$PN75,TabAsistencias[[#Headers],[CP]])+
COUNTIFS($C$27:$PN$27,("&lt;"&amp;$B$5),$C$27:$PN$27,("&gt;="&amp;$B$4),$C$28:$PN$28,1,$C75:$PN75,TabAsistencias[[#Headers],[T/2]])</f>
        <v>11</v>
      </c>
      <c r="RG75" s="320" cm="1">
        <f t="array" ref="RG75">IFERROR(VLOOKUP(
DATEDIF((VLOOKUP(TabAsistencias[[#This Row],[ID]],TabEmpleados[],COLUMN(TabEmpleados[Fecha de alta NSS]),FALSE)),Asistencias!$B$3,"Y"),
TabFactorIntegracion[],COLUMN(TabFactorIntegracion[Días vacacionales
establecidos por ley]),FALSE),0)
-
COUNTIF($AH75:$PN75,TabAsistencias[[#Headers],[V]])</f>
        <v>20</v>
      </c>
    </row>
    <row r="76" spans="1:475" x14ac:dyDescent="0.25">
      <c r="A76" s="92">
        <f t="shared" si="434"/>
        <v>46</v>
      </c>
      <c r="B76" s="30" t="str" cm="1">
        <f t="array" ref="B76">VLOOKUP(TabAsistencias[[#This Row],[ID]],TabEmpleados[],COLUMN(TabEmpleados[Nombre]),FALSE)</f>
        <v xml:space="preserve">REYES JUAREZ OSCAR </v>
      </c>
      <c r="C76" s="36" t="s">
        <v>139</v>
      </c>
      <c r="D76" s="36" t="s">
        <v>139</v>
      </c>
      <c r="E76" s="36" t="s">
        <v>139</v>
      </c>
      <c r="F76" s="36" t="s">
        <v>139</v>
      </c>
      <c r="G76" s="36" t="s">
        <v>139</v>
      </c>
      <c r="H76" s="36" t="s">
        <v>139</v>
      </c>
      <c r="I76" s="36" t="s">
        <v>139</v>
      </c>
      <c r="J76" s="36" t="s">
        <v>139</v>
      </c>
      <c r="K76" s="36" t="s">
        <v>139</v>
      </c>
      <c r="L76" s="36" t="s">
        <v>139</v>
      </c>
      <c r="M76" s="36" t="s">
        <v>139</v>
      </c>
      <c r="N76" s="36" t="s">
        <v>139</v>
      </c>
      <c r="O76" s="36" t="s">
        <v>139</v>
      </c>
      <c r="P76" s="36" t="s">
        <v>139</v>
      </c>
      <c r="Q76" s="36" t="s">
        <v>139</v>
      </c>
      <c r="R76" s="36" t="s">
        <v>139</v>
      </c>
      <c r="S76" s="36" t="s">
        <v>139</v>
      </c>
      <c r="T76" s="36" t="s">
        <v>139</v>
      </c>
      <c r="U76" s="36" t="s">
        <v>139</v>
      </c>
      <c r="V76" s="36" t="s">
        <v>139</v>
      </c>
      <c r="W76" s="36" t="s">
        <v>139</v>
      </c>
      <c r="X76" s="36" t="s">
        <v>139</v>
      </c>
      <c r="Y76" s="36" t="s">
        <v>139</v>
      </c>
      <c r="Z76" s="36" t="s">
        <v>139</v>
      </c>
      <c r="AA76" s="36" t="s">
        <v>139</v>
      </c>
      <c r="AB76" s="36" t="s">
        <v>139</v>
      </c>
      <c r="AC76" s="36" t="s">
        <v>139</v>
      </c>
      <c r="AD76" s="36" t="s">
        <v>139</v>
      </c>
      <c r="AE76" s="36" t="s">
        <v>139</v>
      </c>
      <c r="AF76" s="36" t="s">
        <v>139</v>
      </c>
      <c r="AG76" s="36" t="s">
        <v>139</v>
      </c>
      <c r="AH76" s="36" t="s">
        <v>139</v>
      </c>
      <c r="AI76" s="36" t="s">
        <v>139</v>
      </c>
      <c r="AJ76" s="36" t="s">
        <v>139</v>
      </c>
      <c r="AK76" s="36" t="s">
        <v>139</v>
      </c>
      <c r="AL76" s="36" t="s">
        <v>139</v>
      </c>
      <c r="AM76" s="36" t="s">
        <v>139</v>
      </c>
      <c r="AN76" s="36" t="s">
        <v>139</v>
      </c>
      <c r="AO76" s="36" t="s">
        <v>139</v>
      </c>
      <c r="AP76" s="36" t="s">
        <v>139</v>
      </c>
      <c r="AQ76" s="36" t="s">
        <v>139</v>
      </c>
      <c r="AR76" s="36" t="s">
        <v>139</v>
      </c>
      <c r="AS76" s="36" t="s">
        <v>139</v>
      </c>
      <c r="AT76" s="36" t="s">
        <v>139</v>
      </c>
      <c r="AU76" s="36" t="s">
        <v>139</v>
      </c>
      <c r="AV76" s="36" t="s">
        <v>139</v>
      </c>
      <c r="AW76" s="36" t="s">
        <v>139</v>
      </c>
      <c r="AX76" s="36" t="s">
        <v>139</v>
      </c>
      <c r="AY76" s="36" t="s">
        <v>139</v>
      </c>
      <c r="AZ76" s="36" t="s">
        <v>139</v>
      </c>
      <c r="BA76" s="36" t="s">
        <v>139</v>
      </c>
      <c r="BB76" s="36" t="s">
        <v>139</v>
      </c>
      <c r="BC76" s="36" t="s">
        <v>139</v>
      </c>
      <c r="BD76" s="36" t="s">
        <v>139</v>
      </c>
      <c r="BE76" s="36" t="s">
        <v>139</v>
      </c>
      <c r="BF76" s="36" t="s">
        <v>139</v>
      </c>
      <c r="BG76" s="36" t="s">
        <v>139</v>
      </c>
      <c r="BH76" s="36" t="s">
        <v>139</v>
      </c>
      <c r="BI76" s="36" t="s">
        <v>139</v>
      </c>
      <c r="BJ76" s="36" t="s">
        <v>139</v>
      </c>
      <c r="BK76" s="36" t="s">
        <v>139</v>
      </c>
      <c r="BL76" s="36" t="s">
        <v>139</v>
      </c>
      <c r="BM76" s="36" t="s">
        <v>139</v>
      </c>
      <c r="BN76" s="36" t="s">
        <v>139</v>
      </c>
      <c r="BO76" s="36" t="s">
        <v>139</v>
      </c>
      <c r="BP76" s="36" t="s">
        <v>139</v>
      </c>
      <c r="BQ76" s="36" t="s">
        <v>139</v>
      </c>
      <c r="BR76" s="36" t="s">
        <v>139</v>
      </c>
      <c r="BS76" s="36" t="s">
        <v>139</v>
      </c>
      <c r="BT76" s="36" t="s">
        <v>139</v>
      </c>
      <c r="BU76" s="36" t="s">
        <v>139</v>
      </c>
      <c r="BV76" s="36" t="s">
        <v>139</v>
      </c>
      <c r="BW76" s="36" t="s">
        <v>139</v>
      </c>
      <c r="BX76" s="36" t="s">
        <v>139</v>
      </c>
      <c r="BY76" s="36" t="s">
        <v>139</v>
      </c>
      <c r="BZ76" s="36" t="s">
        <v>139</v>
      </c>
      <c r="CA76" s="36" t="s">
        <v>139</v>
      </c>
      <c r="CB76" s="36" t="s">
        <v>139</v>
      </c>
      <c r="CC76" s="36" t="s">
        <v>139</v>
      </c>
      <c r="CD76" s="36" t="s">
        <v>139</v>
      </c>
      <c r="CE76" s="36" t="s">
        <v>139</v>
      </c>
      <c r="CF76" s="36" t="s">
        <v>139</v>
      </c>
      <c r="CG76" s="36" t="s">
        <v>139</v>
      </c>
      <c r="CH76" s="36" t="s">
        <v>139</v>
      </c>
      <c r="CI76" s="36" t="s">
        <v>139</v>
      </c>
      <c r="CJ76" s="36" t="s">
        <v>139</v>
      </c>
      <c r="CK76" s="36" t="s">
        <v>139</v>
      </c>
      <c r="CL76" s="36" t="s">
        <v>139</v>
      </c>
      <c r="CM76" s="36" t="s">
        <v>139</v>
      </c>
      <c r="CN76" s="36" t="s">
        <v>139</v>
      </c>
      <c r="CO76" s="36" t="s">
        <v>139</v>
      </c>
      <c r="CP76" s="36" t="s">
        <v>139</v>
      </c>
      <c r="CQ76" s="36" t="s">
        <v>139</v>
      </c>
      <c r="CR76" s="36" t="s">
        <v>139</v>
      </c>
      <c r="CS76" s="36" t="s">
        <v>139</v>
      </c>
      <c r="CT76" s="36" t="s">
        <v>139</v>
      </c>
      <c r="CU76" s="36" t="s">
        <v>139</v>
      </c>
      <c r="CV76" s="36" t="s">
        <v>139</v>
      </c>
      <c r="CW76" s="36" t="s">
        <v>139</v>
      </c>
      <c r="CX76" s="36" t="s">
        <v>139</v>
      </c>
      <c r="CY76" s="36" t="s">
        <v>139</v>
      </c>
      <c r="CZ76" s="36" t="s">
        <v>139</v>
      </c>
      <c r="DA76" s="36" t="s">
        <v>139</v>
      </c>
      <c r="DB76" s="36" t="s">
        <v>139</v>
      </c>
      <c r="DC76" s="36" t="s">
        <v>139</v>
      </c>
      <c r="DD76" s="36" t="s">
        <v>139</v>
      </c>
      <c r="DE76" s="36" t="s">
        <v>139</v>
      </c>
      <c r="DF76" s="36" t="s">
        <v>139</v>
      </c>
      <c r="DG76" s="36" t="s">
        <v>139</v>
      </c>
      <c r="DH76" s="36" t="s">
        <v>139</v>
      </c>
      <c r="DI76" s="36" t="s">
        <v>139</v>
      </c>
      <c r="DJ76" s="36" t="s">
        <v>139</v>
      </c>
      <c r="DK76" s="36" t="s">
        <v>139</v>
      </c>
      <c r="DL76" s="36" t="s">
        <v>139</v>
      </c>
      <c r="DM76" s="36" t="s">
        <v>139</v>
      </c>
      <c r="DN76" s="36" t="s">
        <v>139</v>
      </c>
      <c r="DO76" s="36" t="s">
        <v>139</v>
      </c>
      <c r="DP76" s="36" t="s">
        <v>139</v>
      </c>
      <c r="DQ76" s="36" t="s">
        <v>139</v>
      </c>
      <c r="DR76" s="36" t="s">
        <v>139</v>
      </c>
      <c r="DS76" s="36" t="s">
        <v>139</v>
      </c>
      <c r="DT76" s="36" t="s">
        <v>139</v>
      </c>
      <c r="DU76" s="36" t="s">
        <v>139</v>
      </c>
      <c r="DV76" s="36" t="s">
        <v>139</v>
      </c>
      <c r="DW76" s="36" t="s">
        <v>139</v>
      </c>
      <c r="DX76" s="36" t="s">
        <v>139</v>
      </c>
      <c r="DY76" s="36" t="s">
        <v>139</v>
      </c>
      <c r="DZ76" s="36" t="s">
        <v>139</v>
      </c>
      <c r="EA76" s="36" t="s">
        <v>139</v>
      </c>
      <c r="EB76" s="36" t="s">
        <v>139</v>
      </c>
      <c r="EC76" s="36" t="s">
        <v>139</v>
      </c>
      <c r="ED76" s="36" t="s">
        <v>139</v>
      </c>
      <c r="EE76" s="36" t="s">
        <v>139</v>
      </c>
      <c r="EF76" s="36" t="s">
        <v>139</v>
      </c>
      <c r="EG76" s="36" t="s">
        <v>139</v>
      </c>
      <c r="EH76" s="36" t="s">
        <v>139</v>
      </c>
      <c r="EI76" s="36" t="s">
        <v>139</v>
      </c>
      <c r="EJ76" s="36" t="s">
        <v>139</v>
      </c>
      <c r="EK76" s="36" t="s">
        <v>139</v>
      </c>
      <c r="EL76" s="36" t="s">
        <v>139</v>
      </c>
      <c r="EM76" s="36" t="s">
        <v>139</v>
      </c>
      <c r="EN76" s="36" t="s">
        <v>139</v>
      </c>
      <c r="EO76" s="36" t="s">
        <v>139</v>
      </c>
      <c r="EP76" s="36" t="s">
        <v>139</v>
      </c>
      <c r="EQ76" s="36" t="s">
        <v>139</v>
      </c>
      <c r="ER76" s="36" t="s">
        <v>139</v>
      </c>
      <c r="ES76" s="36" t="s">
        <v>139</v>
      </c>
      <c r="ET76" s="36" t="s">
        <v>139</v>
      </c>
      <c r="EU76" s="36" t="s">
        <v>139</v>
      </c>
      <c r="EV76" s="36" t="s">
        <v>139</v>
      </c>
      <c r="EW76" s="36" t="s">
        <v>139</v>
      </c>
      <c r="EX76" s="36" t="s">
        <v>139</v>
      </c>
      <c r="EY76" s="36" t="s">
        <v>139</v>
      </c>
      <c r="EZ76" s="36" t="s">
        <v>139</v>
      </c>
      <c r="FA76" s="36" t="s">
        <v>139</v>
      </c>
      <c r="FB76" s="36" t="s">
        <v>139</v>
      </c>
      <c r="FC76" s="36" t="s">
        <v>139</v>
      </c>
      <c r="FD76" s="36" t="s">
        <v>139</v>
      </c>
      <c r="FE76" s="36" t="s">
        <v>139</v>
      </c>
      <c r="FF76" s="36" t="s">
        <v>139</v>
      </c>
      <c r="FG76" s="36" t="s">
        <v>139</v>
      </c>
      <c r="FH76" s="36" t="s">
        <v>139</v>
      </c>
      <c r="FI76" s="36" t="s">
        <v>139</v>
      </c>
      <c r="FJ76" s="36" t="s">
        <v>139</v>
      </c>
      <c r="FK76" s="36" t="s">
        <v>139</v>
      </c>
      <c r="FL76" s="36" t="s">
        <v>139</v>
      </c>
      <c r="FM76" s="36" t="s">
        <v>139</v>
      </c>
      <c r="FN76" s="36" t="s">
        <v>139</v>
      </c>
      <c r="FO76" s="36" t="s">
        <v>139</v>
      </c>
      <c r="FP76" s="36" t="s">
        <v>139</v>
      </c>
      <c r="FQ76" s="36" t="s">
        <v>139</v>
      </c>
      <c r="FR76" s="36" t="s">
        <v>139</v>
      </c>
      <c r="FS76" s="36" t="s">
        <v>139</v>
      </c>
      <c r="FT76" s="36" t="s">
        <v>139</v>
      </c>
      <c r="FU76" s="36" t="s">
        <v>139</v>
      </c>
      <c r="FV76" s="36" t="s">
        <v>139</v>
      </c>
      <c r="FW76" s="36" t="s">
        <v>139</v>
      </c>
      <c r="FX76" s="36" t="s">
        <v>139</v>
      </c>
      <c r="FY76" s="36" t="s">
        <v>139</v>
      </c>
      <c r="FZ76" s="36" t="s">
        <v>139</v>
      </c>
      <c r="GA76" s="36" t="s">
        <v>139</v>
      </c>
      <c r="GB76" s="36" t="s">
        <v>139</v>
      </c>
      <c r="GC76" s="36" t="s">
        <v>139</v>
      </c>
      <c r="GD76" s="36" t="s">
        <v>139</v>
      </c>
      <c r="GE76" s="36" t="s">
        <v>139</v>
      </c>
      <c r="GF76" s="36" t="s">
        <v>139</v>
      </c>
      <c r="GG76" s="36" t="s">
        <v>139</v>
      </c>
      <c r="GH76" s="36" t="s">
        <v>139</v>
      </c>
      <c r="GI76" s="36" t="s">
        <v>139</v>
      </c>
      <c r="GJ76" s="36" t="s">
        <v>139</v>
      </c>
      <c r="GK76" s="36" t="s">
        <v>139</v>
      </c>
      <c r="GL76" s="36" t="s">
        <v>139</v>
      </c>
      <c r="GM76" s="36" t="s">
        <v>139</v>
      </c>
      <c r="GN76" s="36" t="s">
        <v>139</v>
      </c>
      <c r="GO76" s="36" t="s">
        <v>139</v>
      </c>
      <c r="GP76" s="36" t="s">
        <v>139</v>
      </c>
      <c r="GQ76" s="36" t="s">
        <v>139</v>
      </c>
      <c r="GR76" s="36" t="s">
        <v>139</v>
      </c>
      <c r="GS76" s="36" t="s">
        <v>139</v>
      </c>
      <c r="GT76" s="36" t="s">
        <v>139</v>
      </c>
      <c r="GU76" s="36" t="s">
        <v>139</v>
      </c>
      <c r="GV76" s="36" t="s">
        <v>139</v>
      </c>
      <c r="GW76" s="36" t="s">
        <v>139</v>
      </c>
      <c r="GX76" s="36" t="s">
        <v>139</v>
      </c>
      <c r="GY76" s="36" t="s">
        <v>139</v>
      </c>
      <c r="GZ76" s="36" t="s">
        <v>139</v>
      </c>
      <c r="HA76" s="36" t="s">
        <v>139</v>
      </c>
      <c r="HB76" s="36" t="s">
        <v>139</v>
      </c>
      <c r="HC76" s="36" t="s">
        <v>139</v>
      </c>
      <c r="HD76" s="36" t="s">
        <v>139</v>
      </c>
      <c r="HE76" s="36" t="s">
        <v>139</v>
      </c>
      <c r="HF76" s="36" t="s">
        <v>139</v>
      </c>
      <c r="HG76" s="36" t="s">
        <v>139</v>
      </c>
      <c r="HH76" s="36" t="s">
        <v>139</v>
      </c>
      <c r="HI76" s="36" t="s">
        <v>139</v>
      </c>
      <c r="HJ76" s="36" t="s">
        <v>139</v>
      </c>
      <c r="HK76" s="36" t="s">
        <v>139</v>
      </c>
      <c r="HL76" s="36" t="s">
        <v>139</v>
      </c>
      <c r="HM76" s="36" t="s">
        <v>139</v>
      </c>
      <c r="HN76" s="36" t="s">
        <v>139</v>
      </c>
      <c r="HO76" s="36" t="s">
        <v>139</v>
      </c>
      <c r="HP76" s="36" t="s">
        <v>139</v>
      </c>
      <c r="HQ76" s="36" t="s">
        <v>139</v>
      </c>
      <c r="HR76" s="36" t="s">
        <v>139</v>
      </c>
      <c r="HS76" s="36" t="s">
        <v>139</v>
      </c>
      <c r="HT76" s="36" t="s">
        <v>139</v>
      </c>
      <c r="HU76" s="36" t="s">
        <v>139</v>
      </c>
      <c r="HV76" s="36" t="s">
        <v>139</v>
      </c>
      <c r="HW76" s="36" t="s">
        <v>139</v>
      </c>
      <c r="HX76" s="36" t="s">
        <v>139</v>
      </c>
      <c r="HY76" s="36" t="s">
        <v>139</v>
      </c>
      <c r="HZ76" s="36" t="s">
        <v>139</v>
      </c>
      <c r="IA76" s="36" t="s">
        <v>139</v>
      </c>
      <c r="IB76" s="36" t="s">
        <v>139</v>
      </c>
      <c r="IC76" s="36" t="s">
        <v>139</v>
      </c>
      <c r="ID76" s="36" t="s">
        <v>139</v>
      </c>
      <c r="IE76" s="36" t="s">
        <v>139</v>
      </c>
      <c r="IF76" s="36" t="s">
        <v>139</v>
      </c>
      <c r="IG76" s="36" t="s">
        <v>139</v>
      </c>
      <c r="IH76" s="36" t="s">
        <v>139</v>
      </c>
      <c r="II76" s="36" t="s">
        <v>139</v>
      </c>
      <c r="IJ76" s="36" t="s">
        <v>139</v>
      </c>
      <c r="IK76" s="36" t="s">
        <v>139</v>
      </c>
      <c r="IL76" s="36" t="s">
        <v>139</v>
      </c>
      <c r="IM76" s="36" t="s">
        <v>139</v>
      </c>
      <c r="IN76" s="36" t="s">
        <v>139</v>
      </c>
      <c r="IO76" s="36" t="s">
        <v>139</v>
      </c>
      <c r="IP76" s="36" t="s">
        <v>139</v>
      </c>
      <c r="IQ76" s="36" t="s">
        <v>139</v>
      </c>
      <c r="IR76" s="36" t="s">
        <v>139</v>
      </c>
      <c r="IS76" s="36" t="s">
        <v>139</v>
      </c>
      <c r="IT76" s="36" t="s">
        <v>139</v>
      </c>
      <c r="IU76" s="36" t="s">
        <v>139</v>
      </c>
      <c r="IV76" s="36" t="s">
        <v>139</v>
      </c>
      <c r="IW76" s="36" t="s">
        <v>139</v>
      </c>
      <c r="IX76" s="36" t="s">
        <v>139</v>
      </c>
      <c r="IY76" s="36" t="s">
        <v>139</v>
      </c>
      <c r="IZ76" s="36" t="s">
        <v>139</v>
      </c>
      <c r="JA76" s="36" t="s">
        <v>139</v>
      </c>
      <c r="JB76" s="36" t="s">
        <v>139</v>
      </c>
      <c r="JC76" s="36" t="s">
        <v>139</v>
      </c>
      <c r="JD76" s="36" t="s">
        <v>139</v>
      </c>
      <c r="JE76" s="36" t="s">
        <v>139</v>
      </c>
      <c r="JF76" s="36" t="s">
        <v>139</v>
      </c>
      <c r="JG76" s="36" t="s">
        <v>139</v>
      </c>
      <c r="JH76" s="36" t="s">
        <v>139</v>
      </c>
      <c r="JI76" s="36" t="s">
        <v>139</v>
      </c>
      <c r="JJ76" s="36" t="s">
        <v>139</v>
      </c>
      <c r="JK76" s="36" t="s">
        <v>139</v>
      </c>
      <c r="JL76" s="36" t="s">
        <v>139</v>
      </c>
      <c r="JM76" s="36" t="s">
        <v>139</v>
      </c>
      <c r="JN76" s="36" t="s">
        <v>139</v>
      </c>
      <c r="JO76" s="36" t="s">
        <v>139</v>
      </c>
      <c r="JP76" s="36" t="s">
        <v>139</v>
      </c>
      <c r="JQ76" s="36" t="s">
        <v>139</v>
      </c>
      <c r="JR76" s="36" t="s">
        <v>139</v>
      </c>
      <c r="JS76" s="36" t="s">
        <v>139</v>
      </c>
      <c r="JT76" s="36" t="s">
        <v>139</v>
      </c>
      <c r="JU76" s="36" t="s">
        <v>139</v>
      </c>
      <c r="JV76" s="36" t="s">
        <v>139</v>
      </c>
      <c r="JW76" s="36" t="s">
        <v>139</v>
      </c>
      <c r="JX76" s="36" t="s">
        <v>139</v>
      </c>
      <c r="JY76" s="36" t="s">
        <v>139</v>
      </c>
      <c r="JZ76" s="36" t="s">
        <v>139</v>
      </c>
      <c r="KA76" s="36" t="s">
        <v>139</v>
      </c>
      <c r="KB76" s="36" t="s">
        <v>139</v>
      </c>
      <c r="KC76" s="36" t="s">
        <v>139</v>
      </c>
      <c r="KD76" s="36" t="s">
        <v>139</v>
      </c>
      <c r="KE76" s="36" t="s">
        <v>139</v>
      </c>
      <c r="KF76" s="36" t="s">
        <v>139</v>
      </c>
      <c r="KG76" s="36" t="s">
        <v>139</v>
      </c>
      <c r="KH76" s="36" t="s">
        <v>139</v>
      </c>
      <c r="KI76" s="36" t="s">
        <v>139</v>
      </c>
      <c r="KJ76" s="36" t="s">
        <v>139</v>
      </c>
      <c r="KK76" s="36" t="s">
        <v>139</v>
      </c>
      <c r="KL76" s="36" t="s">
        <v>139</v>
      </c>
      <c r="KM76" s="36" t="s">
        <v>139</v>
      </c>
      <c r="KN76" s="36" t="s">
        <v>139</v>
      </c>
      <c r="KO76" s="36" t="s">
        <v>139</v>
      </c>
      <c r="KP76" s="36" t="s">
        <v>139</v>
      </c>
      <c r="KQ76" s="36" t="s">
        <v>139</v>
      </c>
      <c r="KR76" s="36" t="s">
        <v>139</v>
      </c>
      <c r="KS76" s="36" t="s">
        <v>139</v>
      </c>
      <c r="KT76" s="36" t="s">
        <v>139</v>
      </c>
      <c r="KU76" s="36" t="s">
        <v>139</v>
      </c>
      <c r="KV76" s="36" t="s">
        <v>139</v>
      </c>
      <c r="KW76" s="36" t="s">
        <v>139</v>
      </c>
      <c r="KX76" s="36" t="s">
        <v>139</v>
      </c>
      <c r="KY76" s="36" t="s">
        <v>139</v>
      </c>
      <c r="KZ76" s="36" t="s">
        <v>139</v>
      </c>
      <c r="LA76" s="36" t="s">
        <v>139</v>
      </c>
      <c r="LB76" s="36" t="s">
        <v>139</v>
      </c>
      <c r="LC76" s="36" t="s">
        <v>139</v>
      </c>
      <c r="LD76" s="36" t="s">
        <v>139</v>
      </c>
      <c r="LE76" s="36" t="s">
        <v>139</v>
      </c>
      <c r="LF76" s="36" t="s">
        <v>139</v>
      </c>
      <c r="LG76" s="36" t="s">
        <v>139</v>
      </c>
      <c r="LH76" s="36" t="s">
        <v>139</v>
      </c>
      <c r="LI76" s="36" t="s">
        <v>139</v>
      </c>
      <c r="LJ76" s="36" t="s">
        <v>139</v>
      </c>
      <c r="LK76" s="36" t="s">
        <v>139</v>
      </c>
      <c r="LL76" s="36" t="s">
        <v>139</v>
      </c>
      <c r="LM76" s="36" t="s">
        <v>139</v>
      </c>
      <c r="LN76" s="36" t="s">
        <v>139</v>
      </c>
      <c r="LO76" s="36" t="s">
        <v>139</v>
      </c>
      <c r="LP76" s="36" t="s">
        <v>139</v>
      </c>
      <c r="LQ76" s="36" t="s">
        <v>139</v>
      </c>
      <c r="LR76" s="36" t="s">
        <v>139</v>
      </c>
      <c r="LS76" s="36" t="s">
        <v>139</v>
      </c>
      <c r="LT76" s="36" t="s">
        <v>139</v>
      </c>
      <c r="LU76" s="36" t="s">
        <v>139</v>
      </c>
      <c r="LV76" s="36" t="s">
        <v>139</v>
      </c>
      <c r="LW76" s="36" t="s">
        <v>139</v>
      </c>
      <c r="LX76" s="36" t="s">
        <v>139</v>
      </c>
      <c r="LY76" s="36" t="s">
        <v>139</v>
      </c>
      <c r="LZ76" s="36" t="s">
        <v>139</v>
      </c>
      <c r="MA76" s="36" t="s">
        <v>139</v>
      </c>
      <c r="MB76" s="36" t="s">
        <v>139</v>
      </c>
      <c r="MC76" s="36" t="s">
        <v>139</v>
      </c>
      <c r="MD76" s="36" t="s">
        <v>139</v>
      </c>
      <c r="ME76" s="36" t="s">
        <v>139</v>
      </c>
      <c r="MF76" s="36" t="s">
        <v>139</v>
      </c>
      <c r="MG76" s="36" t="s">
        <v>139</v>
      </c>
      <c r="MH76" s="36" t="s">
        <v>139</v>
      </c>
      <c r="MI76" s="36" t="s">
        <v>139</v>
      </c>
      <c r="MJ76" s="36" t="s">
        <v>139</v>
      </c>
      <c r="MK76" s="36" t="s">
        <v>139</v>
      </c>
      <c r="ML76" s="36" t="s">
        <v>139</v>
      </c>
      <c r="MM76" s="36" t="s">
        <v>139</v>
      </c>
      <c r="MN76" s="36" t="s">
        <v>139</v>
      </c>
      <c r="MO76" s="36" t="s">
        <v>139</v>
      </c>
      <c r="MP76" s="36" t="s">
        <v>139</v>
      </c>
      <c r="MQ76" s="36" t="s">
        <v>139</v>
      </c>
      <c r="MR76" s="36" t="s">
        <v>139</v>
      </c>
      <c r="MS76" s="36" t="s">
        <v>139</v>
      </c>
      <c r="MT76" s="36" t="s">
        <v>139</v>
      </c>
      <c r="MU76" s="36" t="s">
        <v>139</v>
      </c>
      <c r="MV76" s="36" t="s">
        <v>139</v>
      </c>
      <c r="MW76" s="36" t="s">
        <v>139</v>
      </c>
      <c r="MX76" s="36" t="s">
        <v>139</v>
      </c>
      <c r="MY76" s="36" t="s">
        <v>139</v>
      </c>
      <c r="MZ76" s="36" t="s">
        <v>139</v>
      </c>
      <c r="NA76" s="36" t="s">
        <v>139</v>
      </c>
      <c r="NB76" s="36" t="s">
        <v>139</v>
      </c>
      <c r="NC76" s="36" t="s">
        <v>139</v>
      </c>
      <c r="ND76" s="36" t="s">
        <v>139</v>
      </c>
      <c r="NE76" s="36" t="s">
        <v>139</v>
      </c>
      <c r="NF76" s="36" t="s">
        <v>139</v>
      </c>
      <c r="NG76" s="36" t="s">
        <v>139</v>
      </c>
      <c r="NH76" s="36" t="s">
        <v>139</v>
      </c>
      <c r="NI76" s="36" t="s">
        <v>139</v>
      </c>
      <c r="NJ76" s="36" t="s">
        <v>139</v>
      </c>
      <c r="NK76" s="36" t="s">
        <v>139</v>
      </c>
      <c r="NL76" s="36" t="s">
        <v>139</v>
      </c>
      <c r="NM76" s="36" t="s">
        <v>139</v>
      </c>
      <c r="NN76" s="36" t="s">
        <v>139</v>
      </c>
      <c r="NO76" s="36" t="s">
        <v>139</v>
      </c>
      <c r="NP76" s="36" t="s">
        <v>139</v>
      </c>
      <c r="NQ76" s="36" t="s">
        <v>139</v>
      </c>
      <c r="NR76" s="36" t="s">
        <v>139</v>
      </c>
      <c r="NS76" s="36" t="s">
        <v>139</v>
      </c>
      <c r="NT76" s="36" t="s">
        <v>139</v>
      </c>
      <c r="NU76" s="36" t="s">
        <v>139</v>
      </c>
      <c r="NV76" s="36" t="s">
        <v>139</v>
      </c>
      <c r="NW76" s="36" t="s">
        <v>139</v>
      </c>
      <c r="NX76" s="36" t="s">
        <v>139</v>
      </c>
      <c r="NY76" s="36" t="s">
        <v>139</v>
      </c>
      <c r="NZ76" s="36" t="s">
        <v>139</v>
      </c>
      <c r="OA76" s="36" t="s">
        <v>139</v>
      </c>
      <c r="OB76" s="36" t="s">
        <v>139</v>
      </c>
      <c r="OC76" s="36" t="s">
        <v>139</v>
      </c>
      <c r="OD76" s="36" t="s">
        <v>139</v>
      </c>
      <c r="OE76" s="36" t="s">
        <v>139</v>
      </c>
      <c r="OF76" s="36" t="s">
        <v>139</v>
      </c>
      <c r="OG76" s="36" t="s">
        <v>139</v>
      </c>
      <c r="OH76" s="36" t="s">
        <v>139</v>
      </c>
      <c r="OI76" s="36" t="s">
        <v>139</v>
      </c>
      <c r="OJ76" s="36" t="s">
        <v>139</v>
      </c>
      <c r="OK76" s="36" t="s">
        <v>139</v>
      </c>
      <c r="OL76" s="36" t="s">
        <v>139</v>
      </c>
      <c r="OM76" s="36" t="s">
        <v>139</v>
      </c>
      <c r="ON76" s="36" t="s">
        <v>139</v>
      </c>
      <c r="OO76" s="36" t="s">
        <v>139</v>
      </c>
      <c r="OP76" s="36" t="s">
        <v>139</v>
      </c>
      <c r="OQ76" s="36" t="s">
        <v>139</v>
      </c>
      <c r="OR76" s="36" t="s">
        <v>139</v>
      </c>
      <c r="OS76" s="36" t="s">
        <v>139</v>
      </c>
      <c r="OT76" s="36" t="s">
        <v>139</v>
      </c>
      <c r="OU76" s="36" t="s">
        <v>139</v>
      </c>
      <c r="OV76" s="36" t="s">
        <v>139</v>
      </c>
      <c r="OW76" s="36" t="s">
        <v>139</v>
      </c>
      <c r="OX76" s="36" t="s">
        <v>139</v>
      </c>
      <c r="OY76" s="36" t="s">
        <v>139</v>
      </c>
      <c r="OZ76" s="36" t="s">
        <v>139</v>
      </c>
      <c r="PA76" s="36" t="s">
        <v>139</v>
      </c>
      <c r="PB76" s="36" t="s">
        <v>139</v>
      </c>
      <c r="PC76" s="36" t="s">
        <v>139</v>
      </c>
      <c r="PD76" s="36" t="s">
        <v>139</v>
      </c>
      <c r="PE76" s="36" t="s">
        <v>139</v>
      </c>
      <c r="PF76" s="36" t="s">
        <v>139</v>
      </c>
      <c r="PG76" s="36" t="s">
        <v>139</v>
      </c>
      <c r="PH76" s="36" t="s">
        <v>139</v>
      </c>
      <c r="PI76" s="36" t="s">
        <v>139</v>
      </c>
      <c r="PJ76" s="36" t="s">
        <v>139</v>
      </c>
      <c r="PK76" s="36" t="s">
        <v>139</v>
      </c>
      <c r="PL76" s="36" t="s">
        <v>139</v>
      </c>
      <c r="PM76" s="36" t="s">
        <v>139</v>
      </c>
      <c r="PN76" s="36" t="s">
        <v>139</v>
      </c>
      <c r="PO76" s="74">
        <f>COUNTIFS($C$27:$PN$27,("&lt;"&amp;$B$3),$C$27:$PN$27,("&gt;="&amp;$B$2),$C76:$PN76,TabAsistencias[[#Headers],[1]])</f>
        <v>30</v>
      </c>
      <c r="PP76" s="74">
        <f>COUNTIFS($C$27:$PN$27,("&lt;"&amp;$B$3),$C$27:$PN$27,("&gt;="&amp;$B$2),$C76:$PN76,TabAsistencias[[#Headers],[E]])</f>
        <v>0</v>
      </c>
      <c r="PQ76" s="74">
        <f>COUNTIFS($C$27:$PN$27,("&lt;"&amp;$B$3),$C$27:$PN$27,("&gt;="&amp;$B$2),$C76:$PN76,TabAsistencias[[#Headers],[DE]])</f>
        <v>0</v>
      </c>
      <c r="PR76" s="74">
        <f>COUNTIFS($C$27:$PN$27,("&lt;"&amp;$B$3),$C$27:$PN$27,("&gt;="&amp;$B$2),$C76:$PN76,TabAsistencias[[#Headers],[V]])</f>
        <v>0</v>
      </c>
      <c r="PS76" s="74">
        <f>COUNTIFS($C$27:$PN$27,("&lt;"&amp;$B$3),$C$27:$PN$27,("&gt;="&amp;$B$2),$C76:$PN76,TabAsistencias[[#Headers],[DO]])</f>
        <v>0</v>
      </c>
      <c r="PT76" s="74">
        <f>COUNTIFS($C$27:$PN$27,("&lt;"&amp;$B$3),$C$27:$PN$27,("&gt;="&amp;$B$2),$C76:$PN76,TabAsistencias[[#Headers],[P]])</f>
        <v>0</v>
      </c>
      <c r="PU76" s="74">
        <f>COUNTIFS($C$27:$PN$27,("&lt;"&amp;$B$3),$C$27:$PN$27,("&gt;="&amp;$B$2),$C76:$PN76,TabAsistencias[[#Headers],[F]])</f>
        <v>0</v>
      </c>
      <c r="PV76" s="74">
        <f>COUNTIFS($C$27:$PN$27,("&lt;"&amp;$B$3),$C$27:$PN$27,("&gt;="&amp;$B$2),$C76:$PN76,TabAsistencias[[#Headers],[R]])</f>
        <v>0</v>
      </c>
      <c r="PW76" s="74">
        <f>COUNTIFS($C$27:$PN$27,("&lt;"&amp;$B$3),$C$27:$PN$27,("&gt;="&amp;$B$2),$C76:$PN76,TabAsistencias[[#Headers],[PP]])</f>
        <v>0</v>
      </c>
      <c r="PX76" s="74">
        <f>COUNTIFS($C$27:$PN$27,("&lt;"&amp;$B$3),$C$27:$PN$27,("&gt;="&amp;$B$2),$C76:$PN76,TabAsistencias[[#Headers],[0]])</f>
        <v>0</v>
      </c>
      <c r="PY76" s="74">
        <f>COUNTIFS($C$27:$PN$27,("&lt;"&amp;$B$3),$C$27:$PN$27,("&gt;="&amp;$B$2),$C76:$PN76,TabAsistencias[[#Headers],[IG]])</f>
        <v>0</v>
      </c>
      <c r="PZ76" s="74">
        <f>COUNTIFS($C$27:$PN$27,("&lt;"&amp;$B$3),$C$27:$PN$27,("&gt;="&amp;$B$2),$C76:$PN76,TabAsistencias[[#Headers],[NA]])</f>
        <v>0</v>
      </c>
      <c r="QA76" s="74">
        <f>COUNTIFS($C$27:$PN$27,("&lt;"&amp;$B$3),$C$27:$PN$27,("&gt;="&amp;$B$2),$C76:$PN76,TabAsistencias[[#Headers],[DF]])</f>
        <v>0</v>
      </c>
      <c r="QB76" s="74">
        <f>COUNTIFS($C$27:$PN$27,("&lt;"&amp;$B$3),$C$27:$PN$27,("&gt;="&amp;$B$2),$C76:$PN76,TabAsistencias[[#Headers],[3]])</f>
        <v>0</v>
      </c>
      <c r="QC76" s="74">
        <f>COUNTIFS($C$27:$PN$27,("&lt;"&amp;$B$3),$C$27:$PN$27,("&gt;="&amp;$B$2),$C76:$PN76,TabAsistencias[[#Headers],[CP]])</f>
        <v>0</v>
      </c>
      <c r="QD76" s="74">
        <f>COUNTIFS($C$27:$PN$27,("&lt;"&amp;$B$3),$C$27:$PN$27,("&gt;="&amp;$B$2),$C76:$PN76,TabAsistencias[[#Headers],[I]])</f>
        <v>0</v>
      </c>
      <c r="QE76" s="74">
        <f>COUNTIFS($C$27:$PN$27,("&lt;"&amp;$B$3),$C$27:$PN$27,("&gt;="&amp;$B$2),$C76:$PN76,TabAsistencias[[#Headers],[T/2]])</f>
        <v>0</v>
      </c>
      <c r="QF76" s="74">
        <f>COUNTIFS($C$27:$PN$27,("&lt;"&amp;$B$3),$C$27:$PN$27,("&gt;="&amp;$B$2),$C76:$PN76,TabAsistencias[[#Headers],[ME]])</f>
        <v>0</v>
      </c>
      <c r="QG76" s="74">
        <f>COUNTIFS($C$27:$PN$27,("&lt;"&amp;$B$3),$C$27:$PN$27,("&gt;="&amp;$B$2),$C76:$PN76,TabAsistencias[[#Headers],[DP]])</f>
        <v>0</v>
      </c>
      <c r="QH76" s="74">
        <f>COUNTIFS($C$27:$PN$27,("&lt;"&amp;$B$3),$C$27:$PN$27,("&gt;="&amp;$B$2),$C76:$PN76,TabAsistencias[[#Headers],[B]])</f>
        <v>0</v>
      </c>
      <c r="QI76" s="74">
        <f>(TabAsistencias[[#This Row],[1]]*'Tablas de informacion'!$C$124)+(TabAsistencias[[#This Row],[E]]*'Tablas de informacion'!$C$125)+(TabAsistencias[[#This Row],[DE]]*'Tablas de informacion'!C$126)+(TabAsistencias[[#This Row],[V]]*'Tablas de informacion'!C$127)+(TabAsistencias[[#This Row],[DO]]*'Tablas de informacion'!C$128)+(TabAsistencias[[#This Row],[P]]*'Tablas de informacion'!C$129)+(TabAsistencias[[#This Row],[F]]*'Tablas de informacion'!C$130)+(TabAsistencias[[#This Row],[R]]*'Tablas de informacion'!C$131)+(TabAsistencias[[#This Row],[PP]]*'Tablas de informacion'!C$132)+(TabAsistencias[[#This Row],[0]]*'Tablas de informacion'!C$133)+(TabAsistencias[[#This Row],[IG]]*'Tablas de informacion'!C$134)+(TabAsistencias[[#This Row],[NA]]*'Tablas de informacion'!C$135)+(TabAsistencias[[#This Row],[DF]]*'Tablas de informacion'!C$136)+(TabAsistencias[[#This Row],[3]]*'Tablas de informacion'!C$137)+(TabAsistencias[[#This Row],[CP]]*'Tablas de informacion'!C$138)+(TabAsistencias[[#This Row],[I]]*'Tablas de informacion'!C$139)+(TabAsistencias[[#This Row],[T/2]]*'Tablas de informacion'!C$140)+(TabAsistencias[[#This Row],[ME]]*'Tablas de informacion'!C$141)+(TabAsistencias[[#This Row],[DP]]*'Tablas de informacion'!C$142)+(TabAsistencias[[#This Row],[B]]*'Tablas de informacion'!C$143)-INT(TabAsistencias[[#This Row],[R]]/3)</f>
        <v>30</v>
      </c>
      <c r="QJ76" s="74">
        <f>COUNTIFS($C$27:$PN$27,("&lt;"&amp;$B$3),$C$27:$PN$27,("&gt;="&amp;$B$2),$C$28:$PN$28,1,$C76:$PN76,TabAsistencias[[#Headers],[1]])+
COUNTIFS($C$27:$PN$27,("&lt;"&amp;$B$3),$C$27:$PN$27,("&gt;="&amp;$B$2),$C$28:$PN$28,1,$C76:$PN76,TabAsistencias[[#Headers],[DO]])+
COUNTIFS($C$27:$PN$27,("&lt;"&amp;$B$3),$C$27:$PN$27,("&gt;="&amp;$B$2),$C$28:$PN$28,1,$C76:$PN76,TabAsistencias[[#Headers],[R]])+
COUNTIFS($C$27:$PN$27,("&lt;"&amp;$B$3),$C$27:$PN$27,("&gt;="&amp;$B$2),$C$28:$PN$28,1,$C76:$PN76,TabAsistencias[[#Headers],[NA]])+
COUNTIFS($C$27:$PN$27,("&lt;"&amp;$B$3),$C$27:$PN$27,("&gt;="&amp;$B$2),$C$28:$PN$28,1,$C76:$PN76,TabAsistencias[[#Headers],[DF]])+
COUNTIFS($C$27:$PN$27,("&lt;"&amp;$B$3),$C$27:$PN$27,("&gt;="&amp;$B$2),$C$28:$PN$28,1,$C76:$PN76,TabAsistencias[[#Headers],[3]])+
COUNTIFS($C$27:$PN$27,("&lt;"&amp;$B$3),$C$27:$PN$27,("&gt;="&amp;$B$2),$C$28:$PN$28,1,$C76:$PN76,TabAsistencias[[#Headers],[CP]])+
COUNTIFS($C$27:$PN$27,("&lt;"&amp;$B$3),$C$27:$PN$27,("&gt;="&amp;$B$2),$C$28:$PN$28,1,$C76:$PN76,TabAsistencias[[#Headers],[T/2]])</f>
        <v>4</v>
      </c>
      <c r="QK76" s="315" cm="1">
        <f t="array" ref="QK76">IFERROR(VLOOKUP(
DATEDIF((VLOOKUP(TabAsistencias[[#This Row],[ID]],TabEmpleados[],COLUMN(TabEmpleados[Fecha de ingreso]),FALSE)),Asistencias!$B$3,"Y"),
TabFactorIntegracion[],COLUMN(TabFactorIntegracion[Días vacacionales
establecidos por ley]),FALSE),0)
-
COUNTIF($AH76:$PN76,TabAsistencias[[#Headers],[V]])</f>
        <v>12</v>
      </c>
      <c r="QL76" s="319">
        <f>SUM(TabAsistencias[[#This Row],[''1]],TabAsistencias[[#This Row],[''DE]],TabAsistencias[[#This Row],[''DO]],TabAsistencias[[#This Row],[''R]],TabAsistencias[[#This Row],[''NA]],TabAsistencias[[#This Row],[''DF]],TabAsistencias[[#This Row],[''3]],TabAsistencias[[#This Row],[''CP]],TabAsistencias[[#This Row],[''T/2]],TabAsistencias[[#This Row],[''DP]])</f>
        <v>73</v>
      </c>
      <c r="QM76" s="314">
        <f>COUNTIFS($C$27:$PN$27,("&lt;"&amp;$B$5),$C$27:$PN$27,("&gt;="&amp;$B$4),$C76:$PN76,TabAsistencias[[#Headers],[1]])</f>
        <v>73</v>
      </c>
      <c r="QN76" s="314">
        <f>COUNTIFS($C$27:$PN$27,("&lt;"&amp;$B$5),$C$27:$PN$27,("&gt;="&amp;$B$4),$C76:$PN76,TabAsistencias[[#Headers],[DE]])</f>
        <v>0</v>
      </c>
      <c r="QO76" s="314">
        <f>COUNTIFS($C$27:$PN$27,("&lt;"&amp;$B$5),$C$27:$PN$27,("&gt;="&amp;$B$4),$C76:$PN76,TabAsistencias[[#Headers],[V]])</f>
        <v>0</v>
      </c>
      <c r="QP76" s="314">
        <f>COUNTIFS($C$27:$PN$27,("&lt;"&amp;$B$5),$C$27:$PN$27,("&gt;="&amp;$B$4),$C76:$PN76,TabAsistencias[[#Headers],[DO]])</f>
        <v>0</v>
      </c>
      <c r="QQ76" s="314">
        <f>COUNTIFS($C$27:$PN$27,("&lt;"&amp;$B$5),$C$27:$PN$27,("&gt;="&amp;$B$4),$C76:$PN76,TabAsistencias[[#Headers],[P]])</f>
        <v>0</v>
      </c>
      <c r="QR76" s="314">
        <f>COUNTIFS($C$27:$PN$27,("&lt;"&amp;$B$5),$C$27:$PN$27,("&gt;="&amp;$B$4),$C76:$PN76,TabAsistencias[[#Headers],[F]])</f>
        <v>0</v>
      </c>
      <c r="QS76" s="314">
        <f>COUNTIFS($C$27:$PN$27,("&lt;"&amp;$B$5),$C$27:$PN$27,("&gt;="&amp;$B$4),$C76:$PN76,TabAsistencias[[#Headers],[R]])</f>
        <v>0</v>
      </c>
      <c r="QT76" s="314">
        <f>COUNTIFS($C$27:$PN$27,("&lt;"&amp;$B$5),$C$27:$PN$27,("&gt;="&amp;$B$4),$C76:$PN76,TabAsistencias[[#Headers],[PP]])</f>
        <v>0</v>
      </c>
      <c r="QU76" s="314">
        <f>COUNTIFS($C$27:$PN$27,("&lt;"&amp;$B$5),$C$27:$PN$27,("&gt;="&amp;$B$4),$C76:$PN76,TabAsistencias[[#Headers],[0]])</f>
        <v>0</v>
      </c>
      <c r="QV76" s="314">
        <f>COUNTIFS($C$27:$PN$27,("&lt;"&amp;$B$5),$C$27:$PN$27,("&gt;="&amp;$B$4),$C76:$PN76,TabAsistencias[[#Headers],[IG]])</f>
        <v>0</v>
      </c>
      <c r="QW76" s="314">
        <f>COUNTIFS($C$27:$PN$27,("&lt;"&amp;$B$5),$C$27:$PN$27,("&gt;="&amp;$B$4),$C76:$PN76,TabAsistencias[[#Headers],[NA]])</f>
        <v>0</v>
      </c>
      <c r="QX76" s="314">
        <f>COUNTIFS($C$27:$PN$27,("&lt;"&amp;$B$5),$C$27:$PN$27,("&gt;="&amp;$B$4),$C76:$PN76,TabAsistencias[[#Headers],[DF]])</f>
        <v>0</v>
      </c>
      <c r="QY76" s="314">
        <f>COUNTIFS($C$27:$PN$27,("&lt;"&amp;$B$5),$C$27:$PN$27,("&gt;="&amp;$B$4),$C76:$PN76,TabAsistencias[[#Headers],[3]])</f>
        <v>0</v>
      </c>
      <c r="QZ76" s="314">
        <f>COUNTIFS($C$27:$PN$27,("&lt;"&amp;$B$5),$C$27:$PN$27,("&gt;="&amp;$B$4),$C76:$PN76,TabAsistencias[[#Headers],[CP]])</f>
        <v>0</v>
      </c>
      <c r="RA76" s="314">
        <f>COUNTIFS($C$27:$PN$27,("&lt;"&amp;$B$5),$C$27:$PN$27,("&gt;="&amp;$B$4),$C76:$PN76,TabAsistencias[[#Headers],[I]])</f>
        <v>0</v>
      </c>
      <c r="RB76" s="314">
        <f>COUNTIFS($C$27:$PN$27,("&lt;"&amp;$B$5),$C$27:$PN$27,("&gt;="&amp;$B$4),$C76:$PN76,TabAsistencias[[#Headers],[T/2]])</f>
        <v>0</v>
      </c>
      <c r="RC76" s="314">
        <f>COUNTIFS($C$27:$PN$27,("&lt;"&amp;$B$5),$C$27:$PN$27,("&gt;="&amp;$B$4),$C76:$PN76,TabAsistencias[[#Headers],[ME]])</f>
        <v>0</v>
      </c>
      <c r="RD76" s="314">
        <f>COUNTIFS($C$27:$PN$27,("&lt;"&amp;$B$5),$C$27:$PN$27,("&gt;="&amp;$B$4),$C76:$PN76,TabAsistencias[[#Headers],[DP]])</f>
        <v>0</v>
      </c>
      <c r="RE76" s="314">
        <f>COUNTIFS($C$27:$PN$27,("&lt;"&amp;$B$5),$C$27:$PN$27,("&gt;="&amp;$B$4),$C76:$PN76,TabAsistencias[[#Headers],[B]])</f>
        <v>0</v>
      </c>
      <c r="RF76" s="314">
        <f>COUNTIFS($C$27:$PN$27,("&lt;"&amp;$B$5),$C$27:$PN$27,("&gt;="&amp;$B$4),$C$28:$PN$28,1,$C76:$PN76,TabAsistencias[[#Headers],[1]])+
COUNTIFS($C$27:$PN$27,("&lt;"&amp;$B$5),$C$27:$PN$27,("&gt;="&amp;$B$4),$C$28:$PN$28,1,$C76:$PN76,TabAsistencias[[#Headers],[DO]])+
COUNTIFS($C$27:$PN$27,("&lt;"&amp;$B$5),$C$27:$PN$27,("&gt;="&amp;$B$4),$C$28:$PN$28,1,$C76:$PN76,TabAsistencias[[#Headers],[R]])+
COUNTIFS($C$27:$PN$27,("&lt;"&amp;$B$5),$C$27:$PN$27,("&gt;="&amp;$B$4),$C$28:$PN$28,1,$C76:$PN76,TabAsistencias[[#Headers],[NA]])+
COUNTIFS($C$27:$PN$27,("&lt;"&amp;$B$5),$C$27:$PN$27,("&gt;="&amp;$B$4),$C$28:$PN$28,1,$C76:$PN76,TabAsistencias[[#Headers],[DF]])+
COUNTIFS($C$27:$PN$27,("&lt;"&amp;$B$5),$C$27:$PN$27,("&gt;="&amp;$B$4),$C$28:$PN$28,1,$C76:$PN76,TabAsistencias[[#Headers],[3]])+
COUNTIFS($C$27:$PN$27,("&lt;"&amp;$B$5),$C$27:$PN$27,("&gt;="&amp;$B$4),$C$28:$PN$28,1,$C76:$PN76,TabAsistencias[[#Headers],[CP]])+
COUNTIFS($C$27:$PN$27,("&lt;"&amp;$B$5),$C$27:$PN$27,("&gt;="&amp;$B$4),$C$28:$PN$28,1,$C76:$PN76,TabAsistencias[[#Headers],[T/2]])</f>
        <v>11</v>
      </c>
      <c r="RG76" s="320" cm="1">
        <f t="array" ref="RG76">IFERROR(VLOOKUP(
DATEDIF((VLOOKUP(TabAsistencias[[#This Row],[ID]],TabEmpleados[],COLUMN(TabEmpleados[Fecha de alta NSS]),FALSE)),Asistencias!$B$3,"Y"),
TabFactorIntegracion[],COLUMN(TabFactorIntegracion[Días vacacionales
establecidos por ley]),FALSE),0)
-
COUNTIF($AH76:$PN76,TabAsistencias[[#Headers],[V]])</f>
        <v>12</v>
      </c>
    </row>
    <row r="77" spans="1:475" x14ac:dyDescent="0.25">
      <c r="A77" s="92">
        <f t="shared" si="434"/>
        <v>47</v>
      </c>
      <c r="B77" s="30" t="str" cm="1">
        <f t="array" ref="B77">VLOOKUP(TabAsistencias[[#This Row],[ID]],TabEmpleados[],COLUMN(TabEmpleados[Nombre]),FALSE)</f>
        <v xml:space="preserve">DIAZ LOPEZ ANTONIO DE JESUS </v>
      </c>
      <c r="C77" s="36" t="s">
        <v>139</v>
      </c>
      <c r="D77" s="36" t="s">
        <v>139</v>
      </c>
      <c r="E77" s="36" t="s">
        <v>139</v>
      </c>
      <c r="F77" s="36" t="s">
        <v>139</v>
      </c>
      <c r="G77" s="36" t="s">
        <v>139</v>
      </c>
      <c r="H77" s="36" t="s">
        <v>139</v>
      </c>
      <c r="I77" s="36" t="s">
        <v>139</v>
      </c>
      <c r="J77" s="36" t="s">
        <v>139</v>
      </c>
      <c r="K77" s="36" t="s">
        <v>139</v>
      </c>
      <c r="L77" s="36" t="s">
        <v>139</v>
      </c>
      <c r="M77" s="36" t="s">
        <v>139</v>
      </c>
      <c r="N77" s="36" t="s">
        <v>139</v>
      </c>
      <c r="O77" s="36" t="s">
        <v>139</v>
      </c>
      <c r="P77" s="36" t="s">
        <v>139</v>
      </c>
      <c r="Q77" s="36" t="s">
        <v>139</v>
      </c>
      <c r="R77" s="36" t="s">
        <v>139</v>
      </c>
      <c r="S77" s="36" t="s">
        <v>139</v>
      </c>
      <c r="T77" s="36" t="s">
        <v>139</v>
      </c>
      <c r="U77" s="36" t="s">
        <v>139</v>
      </c>
      <c r="V77" s="36" t="s">
        <v>139</v>
      </c>
      <c r="W77" s="36" t="s">
        <v>139</v>
      </c>
      <c r="X77" s="36" t="s">
        <v>139</v>
      </c>
      <c r="Y77" s="36" t="s">
        <v>139</v>
      </c>
      <c r="Z77" s="36" t="s">
        <v>139</v>
      </c>
      <c r="AA77" s="36" t="s">
        <v>139</v>
      </c>
      <c r="AB77" s="36" t="s">
        <v>139</v>
      </c>
      <c r="AC77" s="36" t="s">
        <v>139</v>
      </c>
      <c r="AD77" s="36" t="s">
        <v>139</v>
      </c>
      <c r="AE77" s="36" t="s">
        <v>139</v>
      </c>
      <c r="AF77" s="36" t="s">
        <v>139</v>
      </c>
      <c r="AG77" s="36" t="s">
        <v>139</v>
      </c>
      <c r="AH77" s="36" t="s">
        <v>139</v>
      </c>
      <c r="AI77" s="36" t="s">
        <v>139</v>
      </c>
      <c r="AJ77" s="36" t="s">
        <v>139</v>
      </c>
      <c r="AK77" s="36" t="s">
        <v>139</v>
      </c>
      <c r="AL77" s="36" t="s">
        <v>139</v>
      </c>
      <c r="AM77" s="36" t="s">
        <v>139</v>
      </c>
      <c r="AN77" s="36" t="s">
        <v>139</v>
      </c>
      <c r="AO77" s="36" t="s">
        <v>139</v>
      </c>
      <c r="AP77" s="36" t="s">
        <v>139</v>
      </c>
      <c r="AQ77" s="36" t="s">
        <v>139</v>
      </c>
      <c r="AR77" s="36" t="s">
        <v>139</v>
      </c>
      <c r="AS77" s="36" t="s">
        <v>139</v>
      </c>
      <c r="AT77" s="36" t="s">
        <v>139</v>
      </c>
      <c r="AU77" s="36" t="s">
        <v>139</v>
      </c>
      <c r="AV77" s="36" t="s">
        <v>139</v>
      </c>
      <c r="AW77" s="36" t="s">
        <v>139</v>
      </c>
      <c r="AX77" s="36" t="s">
        <v>139</v>
      </c>
      <c r="AY77" s="36" t="s">
        <v>139</v>
      </c>
      <c r="AZ77" s="36" t="s">
        <v>139</v>
      </c>
      <c r="BA77" s="36" t="s">
        <v>139</v>
      </c>
      <c r="BB77" s="36" t="s">
        <v>139</v>
      </c>
      <c r="BC77" s="36" t="s">
        <v>139</v>
      </c>
      <c r="BD77" s="36" t="s">
        <v>139</v>
      </c>
      <c r="BE77" s="36" t="s">
        <v>139</v>
      </c>
      <c r="BF77" s="36" t="s">
        <v>139</v>
      </c>
      <c r="BG77" s="36" t="s">
        <v>139</v>
      </c>
      <c r="BH77" s="36" t="s">
        <v>139</v>
      </c>
      <c r="BI77" s="36" t="s">
        <v>139</v>
      </c>
      <c r="BJ77" s="36" t="s">
        <v>139</v>
      </c>
      <c r="BK77" s="36" t="s">
        <v>139</v>
      </c>
      <c r="BL77" s="36" t="s">
        <v>139</v>
      </c>
      <c r="BM77" s="36" t="s">
        <v>139</v>
      </c>
      <c r="BN77" s="36" t="s">
        <v>139</v>
      </c>
      <c r="BO77" s="36" t="s">
        <v>139</v>
      </c>
      <c r="BP77" s="36" t="s">
        <v>139</v>
      </c>
      <c r="BQ77" s="36" t="s">
        <v>139</v>
      </c>
      <c r="BR77" s="36" t="s">
        <v>139</v>
      </c>
      <c r="BS77" s="36" t="s">
        <v>139</v>
      </c>
      <c r="BT77" s="36" t="s">
        <v>139</v>
      </c>
      <c r="BU77" s="36" t="s">
        <v>139</v>
      </c>
      <c r="BV77" s="36" t="s">
        <v>139</v>
      </c>
      <c r="BW77" s="36" t="s">
        <v>139</v>
      </c>
      <c r="BX77" s="36" t="s">
        <v>139</v>
      </c>
      <c r="BY77" s="36" t="s">
        <v>139</v>
      </c>
      <c r="BZ77" s="36" t="s">
        <v>139</v>
      </c>
      <c r="CA77" s="36" t="s">
        <v>139</v>
      </c>
      <c r="CB77" s="36" t="s">
        <v>139</v>
      </c>
      <c r="CC77" s="36" t="s">
        <v>139</v>
      </c>
      <c r="CD77" s="36" t="s">
        <v>139</v>
      </c>
      <c r="CE77" s="36" t="s">
        <v>139</v>
      </c>
      <c r="CF77" s="36" t="s">
        <v>139</v>
      </c>
      <c r="CG77" s="36" t="s">
        <v>139</v>
      </c>
      <c r="CH77" s="36" t="s">
        <v>139</v>
      </c>
      <c r="CI77" s="36" t="s">
        <v>139</v>
      </c>
      <c r="CJ77" s="36" t="s">
        <v>139</v>
      </c>
      <c r="CK77" s="36" t="s">
        <v>139</v>
      </c>
      <c r="CL77" s="36" t="s">
        <v>139</v>
      </c>
      <c r="CM77" s="36" t="s">
        <v>139</v>
      </c>
      <c r="CN77" s="36" t="s">
        <v>139</v>
      </c>
      <c r="CO77" s="36" t="s">
        <v>139</v>
      </c>
      <c r="CP77" s="36" t="s">
        <v>139</v>
      </c>
      <c r="CQ77" s="36" t="s">
        <v>139</v>
      </c>
      <c r="CR77" s="36" t="s">
        <v>139</v>
      </c>
      <c r="CS77" s="36" t="s">
        <v>139</v>
      </c>
      <c r="CT77" s="36" t="s">
        <v>139</v>
      </c>
      <c r="CU77" s="36" t="s">
        <v>139</v>
      </c>
      <c r="CV77" s="36" t="s">
        <v>139</v>
      </c>
      <c r="CW77" s="36" t="s">
        <v>139</v>
      </c>
      <c r="CX77" s="36" t="s">
        <v>139</v>
      </c>
      <c r="CY77" s="36" t="s">
        <v>139</v>
      </c>
      <c r="CZ77" s="36" t="s">
        <v>139</v>
      </c>
      <c r="DA77" s="36" t="s">
        <v>139</v>
      </c>
      <c r="DB77" s="36" t="s">
        <v>139</v>
      </c>
      <c r="DC77" s="36" t="s">
        <v>139</v>
      </c>
      <c r="DD77" s="36" t="s">
        <v>139</v>
      </c>
      <c r="DE77" s="36" t="s">
        <v>139</v>
      </c>
      <c r="DF77" s="36" t="s">
        <v>139</v>
      </c>
      <c r="DG77" s="36" t="s">
        <v>139</v>
      </c>
      <c r="DH77" s="36" t="s">
        <v>139</v>
      </c>
      <c r="DI77" s="36" t="s">
        <v>139</v>
      </c>
      <c r="DJ77" s="36" t="s">
        <v>139</v>
      </c>
      <c r="DK77" s="36" t="s">
        <v>139</v>
      </c>
      <c r="DL77" s="36" t="s">
        <v>139</v>
      </c>
      <c r="DM77" s="36" t="s">
        <v>139</v>
      </c>
      <c r="DN77" s="36" t="s">
        <v>139</v>
      </c>
      <c r="DO77" s="36" t="s">
        <v>139</v>
      </c>
      <c r="DP77" s="36" t="s">
        <v>139</v>
      </c>
      <c r="DQ77" s="36" t="s">
        <v>139</v>
      </c>
      <c r="DR77" s="36" t="s">
        <v>139</v>
      </c>
      <c r="DS77" s="36" t="s">
        <v>139</v>
      </c>
      <c r="DT77" s="36" t="s">
        <v>139</v>
      </c>
      <c r="DU77" s="36" t="s">
        <v>139</v>
      </c>
      <c r="DV77" s="36" t="s">
        <v>139</v>
      </c>
      <c r="DW77" s="36" t="s">
        <v>139</v>
      </c>
      <c r="DX77" s="36" t="s">
        <v>139</v>
      </c>
      <c r="DY77" s="36" t="s">
        <v>139</v>
      </c>
      <c r="DZ77" s="36" t="s">
        <v>139</v>
      </c>
      <c r="EA77" s="36" t="s">
        <v>139</v>
      </c>
      <c r="EB77" s="36" t="s">
        <v>139</v>
      </c>
      <c r="EC77" s="36" t="s">
        <v>139</v>
      </c>
      <c r="ED77" s="36" t="s">
        <v>139</v>
      </c>
      <c r="EE77" s="36" t="s">
        <v>139</v>
      </c>
      <c r="EF77" s="36" t="s">
        <v>139</v>
      </c>
      <c r="EG77" s="36" t="s">
        <v>139</v>
      </c>
      <c r="EH77" s="36" t="s">
        <v>139</v>
      </c>
      <c r="EI77" s="36" t="s">
        <v>139</v>
      </c>
      <c r="EJ77" s="36" t="s">
        <v>139</v>
      </c>
      <c r="EK77" s="36" t="s">
        <v>139</v>
      </c>
      <c r="EL77" s="36" t="s">
        <v>139</v>
      </c>
      <c r="EM77" s="36" t="s">
        <v>139</v>
      </c>
      <c r="EN77" s="36" t="s">
        <v>139</v>
      </c>
      <c r="EO77" s="36" t="s">
        <v>139</v>
      </c>
      <c r="EP77" s="36" t="s">
        <v>139</v>
      </c>
      <c r="EQ77" s="36" t="s">
        <v>139</v>
      </c>
      <c r="ER77" s="36" t="s">
        <v>139</v>
      </c>
      <c r="ES77" s="36" t="s">
        <v>139</v>
      </c>
      <c r="ET77" s="36" t="s">
        <v>139</v>
      </c>
      <c r="EU77" s="36" t="s">
        <v>139</v>
      </c>
      <c r="EV77" s="36" t="s">
        <v>139</v>
      </c>
      <c r="EW77" s="36" t="s">
        <v>139</v>
      </c>
      <c r="EX77" s="36" t="s">
        <v>139</v>
      </c>
      <c r="EY77" s="36" t="s">
        <v>139</v>
      </c>
      <c r="EZ77" s="36" t="s">
        <v>139</v>
      </c>
      <c r="FA77" s="36" t="s">
        <v>139</v>
      </c>
      <c r="FB77" s="36" t="s">
        <v>139</v>
      </c>
      <c r="FC77" s="36" t="s">
        <v>139</v>
      </c>
      <c r="FD77" s="36" t="s">
        <v>139</v>
      </c>
      <c r="FE77" s="36" t="s">
        <v>139</v>
      </c>
      <c r="FF77" s="36" t="s">
        <v>139</v>
      </c>
      <c r="FG77" s="36" t="s">
        <v>139</v>
      </c>
      <c r="FH77" s="36" t="s">
        <v>139</v>
      </c>
      <c r="FI77" s="36" t="s">
        <v>139</v>
      </c>
      <c r="FJ77" s="36" t="s">
        <v>139</v>
      </c>
      <c r="FK77" s="36" t="s">
        <v>139</v>
      </c>
      <c r="FL77" s="36" t="s">
        <v>139</v>
      </c>
      <c r="FM77" s="36" t="s">
        <v>139</v>
      </c>
      <c r="FN77" s="36" t="s">
        <v>139</v>
      </c>
      <c r="FO77" s="36" t="s">
        <v>139</v>
      </c>
      <c r="FP77" s="36" t="s">
        <v>139</v>
      </c>
      <c r="FQ77" s="36" t="s">
        <v>139</v>
      </c>
      <c r="FR77" s="36" t="s">
        <v>139</v>
      </c>
      <c r="FS77" s="36" t="s">
        <v>139</v>
      </c>
      <c r="FT77" s="36" t="s">
        <v>139</v>
      </c>
      <c r="FU77" s="36" t="s">
        <v>139</v>
      </c>
      <c r="FV77" s="36" t="s">
        <v>139</v>
      </c>
      <c r="FW77" s="36" t="s">
        <v>139</v>
      </c>
      <c r="FX77" s="36" t="s">
        <v>139</v>
      </c>
      <c r="FY77" s="36" t="s">
        <v>139</v>
      </c>
      <c r="FZ77" s="36" t="s">
        <v>139</v>
      </c>
      <c r="GA77" s="36" t="s">
        <v>139</v>
      </c>
      <c r="GB77" s="36" t="s">
        <v>139</v>
      </c>
      <c r="GC77" s="36" t="s">
        <v>139</v>
      </c>
      <c r="GD77" s="36" t="s">
        <v>139</v>
      </c>
      <c r="GE77" s="36" t="s">
        <v>139</v>
      </c>
      <c r="GF77" s="36" t="s">
        <v>139</v>
      </c>
      <c r="GG77" s="36" t="s">
        <v>139</v>
      </c>
      <c r="GH77" s="36" t="s">
        <v>139</v>
      </c>
      <c r="GI77" s="36" t="s">
        <v>139</v>
      </c>
      <c r="GJ77" s="36" t="s">
        <v>139</v>
      </c>
      <c r="GK77" s="36" t="s">
        <v>139</v>
      </c>
      <c r="GL77" s="36" t="s">
        <v>139</v>
      </c>
      <c r="GM77" s="36" t="s">
        <v>139</v>
      </c>
      <c r="GN77" s="36" t="s">
        <v>139</v>
      </c>
      <c r="GO77" s="36" t="s">
        <v>139</v>
      </c>
      <c r="GP77" s="36" t="s">
        <v>139</v>
      </c>
      <c r="GQ77" s="36" t="s">
        <v>139</v>
      </c>
      <c r="GR77" s="36" t="s">
        <v>139</v>
      </c>
      <c r="GS77" s="36" t="s">
        <v>139</v>
      </c>
      <c r="GT77" s="36" t="s">
        <v>139</v>
      </c>
      <c r="GU77" s="36" t="s">
        <v>139</v>
      </c>
      <c r="GV77" s="36" t="s">
        <v>139</v>
      </c>
      <c r="GW77" s="36" t="s">
        <v>139</v>
      </c>
      <c r="GX77" s="36" t="s">
        <v>139</v>
      </c>
      <c r="GY77" s="36" t="s">
        <v>139</v>
      </c>
      <c r="GZ77" s="36" t="s">
        <v>139</v>
      </c>
      <c r="HA77" s="36" t="s">
        <v>139</v>
      </c>
      <c r="HB77" s="36" t="s">
        <v>139</v>
      </c>
      <c r="HC77" s="36" t="s">
        <v>139</v>
      </c>
      <c r="HD77" s="36" t="s">
        <v>139</v>
      </c>
      <c r="HE77" s="36" t="s">
        <v>139</v>
      </c>
      <c r="HF77" s="36" t="s">
        <v>139</v>
      </c>
      <c r="HG77" s="36" t="s">
        <v>139</v>
      </c>
      <c r="HH77" s="36" t="s">
        <v>139</v>
      </c>
      <c r="HI77" s="36" t="s">
        <v>139</v>
      </c>
      <c r="HJ77" s="36" t="s">
        <v>139</v>
      </c>
      <c r="HK77" s="36" t="s">
        <v>139</v>
      </c>
      <c r="HL77" s="36" t="s">
        <v>139</v>
      </c>
      <c r="HM77" s="36" t="s">
        <v>139</v>
      </c>
      <c r="HN77" s="36" t="s">
        <v>139</v>
      </c>
      <c r="HO77" s="36" t="s">
        <v>139</v>
      </c>
      <c r="HP77" s="36" t="s">
        <v>139</v>
      </c>
      <c r="HQ77" s="36" t="s">
        <v>139</v>
      </c>
      <c r="HR77" s="36" t="s">
        <v>139</v>
      </c>
      <c r="HS77" s="36" t="s">
        <v>139</v>
      </c>
      <c r="HT77" s="36" t="s">
        <v>139</v>
      </c>
      <c r="HU77" s="36" t="s">
        <v>139</v>
      </c>
      <c r="HV77" s="36" t="s">
        <v>139</v>
      </c>
      <c r="HW77" s="36" t="s">
        <v>139</v>
      </c>
      <c r="HX77" s="36" t="s">
        <v>139</v>
      </c>
      <c r="HY77" s="36" t="s">
        <v>139</v>
      </c>
      <c r="HZ77" s="36" t="s">
        <v>139</v>
      </c>
      <c r="IA77" s="36" t="s">
        <v>139</v>
      </c>
      <c r="IB77" s="36" t="s">
        <v>139</v>
      </c>
      <c r="IC77" s="36" t="s">
        <v>139</v>
      </c>
      <c r="ID77" s="36" t="s">
        <v>139</v>
      </c>
      <c r="IE77" s="36" t="s">
        <v>139</v>
      </c>
      <c r="IF77" s="36" t="s">
        <v>139</v>
      </c>
      <c r="IG77" s="36" t="s">
        <v>139</v>
      </c>
      <c r="IH77" s="36" t="s">
        <v>139</v>
      </c>
      <c r="II77" s="36" t="s">
        <v>139</v>
      </c>
      <c r="IJ77" s="36" t="s">
        <v>139</v>
      </c>
      <c r="IK77" s="36" t="s">
        <v>139</v>
      </c>
      <c r="IL77" s="36" t="s">
        <v>139</v>
      </c>
      <c r="IM77" s="36" t="s">
        <v>139</v>
      </c>
      <c r="IN77" s="36" t="s">
        <v>139</v>
      </c>
      <c r="IO77" s="36" t="s">
        <v>139</v>
      </c>
      <c r="IP77" s="36" t="s">
        <v>139</v>
      </c>
      <c r="IQ77" s="36" t="s">
        <v>139</v>
      </c>
      <c r="IR77" s="36" t="s">
        <v>139</v>
      </c>
      <c r="IS77" s="36" t="s">
        <v>139</v>
      </c>
      <c r="IT77" s="36" t="s">
        <v>139</v>
      </c>
      <c r="IU77" s="36" t="s">
        <v>139</v>
      </c>
      <c r="IV77" s="36" t="s">
        <v>139</v>
      </c>
      <c r="IW77" s="36" t="s">
        <v>139</v>
      </c>
      <c r="IX77" s="36" t="s">
        <v>139</v>
      </c>
      <c r="IY77" s="36" t="s">
        <v>139</v>
      </c>
      <c r="IZ77" s="36" t="s">
        <v>139</v>
      </c>
      <c r="JA77" s="36" t="s">
        <v>139</v>
      </c>
      <c r="JB77" s="36" t="s">
        <v>139</v>
      </c>
      <c r="JC77" s="36" t="s">
        <v>139</v>
      </c>
      <c r="JD77" s="36" t="s">
        <v>139</v>
      </c>
      <c r="JE77" s="36" t="s">
        <v>139</v>
      </c>
      <c r="JF77" s="36" t="s">
        <v>139</v>
      </c>
      <c r="JG77" s="36" t="s">
        <v>139</v>
      </c>
      <c r="JH77" s="36" t="s">
        <v>139</v>
      </c>
      <c r="JI77" s="36" t="s">
        <v>139</v>
      </c>
      <c r="JJ77" s="36" t="s">
        <v>139</v>
      </c>
      <c r="JK77" s="36" t="s">
        <v>139</v>
      </c>
      <c r="JL77" s="36" t="s">
        <v>139</v>
      </c>
      <c r="JM77" s="36" t="s">
        <v>139</v>
      </c>
      <c r="JN77" s="36" t="s">
        <v>139</v>
      </c>
      <c r="JO77" s="36" t="s">
        <v>139</v>
      </c>
      <c r="JP77" s="36" t="s">
        <v>139</v>
      </c>
      <c r="JQ77" s="36" t="s">
        <v>139</v>
      </c>
      <c r="JR77" s="36" t="s">
        <v>139</v>
      </c>
      <c r="JS77" s="36" t="s">
        <v>139</v>
      </c>
      <c r="JT77" s="36" t="s">
        <v>139</v>
      </c>
      <c r="JU77" s="36" t="s">
        <v>139</v>
      </c>
      <c r="JV77" s="36" t="s">
        <v>139</v>
      </c>
      <c r="JW77" s="36" t="s">
        <v>139</v>
      </c>
      <c r="JX77" s="36" t="s">
        <v>139</v>
      </c>
      <c r="JY77" s="36" t="s">
        <v>139</v>
      </c>
      <c r="JZ77" s="36" t="s">
        <v>139</v>
      </c>
      <c r="KA77" s="36" t="s">
        <v>139</v>
      </c>
      <c r="KB77" s="36" t="s">
        <v>139</v>
      </c>
      <c r="KC77" s="36" t="s">
        <v>139</v>
      </c>
      <c r="KD77" s="36" t="s">
        <v>139</v>
      </c>
      <c r="KE77" s="36" t="s">
        <v>139</v>
      </c>
      <c r="KF77" s="36" t="s">
        <v>139</v>
      </c>
      <c r="KG77" s="36" t="s">
        <v>139</v>
      </c>
      <c r="KH77" s="36" t="s">
        <v>139</v>
      </c>
      <c r="KI77" s="36" t="s">
        <v>139</v>
      </c>
      <c r="KJ77" s="36" t="s">
        <v>139</v>
      </c>
      <c r="KK77" s="36" t="s">
        <v>139</v>
      </c>
      <c r="KL77" s="36" t="s">
        <v>139</v>
      </c>
      <c r="KM77" s="36" t="s">
        <v>139</v>
      </c>
      <c r="KN77" s="36" t="s">
        <v>139</v>
      </c>
      <c r="KO77" s="36" t="s">
        <v>139</v>
      </c>
      <c r="KP77" s="36" t="s">
        <v>139</v>
      </c>
      <c r="KQ77" s="36" t="s">
        <v>139</v>
      </c>
      <c r="KR77" s="36" t="s">
        <v>139</v>
      </c>
      <c r="KS77" s="36" t="s">
        <v>139</v>
      </c>
      <c r="KT77" s="36" t="s">
        <v>139</v>
      </c>
      <c r="KU77" s="36" t="s">
        <v>139</v>
      </c>
      <c r="KV77" s="36" t="s">
        <v>139</v>
      </c>
      <c r="KW77" s="36" t="s">
        <v>139</v>
      </c>
      <c r="KX77" s="36" t="s">
        <v>139</v>
      </c>
      <c r="KY77" s="36" t="s">
        <v>139</v>
      </c>
      <c r="KZ77" s="36" t="s">
        <v>139</v>
      </c>
      <c r="LA77" s="36" t="s">
        <v>139</v>
      </c>
      <c r="LB77" s="36" t="s">
        <v>139</v>
      </c>
      <c r="LC77" s="36" t="s">
        <v>139</v>
      </c>
      <c r="LD77" s="36" t="s">
        <v>139</v>
      </c>
      <c r="LE77" s="36" t="s">
        <v>139</v>
      </c>
      <c r="LF77" s="36" t="s">
        <v>139</v>
      </c>
      <c r="LG77" s="36" t="s">
        <v>139</v>
      </c>
      <c r="LH77" s="36" t="s">
        <v>139</v>
      </c>
      <c r="LI77" s="36" t="s">
        <v>139</v>
      </c>
      <c r="LJ77" s="36" t="s">
        <v>139</v>
      </c>
      <c r="LK77" s="36" t="s">
        <v>139</v>
      </c>
      <c r="LL77" s="36" t="s">
        <v>139</v>
      </c>
      <c r="LM77" s="36" t="s">
        <v>139</v>
      </c>
      <c r="LN77" s="36" t="s">
        <v>139</v>
      </c>
      <c r="LO77" s="36" t="s">
        <v>139</v>
      </c>
      <c r="LP77" s="36" t="s">
        <v>139</v>
      </c>
      <c r="LQ77" s="36" t="s">
        <v>139</v>
      </c>
      <c r="LR77" s="36" t="s">
        <v>139</v>
      </c>
      <c r="LS77" s="36" t="s">
        <v>139</v>
      </c>
      <c r="LT77" s="36" t="s">
        <v>139</v>
      </c>
      <c r="LU77" s="36" t="s">
        <v>139</v>
      </c>
      <c r="LV77" s="36" t="s">
        <v>139</v>
      </c>
      <c r="LW77" s="36" t="s">
        <v>139</v>
      </c>
      <c r="LX77" s="36" t="s">
        <v>139</v>
      </c>
      <c r="LY77" s="36" t="s">
        <v>139</v>
      </c>
      <c r="LZ77" s="36" t="s">
        <v>139</v>
      </c>
      <c r="MA77" s="36" t="s">
        <v>139</v>
      </c>
      <c r="MB77" s="36" t="s">
        <v>139</v>
      </c>
      <c r="MC77" s="36" t="s">
        <v>139</v>
      </c>
      <c r="MD77" s="36" t="s">
        <v>139</v>
      </c>
      <c r="ME77" s="36" t="s">
        <v>139</v>
      </c>
      <c r="MF77" s="36" t="s">
        <v>139</v>
      </c>
      <c r="MG77" s="36" t="s">
        <v>139</v>
      </c>
      <c r="MH77" s="36" t="s">
        <v>139</v>
      </c>
      <c r="MI77" s="36" t="s">
        <v>139</v>
      </c>
      <c r="MJ77" s="36" t="s">
        <v>139</v>
      </c>
      <c r="MK77" s="36" t="s">
        <v>139</v>
      </c>
      <c r="ML77" s="36" t="s">
        <v>139</v>
      </c>
      <c r="MM77" s="36" t="s">
        <v>139</v>
      </c>
      <c r="MN77" s="36" t="s">
        <v>139</v>
      </c>
      <c r="MO77" s="36" t="s">
        <v>139</v>
      </c>
      <c r="MP77" s="36" t="s">
        <v>139</v>
      </c>
      <c r="MQ77" s="36" t="s">
        <v>139</v>
      </c>
      <c r="MR77" s="36" t="s">
        <v>139</v>
      </c>
      <c r="MS77" s="36" t="s">
        <v>139</v>
      </c>
      <c r="MT77" s="36" t="s">
        <v>139</v>
      </c>
      <c r="MU77" s="36" t="s">
        <v>139</v>
      </c>
      <c r="MV77" s="36" t="s">
        <v>139</v>
      </c>
      <c r="MW77" s="36" t="s">
        <v>139</v>
      </c>
      <c r="MX77" s="36" t="s">
        <v>139</v>
      </c>
      <c r="MY77" s="36" t="s">
        <v>139</v>
      </c>
      <c r="MZ77" s="36" t="s">
        <v>139</v>
      </c>
      <c r="NA77" s="36" t="s">
        <v>139</v>
      </c>
      <c r="NB77" s="36" t="s">
        <v>139</v>
      </c>
      <c r="NC77" s="36" t="s">
        <v>139</v>
      </c>
      <c r="ND77" s="36" t="s">
        <v>139</v>
      </c>
      <c r="NE77" s="36" t="s">
        <v>139</v>
      </c>
      <c r="NF77" s="36" t="s">
        <v>139</v>
      </c>
      <c r="NG77" s="36" t="s">
        <v>139</v>
      </c>
      <c r="NH77" s="36" t="s">
        <v>139</v>
      </c>
      <c r="NI77" s="36" t="s">
        <v>139</v>
      </c>
      <c r="NJ77" s="36" t="s">
        <v>139</v>
      </c>
      <c r="NK77" s="36" t="s">
        <v>139</v>
      </c>
      <c r="NL77" s="36" t="s">
        <v>139</v>
      </c>
      <c r="NM77" s="36" t="s">
        <v>139</v>
      </c>
      <c r="NN77" s="36" t="s">
        <v>139</v>
      </c>
      <c r="NO77" s="36" t="s">
        <v>139</v>
      </c>
      <c r="NP77" s="36" t="s">
        <v>139</v>
      </c>
      <c r="NQ77" s="36" t="s">
        <v>139</v>
      </c>
      <c r="NR77" s="36" t="s">
        <v>139</v>
      </c>
      <c r="NS77" s="36" t="s">
        <v>139</v>
      </c>
      <c r="NT77" s="36" t="s">
        <v>139</v>
      </c>
      <c r="NU77" s="36" t="s">
        <v>139</v>
      </c>
      <c r="NV77" s="36" t="s">
        <v>139</v>
      </c>
      <c r="NW77" s="36" t="s">
        <v>139</v>
      </c>
      <c r="NX77" s="36" t="s">
        <v>139</v>
      </c>
      <c r="NY77" s="36" t="s">
        <v>139</v>
      </c>
      <c r="NZ77" s="36" t="s">
        <v>139</v>
      </c>
      <c r="OA77" s="36" t="s">
        <v>139</v>
      </c>
      <c r="OB77" s="36" t="s">
        <v>139</v>
      </c>
      <c r="OC77" s="36" t="s">
        <v>139</v>
      </c>
      <c r="OD77" s="36" t="s">
        <v>139</v>
      </c>
      <c r="OE77" s="36" t="s">
        <v>139</v>
      </c>
      <c r="OF77" s="36" t="s">
        <v>139</v>
      </c>
      <c r="OG77" s="36" t="s">
        <v>139</v>
      </c>
      <c r="OH77" s="36" t="s">
        <v>139</v>
      </c>
      <c r="OI77" s="36" t="s">
        <v>139</v>
      </c>
      <c r="OJ77" s="36" t="s">
        <v>139</v>
      </c>
      <c r="OK77" s="36" t="s">
        <v>139</v>
      </c>
      <c r="OL77" s="36" t="s">
        <v>139</v>
      </c>
      <c r="OM77" s="36" t="s">
        <v>139</v>
      </c>
      <c r="ON77" s="36" t="s">
        <v>139</v>
      </c>
      <c r="OO77" s="36" t="s">
        <v>139</v>
      </c>
      <c r="OP77" s="36" t="s">
        <v>139</v>
      </c>
      <c r="OQ77" s="36" t="s">
        <v>139</v>
      </c>
      <c r="OR77" s="36" t="s">
        <v>139</v>
      </c>
      <c r="OS77" s="36" t="s">
        <v>139</v>
      </c>
      <c r="OT77" s="36" t="s">
        <v>139</v>
      </c>
      <c r="OU77" s="36" t="s">
        <v>139</v>
      </c>
      <c r="OV77" s="36" t="s">
        <v>139</v>
      </c>
      <c r="OW77" s="36" t="s">
        <v>139</v>
      </c>
      <c r="OX77" s="36" t="s">
        <v>139</v>
      </c>
      <c r="OY77" s="36" t="s">
        <v>139</v>
      </c>
      <c r="OZ77" s="36" t="s">
        <v>139</v>
      </c>
      <c r="PA77" s="36" t="s">
        <v>139</v>
      </c>
      <c r="PB77" s="36" t="s">
        <v>139</v>
      </c>
      <c r="PC77" s="36" t="s">
        <v>139</v>
      </c>
      <c r="PD77" s="36" t="s">
        <v>139</v>
      </c>
      <c r="PE77" s="36" t="s">
        <v>139</v>
      </c>
      <c r="PF77" s="36" t="s">
        <v>139</v>
      </c>
      <c r="PG77" s="36" t="s">
        <v>139</v>
      </c>
      <c r="PH77" s="36" t="s">
        <v>139</v>
      </c>
      <c r="PI77" s="36" t="s">
        <v>139</v>
      </c>
      <c r="PJ77" s="36" t="s">
        <v>139</v>
      </c>
      <c r="PK77" s="36" t="s">
        <v>139</v>
      </c>
      <c r="PL77" s="36" t="s">
        <v>139</v>
      </c>
      <c r="PM77" s="36" t="s">
        <v>139</v>
      </c>
      <c r="PN77" s="36" t="s">
        <v>139</v>
      </c>
      <c r="PO77" s="74">
        <f>COUNTIFS($C$27:$PN$27,("&lt;"&amp;$B$3),$C$27:$PN$27,("&gt;="&amp;$B$2),$C77:$PN77,TabAsistencias[[#Headers],[1]])</f>
        <v>30</v>
      </c>
      <c r="PP77" s="74">
        <f>COUNTIFS($C$27:$PN$27,("&lt;"&amp;$B$3),$C$27:$PN$27,("&gt;="&amp;$B$2),$C77:$PN77,TabAsistencias[[#Headers],[E]])</f>
        <v>0</v>
      </c>
      <c r="PQ77" s="74">
        <f>COUNTIFS($C$27:$PN$27,("&lt;"&amp;$B$3),$C$27:$PN$27,("&gt;="&amp;$B$2),$C77:$PN77,TabAsistencias[[#Headers],[DE]])</f>
        <v>0</v>
      </c>
      <c r="PR77" s="74">
        <f>COUNTIFS($C$27:$PN$27,("&lt;"&amp;$B$3),$C$27:$PN$27,("&gt;="&amp;$B$2),$C77:$PN77,TabAsistencias[[#Headers],[V]])</f>
        <v>0</v>
      </c>
      <c r="PS77" s="74">
        <f>COUNTIFS($C$27:$PN$27,("&lt;"&amp;$B$3),$C$27:$PN$27,("&gt;="&amp;$B$2),$C77:$PN77,TabAsistencias[[#Headers],[DO]])</f>
        <v>0</v>
      </c>
      <c r="PT77" s="74">
        <f>COUNTIFS($C$27:$PN$27,("&lt;"&amp;$B$3),$C$27:$PN$27,("&gt;="&amp;$B$2),$C77:$PN77,TabAsistencias[[#Headers],[P]])</f>
        <v>0</v>
      </c>
      <c r="PU77" s="74">
        <f>COUNTIFS($C$27:$PN$27,("&lt;"&amp;$B$3),$C$27:$PN$27,("&gt;="&amp;$B$2),$C77:$PN77,TabAsistencias[[#Headers],[F]])</f>
        <v>0</v>
      </c>
      <c r="PV77" s="74">
        <f>COUNTIFS($C$27:$PN$27,("&lt;"&amp;$B$3),$C$27:$PN$27,("&gt;="&amp;$B$2),$C77:$PN77,TabAsistencias[[#Headers],[R]])</f>
        <v>0</v>
      </c>
      <c r="PW77" s="74">
        <f>COUNTIFS($C$27:$PN$27,("&lt;"&amp;$B$3),$C$27:$PN$27,("&gt;="&amp;$B$2),$C77:$PN77,TabAsistencias[[#Headers],[PP]])</f>
        <v>0</v>
      </c>
      <c r="PX77" s="74">
        <f>COUNTIFS($C$27:$PN$27,("&lt;"&amp;$B$3),$C$27:$PN$27,("&gt;="&amp;$B$2),$C77:$PN77,TabAsistencias[[#Headers],[0]])</f>
        <v>0</v>
      </c>
      <c r="PY77" s="74">
        <f>COUNTIFS($C$27:$PN$27,("&lt;"&amp;$B$3),$C$27:$PN$27,("&gt;="&amp;$B$2),$C77:$PN77,TabAsistencias[[#Headers],[IG]])</f>
        <v>0</v>
      </c>
      <c r="PZ77" s="74">
        <f>COUNTIFS($C$27:$PN$27,("&lt;"&amp;$B$3),$C$27:$PN$27,("&gt;="&amp;$B$2),$C77:$PN77,TabAsistencias[[#Headers],[NA]])</f>
        <v>0</v>
      </c>
      <c r="QA77" s="74">
        <f>COUNTIFS($C$27:$PN$27,("&lt;"&amp;$B$3),$C$27:$PN$27,("&gt;="&amp;$B$2),$C77:$PN77,TabAsistencias[[#Headers],[DF]])</f>
        <v>0</v>
      </c>
      <c r="QB77" s="74">
        <f>COUNTIFS($C$27:$PN$27,("&lt;"&amp;$B$3),$C$27:$PN$27,("&gt;="&amp;$B$2),$C77:$PN77,TabAsistencias[[#Headers],[3]])</f>
        <v>0</v>
      </c>
      <c r="QC77" s="74">
        <f>COUNTIFS($C$27:$PN$27,("&lt;"&amp;$B$3),$C$27:$PN$27,("&gt;="&amp;$B$2),$C77:$PN77,TabAsistencias[[#Headers],[CP]])</f>
        <v>0</v>
      </c>
      <c r="QD77" s="74">
        <f>COUNTIFS($C$27:$PN$27,("&lt;"&amp;$B$3),$C$27:$PN$27,("&gt;="&amp;$B$2),$C77:$PN77,TabAsistencias[[#Headers],[I]])</f>
        <v>0</v>
      </c>
      <c r="QE77" s="74">
        <f>COUNTIFS($C$27:$PN$27,("&lt;"&amp;$B$3),$C$27:$PN$27,("&gt;="&amp;$B$2),$C77:$PN77,TabAsistencias[[#Headers],[T/2]])</f>
        <v>0</v>
      </c>
      <c r="QF77" s="74">
        <f>COUNTIFS($C$27:$PN$27,("&lt;"&amp;$B$3),$C$27:$PN$27,("&gt;="&amp;$B$2),$C77:$PN77,TabAsistencias[[#Headers],[ME]])</f>
        <v>0</v>
      </c>
      <c r="QG77" s="74">
        <f>COUNTIFS($C$27:$PN$27,("&lt;"&amp;$B$3),$C$27:$PN$27,("&gt;="&amp;$B$2),$C77:$PN77,TabAsistencias[[#Headers],[DP]])</f>
        <v>0</v>
      </c>
      <c r="QH77" s="74">
        <f>COUNTIFS($C$27:$PN$27,("&lt;"&amp;$B$3),$C$27:$PN$27,("&gt;="&amp;$B$2),$C77:$PN77,TabAsistencias[[#Headers],[B]])</f>
        <v>0</v>
      </c>
      <c r="QI77" s="74">
        <f>(TabAsistencias[[#This Row],[1]]*'Tablas de informacion'!$C$124)+(TabAsistencias[[#This Row],[E]]*'Tablas de informacion'!$C$125)+(TabAsistencias[[#This Row],[DE]]*'Tablas de informacion'!C$126)+(TabAsistencias[[#This Row],[V]]*'Tablas de informacion'!C$127)+(TabAsistencias[[#This Row],[DO]]*'Tablas de informacion'!C$128)+(TabAsistencias[[#This Row],[P]]*'Tablas de informacion'!C$129)+(TabAsistencias[[#This Row],[F]]*'Tablas de informacion'!C$130)+(TabAsistencias[[#This Row],[R]]*'Tablas de informacion'!C$131)+(TabAsistencias[[#This Row],[PP]]*'Tablas de informacion'!C$132)+(TabAsistencias[[#This Row],[0]]*'Tablas de informacion'!C$133)+(TabAsistencias[[#This Row],[IG]]*'Tablas de informacion'!C$134)+(TabAsistencias[[#This Row],[NA]]*'Tablas de informacion'!C$135)+(TabAsistencias[[#This Row],[DF]]*'Tablas de informacion'!C$136)+(TabAsistencias[[#This Row],[3]]*'Tablas de informacion'!C$137)+(TabAsistencias[[#This Row],[CP]]*'Tablas de informacion'!C$138)+(TabAsistencias[[#This Row],[I]]*'Tablas de informacion'!C$139)+(TabAsistencias[[#This Row],[T/2]]*'Tablas de informacion'!C$140)+(TabAsistencias[[#This Row],[ME]]*'Tablas de informacion'!C$141)+(TabAsistencias[[#This Row],[DP]]*'Tablas de informacion'!C$142)+(TabAsistencias[[#This Row],[B]]*'Tablas de informacion'!C$143)-INT(TabAsistencias[[#This Row],[R]]/3)</f>
        <v>30</v>
      </c>
      <c r="QJ77" s="74">
        <f>COUNTIFS($C$27:$PN$27,("&lt;"&amp;$B$3),$C$27:$PN$27,("&gt;="&amp;$B$2),$C$28:$PN$28,1,$C77:$PN77,TabAsistencias[[#Headers],[1]])+
COUNTIFS($C$27:$PN$27,("&lt;"&amp;$B$3),$C$27:$PN$27,("&gt;="&amp;$B$2),$C$28:$PN$28,1,$C77:$PN77,TabAsistencias[[#Headers],[DO]])+
COUNTIFS($C$27:$PN$27,("&lt;"&amp;$B$3),$C$27:$PN$27,("&gt;="&amp;$B$2),$C$28:$PN$28,1,$C77:$PN77,TabAsistencias[[#Headers],[R]])+
COUNTIFS($C$27:$PN$27,("&lt;"&amp;$B$3),$C$27:$PN$27,("&gt;="&amp;$B$2),$C$28:$PN$28,1,$C77:$PN77,TabAsistencias[[#Headers],[NA]])+
COUNTIFS($C$27:$PN$27,("&lt;"&amp;$B$3),$C$27:$PN$27,("&gt;="&amp;$B$2),$C$28:$PN$28,1,$C77:$PN77,TabAsistencias[[#Headers],[DF]])+
COUNTIFS($C$27:$PN$27,("&lt;"&amp;$B$3),$C$27:$PN$27,("&gt;="&amp;$B$2),$C$28:$PN$28,1,$C77:$PN77,TabAsistencias[[#Headers],[3]])+
COUNTIFS($C$27:$PN$27,("&lt;"&amp;$B$3),$C$27:$PN$27,("&gt;="&amp;$B$2),$C$28:$PN$28,1,$C77:$PN77,TabAsistencias[[#Headers],[CP]])+
COUNTIFS($C$27:$PN$27,("&lt;"&amp;$B$3),$C$27:$PN$27,("&gt;="&amp;$B$2),$C$28:$PN$28,1,$C77:$PN77,TabAsistencias[[#Headers],[T/2]])</f>
        <v>4</v>
      </c>
      <c r="QK77" s="315" cm="1">
        <f t="array" ref="QK77">IFERROR(VLOOKUP(
DATEDIF((VLOOKUP(TabAsistencias[[#This Row],[ID]],TabEmpleados[],COLUMN(TabEmpleados[Fecha de ingreso]),FALSE)),Asistencias!$B$3,"Y"),
TabFactorIntegracion[],COLUMN(TabFactorIntegracion[Días vacacionales
establecidos por ley]),FALSE),0)
-
COUNTIF($AH77:$PN77,TabAsistencias[[#Headers],[V]])</f>
        <v>12</v>
      </c>
      <c r="QL77" s="319">
        <f>SUM(TabAsistencias[[#This Row],[''1]],TabAsistencias[[#This Row],[''DE]],TabAsistencias[[#This Row],[''DO]],TabAsistencias[[#This Row],[''R]],TabAsistencias[[#This Row],[''NA]],TabAsistencias[[#This Row],[''DF]],TabAsistencias[[#This Row],[''3]],TabAsistencias[[#This Row],[''CP]],TabAsistencias[[#This Row],[''T/2]],TabAsistencias[[#This Row],[''DP]])</f>
        <v>73</v>
      </c>
      <c r="QM77" s="314">
        <f>COUNTIFS($C$27:$PN$27,("&lt;"&amp;$B$5),$C$27:$PN$27,("&gt;="&amp;$B$4),$C77:$PN77,TabAsistencias[[#Headers],[1]])</f>
        <v>73</v>
      </c>
      <c r="QN77" s="314">
        <f>COUNTIFS($C$27:$PN$27,("&lt;"&amp;$B$5),$C$27:$PN$27,("&gt;="&amp;$B$4),$C77:$PN77,TabAsistencias[[#Headers],[DE]])</f>
        <v>0</v>
      </c>
      <c r="QO77" s="314">
        <f>COUNTIFS($C$27:$PN$27,("&lt;"&amp;$B$5),$C$27:$PN$27,("&gt;="&amp;$B$4),$C77:$PN77,TabAsistencias[[#Headers],[V]])</f>
        <v>0</v>
      </c>
      <c r="QP77" s="314">
        <f>COUNTIFS($C$27:$PN$27,("&lt;"&amp;$B$5),$C$27:$PN$27,("&gt;="&amp;$B$4),$C77:$PN77,TabAsistencias[[#Headers],[DO]])</f>
        <v>0</v>
      </c>
      <c r="QQ77" s="314">
        <f>COUNTIFS($C$27:$PN$27,("&lt;"&amp;$B$5),$C$27:$PN$27,("&gt;="&amp;$B$4),$C77:$PN77,TabAsistencias[[#Headers],[P]])</f>
        <v>0</v>
      </c>
      <c r="QR77" s="314">
        <f>COUNTIFS($C$27:$PN$27,("&lt;"&amp;$B$5),$C$27:$PN$27,("&gt;="&amp;$B$4),$C77:$PN77,TabAsistencias[[#Headers],[F]])</f>
        <v>0</v>
      </c>
      <c r="QS77" s="314">
        <f>COUNTIFS($C$27:$PN$27,("&lt;"&amp;$B$5),$C$27:$PN$27,("&gt;="&amp;$B$4),$C77:$PN77,TabAsistencias[[#Headers],[R]])</f>
        <v>0</v>
      </c>
      <c r="QT77" s="314">
        <f>COUNTIFS($C$27:$PN$27,("&lt;"&amp;$B$5),$C$27:$PN$27,("&gt;="&amp;$B$4),$C77:$PN77,TabAsistencias[[#Headers],[PP]])</f>
        <v>0</v>
      </c>
      <c r="QU77" s="314">
        <f>COUNTIFS($C$27:$PN$27,("&lt;"&amp;$B$5),$C$27:$PN$27,("&gt;="&amp;$B$4),$C77:$PN77,TabAsistencias[[#Headers],[0]])</f>
        <v>0</v>
      </c>
      <c r="QV77" s="314">
        <f>COUNTIFS($C$27:$PN$27,("&lt;"&amp;$B$5),$C$27:$PN$27,("&gt;="&amp;$B$4),$C77:$PN77,TabAsistencias[[#Headers],[IG]])</f>
        <v>0</v>
      </c>
      <c r="QW77" s="314">
        <f>COUNTIFS($C$27:$PN$27,("&lt;"&amp;$B$5),$C$27:$PN$27,("&gt;="&amp;$B$4),$C77:$PN77,TabAsistencias[[#Headers],[NA]])</f>
        <v>0</v>
      </c>
      <c r="QX77" s="314">
        <f>COUNTIFS($C$27:$PN$27,("&lt;"&amp;$B$5),$C$27:$PN$27,("&gt;="&amp;$B$4),$C77:$PN77,TabAsistencias[[#Headers],[DF]])</f>
        <v>0</v>
      </c>
      <c r="QY77" s="314">
        <f>COUNTIFS($C$27:$PN$27,("&lt;"&amp;$B$5),$C$27:$PN$27,("&gt;="&amp;$B$4),$C77:$PN77,TabAsistencias[[#Headers],[3]])</f>
        <v>0</v>
      </c>
      <c r="QZ77" s="314">
        <f>COUNTIFS($C$27:$PN$27,("&lt;"&amp;$B$5),$C$27:$PN$27,("&gt;="&amp;$B$4),$C77:$PN77,TabAsistencias[[#Headers],[CP]])</f>
        <v>0</v>
      </c>
      <c r="RA77" s="314">
        <f>COUNTIFS($C$27:$PN$27,("&lt;"&amp;$B$5),$C$27:$PN$27,("&gt;="&amp;$B$4),$C77:$PN77,TabAsistencias[[#Headers],[I]])</f>
        <v>0</v>
      </c>
      <c r="RB77" s="314">
        <f>COUNTIFS($C$27:$PN$27,("&lt;"&amp;$B$5),$C$27:$PN$27,("&gt;="&amp;$B$4),$C77:$PN77,TabAsistencias[[#Headers],[T/2]])</f>
        <v>0</v>
      </c>
      <c r="RC77" s="314">
        <f>COUNTIFS($C$27:$PN$27,("&lt;"&amp;$B$5),$C$27:$PN$27,("&gt;="&amp;$B$4),$C77:$PN77,TabAsistencias[[#Headers],[ME]])</f>
        <v>0</v>
      </c>
      <c r="RD77" s="314">
        <f>COUNTIFS($C$27:$PN$27,("&lt;"&amp;$B$5),$C$27:$PN$27,("&gt;="&amp;$B$4),$C77:$PN77,TabAsistencias[[#Headers],[DP]])</f>
        <v>0</v>
      </c>
      <c r="RE77" s="314">
        <f>COUNTIFS($C$27:$PN$27,("&lt;"&amp;$B$5),$C$27:$PN$27,("&gt;="&amp;$B$4),$C77:$PN77,TabAsistencias[[#Headers],[B]])</f>
        <v>0</v>
      </c>
      <c r="RF77" s="314">
        <f>COUNTIFS($C$27:$PN$27,("&lt;"&amp;$B$5),$C$27:$PN$27,("&gt;="&amp;$B$4),$C$28:$PN$28,1,$C77:$PN77,TabAsistencias[[#Headers],[1]])+
COUNTIFS($C$27:$PN$27,("&lt;"&amp;$B$5),$C$27:$PN$27,("&gt;="&amp;$B$4),$C$28:$PN$28,1,$C77:$PN77,TabAsistencias[[#Headers],[DO]])+
COUNTIFS($C$27:$PN$27,("&lt;"&amp;$B$5),$C$27:$PN$27,("&gt;="&amp;$B$4),$C$28:$PN$28,1,$C77:$PN77,TabAsistencias[[#Headers],[R]])+
COUNTIFS($C$27:$PN$27,("&lt;"&amp;$B$5),$C$27:$PN$27,("&gt;="&amp;$B$4),$C$28:$PN$28,1,$C77:$PN77,TabAsistencias[[#Headers],[NA]])+
COUNTIFS($C$27:$PN$27,("&lt;"&amp;$B$5),$C$27:$PN$27,("&gt;="&amp;$B$4),$C$28:$PN$28,1,$C77:$PN77,TabAsistencias[[#Headers],[DF]])+
COUNTIFS($C$27:$PN$27,("&lt;"&amp;$B$5),$C$27:$PN$27,("&gt;="&amp;$B$4),$C$28:$PN$28,1,$C77:$PN77,TabAsistencias[[#Headers],[3]])+
COUNTIFS($C$27:$PN$27,("&lt;"&amp;$B$5),$C$27:$PN$27,("&gt;="&amp;$B$4),$C$28:$PN$28,1,$C77:$PN77,TabAsistencias[[#Headers],[CP]])+
COUNTIFS($C$27:$PN$27,("&lt;"&amp;$B$5),$C$27:$PN$27,("&gt;="&amp;$B$4),$C$28:$PN$28,1,$C77:$PN77,TabAsistencias[[#Headers],[T/2]])</f>
        <v>11</v>
      </c>
      <c r="RG77" s="320" cm="1">
        <f t="array" ref="RG77">IFERROR(VLOOKUP(
DATEDIF((VLOOKUP(TabAsistencias[[#This Row],[ID]],TabEmpleados[],COLUMN(TabEmpleados[Fecha de alta NSS]),FALSE)),Asistencias!$B$3,"Y"),
TabFactorIntegracion[],COLUMN(TabFactorIntegracion[Días vacacionales
establecidos por ley]),FALSE),0)
-
COUNTIF($AH77:$PN77,TabAsistencias[[#Headers],[V]])</f>
        <v>12</v>
      </c>
    </row>
    <row r="78" spans="1:475" x14ac:dyDescent="0.25">
      <c r="A78" s="92">
        <f t="shared" si="434"/>
        <v>48</v>
      </c>
      <c r="B78" s="30" t="str" cm="1">
        <f t="array" ref="B78">VLOOKUP(TabAsistencias[[#This Row],[ID]],TabEmpleados[],COLUMN(TabEmpleados[Nombre]),FALSE)</f>
        <v>LOPEZ PEREZ CRISTIAN GUILLERMO</v>
      </c>
      <c r="C78" s="36" t="s">
        <v>139</v>
      </c>
      <c r="D78" s="36" t="s">
        <v>139</v>
      </c>
      <c r="E78" s="36" t="s">
        <v>139</v>
      </c>
      <c r="F78" s="36" t="s">
        <v>139</v>
      </c>
      <c r="G78" s="36" t="s">
        <v>139</v>
      </c>
      <c r="H78" s="36" t="s">
        <v>139</v>
      </c>
      <c r="I78" s="36" t="s">
        <v>139</v>
      </c>
      <c r="J78" s="36" t="s">
        <v>139</v>
      </c>
      <c r="K78" s="36" t="s">
        <v>139</v>
      </c>
      <c r="L78" s="36" t="s">
        <v>139</v>
      </c>
      <c r="M78" s="36" t="s">
        <v>139</v>
      </c>
      <c r="N78" s="36" t="s">
        <v>139</v>
      </c>
      <c r="O78" s="36" t="s">
        <v>139</v>
      </c>
      <c r="P78" s="36" t="s">
        <v>139</v>
      </c>
      <c r="Q78" s="36" t="s">
        <v>139</v>
      </c>
      <c r="R78" s="36" t="s">
        <v>139</v>
      </c>
      <c r="S78" s="36" t="s">
        <v>139</v>
      </c>
      <c r="T78" s="36" t="s">
        <v>139</v>
      </c>
      <c r="U78" s="36" t="s">
        <v>139</v>
      </c>
      <c r="V78" s="36" t="s">
        <v>139</v>
      </c>
      <c r="W78" s="36" t="s">
        <v>139</v>
      </c>
      <c r="X78" s="36" t="s">
        <v>139</v>
      </c>
      <c r="Y78" s="36" t="s">
        <v>139</v>
      </c>
      <c r="Z78" s="36" t="s">
        <v>139</v>
      </c>
      <c r="AA78" s="36" t="s">
        <v>139</v>
      </c>
      <c r="AB78" s="36" t="s">
        <v>139</v>
      </c>
      <c r="AC78" s="36" t="s">
        <v>139</v>
      </c>
      <c r="AD78" s="36" t="s">
        <v>139</v>
      </c>
      <c r="AE78" s="36" t="s">
        <v>139</v>
      </c>
      <c r="AF78" s="36" t="s">
        <v>139</v>
      </c>
      <c r="AG78" s="36" t="s">
        <v>139</v>
      </c>
      <c r="AH78" s="36" t="s">
        <v>139</v>
      </c>
      <c r="AI78" s="36" t="s">
        <v>139</v>
      </c>
      <c r="AJ78" s="36" t="s">
        <v>139</v>
      </c>
      <c r="AK78" s="36" t="s">
        <v>139</v>
      </c>
      <c r="AL78" s="36" t="s">
        <v>139</v>
      </c>
      <c r="AM78" s="36" t="s">
        <v>139</v>
      </c>
      <c r="AN78" s="36" t="s">
        <v>139</v>
      </c>
      <c r="AO78" s="36" t="s">
        <v>139</v>
      </c>
      <c r="AP78" s="36" t="s">
        <v>139</v>
      </c>
      <c r="AQ78" s="36" t="s">
        <v>139</v>
      </c>
      <c r="AR78" s="36" t="s">
        <v>139</v>
      </c>
      <c r="AS78" s="36" t="s">
        <v>139</v>
      </c>
      <c r="AT78" s="36" t="s">
        <v>139</v>
      </c>
      <c r="AU78" s="36" t="s">
        <v>139</v>
      </c>
      <c r="AV78" s="36" t="s">
        <v>139</v>
      </c>
      <c r="AW78" s="36" t="s">
        <v>139</v>
      </c>
      <c r="AX78" s="36" t="s">
        <v>139</v>
      </c>
      <c r="AY78" s="36" t="s">
        <v>139</v>
      </c>
      <c r="AZ78" s="36" t="s">
        <v>139</v>
      </c>
      <c r="BA78" s="36" t="s">
        <v>139</v>
      </c>
      <c r="BB78" s="36" t="s">
        <v>139</v>
      </c>
      <c r="BC78" s="36" t="s">
        <v>139</v>
      </c>
      <c r="BD78" s="36" t="s">
        <v>139</v>
      </c>
      <c r="BE78" s="36" t="s">
        <v>139</v>
      </c>
      <c r="BF78" s="36" t="s">
        <v>139</v>
      </c>
      <c r="BG78" s="36" t="s">
        <v>139</v>
      </c>
      <c r="BH78" s="36" t="s">
        <v>139</v>
      </c>
      <c r="BI78" s="36" t="s">
        <v>139</v>
      </c>
      <c r="BJ78" s="36" t="s">
        <v>139</v>
      </c>
      <c r="BK78" s="36" t="s">
        <v>139</v>
      </c>
      <c r="BL78" s="36" t="s">
        <v>139</v>
      </c>
      <c r="BM78" s="36" t="s">
        <v>139</v>
      </c>
      <c r="BN78" s="36" t="s">
        <v>139</v>
      </c>
      <c r="BO78" s="36" t="s">
        <v>139</v>
      </c>
      <c r="BP78" s="36" t="s">
        <v>139</v>
      </c>
      <c r="BQ78" s="36" t="s">
        <v>139</v>
      </c>
      <c r="BR78" s="36" t="s">
        <v>139</v>
      </c>
      <c r="BS78" s="36" t="s">
        <v>139</v>
      </c>
      <c r="BT78" s="36" t="s">
        <v>139</v>
      </c>
      <c r="BU78" s="36" t="s">
        <v>139</v>
      </c>
      <c r="BV78" s="36" t="s">
        <v>139</v>
      </c>
      <c r="BW78" s="36" t="s">
        <v>139</v>
      </c>
      <c r="BX78" s="36" t="s">
        <v>139</v>
      </c>
      <c r="BY78" s="36" t="s">
        <v>139</v>
      </c>
      <c r="BZ78" s="36" t="s">
        <v>139</v>
      </c>
      <c r="CA78" s="36" t="s">
        <v>139</v>
      </c>
      <c r="CB78" s="36" t="s">
        <v>139</v>
      </c>
      <c r="CC78" s="36" t="s">
        <v>139</v>
      </c>
      <c r="CD78" s="36" t="s">
        <v>139</v>
      </c>
      <c r="CE78" s="36" t="s">
        <v>139</v>
      </c>
      <c r="CF78" s="36" t="s">
        <v>139</v>
      </c>
      <c r="CG78" s="36" t="s">
        <v>139</v>
      </c>
      <c r="CH78" s="36" t="s">
        <v>139</v>
      </c>
      <c r="CI78" s="36" t="s">
        <v>139</v>
      </c>
      <c r="CJ78" s="36" t="s">
        <v>139</v>
      </c>
      <c r="CK78" s="36" t="s">
        <v>139</v>
      </c>
      <c r="CL78" s="36" t="s">
        <v>139</v>
      </c>
      <c r="CM78" s="36" t="s">
        <v>139</v>
      </c>
      <c r="CN78" s="36" t="s">
        <v>139</v>
      </c>
      <c r="CO78" s="36" t="s">
        <v>139</v>
      </c>
      <c r="CP78" s="36" t="s">
        <v>139</v>
      </c>
      <c r="CQ78" s="36" t="s">
        <v>139</v>
      </c>
      <c r="CR78" s="36" t="s">
        <v>139</v>
      </c>
      <c r="CS78" s="36" t="s">
        <v>139</v>
      </c>
      <c r="CT78" s="36" t="s">
        <v>139</v>
      </c>
      <c r="CU78" s="36" t="s">
        <v>139</v>
      </c>
      <c r="CV78" s="36" t="s">
        <v>139</v>
      </c>
      <c r="CW78" s="36" t="s">
        <v>139</v>
      </c>
      <c r="CX78" s="36" t="s">
        <v>139</v>
      </c>
      <c r="CY78" s="36" t="s">
        <v>139</v>
      </c>
      <c r="CZ78" s="36" t="s">
        <v>139</v>
      </c>
      <c r="DA78" s="36" t="s">
        <v>139</v>
      </c>
      <c r="DB78" s="36" t="s">
        <v>139</v>
      </c>
      <c r="DC78" s="36" t="s">
        <v>139</v>
      </c>
      <c r="DD78" s="36" t="s">
        <v>139</v>
      </c>
      <c r="DE78" s="36" t="s">
        <v>139</v>
      </c>
      <c r="DF78" s="36" t="s">
        <v>139</v>
      </c>
      <c r="DG78" s="36" t="s">
        <v>139</v>
      </c>
      <c r="DH78" s="36" t="s">
        <v>139</v>
      </c>
      <c r="DI78" s="36" t="s">
        <v>139</v>
      </c>
      <c r="DJ78" s="36" t="s">
        <v>139</v>
      </c>
      <c r="DK78" s="36" t="s">
        <v>139</v>
      </c>
      <c r="DL78" s="36" t="s">
        <v>139</v>
      </c>
      <c r="DM78" s="36" t="s">
        <v>139</v>
      </c>
      <c r="DN78" s="36" t="s">
        <v>139</v>
      </c>
      <c r="DO78" s="36" t="s">
        <v>139</v>
      </c>
      <c r="DP78" s="36" t="s">
        <v>139</v>
      </c>
      <c r="DQ78" s="36" t="s">
        <v>139</v>
      </c>
      <c r="DR78" s="36" t="s">
        <v>139</v>
      </c>
      <c r="DS78" s="36" t="s">
        <v>139</v>
      </c>
      <c r="DT78" s="36" t="s">
        <v>139</v>
      </c>
      <c r="DU78" s="36" t="s">
        <v>139</v>
      </c>
      <c r="DV78" s="36" t="s">
        <v>139</v>
      </c>
      <c r="DW78" s="36" t="s">
        <v>139</v>
      </c>
      <c r="DX78" s="36" t="s">
        <v>139</v>
      </c>
      <c r="DY78" s="36" t="s">
        <v>139</v>
      </c>
      <c r="DZ78" s="36" t="s">
        <v>139</v>
      </c>
      <c r="EA78" s="36" t="s">
        <v>139</v>
      </c>
      <c r="EB78" s="36" t="s">
        <v>139</v>
      </c>
      <c r="EC78" s="36" t="s">
        <v>139</v>
      </c>
      <c r="ED78" s="36" t="s">
        <v>139</v>
      </c>
      <c r="EE78" s="36" t="s">
        <v>139</v>
      </c>
      <c r="EF78" s="36" t="s">
        <v>139</v>
      </c>
      <c r="EG78" s="36" t="s">
        <v>139</v>
      </c>
      <c r="EH78" s="36" t="s">
        <v>139</v>
      </c>
      <c r="EI78" s="36" t="s">
        <v>139</v>
      </c>
      <c r="EJ78" s="36" t="s">
        <v>139</v>
      </c>
      <c r="EK78" s="36" t="s">
        <v>139</v>
      </c>
      <c r="EL78" s="36" t="s">
        <v>139</v>
      </c>
      <c r="EM78" s="36" t="s">
        <v>139</v>
      </c>
      <c r="EN78" s="36" t="s">
        <v>139</v>
      </c>
      <c r="EO78" s="36" t="s">
        <v>139</v>
      </c>
      <c r="EP78" s="36" t="s">
        <v>139</v>
      </c>
      <c r="EQ78" s="36" t="s">
        <v>139</v>
      </c>
      <c r="ER78" s="36" t="s">
        <v>139</v>
      </c>
      <c r="ES78" s="36" t="s">
        <v>139</v>
      </c>
      <c r="ET78" s="36" t="s">
        <v>139</v>
      </c>
      <c r="EU78" s="36" t="s">
        <v>139</v>
      </c>
      <c r="EV78" s="36" t="s">
        <v>139</v>
      </c>
      <c r="EW78" s="36" t="s">
        <v>139</v>
      </c>
      <c r="EX78" s="36" t="s">
        <v>139</v>
      </c>
      <c r="EY78" s="36" t="s">
        <v>139</v>
      </c>
      <c r="EZ78" s="36" t="s">
        <v>139</v>
      </c>
      <c r="FA78" s="36" t="s">
        <v>139</v>
      </c>
      <c r="FB78" s="36" t="s">
        <v>139</v>
      </c>
      <c r="FC78" s="36" t="s">
        <v>139</v>
      </c>
      <c r="FD78" s="36" t="s">
        <v>139</v>
      </c>
      <c r="FE78" s="36" t="s">
        <v>139</v>
      </c>
      <c r="FF78" s="36" t="s">
        <v>139</v>
      </c>
      <c r="FG78" s="36" t="s">
        <v>139</v>
      </c>
      <c r="FH78" s="36" t="s">
        <v>139</v>
      </c>
      <c r="FI78" s="36" t="s">
        <v>139</v>
      </c>
      <c r="FJ78" s="36" t="s">
        <v>139</v>
      </c>
      <c r="FK78" s="36" t="s">
        <v>139</v>
      </c>
      <c r="FL78" s="36" t="s">
        <v>139</v>
      </c>
      <c r="FM78" s="36" t="s">
        <v>139</v>
      </c>
      <c r="FN78" s="36" t="s">
        <v>139</v>
      </c>
      <c r="FO78" s="36" t="s">
        <v>139</v>
      </c>
      <c r="FP78" s="36" t="s">
        <v>139</v>
      </c>
      <c r="FQ78" s="36" t="s">
        <v>139</v>
      </c>
      <c r="FR78" s="36" t="s">
        <v>139</v>
      </c>
      <c r="FS78" s="36" t="s">
        <v>139</v>
      </c>
      <c r="FT78" s="36" t="s">
        <v>139</v>
      </c>
      <c r="FU78" s="36" t="s">
        <v>139</v>
      </c>
      <c r="FV78" s="36" t="s">
        <v>139</v>
      </c>
      <c r="FW78" s="36" t="s">
        <v>139</v>
      </c>
      <c r="FX78" s="36" t="s">
        <v>139</v>
      </c>
      <c r="FY78" s="36" t="s">
        <v>139</v>
      </c>
      <c r="FZ78" s="36" t="s">
        <v>139</v>
      </c>
      <c r="GA78" s="36" t="s">
        <v>139</v>
      </c>
      <c r="GB78" s="36" t="s">
        <v>139</v>
      </c>
      <c r="GC78" s="36" t="s">
        <v>139</v>
      </c>
      <c r="GD78" s="36" t="s">
        <v>139</v>
      </c>
      <c r="GE78" s="36" t="s">
        <v>139</v>
      </c>
      <c r="GF78" s="36" t="s">
        <v>139</v>
      </c>
      <c r="GG78" s="36" t="s">
        <v>139</v>
      </c>
      <c r="GH78" s="36" t="s">
        <v>139</v>
      </c>
      <c r="GI78" s="36" t="s">
        <v>139</v>
      </c>
      <c r="GJ78" s="36" t="s">
        <v>139</v>
      </c>
      <c r="GK78" s="36" t="s">
        <v>139</v>
      </c>
      <c r="GL78" s="36" t="s">
        <v>139</v>
      </c>
      <c r="GM78" s="36" t="s">
        <v>139</v>
      </c>
      <c r="GN78" s="36" t="s">
        <v>139</v>
      </c>
      <c r="GO78" s="36" t="s">
        <v>139</v>
      </c>
      <c r="GP78" s="36" t="s">
        <v>139</v>
      </c>
      <c r="GQ78" s="36" t="s">
        <v>139</v>
      </c>
      <c r="GR78" s="36" t="s">
        <v>139</v>
      </c>
      <c r="GS78" s="36" t="s">
        <v>139</v>
      </c>
      <c r="GT78" s="36" t="s">
        <v>139</v>
      </c>
      <c r="GU78" s="36" t="s">
        <v>139</v>
      </c>
      <c r="GV78" s="36" t="s">
        <v>139</v>
      </c>
      <c r="GW78" s="36" t="s">
        <v>139</v>
      </c>
      <c r="GX78" s="36" t="s">
        <v>139</v>
      </c>
      <c r="GY78" s="36" t="s">
        <v>139</v>
      </c>
      <c r="GZ78" s="36" t="s">
        <v>139</v>
      </c>
      <c r="HA78" s="36" t="s">
        <v>139</v>
      </c>
      <c r="HB78" s="36" t="s">
        <v>139</v>
      </c>
      <c r="HC78" s="36" t="s">
        <v>139</v>
      </c>
      <c r="HD78" s="36" t="s">
        <v>139</v>
      </c>
      <c r="HE78" s="36" t="s">
        <v>139</v>
      </c>
      <c r="HF78" s="36" t="s">
        <v>139</v>
      </c>
      <c r="HG78" s="36" t="s">
        <v>139</v>
      </c>
      <c r="HH78" s="36" t="s">
        <v>139</v>
      </c>
      <c r="HI78" s="36" t="s">
        <v>139</v>
      </c>
      <c r="HJ78" s="36" t="s">
        <v>139</v>
      </c>
      <c r="HK78" s="36" t="s">
        <v>139</v>
      </c>
      <c r="HL78" s="36" t="s">
        <v>139</v>
      </c>
      <c r="HM78" s="36" t="s">
        <v>139</v>
      </c>
      <c r="HN78" s="36" t="s">
        <v>139</v>
      </c>
      <c r="HO78" s="36" t="s">
        <v>139</v>
      </c>
      <c r="HP78" s="36" t="s">
        <v>139</v>
      </c>
      <c r="HQ78" s="36" t="s">
        <v>139</v>
      </c>
      <c r="HR78" s="36" t="s">
        <v>139</v>
      </c>
      <c r="HS78" s="36" t="s">
        <v>139</v>
      </c>
      <c r="HT78" s="36" t="s">
        <v>139</v>
      </c>
      <c r="HU78" s="36" t="s">
        <v>139</v>
      </c>
      <c r="HV78" s="36" t="s">
        <v>139</v>
      </c>
      <c r="HW78" s="36" t="s">
        <v>139</v>
      </c>
      <c r="HX78" s="36" t="s">
        <v>139</v>
      </c>
      <c r="HY78" s="36" t="s">
        <v>139</v>
      </c>
      <c r="HZ78" s="36" t="s">
        <v>139</v>
      </c>
      <c r="IA78" s="36" t="s">
        <v>139</v>
      </c>
      <c r="IB78" s="36" t="s">
        <v>139</v>
      </c>
      <c r="IC78" s="36" t="s">
        <v>139</v>
      </c>
      <c r="ID78" s="36" t="s">
        <v>139</v>
      </c>
      <c r="IE78" s="36" t="s">
        <v>139</v>
      </c>
      <c r="IF78" s="36" t="s">
        <v>139</v>
      </c>
      <c r="IG78" s="36" t="s">
        <v>139</v>
      </c>
      <c r="IH78" s="36" t="s">
        <v>139</v>
      </c>
      <c r="II78" s="36" t="s">
        <v>139</v>
      </c>
      <c r="IJ78" s="36" t="s">
        <v>139</v>
      </c>
      <c r="IK78" s="36" t="s">
        <v>139</v>
      </c>
      <c r="IL78" s="36" t="s">
        <v>139</v>
      </c>
      <c r="IM78" s="36" t="s">
        <v>139</v>
      </c>
      <c r="IN78" s="36" t="s">
        <v>139</v>
      </c>
      <c r="IO78" s="36" t="s">
        <v>139</v>
      </c>
      <c r="IP78" s="36" t="s">
        <v>139</v>
      </c>
      <c r="IQ78" s="36" t="s">
        <v>139</v>
      </c>
      <c r="IR78" s="36" t="s">
        <v>139</v>
      </c>
      <c r="IS78" s="36" t="s">
        <v>139</v>
      </c>
      <c r="IT78" s="36" t="s">
        <v>139</v>
      </c>
      <c r="IU78" s="36" t="s">
        <v>139</v>
      </c>
      <c r="IV78" s="36" t="s">
        <v>139</v>
      </c>
      <c r="IW78" s="36" t="s">
        <v>139</v>
      </c>
      <c r="IX78" s="36" t="s">
        <v>139</v>
      </c>
      <c r="IY78" s="36" t="s">
        <v>139</v>
      </c>
      <c r="IZ78" s="36" t="s">
        <v>139</v>
      </c>
      <c r="JA78" s="36" t="s">
        <v>139</v>
      </c>
      <c r="JB78" s="36" t="s">
        <v>139</v>
      </c>
      <c r="JC78" s="36" t="s">
        <v>139</v>
      </c>
      <c r="JD78" s="36" t="s">
        <v>139</v>
      </c>
      <c r="JE78" s="36" t="s">
        <v>139</v>
      </c>
      <c r="JF78" s="36" t="s">
        <v>139</v>
      </c>
      <c r="JG78" s="36" t="s">
        <v>139</v>
      </c>
      <c r="JH78" s="36" t="s">
        <v>139</v>
      </c>
      <c r="JI78" s="36" t="s">
        <v>139</v>
      </c>
      <c r="JJ78" s="36" t="s">
        <v>139</v>
      </c>
      <c r="JK78" s="36" t="s">
        <v>139</v>
      </c>
      <c r="JL78" s="36" t="s">
        <v>139</v>
      </c>
      <c r="JM78" s="36" t="s">
        <v>139</v>
      </c>
      <c r="JN78" s="36" t="s">
        <v>139</v>
      </c>
      <c r="JO78" s="36" t="s">
        <v>139</v>
      </c>
      <c r="JP78" s="36" t="s">
        <v>139</v>
      </c>
      <c r="JQ78" s="36" t="s">
        <v>139</v>
      </c>
      <c r="JR78" s="36" t="s">
        <v>139</v>
      </c>
      <c r="JS78" s="36" t="s">
        <v>139</v>
      </c>
      <c r="JT78" s="36" t="s">
        <v>139</v>
      </c>
      <c r="JU78" s="36" t="s">
        <v>139</v>
      </c>
      <c r="JV78" s="36" t="s">
        <v>139</v>
      </c>
      <c r="JW78" s="36" t="s">
        <v>139</v>
      </c>
      <c r="JX78" s="36" t="s">
        <v>139</v>
      </c>
      <c r="JY78" s="36" t="s">
        <v>139</v>
      </c>
      <c r="JZ78" s="36" t="s">
        <v>139</v>
      </c>
      <c r="KA78" s="36" t="s">
        <v>139</v>
      </c>
      <c r="KB78" s="36" t="s">
        <v>139</v>
      </c>
      <c r="KC78" s="36" t="s">
        <v>139</v>
      </c>
      <c r="KD78" s="36" t="s">
        <v>139</v>
      </c>
      <c r="KE78" s="36" t="s">
        <v>139</v>
      </c>
      <c r="KF78" s="36" t="s">
        <v>139</v>
      </c>
      <c r="KG78" s="36" t="s">
        <v>139</v>
      </c>
      <c r="KH78" s="36" t="s">
        <v>139</v>
      </c>
      <c r="KI78" s="36" t="s">
        <v>139</v>
      </c>
      <c r="KJ78" s="36" t="s">
        <v>139</v>
      </c>
      <c r="KK78" s="36" t="s">
        <v>139</v>
      </c>
      <c r="KL78" s="36" t="s">
        <v>139</v>
      </c>
      <c r="KM78" s="36" t="s">
        <v>139</v>
      </c>
      <c r="KN78" s="36" t="s">
        <v>139</v>
      </c>
      <c r="KO78" s="36" t="s">
        <v>139</v>
      </c>
      <c r="KP78" s="36" t="s">
        <v>139</v>
      </c>
      <c r="KQ78" s="36" t="s">
        <v>139</v>
      </c>
      <c r="KR78" s="36" t="s">
        <v>139</v>
      </c>
      <c r="KS78" s="36" t="s">
        <v>139</v>
      </c>
      <c r="KT78" s="36" t="s">
        <v>139</v>
      </c>
      <c r="KU78" s="36" t="s">
        <v>139</v>
      </c>
      <c r="KV78" s="36" t="s">
        <v>139</v>
      </c>
      <c r="KW78" s="36" t="s">
        <v>139</v>
      </c>
      <c r="KX78" s="36" t="s">
        <v>139</v>
      </c>
      <c r="KY78" s="36" t="s">
        <v>139</v>
      </c>
      <c r="KZ78" s="36" t="s">
        <v>139</v>
      </c>
      <c r="LA78" s="36" t="s">
        <v>139</v>
      </c>
      <c r="LB78" s="36" t="s">
        <v>139</v>
      </c>
      <c r="LC78" s="36" t="s">
        <v>139</v>
      </c>
      <c r="LD78" s="36" t="s">
        <v>139</v>
      </c>
      <c r="LE78" s="36" t="s">
        <v>139</v>
      </c>
      <c r="LF78" s="36" t="s">
        <v>139</v>
      </c>
      <c r="LG78" s="36" t="s">
        <v>139</v>
      </c>
      <c r="LH78" s="36" t="s">
        <v>139</v>
      </c>
      <c r="LI78" s="36" t="s">
        <v>139</v>
      </c>
      <c r="LJ78" s="36" t="s">
        <v>139</v>
      </c>
      <c r="LK78" s="36" t="s">
        <v>139</v>
      </c>
      <c r="LL78" s="36" t="s">
        <v>139</v>
      </c>
      <c r="LM78" s="36" t="s">
        <v>139</v>
      </c>
      <c r="LN78" s="36" t="s">
        <v>139</v>
      </c>
      <c r="LO78" s="36" t="s">
        <v>139</v>
      </c>
      <c r="LP78" s="36" t="s">
        <v>139</v>
      </c>
      <c r="LQ78" s="36" t="s">
        <v>139</v>
      </c>
      <c r="LR78" s="36" t="s">
        <v>139</v>
      </c>
      <c r="LS78" s="36" t="s">
        <v>139</v>
      </c>
      <c r="LT78" s="36" t="s">
        <v>139</v>
      </c>
      <c r="LU78" s="36" t="s">
        <v>139</v>
      </c>
      <c r="LV78" s="36" t="s">
        <v>139</v>
      </c>
      <c r="LW78" s="36" t="s">
        <v>139</v>
      </c>
      <c r="LX78" s="36" t="s">
        <v>139</v>
      </c>
      <c r="LY78" s="36" t="s">
        <v>139</v>
      </c>
      <c r="LZ78" s="36" t="s">
        <v>139</v>
      </c>
      <c r="MA78" s="36" t="s">
        <v>139</v>
      </c>
      <c r="MB78" s="36" t="s">
        <v>139</v>
      </c>
      <c r="MC78" s="36" t="s">
        <v>139</v>
      </c>
      <c r="MD78" s="36" t="s">
        <v>139</v>
      </c>
      <c r="ME78" s="36" t="s">
        <v>139</v>
      </c>
      <c r="MF78" s="36" t="s">
        <v>139</v>
      </c>
      <c r="MG78" s="36" t="s">
        <v>139</v>
      </c>
      <c r="MH78" s="36" t="s">
        <v>139</v>
      </c>
      <c r="MI78" s="36" t="s">
        <v>139</v>
      </c>
      <c r="MJ78" s="36" t="s">
        <v>139</v>
      </c>
      <c r="MK78" s="36" t="s">
        <v>139</v>
      </c>
      <c r="ML78" s="36" t="s">
        <v>139</v>
      </c>
      <c r="MM78" s="36" t="s">
        <v>139</v>
      </c>
      <c r="MN78" s="36" t="s">
        <v>139</v>
      </c>
      <c r="MO78" s="36" t="s">
        <v>139</v>
      </c>
      <c r="MP78" s="36" t="s">
        <v>139</v>
      </c>
      <c r="MQ78" s="36" t="s">
        <v>139</v>
      </c>
      <c r="MR78" s="36" t="s">
        <v>139</v>
      </c>
      <c r="MS78" s="36" t="s">
        <v>139</v>
      </c>
      <c r="MT78" s="36" t="s">
        <v>139</v>
      </c>
      <c r="MU78" s="36" t="s">
        <v>139</v>
      </c>
      <c r="MV78" s="36" t="s">
        <v>139</v>
      </c>
      <c r="MW78" s="36" t="s">
        <v>139</v>
      </c>
      <c r="MX78" s="36" t="s">
        <v>139</v>
      </c>
      <c r="MY78" s="36" t="s">
        <v>139</v>
      </c>
      <c r="MZ78" s="36" t="s">
        <v>139</v>
      </c>
      <c r="NA78" s="36" t="s">
        <v>139</v>
      </c>
      <c r="NB78" s="36" t="s">
        <v>139</v>
      </c>
      <c r="NC78" s="36" t="s">
        <v>139</v>
      </c>
      <c r="ND78" s="36" t="s">
        <v>139</v>
      </c>
      <c r="NE78" s="36" t="s">
        <v>139</v>
      </c>
      <c r="NF78" s="36" t="s">
        <v>139</v>
      </c>
      <c r="NG78" s="36" t="s">
        <v>139</v>
      </c>
      <c r="NH78" s="36" t="s">
        <v>139</v>
      </c>
      <c r="NI78" s="36" t="s">
        <v>139</v>
      </c>
      <c r="NJ78" s="36" t="s">
        <v>139</v>
      </c>
      <c r="NK78" s="36" t="s">
        <v>139</v>
      </c>
      <c r="NL78" s="36" t="s">
        <v>139</v>
      </c>
      <c r="NM78" s="36" t="s">
        <v>139</v>
      </c>
      <c r="NN78" s="36" t="s">
        <v>139</v>
      </c>
      <c r="NO78" s="36" t="s">
        <v>139</v>
      </c>
      <c r="NP78" s="36" t="s">
        <v>139</v>
      </c>
      <c r="NQ78" s="36" t="s">
        <v>139</v>
      </c>
      <c r="NR78" s="36" t="s">
        <v>139</v>
      </c>
      <c r="NS78" s="36" t="s">
        <v>139</v>
      </c>
      <c r="NT78" s="36" t="s">
        <v>139</v>
      </c>
      <c r="NU78" s="36" t="s">
        <v>139</v>
      </c>
      <c r="NV78" s="36" t="s">
        <v>139</v>
      </c>
      <c r="NW78" s="36" t="s">
        <v>139</v>
      </c>
      <c r="NX78" s="36" t="s">
        <v>139</v>
      </c>
      <c r="NY78" s="36" t="s">
        <v>139</v>
      </c>
      <c r="NZ78" s="36" t="s">
        <v>139</v>
      </c>
      <c r="OA78" s="36" t="s">
        <v>139</v>
      </c>
      <c r="OB78" s="36" t="s">
        <v>139</v>
      </c>
      <c r="OC78" s="36" t="s">
        <v>139</v>
      </c>
      <c r="OD78" s="36" t="s">
        <v>139</v>
      </c>
      <c r="OE78" s="36" t="s">
        <v>139</v>
      </c>
      <c r="OF78" s="36" t="s">
        <v>139</v>
      </c>
      <c r="OG78" s="36" t="s">
        <v>139</v>
      </c>
      <c r="OH78" s="36" t="s">
        <v>139</v>
      </c>
      <c r="OI78" s="36" t="s">
        <v>139</v>
      </c>
      <c r="OJ78" s="36" t="s">
        <v>139</v>
      </c>
      <c r="OK78" s="36" t="s">
        <v>139</v>
      </c>
      <c r="OL78" s="36" t="s">
        <v>139</v>
      </c>
      <c r="OM78" s="36" t="s">
        <v>139</v>
      </c>
      <c r="ON78" s="36" t="s">
        <v>139</v>
      </c>
      <c r="OO78" s="36" t="s">
        <v>139</v>
      </c>
      <c r="OP78" s="36" t="s">
        <v>139</v>
      </c>
      <c r="OQ78" s="36" t="s">
        <v>139</v>
      </c>
      <c r="OR78" s="36" t="s">
        <v>139</v>
      </c>
      <c r="OS78" s="36" t="s">
        <v>139</v>
      </c>
      <c r="OT78" s="36" t="s">
        <v>139</v>
      </c>
      <c r="OU78" s="36" t="s">
        <v>139</v>
      </c>
      <c r="OV78" s="36" t="s">
        <v>139</v>
      </c>
      <c r="OW78" s="36" t="s">
        <v>139</v>
      </c>
      <c r="OX78" s="36" t="s">
        <v>139</v>
      </c>
      <c r="OY78" s="36" t="s">
        <v>139</v>
      </c>
      <c r="OZ78" s="36" t="s">
        <v>139</v>
      </c>
      <c r="PA78" s="36" t="s">
        <v>139</v>
      </c>
      <c r="PB78" s="36" t="s">
        <v>139</v>
      </c>
      <c r="PC78" s="36" t="s">
        <v>139</v>
      </c>
      <c r="PD78" s="36" t="s">
        <v>139</v>
      </c>
      <c r="PE78" s="36" t="s">
        <v>139</v>
      </c>
      <c r="PF78" s="36" t="s">
        <v>139</v>
      </c>
      <c r="PG78" s="36" t="s">
        <v>139</v>
      </c>
      <c r="PH78" s="36" t="s">
        <v>139</v>
      </c>
      <c r="PI78" s="36" t="s">
        <v>139</v>
      </c>
      <c r="PJ78" s="36" t="s">
        <v>139</v>
      </c>
      <c r="PK78" s="36" t="s">
        <v>139</v>
      </c>
      <c r="PL78" s="36" t="s">
        <v>139</v>
      </c>
      <c r="PM78" s="36" t="s">
        <v>139</v>
      </c>
      <c r="PN78" s="36" t="s">
        <v>139</v>
      </c>
      <c r="PO78" s="74">
        <f>COUNTIFS($C$27:$PN$27,("&lt;"&amp;$B$3),$C$27:$PN$27,("&gt;="&amp;$B$2),$C78:$PN78,TabAsistencias[[#Headers],[1]])</f>
        <v>30</v>
      </c>
      <c r="PP78" s="74">
        <f>COUNTIFS($C$27:$PN$27,("&lt;"&amp;$B$3),$C$27:$PN$27,("&gt;="&amp;$B$2),$C78:$PN78,TabAsistencias[[#Headers],[E]])</f>
        <v>0</v>
      </c>
      <c r="PQ78" s="74">
        <f>COUNTIFS($C$27:$PN$27,("&lt;"&amp;$B$3),$C$27:$PN$27,("&gt;="&amp;$B$2),$C78:$PN78,TabAsistencias[[#Headers],[DE]])</f>
        <v>0</v>
      </c>
      <c r="PR78" s="74">
        <f>COUNTIFS($C$27:$PN$27,("&lt;"&amp;$B$3),$C$27:$PN$27,("&gt;="&amp;$B$2),$C78:$PN78,TabAsistencias[[#Headers],[V]])</f>
        <v>0</v>
      </c>
      <c r="PS78" s="74">
        <f>COUNTIFS($C$27:$PN$27,("&lt;"&amp;$B$3),$C$27:$PN$27,("&gt;="&amp;$B$2),$C78:$PN78,TabAsistencias[[#Headers],[DO]])</f>
        <v>0</v>
      </c>
      <c r="PT78" s="74">
        <f>COUNTIFS($C$27:$PN$27,("&lt;"&amp;$B$3),$C$27:$PN$27,("&gt;="&amp;$B$2),$C78:$PN78,TabAsistencias[[#Headers],[P]])</f>
        <v>0</v>
      </c>
      <c r="PU78" s="74">
        <f>COUNTIFS($C$27:$PN$27,("&lt;"&amp;$B$3),$C$27:$PN$27,("&gt;="&amp;$B$2),$C78:$PN78,TabAsistencias[[#Headers],[F]])</f>
        <v>0</v>
      </c>
      <c r="PV78" s="74">
        <f>COUNTIFS($C$27:$PN$27,("&lt;"&amp;$B$3),$C$27:$PN$27,("&gt;="&amp;$B$2),$C78:$PN78,TabAsistencias[[#Headers],[R]])</f>
        <v>0</v>
      </c>
      <c r="PW78" s="74">
        <f>COUNTIFS($C$27:$PN$27,("&lt;"&amp;$B$3),$C$27:$PN$27,("&gt;="&amp;$B$2),$C78:$PN78,TabAsistencias[[#Headers],[PP]])</f>
        <v>0</v>
      </c>
      <c r="PX78" s="74">
        <f>COUNTIFS($C$27:$PN$27,("&lt;"&amp;$B$3),$C$27:$PN$27,("&gt;="&amp;$B$2),$C78:$PN78,TabAsistencias[[#Headers],[0]])</f>
        <v>0</v>
      </c>
      <c r="PY78" s="74">
        <f>COUNTIFS($C$27:$PN$27,("&lt;"&amp;$B$3),$C$27:$PN$27,("&gt;="&amp;$B$2),$C78:$PN78,TabAsistencias[[#Headers],[IG]])</f>
        <v>0</v>
      </c>
      <c r="PZ78" s="74">
        <f>COUNTIFS($C$27:$PN$27,("&lt;"&amp;$B$3),$C$27:$PN$27,("&gt;="&amp;$B$2),$C78:$PN78,TabAsistencias[[#Headers],[NA]])</f>
        <v>0</v>
      </c>
      <c r="QA78" s="74">
        <f>COUNTIFS($C$27:$PN$27,("&lt;"&amp;$B$3),$C$27:$PN$27,("&gt;="&amp;$B$2),$C78:$PN78,TabAsistencias[[#Headers],[DF]])</f>
        <v>0</v>
      </c>
      <c r="QB78" s="74">
        <f>COUNTIFS($C$27:$PN$27,("&lt;"&amp;$B$3),$C$27:$PN$27,("&gt;="&amp;$B$2),$C78:$PN78,TabAsistencias[[#Headers],[3]])</f>
        <v>0</v>
      </c>
      <c r="QC78" s="74">
        <f>COUNTIFS($C$27:$PN$27,("&lt;"&amp;$B$3),$C$27:$PN$27,("&gt;="&amp;$B$2),$C78:$PN78,TabAsistencias[[#Headers],[CP]])</f>
        <v>0</v>
      </c>
      <c r="QD78" s="74">
        <f>COUNTIFS($C$27:$PN$27,("&lt;"&amp;$B$3),$C$27:$PN$27,("&gt;="&amp;$B$2),$C78:$PN78,TabAsistencias[[#Headers],[I]])</f>
        <v>0</v>
      </c>
      <c r="QE78" s="74">
        <f>COUNTIFS($C$27:$PN$27,("&lt;"&amp;$B$3),$C$27:$PN$27,("&gt;="&amp;$B$2),$C78:$PN78,TabAsistencias[[#Headers],[T/2]])</f>
        <v>0</v>
      </c>
      <c r="QF78" s="74">
        <f>COUNTIFS($C$27:$PN$27,("&lt;"&amp;$B$3),$C$27:$PN$27,("&gt;="&amp;$B$2),$C78:$PN78,TabAsistencias[[#Headers],[ME]])</f>
        <v>0</v>
      </c>
      <c r="QG78" s="74">
        <f>COUNTIFS($C$27:$PN$27,("&lt;"&amp;$B$3),$C$27:$PN$27,("&gt;="&amp;$B$2),$C78:$PN78,TabAsistencias[[#Headers],[DP]])</f>
        <v>0</v>
      </c>
      <c r="QH78" s="74">
        <f>COUNTIFS($C$27:$PN$27,("&lt;"&amp;$B$3),$C$27:$PN$27,("&gt;="&amp;$B$2),$C78:$PN78,TabAsistencias[[#Headers],[B]])</f>
        <v>0</v>
      </c>
      <c r="QI78" s="74">
        <f>(TabAsistencias[[#This Row],[1]]*'Tablas de informacion'!$C$124)+(TabAsistencias[[#This Row],[E]]*'Tablas de informacion'!$C$125)+(TabAsistencias[[#This Row],[DE]]*'Tablas de informacion'!C$126)+(TabAsistencias[[#This Row],[V]]*'Tablas de informacion'!C$127)+(TabAsistencias[[#This Row],[DO]]*'Tablas de informacion'!C$128)+(TabAsistencias[[#This Row],[P]]*'Tablas de informacion'!C$129)+(TabAsistencias[[#This Row],[F]]*'Tablas de informacion'!C$130)+(TabAsistencias[[#This Row],[R]]*'Tablas de informacion'!C$131)+(TabAsistencias[[#This Row],[PP]]*'Tablas de informacion'!C$132)+(TabAsistencias[[#This Row],[0]]*'Tablas de informacion'!C$133)+(TabAsistencias[[#This Row],[IG]]*'Tablas de informacion'!C$134)+(TabAsistencias[[#This Row],[NA]]*'Tablas de informacion'!C$135)+(TabAsistencias[[#This Row],[DF]]*'Tablas de informacion'!C$136)+(TabAsistencias[[#This Row],[3]]*'Tablas de informacion'!C$137)+(TabAsistencias[[#This Row],[CP]]*'Tablas de informacion'!C$138)+(TabAsistencias[[#This Row],[I]]*'Tablas de informacion'!C$139)+(TabAsistencias[[#This Row],[T/2]]*'Tablas de informacion'!C$140)+(TabAsistencias[[#This Row],[ME]]*'Tablas de informacion'!C$141)+(TabAsistencias[[#This Row],[DP]]*'Tablas de informacion'!C$142)+(TabAsistencias[[#This Row],[B]]*'Tablas de informacion'!C$143)-INT(TabAsistencias[[#This Row],[R]]/3)</f>
        <v>30</v>
      </c>
      <c r="QJ78" s="74">
        <f>COUNTIFS($C$27:$PN$27,("&lt;"&amp;$B$3),$C$27:$PN$27,("&gt;="&amp;$B$2),$C$28:$PN$28,1,$C78:$PN78,TabAsistencias[[#Headers],[1]])+
COUNTIFS($C$27:$PN$27,("&lt;"&amp;$B$3),$C$27:$PN$27,("&gt;="&amp;$B$2),$C$28:$PN$28,1,$C78:$PN78,TabAsistencias[[#Headers],[DO]])+
COUNTIFS($C$27:$PN$27,("&lt;"&amp;$B$3),$C$27:$PN$27,("&gt;="&amp;$B$2),$C$28:$PN$28,1,$C78:$PN78,TabAsistencias[[#Headers],[R]])+
COUNTIFS($C$27:$PN$27,("&lt;"&amp;$B$3),$C$27:$PN$27,("&gt;="&amp;$B$2),$C$28:$PN$28,1,$C78:$PN78,TabAsistencias[[#Headers],[NA]])+
COUNTIFS($C$27:$PN$27,("&lt;"&amp;$B$3),$C$27:$PN$27,("&gt;="&amp;$B$2),$C$28:$PN$28,1,$C78:$PN78,TabAsistencias[[#Headers],[DF]])+
COUNTIFS($C$27:$PN$27,("&lt;"&amp;$B$3),$C$27:$PN$27,("&gt;="&amp;$B$2),$C$28:$PN$28,1,$C78:$PN78,TabAsistencias[[#Headers],[3]])+
COUNTIFS($C$27:$PN$27,("&lt;"&amp;$B$3),$C$27:$PN$27,("&gt;="&amp;$B$2),$C$28:$PN$28,1,$C78:$PN78,TabAsistencias[[#Headers],[CP]])+
COUNTIFS($C$27:$PN$27,("&lt;"&amp;$B$3),$C$27:$PN$27,("&gt;="&amp;$B$2),$C$28:$PN$28,1,$C78:$PN78,TabAsistencias[[#Headers],[T/2]])</f>
        <v>4</v>
      </c>
      <c r="QK78" s="315" cm="1">
        <f t="array" ref="QK78">IFERROR(VLOOKUP(
DATEDIF((VLOOKUP(TabAsistencias[[#This Row],[ID]],TabEmpleados[],COLUMN(TabEmpleados[Fecha de ingreso]),FALSE)),Asistencias!$B$3,"Y"),
TabFactorIntegracion[],COLUMN(TabFactorIntegracion[Días vacacionales
establecidos por ley]),FALSE),0)
-
COUNTIF($AH78:$PN78,TabAsistencias[[#Headers],[V]])</f>
        <v>12</v>
      </c>
      <c r="QL78" s="319">
        <f>SUM(TabAsistencias[[#This Row],[''1]],TabAsistencias[[#This Row],[''DE]],TabAsistencias[[#This Row],[''DO]],TabAsistencias[[#This Row],[''R]],TabAsistencias[[#This Row],[''NA]],TabAsistencias[[#This Row],[''DF]],TabAsistencias[[#This Row],[''3]],TabAsistencias[[#This Row],[''CP]],TabAsistencias[[#This Row],[''T/2]],TabAsistencias[[#This Row],[''DP]])</f>
        <v>73</v>
      </c>
      <c r="QM78" s="314">
        <f>COUNTIFS($C$27:$PN$27,("&lt;"&amp;$B$5),$C$27:$PN$27,("&gt;="&amp;$B$4),$C78:$PN78,TabAsistencias[[#Headers],[1]])</f>
        <v>73</v>
      </c>
      <c r="QN78" s="314">
        <f>COUNTIFS($C$27:$PN$27,("&lt;"&amp;$B$5),$C$27:$PN$27,("&gt;="&amp;$B$4),$C78:$PN78,TabAsistencias[[#Headers],[DE]])</f>
        <v>0</v>
      </c>
      <c r="QO78" s="314">
        <f>COUNTIFS($C$27:$PN$27,("&lt;"&amp;$B$5),$C$27:$PN$27,("&gt;="&amp;$B$4),$C78:$PN78,TabAsistencias[[#Headers],[V]])</f>
        <v>0</v>
      </c>
      <c r="QP78" s="314">
        <f>COUNTIFS($C$27:$PN$27,("&lt;"&amp;$B$5),$C$27:$PN$27,("&gt;="&amp;$B$4),$C78:$PN78,TabAsistencias[[#Headers],[DO]])</f>
        <v>0</v>
      </c>
      <c r="QQ78" s="314">
        <f>COUNTIFS($C$27:$PN$27,("&lt;"&amp;$B$5),$C$27:$PN$27,("&gt;="&amp;$B$4),$C78:$PN78,TabAsistencias[[#Headers],[P]])</f>
        <v>0</v>
      </c>
      <c r="QR78" s="314">
        <f>COUNTIFS($C$27:$PN$27,("&lt;"&amp;$B$5),$C$27:$PN$27,("&gt;="&amp;$B$4),$C78:$PN78,TabAsistencias[[#Headers],[F]])</f>
        <v>0</v>
      </c>
      <c r="QS78" s="314">
        <f>COUNTIFS($C$27:$PN$27,("&lt;"&amp;$B$5),$C$27:$PN$27,("&gt;="&amp;$B$4),$C78:$PN78,TabAsistencias[[#Headers],[R]])</f>
        <v>0</v>
      </c>
      <c r="QT78" s="314">
        <f>COUNTIFS($C$27:$PN$27,("&lt;"&amp;$B$5),$C$27:$PN$27,("&gt;="&amp;$B$4),$C78:$PN78,TabAsistencias[[#Headers],[PP]])</f>
        <v>0</v>
      </c>
      <c r="QU78" s="314">
        <f>COUNTIFS($C$27:$PN$27,("&lt;"&amp;$B$5),$C$27:$PN$27,("&gt;="&amp;$B$4),$C78:$PN78,TabAsistencias[[#Headers],[0]])</f>
        <v>0</v>
      </c>
      <c r="QV78" s="314">
        <f>COUNTIFS($C$27:$PN$27,("&lt;"&amp;$B$5),$C$27:$PN$27,("&gt;="&amp;$B$4),$C78:$PN78,TabAsistencias[[#Headers],[IG]])</f>
        <v>0</v>
      </c>
      <c r="QW78" s="314">
        <f>COUNTIFS($C$27:$PN$27,("&lt;"&amp;$B$5),$C$27:$PN$27,("&gt;="&amp;$B$4),$C78:$PN78,TabAsistencias[[#Headers],[NA]])</f>
        <v>0</v>
      </c>
      <c r="QX78" s="314">
        <f>COUNTIFS($C$27:$PN$27,("&lt;"&amp;$B$5),$C$27:$PN$27,("&gt;="&amp;$B$4),$C78:$PN78,TabAsistencias[[#Headers],[DF]])</f>
        <v>0</v>
      </c>
      <c r="QY78" s="314">
        <f>COUNTIFS($C$27:$PN$27,("&lt;"&amp;$B$5),$C$27:$PN$27,("&gt;="&amp;$B$4),$C78:$PN78,TabAsistencias[[#Headers],[3]])</f>
        <v>0</v>
      </c>
      <c r="QZ78" s="314">
        <f>COUNTIFS($C$27:$PN$27,("&lt;"&amp;$B$5),$C$27:$PN$27,("&gt;="&amp;$B$4),$C78:$PN78,TabAsistencias[[#Headers],[CP]])</f>
        <v>0</v>
      </c>
      <c r="RA78" s="314">
        <f>COUNTIFS($C$27:$PN$27,("&lt;"&amp;$B$5),$C$27:$PN$27,("&gt;="&amp;$B$4),$C78:$PN78,TabAsistencias[[#Headers],[I]])</f>
        <v>0</v>
      </c>
      <c r="RB78" s="314">
        <f>COUNTIFS($C$27:$PN$27,("&lt;"&amp;$B$5),$C$27:$PN$27,("&gt;="&amp;$B$4),$C78:$PN78,TabAsistencias[[#Headers],[T/2]])</f>
        <v>0</v>
      </c>
      <c r="RC78" s="314">
        <f>COUNTIFS($C$27:$PN$27,("&lt;"&amp;$B$5),$C$27:$PN$27,("&gt;="&amp;$B$4),$C78:$PN78,TabAsistencias[[#Headers],[ME]])</f>
        <v>0</v>
      </c>
      <c r="RD78" s="314">
        <f>COUNTIFS($C$27:$PN$27,("&lt;"&amp;$B$5),$C$27:$PN$27,("&gt;="&amp;$B$4),$C78:$PN78,TabAsistencias[[#Headers],[DP]])</f>
        <v>0</v>
      </c>
      <c r="RE78" s="314">
        <f>COUNTIFS($C$27:$PN$27,("&lt;"&amp;$B$5),$C$27:$PN$27,("&gt;="&amp;$B$4),$C78:$PN78,TabAsistencias[[#Headers],[B]])</f>
        <v>0</v>
      </c>
      <c r="RF78" s="314">
        <f>COUNTIFS($C$27:$PN$27,("&lt;"&amp;$B$5),$C$27:$PN$27,("&gt;="&amp;$B$4),$C$28:$PN$28,1,$C78:$PN78,TabAsistencias[[#Headers],[1]])+
COUNTIFS($C$27:$PN$27,("&lt;"&amp;$B$5),$C$27:$PN$27,("&gt;="&amp;$B$4),$C$28:$PN$28,1,$C78:$PN78,TabAsistencias[[#Headers],[DO]])+
COUNTIFS($C$27:$PN$27,("&lt;"&amp;$B$5),$C$27:$PN$27,("&gt;="&amp;$B$4),$C$28:$PN$28,1,$C78:$PN78,TabAsistencias[[#Headers],[R]])+
COUNTIFS($C$27:$PN$27,("&lt;"&amp;$B$5),$C$27:$PN$27,("&gt;="&amp;$B$4),$C$28:$PN$28,1,$C78:$PN78,TabAsistencias[[#Headers],[NA]])+
COUNTIFS($C$27:$PN$27,("&lt;"&amp;$B$5),$C$27:$PN$27,("&gt;="&amp;$B$4),$C$28:$PN$28,1,$C78:$PN78,TabAsistencias[[#Headers],[DF]])+
COUNTIFS($C$27:$PN$27,("&lt;"&amp;$B$5),$C$27:$PN$27,("&gt;="&amp;$B$4),$C$28:$PN$28,1,$C78:$PN78,TabAsistencias[[#Headers],[3]])+
COUNTIFS($C$27:$PN$27,("&lt;"&amp;$B$5),$C$27:$PN$27,("&gt;="&amp;$B$4),$C$28:$PN$28,1,$C78:$PN78,TabAsistencias[[#Headers],[CP]])+
COUNTIFS($C$27:$PN$27,("&lt;"&amp;$B$5),$C$27:$PN$27,("&gt;="&amp;$B$4),$C$28:$PN$28,1,$C78:$PN78,TabAsistencias[[#Headers],[T/2]])</f>
        <v>11</v>
      </c>
      <c r="RG78" s="320" cm="1">
        <f t="array" ref="RG78">IFERROR(VLOOKUP(
DATEDIF((VLOOKUP(TabAsistencias[[#This Row],[ID]],TabEmpleados[],COLUMN(TabEmpleados[Fecha de alta NSS]),FALSE)),Asistencias!$B$3,"Y"),
TabFactorIntegracion[],COLUMN(TabFactorIntegracion[Días vacacionales
establecidos por ley]),FALSE),0)
-
COUNTIF($AH78:$PN78,TabAsistencias[[#Headers],[V]])</f>
        <v>12</v>
      </c>
    </row>
    <row r="79" spans="1:475" x14ac:dyDescent="0.25">
      <c r="A79" s="92">
        <f t="shared" si="434"/>
        <v>49</v>
      </c>
      <c r="B79" s="30" t="str" cm="1">
        <f t="array" ref="B79">VLOOKUP(TabAsistencias[[#This Row],[ID]],TabEmpleados[],COLUMN(TabEmpleados[Nombre]),FALSE)</f>
        <v>JIMENEZ DOMINGUEZ ADAN CAYETANO</v>
      </c>
      <c r="C79" s="36" t="s">
        <v>139</v>
      </c>
      <c r="D79" s="36" t="s">
        <v>139</v>
      </c>
      <c r="E79" s="36" t="s">
        <v>139</v>
      </c>
      <c r="F79" s="36" t="s">
        <v>139</v>
      </c>
      <c r="G79" s="36" t="s">
        <v>139</v>
      </c>
      <c r="H79" s="36" t="s">
        <v>139</v>
      </c>
      <c r="I79" s="36" t="s">
        <v>139</v>
      </c>
      <c r="J79" s="36" t="s">
        <v>139</v>
      </c>
      <c r="K79" s="36" t="s">
        <v>139</v>
      </c>
      <c r="L79" s="36" t="s">
        <v>139</v>
      </c>
      <c r="M79" s="36" t="s">
        <v>139</v>
      </c>
      <c r="N79" s="36" t="s">
        <v>139</v>
      </c>
      <c r="O79" s="36" t="s">
        <v>139</v>
      </c>
      <c r="P79" s="36" t="s">
        <v>139</v>
      </c>
      <c r="Q79" s="36" t="s">
        <v>139</v>
      </c>
      <c r="R79" s="36" t="s">
        <v>139</v>
      </c>
      <c r="S79" s="36" t="s">
        <v>139</v>
      </c>
      <c r="T79" s="36" t="s">
        <v>139</v>
      </c>
      <c r="U79" s="36" t="s">
        <v>139</v>
      </c>
      <c r="V79" s="36" t="s">
        <v>139</v>
      </c>
      <c r="W79" s="36" t="s">
        <v>139</v>
      </c>
      <c r="X79" s="36" t="s">
        <v>139</v>
      </c>
      <c r="Y79" s="36" t="s">
        <v>139</v>
      </c>
      <c r="Z79" s="36" t="s">
        <v>139</v>
      </c>
      <c r="AA79" s="36" t="s">
        <v>139</v>
      </c>
      <c r="AB79" s="36" t="s">
        <v>139</v>
      </c>
      <c r="AC79" s="36" t="s">
        <v>139</v>
      </c>
      <c r="AD79" s="36" t="s">
        <v>139</v>
      </c>
      <c r="AE79" s="36" t="s">
        <v>139</v>
      </c>
      <c r="AF79" s="36" t="s">
        <v>139</v>
      </c>
      <c r="AG79" s="36" t="s">
        <v>139</v>
      </c>
      <c r="AH79" s="36" t="s">
        <v>139</v>
      </c>
      <c r="AI79" s="36" t="s">
        <v>139</v>
      </c>
      <c r="AJ79" s="36" t="s">
        <v>139</v>
      </c>
      <c r="AK79" s="36" t="s">
        <v>139</v>
      </c>
      <c r="AL79" s="36" t="s">
        <v>139</v>
      </c>
      <c r="AM79" s="36" t="s">
        <v>139</v>
      </c>
      <c r="AN79" s="36" t="s">
        <v>139</v>
      </c>
      <c r="AO79" s="36" t="s">
        <v>139</v>
      </c>
      <c r="AP79" s="36" t="s">
        <v>139</v>
      </c>
      <c r="AQ79" s="36" t="s">
        <v>139</v>
      </c>
      <c r="AR79" s="36" t="s">
        <v>139</v>
      </c>
      <c r="AS79" s="36" t="s">
        <v>139</v>
      </c>
      <c r="AT79" s="36" t="s">
        <v>139</v>
      </c>
      <c r="AU79" s="36" t="s">
        <v>139</v>
      </c>
      <c r="AV79" s="36" t="s">
        <v>139</v>
      </c>
      <c r="AW79" s="36" t="s">
        <v>139</v>
      </c>
      <c r="AX79" s="36" t="s">
        <v>139</v>
      </c>
      <c r="AY79" s="36" t="s">
        <v>139</v>
      </c>
      <c r="AZ79" s="36" t="s">
        <v>139</v>
      </c>
      <c r="BA79" s="36" t="s">
        <v>139</v>
      </c>
      <c r="BB79" s="36" t="s">
        <v>139</v>
      </c>
      <c r="BC79" s="36" t="s">
        <v>139</v>
      </c>
      <c r="BD79" s="36" t="s">
        <v>139</v>
      </c>
      <c r="BE79" s="36" t="s">
        <v>139</v>
      </c>
      <c r="BF79" s="36" t="s">
        <v>139</v>
      </c>
      <c r="BG79" s="36" t="s">
        <v>139</v>
      </c>
      <c r="BH79" s="36" t="s">
        <v>139</v>
      </c>
      <c r="BI79" s="36" t="s">
        <v>139</v>
      </c>
      <c r="BJ79" s="36" t="s">
        <v>139</v>
      </c>
      <c r="BK79" s="36" t="s">
        <v>139</v>
      </c>
      <c r="BL79" s="36" t="s">
        <v>139</v>
      </c>
      <c r="BM79" s="36" t="s">
        <v>139</v>
      </c>
      <c r="BN79" s="36" t="s">
        <v>139</v>
      </c>
      <c r="BO79" s="36" t="s">
        <v>139</v>
      </c>
      <c r="BP79" s="36" t="s">
        <v>139</v>
      </c>
      <c r="BQ79" s="36" t="s">
        <v>139</v>
      </c>
      <c r="BR79" s="36" t="s">
        <v>139</v>
      </c>
      <c r="BS79" s="36" t="s">
        <v>139</v>
      </c>
      <c r="BT79" s="36" t="s">
        <v>139</v>
      </c>
      <c r="BU79" s="36" t="s">
        <v>139</v>
      </c>
      <c r="BV79" s="36" t="s">
        <v>139</v>
      </c>
      <c r="BW79" s="36" t="s">
        <v>139</v>
      </c>
      <c r="BX79" s="36" t="s">
        <v>139</v>
      </c>
      <c r="BY79" s="36" t="s">
        <v>139</v>
      </c>
      <c r="BZ79" s="36" t="s">
        <v>139</v>
      </c>
      <c r="CA79" s="36" t="s">
        <v>139</v>
      </c>
      <c r="CB79" s="36" t="s">
        <v>139</v>
      </c>
      <c r="CC79" s="36" t="s">
        <v>139</v>
      </c>
      <c r="CD79" s="36" t="s">
        <v>139</v>
      </c>
      <c r="CE79" s="36" t="s">
        <v>139</v>
      </c>
      <c r="CF79" s="36" t="s">
        <v>139</v>
      </c>
      <c r="CG79" s="36" t="s">
        <v>139</v>
      </c>
      <c r="CH79" s="36" t="s">
        <v>139</v>
      </c>
      <c r="CI79" s="36" t="s">
        <v>139</v>
      </c>
      <c r="CJ79" s="36" t="s">
        <v>139</v>
      </c>
      <c r="CK79" s="36" t="s">
        <v>139</v>
      </c>
      <c r="CL79" s="36" t="s">
        <v>139</v>
      </c>
      <c r="CM79" s="36" t="s">
        <v>139</v>
      </c>
      <c r="CN79" s="36" t="s">
        <v>139</v>
      </c>
      <c r="CO79" s="36" t="s">
        <v>139</v>
      </c>
      <c r="CP79" s="36" t="s">
        <v>139</v>
      </c>
      <c r="CQ79" s="36" t="s">
        <v>139</v>
      </c>
      <c r="CR79" s="36" t="s">
        <v>139</v>
      </c>
      <c r="CS79" s="36" t="s">
        <v>139</v>
      </c>
      <c r="CT79" s="36" t="s">
        <v>139</v>
      </c>
      <c r="CU79" s="36" t="s">
        <v>139</v>
      </c>
      <c r="CV79" s="36" t="s">
        <v>139</v>
      </c>
      <c r="CW79" s="36" t="s">
        <v>139</v>
      </c>
      <c r="CX79" s="36" t="s">
        <v>139</v>
      </c>
      <c r="CY79" s="36" t="s">
        <v>139</v>
      </c>
      <c r="CZ79" s="36" t="s">
        <v>139</v>
      </c>
      <c r="DA79" s="36" t="s">
        <v>139</v>
      </c>
      <c r="DB79" s="36" t="s">
        <v>139</v>
      </c>
      <c r="DC79" s="36" t="s">
        <v>139</v>
      </c>
      <c r="DD79" s="36" t="s">
        <v>139</v>
      </c>
      <c r="DE79" s="36" t="s">
        <v>139</v>
      </c>
      <c r="DF79" s="36" t="s">
        <v>139</v>
      </c>
      <c r="DG79" s="36" t="s">
        <v>139</v>
      </c>
      <c r="DH79" s="36" t="s">
        <v>139</v>
      </c>
      <c r="DI79" s="36" t="s">
        <v>139</v>
      </c>
      <c r="DJ79" s="36" t="s">
        <v>139</v>
      </c>
      <c r="DK79" s="36" t="s">
        <v>139</v>
      </c>
      <c r="DL79" s="36" t="s">
        <v>139</v>
      </c>
      <c r="DM79" s="36" t="s">
        <v>139</v>
      </c>
      <c r="DN79" s="36" t="s">
        <v>139</v>
      </c>
      <c r="DO79" s="36" t="s">
        <v>139</v>
      </c>
      <c r="DP79" s="36" t="s">
        <v>139</v>
      </c>
      <c r="DQ79" s="36" t="s">
        <v>139</v>
      </c>
      <c r="DR79" s="36" t="s">
        <v>139</v>
      </c>
      <c r="DS79" s="36" t="s">
        <v>139</v>
      </c>
      <c r="DT79" s="36" t="s">
        <v>139</v>
      </c>
      <c r="DU79" s="36" t="s">
        <v>139</v>
      </c>
      <c r="DV79" s="36" t="s">
        <v>139</v>
      </c>
      <c r="DW79" s="36" t="s">
        <v>139</v>
      </c>
      <c r="DX79" s="36" t="s">
        <v>139</v>
      </c>
      <c r="DY79" s="36" t="s">
        <v>139</v>
      </c>
      <c r="DZ79" s="36" t="s">
        <v>139</v>
      </c>
      <c r="EA79" s="36" t="s">
        <v>139</v>
      </c>
      <c r="EB79" s="36" t="s">
        <v>139</v>
      </c>
      <c r="EC79" s="36" t="s">
        <v>139</v>
      </c>
      <c r="ED79" s="36" t="s">
        <v>139</v>
      </c>
      <c r="EE79" s="36" t="s">
        <v>139</v>
      </c>
      <c r="EF79" s="36" t="s">
        <v>139</v>
      </c>
      <c r="EG79" s="36" t="s">
        <v>139</v>
      </c>
      <c r="EH79" s="36" t="s">
        <v>139</v>
      </c>
      <c r="EI79" s="36" t="s">
        <v>139</v>
      </c>
      <c r="EJ79" s="36" t="s">
        <v>139</v>
      </c>
      <c r="EK79" s="36" t="s">
        <v>139</v>
      </c>
      <c r="EL79" s="36" t="s">
        <v>139</v>
      </c>
      <c r="EM79" s="36" t="s">
        <v>139</v>
      </c>
      <c r="EN79" s="36" t="s">
        <v>139</v>
      </c>
      <c r="EO79" s="36" t="s">
        <v>139</v>
      </c>
      <c r="EP79" s="36" t="s">
        <v>139</v>
      </c>
      <c r="EQ79" s="36" t="s">
        <v>139</v>
      </c>
      <c r="ER79" s="36" t="s">
        <v>139</v>
      </c>
      <c r="ES79" s="36" t="s">
        <v>139</v>
      </c>
      <c r="ET79" s="36" t="s">
        <v>139</v>
      </c>
      <c r="EU79" s="36" t="s">
        <v>139</v>
      </c>
      <c r="EV79" s="36" t="s">
        <v>139</v>
      </c>
      <c r="EW79" s="36" t="s">
        <v>139</v>
      </c>
      <c r="EX79" s="36" t="s">
        <v>139</v>
      </c>
      <c r="EY79" s="36" t="s">
        <v>139</v>
      </c>
      <c r="EZ79" s="36" t="s">
        <v>139</v>
      </c>
      <c r="FA79" s="36" t="s">
        <v>139</v>
      </c>
      <c r="FB79" s="36" t="s">
        <v>139</v>
      </c>
      <c r="FC79" s="36" t="s">
        <v>139</v>
      </c>
      <c r="FD79" s="36" t="s">
        <v>139</v>
      </c>
      <c r="FE79" s="36" t="s">
        <v>139</v>
      </c>
      <c r="FF79" s="36" t="s">
        <v>139</v>
      </c>
      <c r="FG79" s="36" t="s">
        <v>139</v>
      </c>
      <c r="FH79" s="36" t="s">
        <v>139</v>
      </c>
      <c r="FI79" s="36" t="s">
        <v>139</v>
      </c>
      <c r="FJ79" s="36" t="s">
        <v>139</v>
      </c>
      <c r="FK79" s="36" t="s">
        <v>139</v>
      </c>
      <c r="FL79" s="36" t="s">
        <v>139</v>
      </c>
      <c r="FM79" s="36" t="s">
        <v>139</v>
      </c>
      <c r="FN79" s="36" t="s">
        <v>139</v>
      </c>
      <c r="FO79" s="36" t="s">
        <v>139</v>
      </c>
      <c r="FP79" s="36" t="s">
        <v>139</v>
      </c>
      <c r="FQ79" s="36" t="s">
        <v>139</v>
      </c>
      <c r="FR79" s="36" t="s">
        <v>139</v>
      </c>
      <c r="FS79" s="36" t="s">
        <v>139</v>
      </c>
      <c r="FT79" s="36" t="s">
        <v>139</v>
      </c>
      <c r="FU79" s="36" t="s">
        <v>139</v>
      </c>
      <c r="FV79" s="36" t="s">
        <v>139</v>
      </c>
      <c r="FW79" s="36" t="s">
        <v>139</v>
      </c>
      <c r="FX79" s="36" t="s">
        <v>139</v>
      </c>
      <c r="FY79" s="36" t="s">
        <v>139</v>
      </c>
      <c r="FZ79" s="36" t="s">
        <v>139</v>
      </c>
      <c r="GA79" s="36" t="s">
        <v>139</v>
      </c>
      <c r="GB79" s="36" t="s">
        <v>139</v>
      </c>
      <c r="GC79" s="36" t="s">
        <v>139</v>
      </c>
      <c r="GD79" s="36" t="s">
        <v>139</v>
      </c>
      <c r="GE79" s="36" t="s">
        <v>139</v>
      </c>
      <c r="GF79" s="36" t="s">
        <v>139</v>
      </c>
      <c r="GG79" s="36" t="s">
        <v>139</v>
      </c>
      <c r="GH79" s="36" t="s">
        <v>139</v>
      </c>
      <c r="GI79" s="36" t="s">
        <v>139</v>
      </c>
      <c r="GJ79" s="36" t="s">
        <v>139</v>
      </c>
      <c r="GK79" s="36" t="s">
        <v>139</v>
      </c>
      <c r="GL79" s="36" t="s">
        <v>139</v>
      </c>
      <c r="GM79" s="36" t="s">
        <v>139</v>
      </c>
      <c r="GN79" s="36" t="s">
        <v>139</v>
      </c>
      <c r="GO79" s="36" t="s">
        <v>139</v>
      </c>
      <c r="GP79" s="36" t="s">
        <v>139</v>
      </c>
      <c r="GQ79" s="36" t="s">
        <v>139</v>
      </c>
      <c r="GR79" s="36" t="s">
        <v>139</v>
      </c>
      <c r="GS79" s="36" t="s">
        <v>139</v>
      </c>
      <c r="GT79" s="36" t="s">
        <v>139</v>
      </c>
      <c r="GU79" s="36" t="s">
        <v>139</v>
      </c>
      <c r="GV79" s="36" t="s">
        <v>139</v>
      </c>
      <c r="GW79" s="36" t="s">
        <v>139</v>
      </c>
      <c r="GX79" s="36" t="s">
        <v>139</v>
      </c>
      <c r="GY79" s="36" t="s">
        <v>139</v>
      </c>
      <c r="GZ79" s="36" t="s">
        <v>139</v>
      </c>
      <c r="HA79" s="36" t="s">
        <v>139</v>
      </c>
      <c r="HB79" s="36" t="s">
        <v>139</v>
      </c>
      <c r="HC79" s="36" t="s">
        <v>139</v>
      </c>
      <c r="HD79" s="36" t="s">
        <v>139</v>
      </c>
      <c r="HE79" s="36" t="s">
        <v>139</v>
      </c>
      <c r="HF79" s="36" t="s">
        <v>139</v>
      </c>
      <c r="HG79" s="36" t="s">
        <v>139</v>
      </c>
      <c r="HH79" s="36" t="s">
        <v>139</v>
      </c>
      <c r="HI79" s="36" t="s">
        <v>139</v>
      </c>
      <c r="HJ79" s="36" t="s">
        <v>139</v>
      </c>
      <c r="HK79" s="36" t="s">
        <v>139</v>
      </c>
      <c r="HL79" s="36" t="s">
        <v>139</v>
      </c>
      <c r="HM79" s="36" t="s">
        <v>139</v>
      </c>
      <c r="HN79" s="36" t="s">
        <v>139</v>
      </c>
      <c r="HO79" s="36" t="s">
        <v>139</v>
      </c>
      <c r="HP79" s="36" t="s">
        <v>139</v>
      </c>
      <c r="HQ79" s="36" t="s">
        <v>139</v>
      </c>
      <c r="HR79" s="36" t="s">
        <v>139</v>
      </c>
      <c r="HS79" s="36" t="s">
        <v>139</v>
      </c>
      <c r="HT79" s="36" t="s">
        <v>139</v>
      </c>
      <c r="HU79" s="36" t="s">
        <v>139</v>
      </c>
      <c r="HV79" s="36" t="s">
        <v>139</v>
      </c>
      <c r="HW79" s="36" t="s">
        <v>139</v>
      </c>
      <c r="HX79" s="36" t="s">
        <v>139</v>
      </c>
      <c r="HY79" s="36" t="s">
        <v>139</v>
      </c>
      <c r="HZ79" s="36" t="s">
        <v>139</v>
      </c>
      <c r="IA79" s="36" t="s">
        <v>139</v>
      </c>
      <c r="IB79" s="36" t="s">
        <v>139</v>
      </c>
      <c r="IC79" s="36" t="s">
        <v>139</v>
      </c>
      <c r="ID79" s="36" t="s">
        <v>139</v>
      </c>
      <c r="IE79" s="36" t="s">
        <v>139</v>
      </c>
      <c r="IF79" s="36" t="s">
        <v>139</v>
      </c>
      <c r="IG79" s="36" t="s">
        <v>139</v>
      </c>
      <c r="IH79" s="36" t="s">
        <v>139</v>
      </c>
      <c r="II79" s="36" t="s">
        <v>139</v>
      </c>
      <c r="IJ79" s="36" t="s">
        <v>139</v>
      </c>
      <c r="IK79" s="36" t="s">
        <v>139</v>
      </c>
      <c r="IL79" s="36" t="s">
        <v>139</v>
      </c>
      <c r="IM79" s="36" t="s">
        <v>139</v>
      </c>
      <c r="IN79" s="36" t="s">
        <v>139</v>
      </c>
      <c r="IO79" s="36" t="s">
        <v>139</v>
      </c>
      <c r="IP79" s="36" t="s">
        <v>139</v>
      </c>
      <c r="IQ79" s="36" t="s">
        <v>139</v>
      </c>
      <c r="IR79" s="36" t="s">
        <v>139</v>
      </c>
      <c r="IS79" s="36" t="s">
        <v>139</v>
      </c>
      <c r="IT79" s="36" t="s">
        <v>139</v>
      </c>
      <c r="IU79" s="36" t="s">
        <v>139</v>
      </c>
      <c r="IV79" s="36" t="s">
        <v>139</v>
      </c>
      <c r="IW79" s="36" t="s">
        <v>139</v>
      </c>
      <c r="IX79" s="36" t="s">
        <v>139</v>
      </c>
      <c r="IY79" s="36" t="s">
        <v>139</v>
      </c>
      <c r="IZ79" s="36" t="s">
        <v>139</v>
      </c>
      <c r="JA79" s="36" t="s">
        <v>139</v>
      </c>
      <c r="JB79" s="36" t="s">
        <v>139</v>
      </c>
      <c r="JC79" s="36" t="s">
        <v>139</v>
      </c>
      <c r="JD79" s="36" t="s">
        <v>139</v>
      </c>
      <c r="JE79" s="36" t="s">
        <v>139</v>
      </c>
      <c r="JF79" s="36" t="s">
        <v>139</v>
      </c>
      <c r="JG79" s="36" t="s">
        <v>139</v>
      </c>
      <c r="JH79" s="36" t="s">
        <v>139</v>
      </c>
      <c r="JI79" s="36" t="s">
        <v>139</v>
      </c>
      <c r="JJ79" s="36" t="s">
        <v>139</v>
      </c>
      <c r="JK79" s="36" t="s">
        <v>139</v>
      </c>
      <c r="JL79" s="36" t="s">
        <v>139</v>
      </c>
      <c r="JM79" s="36" t="s">
        <v>139</v>
      </c>
      <c r="JN79" s="36" t="s">
        <v>139</v>
      </c>
      <c r="JO79" s="36" t="s">
        <v>139</v>
      </c>
      <c r="JP79" s="36" t="s">
        <v>139</v>
      </c>
      <c r="JQ79" s="36" t="s">
        <v>139</v>
      </c>
      <c r="JR79" s="36" t="s">
        <v>139</v>
      </c>
      <c r="JS79" s="36" t="s">
        <v>139</v>
      </c>
      <c r="JT79" s="36" t="s">
        <v>139</v>
      </c>
      <c r="JU79" s="36" t="s">
        <v>139</v>
      </c>
      <c r="JV79" s="36" t="s">
        <v>139</v>
      </c>
      <c r="JW79" s="36" t="s">
        <v>139</v>
      </c>
      <c r="JX79" s="36" t="s">
        <v>139</v>
      </c>
      <c r="JY79" s="36" t="s">
        <v>139</v>
      </c>
      <c r="JZ79" s="36" t="s">
        <v>139</v>
      </c>
      <c r="KA79" s="36" t="s">
        <v>139</v>
      </c>
      <c r="KB79" s="36" t="s">
        <v>139</v>
      </c>
      <c r="KC79" s="36" t="s">
        <v>139</v>
      </c>
      <c r="KD79" s="36" t="s">
        <v>139</v>
      </c>
      <c r="KE79" s="36" t="s">
        <v>139</v>
      </c>
      <c r="KF79" s="36" t="s">
        <v>139</v>
      </c>
      <c r="KG79" s="36" t="s">
        <v>139</v>
      </c>
      <c r="KH79" s="36" t="s">
        <v>139</v>
      </c>
      <c r="KI79" s="36" t="s">
        <v>139</v>
      </c>
      <c r="KJ79" s="36" t="s">
        <v>139</v>
      </c>
      <c r="KK79" s="36" t="s">
        <v>139</v>
      </c>
      <c r="KL79" s="36" t="s">
        <v>139</v>
      </c>
      <c r="KM79" s="36" t="s">
        <v>139</v>
      </c>
      <c r="KN79" s="36" t="s">
        <v>139</v>
      </c>
      <c r="KO79" s="36" t="s">
        <v>139</v>
      </c>
      <c r="KP79" s="36" t="s">
        <v>139</v>
      </c>
      <c r="KQ79" s="36" t="s">
        <v>139</v>
      </c>
      <c r="KR79" s="36" t="s">
        <v>139</v>
      </c>
      <c r="KS79" s="36" t="s">
        <v>139</v>
      </c>
      <c r="KT79" s="36" t="s">
        <v>139</v>
      </c>
      <c r="KU79" s="36" t="s">
        <v>139</v>
      </c>
      <c r="KV79" s="36" t="s">
        <v>139</v>
      </c>
      <c r="KW79" s="36" t="s">
        <v>139</v>
      </c>
      <c r="KX79" s="36" t="s">
        <v>139</v>
      </c>
      <c r="KY79" s="36" t="s">
        <v>139</v>
      </c>
      <c r="KZ79" s="36" t="s">
        <v>139</v>
      </c>
      <c r="LA79" s="36" t="s">
        <v>139</v>
      </c>
      <c r="LB79" s="36" t="s">
        <v>139</v>
      </c>
      <c r="LC79" s="36" t="s">
        <v>139</v>
      </c>
      <c r="LD79" s="36" t="s">
        <v>139</v>
      </c>
      <c r="LE79" s="36" t="s">
        <v>139</v>
      </c>
      <c r="LF79" s="36" t="s">
        <v>139</v>
      </c>
      <c r="LG79" s="36" t="s">
        <v>139</v>
      </c>
      <c r="LH79" s="36" t="s">
        <v>139</v>
      </c>
      <c r="LI79" s="36" t="s">
        <v>139</v>
      </c>
      <c r="LJ79" s="36" t="s">
        <v>139</v>
      </c>
      <c r="LK79" s="36" t="s">
        <v>139</v>
      </c>
      <c r="LL79" s="36" t="s">
        <v>139</v>
      </c>
      <c r="LM79" s="36" t="s">
        <v>139</v>
      </c>
      <c r="LN79" s="36" t="s">
        <v>139</v>
      </c>
      <c r="LO79" s="36" t="s">
        <v>139</v>
      </c>
      <c r="LP79" s="36" t="s">
        <v>139</v>
      </c>
      <c r="LQ79" s="36" t="s">
        <v>139</v>
      </c>
      <c r="LR79" s="36" t="s">
        <v>139</v>
      </c>
      <c r="LS79" s="36" t="s">
        <v>139</v>
      </c>
      <c r="LT79" s="36" t="s">
        <v>139</v>
      </c>
      <c r="LU79" s="36" t="s">
        <v>139</v>
      </c>
      <c r="LV79" s="36" t="s">
        <v>139</v>
      </c>
      <c r="LW79" s="36" t="s">
        <v>139</v>
      </c>
      <c r="LX79" s="36" t="s">
        <v>139</v>
      </c>
      <c r="LY79" s="36" t="s">
        <v>139</v>
      </c>
      <c r="LZ79" s="36" t="s">
        <v>139</v>
      </c>
      <c r="MA79" s="36" t="s">
        <v>139</v>
      </c>
      <c r="MB79" s="36" t="s">
        <v>139</v>
      </c>
      <c r="MC79" s="36" t="s">
        <v>139</v>
      </c>
      <c r="MD79" s="36" t="s">
        <v>139</v>
      </c>
      <c r="ME79" s="36" t="s">
        <v>139</v>
      </c>
      <c r="MF79" s="36" t="s">
        <v>139</v>
      </c>
      <c r="MG79" s="36" t="s">
        <v>139</v>
      </c>
      <c r="MH79" s="36" t="s">
        <v>139</v>
      </c>
      <c r="MI79" s="36" t="s">
        <v>139</v>
      </c>
      <c r="MJ79" s="36" t="s">
        <v>139</v>
      </c>
      <c r="MK79" s="36" t="s">
        <v>139</v>
      </c>
      <c r="ML79" s="36" t="s">
        <v>139</v>
      </c>
      <c r="MM79" s="36" t="s">
        <v>139</v>
      </c>
      <c r="MN79" s="36" t="s">
        <v>139</v>
      </c>
      <c r="MO79" s="36" t="s">
        <v>139</v>
      </c>
      <c r="MP79" s="36" t="s">
        <v>139</v>
      </c>
      <c r="MQ79" s="36" t="s">
        <v>139</v>
      </c>
      <c r="MR79" s="36" t="s">
        <v>139</v>
      </c>
      <c r="MS79" s="36" t="s">
        <v>139</v>
      </c>
      <c r="MT79" s="36" t="s">
        <v>139</v>
      </c>
      <c r="MU79" s="36" t="s">
        <v>139</v>
      </c>
      <c r="MV79" s="36" t="s">
        <v>139</v>
      </c>
      <c r="MW79" s="36" t="s">
        <v>139</v>
      </c>
      <c r="MX79" s="36" t="s">
        <v>139</v>
      </c>
      <c r="MY79" s="36" t="s">
        <v>139</v>
      </c>
      <c r="MZ79" s="36" t="s">
        <v>139</v>
      </c>
      <c r="NA79" s="36" t="s">
        <v>139</v>
      </c>
      <c r="NB79" s="36" t="s">
        <v>139</v>
      </c>
      <c r="NC79" s="36" t="s">
        <v>139</v>
      </c>
      <c r="ND79" s="36" t="s">
        <v>139</v>
      </c>
      <c r="NE79" s="36" t="s">
        <v>139</v>
      </c>
      <c r="NF79" s="36" t="s">
        <v>139</v>
      </c>
      <c r="NG79" s="36" t="s">
        <v>139</v>
      </c>
      <c r="NH79" s="36" t="s">
        <v>139</v>
      </c>
      <c r="NI79" s="36" t="s">
        <v>139</v>
      </c>
      <c r="NJ79" s="36" t="s">
        <v>139</v>
      </c>
      <c r="NK79" s="36" t="s">
        <v>139</v>
      </c>
      <c r="NL79" s="36" t="s">
        <v>139</v>
      </c>
      <c r="NM79" s="36" t="s">
        <v>139</v>
      </c>
      <c r="NN79" s="36" t="s">
        <v>139</v>
      </c>
      <c r="NO79" s="36" t="s">
        <v>139</v>
      </c>
      <c r="NP79" s="36" t="s">
        <v>139</v>
      </c>
      <c r="NQ79" s="36" t="s">
        <v>139</v>
      </c>
      <c r="NR79" s="36" t="s">
        <v>139</v>
      </c>
      <c r="NS79" s="36" t="s">
        <v>139</v>
      </c>
      <c r="NT79" s="36" t="s">
        <v>139</v>
      </c>
      <c r="NU79" s="36" t="s">
        <v>139</v>
      </c>
      <c r="NV79" s="36" t="s">
        <v>139</v>
      </c>
      <c r="NW79" s="36" t="s">
        <v>139</v>
      </c>
      <c r="NX79" s="36" t="s">
        <v>139</v>
      </c>
      <c r="NY79" s="36" t="s">
        <v>139</v>
      </c>
      <c r="NZ79" s="36" t="s">
        <v>139</v>
      </c>
      <c r="OA79" s="36" t="s">
        <v>139</v>
      </c>
      <c r="OB79" s="36" t="s">
        <v>139</v>
      </c>
      <c r="OC79" s="36" t="s">
        <v>139</v>
      </c>
      <c r="OD79" s="36" t="s">
        <v>139</v>
      </c>
      <c r="OE79" s="36" t="s">
        <v>139</v>
      </c>
      <c r="OF79" s="36" t="s">
        <v>139</v>
      </c>
      <c r="OG79" s="36" t="s">
        <v>139</v>
      </c>
      <c r="OH79" s="36" t="s">
        <v>139</v>
      </c>
      <c r="OI79" s="36" t="s">
        <v>139</v>
      </c>
      <c r="OJ79" s="36" t="s">
        <v>139</v>
      </c>
      <c r="OK79" s="36" t="s">
        <v>139</v>
      </c>
      <c r="OL79" s="36" t="s">
        <v>139</v>
      </c>
      <c r="OM79" s="36" t="s">
        <v>139</v>
      </c>
      <c r="ON79" s="36" t="s">
        <v>139</v>
      </c>
      <c r="OO79" s="36" t="s">
        <v>139</v>
      </c>
      <c r="OP79" s="36" t="s">
        <v>139</v>
      </c>
      <c r="OQ79" s="36" t="s">
        <v>139</v>
      </c>
      <c r="OR79" s="36" t="s">
        <v>139</v>
      </c>
      <c r="OS79" s="36" t="s">
        <v>139</v>
      </c>
      <c r="OT79" s="36" t="s">
        <v>139</v>
      </c>
      <c r="OU79" s="36" t="s">
        <v>139</v>
      </c>
      <c r="OV79" s="36" t="s">
        <v>139</v>
      </c>
      <c r="OW79" s="36" t="s">
        <v>139</v>
      </c>
      <c r="OX79" s="36" t="s">
        <v>139</v>
      </c>
      <c r="OY79" s="36" t="s">
        <v>139</v>
      </c>
      <c r="OZ79" s="36" t="s">
        <v>139</v>
      </c>
      <c r="PA79" s="36" t="s">
        <v>139</v>
      </c>
      <c r="PB79" s="36" t="s">
        <v>139</v>
      </c>
      <c r="PC79" s="36" t="s">
        <v>139</v>
      </c>
      <c r="PD79" s="36" t="s">
        <v>139</v>
      </c>
      <c r="PE79" s="36" t="s">
        <v>139</v>
      </c>
      <c r="PF79" s="36" t="s">
        <v>139</v>
      </c>
      <c r="PG79" s="36" t="s">
        <v>139</v>
      </c>
      <c r="PH79" s="36" t="s">
        <v>139</v>
      </c>
      <c r="PI79" s="36" t="s">
        <v>139</v>
      </c>
      <c r="PJ79" s="36" t="s">
        <v>139</v>
      </c>
      <c r="PK79" s="36" t="s">
        <v>139</v>
      </c>
      <c r="PL79" s="36" t="s">
        <v>139</v>
      </c>
      <c r="PM79" s="36" t="s">
        <v>139</v>
      </c>
      <c r="PN79" s="36" t="s">
        <v>139</v>
      </c>
      <c r="PO79" s="74">
        <f>COUNTIFS($C$27:$PN$27,("&lt;"&amp;$B$3),$C$27:$PN$27,("&gt;="&amp;$B$2),$C79:$PN79,TabAsistencias[[#Headers],[1]])</f>
        <v>30</v>
      </c>
      <c r="PP79" s="74">
        <f>COUNTIFS($C$27:$PN$27,("&lt;"&amp;$B$3),$C$27:$PN$27,("&gt;="&amp;$B$2),$C79:$PN79,TabAsistencias[[#Headers],[E]])</f>
        <v>0</v>
      </c>
      <c r="PQ79" s="74">
        <f>COUNTIFS($C$27:$PN$27,("&lt;"&amp;$B$3),$C$27:$PN$27,("&gt;="&amp;$B$2),$C79:$PN79,TabAsistencias[[#Headers],[DE]])</f>
        <v>0</v>
      </c>
      <c r="PR79" s="74">
        <f>COUNTIFS($C$27:$PN$27,("&lt;"&amp;$B$3),$C$27:$PN$27,("&gt;="&amp;$B$2),$C79:$PN79,TabAsistencias[[#Headers],[V]])</f>
        <v>0</v>
      </c>
      <c r="PS79" s="74">
        <f>COUNTIFS($C$27:$PN$27,("&lt;"&amp;$B$3),$C$27:$PN$27,("&gt;="&amp;$B$2),$C79:$PN79,TabAsistencias[[#Headers],[DO]])</f>
        <v>0</v>
      </c>
      <c r="PT79" s="74">
        <f>COUNTIFS($C$27:$PN$27,("&lt;"&amp;$B$3),$C$27:$PN$27,("&gt;="&amp;$B$2),$C79:$PN79,TabAsistencias[[#Headers],[P]])</f>
        <v>0</v>
      </c>
      <c r="PU79" s="74">
        <f>COUNTIFS($C$27:$PN$27,("&lt;"&amp;$B$3),$C$27:$PN$27,("&gt;="&amp;$B$2),$C79:$PN79,TabAsistencias[[#Headers],[F]])</f>
        <v>0</v>
      </c>
      <c r="PV79" s="74">
        <f>COUNTIFS($C$27:$PN$27,("&lt;"&amp;$B$3),$C$27:$PN$27,("&gt;="&amp;$B$2),$C79:$PN79,TabAsistencias[[#Headers],[R]])</f>
        <v>0</v>
      </c>
      <c r="PW79" s="74">
        <f>COUNTIFS($C$27:$PN$27,("&lt;"&amp;$B$3),$C$27:$PN$27,("&gt;="&amp;$B$2),$C79:$PN79,TabAsistencias[[#Headers],[PP]])</f>
        <v>0</v>
      </c>
      <c r="PX79" s="74">
        <f>COUNTIFS($C$27:$PN$27,("&lt;"&amp;$B$3),$C$27:$PN$27,("&gt;="&amp;$B$2),$C79:$PN79,TabAsistencias[[#Headers],[0]])</f>
        <v>0</v>
      </c>
      <c r="PY79" s="74">
        <f>COUNTIFS($C$27:$PN$27,("&lt;"&amp;$B$3),$C$27:$PN$27,("&gt;="&amp;$B$2),$C79:$PN79,TabAsistencias[[#Headers],[IG]])</f>
        <v>0</v>
      </c>
      <c r="PZ79" s="74">
        <f>COUNTIFS($C$27:$PN$27,("&lt;"&amp;$B$3),$C$27:$PN$27,("&gt;="&amp;$B$2),$C79:$PN79,TabAsistencias[[#Headers],[NA]])</f>
        <v>0</v>
      </c>
      <c r="QA79" s="74">
        <f>COUNTIFS($C$27:$PN$27,("&lt;"&amp;$B$3),$C$27:$PN$27,("&gt;="&amp;$B$2),$C79:$PN79,TabAsistencias[[#Headers],[DF]])</f>
        <v>0</v>
      </c>
      <c r="QB79" s="74">
        <f>COUNTIFS($C$27:$PN$27,("&lt;"&amp;$B$3),$C$27:$PN$27,("&gt;="&amp;$B$2),$C79:$PN79,TabAsistencias[[#Headers],[3]])</f>
        <v>0</v>
      </c>
      <c r="QC79" s="74">
        <f>COUNTIFS($C$27:$PN$27,("&lt;"&amp;$B$3),$C$27:$PN$27,("&gt;="&amp;$B$2),$C79:$PN79,TabAsistencias[[#Headers],[CP]])</f>
        <v>0</v>
      </c>
      <c r="QD79" s="74">
        <f>COUNTIFS($C$27:$PN$27,("&lt;"&amp;$B$3),$C$27:$PN$27,("&gt;="&amp;$B$2),$C79:$PN79,TabAsistencias[[#Headers],[I]])</f>
        <v>0</v>
      </c>
      <c r="QE79" s="74">
        <f>COUNTIFS($C$27:$PN$27,("&lt;"&amp;$B$3),$C$27:$PN$27,("&gt;="&amp;$B$2),$C79:$PN79,TabAsistencias[[#Headers],[T/2]])</f>
        <v>0</v>
      </c>
      <c r="QF79" s="74">
        <f>COUNTIFS($C$27:$PN$27,("&lt;"&amp;$B$3),$C$27:$PN$27,("&gt;="&amp;$B$2),$C79:$PN79,TabAsistencias[[#Headers],[ME]])</f>
        <v>0</v>
      </c>
      <c r="QG79" s="74">
        <f>COUNTIFS($C$27:$PN$27,("&lt;"&amp;$B$3),$C$27:$PN$27,("&gt;="&amp;$B$2),$C79:$PN79,TabAsistencias[[#Headers],[DP]])</f>
        <v>0</v>
      </c>
      <c r="QH79" s="74">
        <f>COUNTIFS($C$27:$PN$27,("&lt;"&amp;$B$3),$C$27:$PN$27,("&gt;="&amp;$B$2),$C79:$PN79,TabAsistencias[[#Headers],[B]])</f>
        <v>0</v>
      </c>
      <c r="QI79" s="74">
        <f>(TabAsistencias[[#This Row],[1]]*'Tablas de informacion'!$C$124)+(TabAsistencias[[#This Row],[E]]*'Tablas de informacion'!$C$125)+(TabAsistencias[[#This Row],[DE]]*'Tablas de informacion'!C$126)+(TabAsistencias[[#This Row],[V]]*'Tablas de informacion'!C$127)+(TabAsistencias[[#This Row],[DO]]*'Tablas de informacion'!C$128)+(TabAsistencias[[#This Row],[P]]*'Tablas de informacion'!C$129)+(TabAsistencias[[#This Row],[F]]*'Tablas de informacion'!C$130)+(TabAsistencias[[#This Row],[R]]*'Tablas de informacion'!C$131)+(TabAsistencias[[#This Row],[PP]]*'Tablas de informacion'!C$132)+(TabAsistencias[[#This Row],[0]]*'Tablas de informacion'!C$133)+(TabAsistencias[[#This Row],[IG]]*'Tablas de informacion'!C$134)+(TabAsistencias[[#This Row],[NA]]*'Tablas de informacion'!C$135)+(TabAsistencias[[#This Row],[DF]]*'Tablas de informacion'!C$136)+(TabAsistencias[[#This Row],[3]]*'Tablas de informacion'!C$137)+(TabAsistencias[[#This Row],[CP]]*'Tablas de informacion'!C$138)+(TabAsistencias[[#This Row],[I]]*'Tablas de informacion'!C$139)+(TabAsistencias[[#This Row],[T/2]]*'Tablas de informacion'!C$140)+(TabAsistencias[[#This Row],[ME]]*'Tablas de informacion'!C$141)+(TabAsistencias[[#This Row],[DP]]*'Tablas de informacion'!C$142)+(TabAsistencias[[#This Row],[B]]*'Tablas de informacion'!C$143)-INT(TabAsistencias[[#This Row],[R]]/3)</f>
        <v>30</v>
      </c>
      <c r="QJ79" s="74">
        <f>COUNTIFS($C$27:$PN$27,("&lt;"&amp;$B$3),$C$27:$PN$27,("&gt;="&amp;$B$2),$C$28:$PN$28,1,$C79:$PN79,TabAsistencias[[#Headers],[1]])+
COUNTIFS($C$27:$PN$27,("&lt;"&amp;$B$3),$C$27:$PN$27,("&gt;="&amp;$B$2),$C$28:$PN$28,1,$C79:$PN79,TabAsistencias[[#Headers],[DO]])+
COUNTIFS($C$27:$PN$27,("&lt;"&amp;$B$3),$C$27:$PN$27,("&gt;="&amp;$B$2),$C$28:$PN$28,1,$C79:$PN79,TabAsistencias[[#Headers],[R]])+
COUNTIFS($C$27:$PN$27,("&lt;"&amp;$B$3),$C$27:$PN$27,("&gt;="&amp;$B$2),$C$28:$PN$28,1,$C79:$PN79,TabAsistencias[[#Headers],[NA]])+
COUNTIFS($C$27:$PN$27,("&lt;"&amp;$B$3),$C$27:$PN$27,("&gt;="&amp;$B$2),$C$28:$PN$28,1,$C79:$PN79,TabAsistencias[[#Headers],[DF]])+
COUNTIFS($C$27:$PN$27,("&lt;"&amp;$B$3),$C$27:$PN$27,("&gt;="&amp;$B$2),$C$28:$PN$28,1,$C79:$PN79,TabAsistencias[[#Headers],[3]])+
COUNTIFS($C$27:$PN$27,("&lt;"&amp;$B$3),$C$27:$PN$27,("&gt;="&amp;$B$2),$C$28:$PN$28,1,$C79:$PN79,TabAsistencias[[#Headers],[CP]])+
COUNTIFS($C$27:$PN$27,("&lt;"&amp;$B$3),$C$27:$PN$27,("&gt;="&amp;$B$2),$C$28:$PN$28,1,$C79:$PN79,TabAsistencias[[#Headers],[T/2]])</f>
        <v>4</v>
      </c>
      <c r="QK79" s="315" cm="1">
        <f t="array" ref="QK79">IFERROR(VLOOKUP(
DATEDIF((VLOOKUP(TabAsistencias[[#This Row],[ID]],TabEmpleados[],COLUMN(TabEmpleados[Fecha de ingreso]),FALSE)),Asistencias!$B$3,"Y"),
TabFactorIntegracion[],COLUMN(TabFactorIntegracion[Días vacacionales
establecidos por ley]),FALSE),0)
-
COUNTIF($AH79:$PN79,TabAsistencias[[#Headers],[V]])</f>
        <v>12</v>
      </c>
      <c r="QL79" s="319">
        <f>SUM(TabAsistencias[[#This Row],[''1]],TabAsistencias[[#This Row],[''DE]],TabAsistencias[[#This Row],[''DO]],TabAsistencias[[#This Row],[''R]],TabAsistencias[[#This Row],[''NA]],TabAsistencias[[#This Row],[''DF]],TabAsistencias[[#This Row],[''3]],TabAsistencias[[#This Row],[''CP]],TabAsistencias[[#This Row],[''T/2]],TabAsistencias[[#This Row],[''DP]])</f>
        <v>73</v>
      </c>
      <c r="QM79" s="314">
        <f>COUNTIFS($C$27:$PN$27,("&lt;"&amp;$B$5),$C$27:$PN$27,("&gt;="&amp;$B$4),$C79:$PN79,TabAsistencias[[#Headers],[1]])</f>
        <v>73</v>
      </c>
      <c r="QN79" s="314">
        <f>COUNTIFS($C$27:$PN$27,("&lt;"&amp;$B$5),$C$27:$PN$27,("&gt;="&amp;$B$4),$C79:$PN79,TabAsistencias[[#Headers],[DE]])</f>
        <v>0</v>
      </c>
      <c r="QO79" s="314">
        <f>COUNTIFS($C$27:$PN$27,("&lt;"&amp;$B$5),$C$27:$PN$27,("&gt;="&amp;$B$4),$C79:$PN79,TabAsistencias[[#Headers],[V]])</f>
        <v>0</v>
      </c>
      <c r="QP79" s="314">
        <f>COUNTIFS($C$27:$PN$27,("&lt;"&amp;$B$5),$C$27:$PN$27,("&gt;="&amp;$B$4),$C79:$PN79,TabAsistencias[[#Headers],[DO]])</f>
        <v>0</v>
      </c>
      <c r="QQ79" s="314">
        <f>COUNTIFS($C$27:$PN$27,("&lt;"&amp;$B$5),$C$27:$PN$27,("&gt;="&amp;$B$4),$C79:$PN79,TabAsistencias[[#Headers],[P]])</f>
        <v>0</v>
      </c>
      <c r="QR79" s="314">
        <f>COUNTIFS($C$27:$PN$27,("&lt;"&amp;$B$5),$C$27:$PN$27,("&gt;="&amp;$B$4),$C79:$PN79,TabAsistencias[[#Headers],[F]])</f>
        <v>0</v>
      </c>
      <c r="QS79" s="314">
        <f>COUNTIFS($C$27:$PN$27,("&lt;"&amp;$B$5),$C$27:$PN$27,("&gt;="&amp;$B$4),$C79:$PN79,TabAsistencias[[#Headers],[R]])</f>
        <v>0</v>
      </c>
      <c r="QT79" s="314">
        <f>COUNTIFS($C$27:$PN$27,("&lt;"&amp;$B$5),$C$27:$PN$27,("&gt;="&amp;$B$4),$C79:$PN79,TabAsistencias[[#Headers],[PP]])</f>
        <v>0</v>
      </c>
      <c r="QU79" s="314">
        <f>COUNTIFS($C$27:$PN$27,("&lt;"&amp;$B$5),$C$27:$PN$27,("&gt;="&amp;$B$4),$C79:$PN79,TabAsistencias[[#Headers],[0]])</f>
        <v>0</v>
      </c>
      <c r="QV79" s="314">
        <f>COUNTIFS($C$27:$PN$27,("&lt;"&amp;$B$5),$C$27:$PN$27,("&gt;="&amp;$B$4),$C79:$PN79,TabAsistencias[[#Headers],[IG]])</f>
        <v>0</v>
      </c>
      <c r="QW79" s="314">
        <f>COUNTIFS($C$27:$PN$27,("&lt;"&amp;$B$5),$C$27:$PN$27,("&gt;="&amp;$B$4),$C79:$PN79,TabAsistencias[[#Headers],[NA]])</f>
        <v>0</v>
      </c>
      <c r="QX79" s="314">
        <f>COUNTIFS($C$27:$PN$27,("&lt;"&amp;$B$5),$C$27:$PN$27,("&gt;="&amp;$B$4),$C79:$PN79,TabAsistencias[[#Headers],[DF]])</f>
        <v>0</v>
      </c>
      <c r="QY79" s="314">
        <f>COUNTIFS($C$27:$PN$27,("&lt;"&amp;$B$5),$C$27:$PN$27,("&gt;="&amp;$B$4),$C79:$PN79,TabAsistencias[[#Headers],[3]])</f>
        <v>0</v>
      </c>
      <c r="QZ79" s="314">
        <f>COUNTIFS($C$27:$PN$27,("&lt;"&amp;$B$5),$C$27:$PN$27,("&gt;="&amp;$B$4),$C79:$PN79,TabAsistencias[[#Headers],[CP]])</f>
        <v>0</v>
      </c>
      <c r="RA79" s="314">
        <f>COUNTIFS($C$27:$PN$27,("&lt;"&amp;$B$5),$C$27:$PN$27,("&gt;="&amp;$B$4),$C79:$PN79,TabAsistencias[[#Headers],[I]])</f>
        <v>0</v>
      </c>
      <c r="RB79" s="314">
        <f>COUNTIFS($C$27:$PN$27,("&lt;"&amp;$B$5),$C$27:$PN$27,("&gt;="&amp;$B$4),$C79:$PN79,TabAsistencias[[#Headers],[T/2]])</f>
        <v>0</v>
      </c>
      <c r="RC79" s="314">
        <f>COUNTIFS($C$27:$PN$27,("&lt;"&amp;$B$5),$C$27:$PN$27,("&gt;="&amp;$B$4),$C79:$PN79,TabAsistencias[[#Headers],[ME]])</f>
        <v>0</v>
      </c>
      <c r="RD79" s="314">
        <f>COUNTIFS($C$27:$PN$27,("&lt;"&amp;$B$5),$C$27:$PN$27,("&gt;="&amp;$B$4),$C79:$PN79,TabAsistencias[[#Headers],[DP]])</f>
        <v>0</v>
      </c>
      <c r="RE79" s="314">
        <f>COUNTIFS($C$27:$PN$27,("&lt;"&amp;$B$5),$C$27:$PN$27,("&gt;="&amp;$B$4),$C79:$PN79,TabAsistencias[[#Headers],[B]])</f>
        <v>0</v>
      </c>
      <c r="RF79" s="314">
        <f>COUNTIFS($C$27:$PN$27,("&lt;"&amp;$B$5),$C$27:$PN$27,("&gt;="&amp;$B$4),$C$28:$PN$28,1,$C79:$PN79,TabAsistencias[[#Headers],[1]])+
COUNTIFS($C$27:$PN$27,("&lt;"&amp;$B$5),$C$27:$PN$27,("&gt;="&amp;$B$4),$C$28:$PN$28,1,$C79:$PN79,TabAsistencias[[#Headers],[DO]])+
COUNTIFS($C$27:$PN$27,("&lt;"&amp;$B$5),$C$27:$PN$27,("&gt;="&amp;$B$4),$C$28:$PN$28,1,$C79:$PN79,TabAsistencias[[#Headers],[R]])+
COUNTIFS($C$27:$PN$27,("&lt;"&amp;$B$5),$C$27:$PN$27,("&gt;="&amp;$B$4),$C$28:$PN$28,1,$C79:$PN79,TabAsistencias[[#Headers],[NA]])+
COUNTIFS($C$27:$PN$27,("&lt;"&amp;$B$5),$C$27:$PN$27,("&gt;="&amp;$B$4),$C$28:$PN$28,1,$C79:$PN79,TabAsistencias[[#Headers],[DF]])+
COUNTIFS($C$27:$PN$27,("&lt;"&amp;$B$5),$C$27:$PN$27,("&gt;="&amp;$B$4),$C$28:$PN$28,1,$C79:$PN79,TabAsistencias[[#Headers],[3]])+
COUNTIFS($C$27:$PN$27,("&lt;"&amp;$B$5),$C$27:$PN$27,("&gt;="&amp;$B$4),$C$28:$PN$28,1,$C79:$PN79,TabAsistencias[[#Headers],[CP]])+
COUNTIFS($C$27:$PN$27,("&lt;"&amp;$B$5),$C$27:$PN$27,("&gt;="&amp;$B$4),$C$28:$PN$28,1,$C79:$PN79,TabAsistencias[[#Headers],[T/2]])</f>
        <v>11</v>
      </c>
      <c r="RG79" s="320" cm="1">
        <f t="array" ref="RG79">IFERROR(VLOOKUP(
DATEDIF((VLOOKUP(TabAsistencias[[#This Row],[ID]],TabEmpleados[],COLUMN(TabEmpleados[Fecha de alta NSS]),FALSE)),Asistencias!$B$3,"Y"),
TabFactorIntegracion[],COLUMN(TabFactorIntegracion[Días vacacionales
establecidos por ley]),FALSE),0)
-
COUNTIF($AH79:$PN79,TabAsistencias[[#Headers],[V]])</f>
        <v>12</v>
      </c>
    </row>
    <row r="80" spans="1:475" x14ac:dyDescent="0.25">
      <c r="A80" s="92">
        <f t="shared" si="434"/>
        <v>50</v>
      </c>
      <c r="B80" s="30" t="str" cm="1">
        <f t="array" ref="B80">VLOOKUP(TabAsistencias[[#This Row],[ID]],TabEmpleados[],COLUMN(TabEmpleados[Nombre]),FALSE)</f>
        <v>OSORIO LOPEZ NATAN</v>
      </c>
      <c r="C80" s="36" t="s">
        <v>139</v>
      </c>
      <c r="D80" s="36" t="s">
        <v>139</v>
      </c>
      <c r="E80" s="36" t="s">
        <v>139</v>
      </c>
      <c r="F80" s="36" t="s">
        <v>139</v>
      </c>
      <c r="G80" s="36" t="s">
        <v>139</v>
      </c>
      <c r="H80" s="36" t="s">
        <v>139</v>
      </c>
      <c r="I80" s="36" t="s">
        <v>139</v>
      </c>
      <c r="J80" s="36" t="s">
        <v>139</v>
      </c>
      <c r="K80" s="36" t="s">
        <v>139</v>
      </c>
      <c r="L80" s="36" t="s">
        <v>139</v>
      </c>
      <c r="M80" s="36" t="s">
        <v>139</v>
      </c>
      <c r="N80" s="36" t="s">
        <v>139</v>
      </c>
      <c r="O80" s="36" t="s">
        <v>139</v>
      </c>
      <c r="P80" s="36" t="s">
        <v>139</v>
      </c>
      <c r="Q80" s="36" t="s">
        <v>139</v>
      </c>
      <c r="R80" s="36" t="s">
        <v>139</v>
      </c>
      <c r="S80" s="36" t="s">
        <v>139</v>
      </c>
      <c r="T80" s="36" t="s">
        <v>139</v>
      </c>
      <c r="U80" s="36" t="s">
        <v>139</v>
      </c>
      <c r="V80" s="36" t="s">
        <v>139</v>
      </c>
      <c r="W80" s="36" t="s">
        <v>139</v>
      </c>
      <c r="X80" s="36" t="s">
        <v>139</v>
      </c>
      <c r="Y80" s="36" t="s">
        <v>139</v>
      </c>
      <c r="Z80" s="36" t="s">
        <v>139</v>
      </c>
      <c r="AA80" s="36" t="s">
        <v>139</v>
      </c>
      <c r="AB80" s="36" t="s">
        <v>139</v>
      </c>
      <c r="AC80" s="36" t="s">
        <v>139</v>
      </c>
      <c r="AD80" s="36" t="s">
        <v>139</v>
      </c>
      <c r="AE80" s="36" t="s">
        <v>139</v>
      </c>
      <c r="AF80" s="36" t="s">
        <v>139</v>
      </c>
      <c r="AG80" s="36" t="s">
        <v>139</v>
      </c>
      <c r="AH80" s="36" t="s">
        <v>139</v>
      </c>
      <c r="AI80" s="36" t="s">
        <v>139</v>
      </c>
      <c r="AJ80" s="36" t="s">
        <v>139</v>
      </c>
      <c r="AK80" s="36" t="s">
        <v>139</v>
      </c>
      <c r="AL80" s="36" t="s">
        <v>139</v>
      </c>
      <c r="AM80" s="36" t="s">
        <v>139</v>
      </c>
      <c r="AN80" s="36" t="s">
        <v>139</v>
      </c>
      <c r="AO80" s="36" t="s">
        <v>139</v>
      </c>
      <c r="AP80" s="36" t="s">
        <v>139</v>
      </c>
      <c r="AQ80" s="36" t="s">
        <v>139</v>
      </c>
      <c r="AR80" s="36" t="s">
        <v>139</v>
      </c>
      <c r="AS80" s="36" t="s">
        <v>139</v>
      </c>
      <c r="AT80" s="36" t="s">
        <v>139</v>
      </c>
      <c r="AU80" s="36" t="s">
        <v>139</v>
      </c>
      <c r="AV80" s="36" t="s">
        <v>139</v>
      </c>
      <c r="AW80" s="36" t="s">
        <v>139</v>
      </c>
      <c r="AX80" s="36" t="s">
        <v>139</v>
      </c>
      <c r="AY80" s="36" t="s">
        <v>139</v>
      </c>
      <c r="AZ80" s="36" t="s">
        <v>139</v>
      </c>
      <c r="BA80" s="36" t="s">
        <v>139</v>
      </c>
      <c r="BB80" s="36" t="s">
        <v>139</v>
      </c>
      <c r="BC80" s="36" t="s">
        <v>139</v>
      </c>
      <c r="BD80" s="36" t="s">
        <v>139</v>
      </c>
      <c r="BE80" s="36" t="s">
        <v>139</v>
      </c>
      <c r="BF80" s="36" t="s">
        <v>139</v>
      </c>
      <c r="BG80" s="36" t="s">
        <v>139</v>
      </c>
      <c r="BH80" s="36" t="s">
        <v>139</v>
      </c>
      <c r="BI80" s="36" t="s">
        <v>139</v>
      </c>
      <c r="BJ80" s="36" t="s">
        <v>139</v>
      </c>
      <c r="BK80" s="36" t="s">
        <v>139</v>
      </c>
      <c r="BL80" s="36" t="s">
        <v>139</v>
      </c>
      <c r="BM80" s="36" t="s">
        <v>139</v>
      </c>
      <c r="BN80" s="36" t="s">
        <v>139</v>
      </c>
      <c r="BO80" s="36" t="s">
        <v>139</v>
      </c>
      <c r="BP80" s="36" t="s">
        <v>139</v>
      </c>
      <c r="BQ80" s="36" t="s">
        <v>139</v>
      </c>
      <c r="BR80" s="36" t="s">
        <v>139</v>
      </c>
      <c r="BS80" s="36" t="s">
        <v>139</v>
      </c>
      <c r="BT80" s="36" t="s">
        <v>139</v>
      </c>
      <c r="BU80" s="36" t="s">
        <v>139</v>
      </c>
      <c r="BV80" s="36" t="s">
        <v>139</v>
      </c>
      <c r="BW80" s="36" t="s">
        <v>139</v>
      </c>
      <c r="BX80" s="36" t="s">
        <v>139</v>
      </c>
      <c r="BY80" s="36" t="s">
        <v>139</v>
      </c>
      <c r="BZ80" s="36" t="s">
        <v>139</v>
      </c>
      <c r="CA80" s="36" t="s">
        <v>139</v>
      </c>
      <c r="CB80" s="36" t="s">
        <v>139</v>
      </c>
      <c r="CC80" s="36" t="s">
        <v>139</v>
      </c>
      <c r="CD80" s="36" t="s">
        <v>139</v>
      </c>
      <c r="CE80" s="36" t="s">
        <v>139</v>
      </c>
      <c r="CF80" s="36" t="s">
        <v>139</v>
      </c>
      <c r="CG80" s="36" t="s">
        <v>139</v>
      </c>
      <c r="CH80" s="36" t="s">
        <v>139</v>
      </c>
      <c r="CI80" s="36" t="s">
        <v>139</v>
      </c>
      <c r="CJ80" s="36" t="s">
        <v>139</v>
      </c>
      <c r="CK80" s="36" t="s">
        <v>139</v>
      </c>
      <c r="CL80" s="36" t="s">
        <v>139</v>
      </c>
      <c r="CM80" s="36" t="s">
        <v>139</v>
      </c>
      <c r="CN80" s="36" t="s">
        <v>139</v>
      </c>
      <c r="CO80" s="36" t="s">
        <v>139</v>
      </c>
      <c r="CP80" s="36" t="s">
        <v>139</v>
      </c>
      <c r="CQ80" s="36" t="s">
        <v>139</v>
      </c>
      <c r="CR80" s="36" t="s">
        <v>139</v>
      </c>
      <c r="CS80" s="36" t="s">
        <v>139</v>
      </c>
      <c r="CT80" s="36" t="s">
        <v>139</v>
      </c>
      <c r="CU80" s="36" t="s">
        <v>139</v>
      </c>
      <c r="CV80" s="36" t="s">
        <v>139</v>
      </c>
      <c r="CW80" s="36" t="s">
        <v>139</v>
      </c>
      <c r="CX80" s="36" t="s">
        <v>139</v>
      </c>
      <c r="CY80" s="36" t="s">
        <v>139</v>
      </c>
      <c r="CZ80" s="36" t="s">
        <v>139</v>
      </c>
      <c r="DA80" s="36" t="s">
        <v>139</v>
      </c>
      <c r="DB80" s="36" t="s">
        <v>139</v>
      </c>
      <c r="DC80" s="36" t="s">
        <v>139</v>
      </c>
      <c r="DD80" s="36" t="s">
        <v>139</v>
      </c>
      <c r="DE80" s="36" t="s">
        <v>139</v>
      </c>
      <c r="DF80" s="36" t="s">
        <v>139</v>
      </c>
      <c r="DG80" s="36" t="s">
        <v>139</v>
      </c>
      <c r="DH80" s="36" t="s">
        <v>139</v>
      </c>
      <c r="DI80" s="36" t="s">
        <v>139</v>
      </c>
      <c r="DJ80" s="36" t="s">
        <v>139</v>
      </c>
      <c r="DK80" s="36" t="s">
        <v>139</v>
      </c>
      <c r="DL80" s="36" t="s">
        <v>139</v>
      </c>
      <c r="DM80" s="36" t="s">
        <v>139</v>
      </c>
      <c r="DN80" s="36" t="s">
        <v>139</v>
      </c>
      <c r="DO80" s="36" t="s">
        <v>139</v>
      </c>
      <c r="DP80" s="36" t="s">
        <v>139</v>
      </c>
      <c r="DQ80" s="36" t="s">
        <v>139</v>
      </c>
      <c r="DR80" s="36" t="s">
        <v>139</v>
      </c>
      <c r="DS80" s="36" t="s">
        <v>139</v>
      </c>
      <c r="DT80" s="36" t="s">
        <v>139</v>
      </c>
      <c r="DU80" s="36" t="s">
        <v>139</v>
      </c>
      <c r="DV80" s="36" t="s">
        <v>139</v>
      </c>
      <c r="DW80" s="36" t="s">
        <v>139</v>
      </c>
      <c r="DX80" s="36" t="s">
        <v>139</v>
      </c>
      <c r="DY80" s="36" t="s">
        <v>139</v>
      </c>
      <c r="DZ80" s="36" t="s">
        <v>139</v>
      </c>
      <c r="EA80" s="36" t="s">
        <v>139</v>
      </c>
      <c r="EB80" s="36" t="s">
        <v>139</v>
      </c>
      <c r="EC80" s="36" t="s">
        <v>139</v>
      </c>
      <c r="ED80" s="36" t="s">
        <v>139</v>
      </c>
      <c r="EE80" s="36" t="s">
        <v>139</v>
      </c>
      <c r="EF80" s="36" t="s">
        <v>139</v>
      </c>
      <c r="EG80" s="36" t="s">
        <v>139</v>
      </c>
      <c r="EH80" s="36" t="s">
        <v>139</v>
      </c>
      <c r="EI80" s="36" t="s">
        <v>139</v>
      </c>
      <c r="EJ80" s="36" t="s">
        <v>139</v>
      </c>
      <c r="EK80" s="36" t="s">
        <v>139</v>
      </c>
      <c r="EL80" s="36" t="s">
        <v>139</v>
      </c>
      <c r="EM80" s="36" t="s">
        <v>139</v>
      </c>
      <c r="EN80" s="36" t="s">
        <v>139</v>
      </c>
      <c r="EO80" s="36" t="s">
        <v>139</v>
      </c>
      <c r="EP80" s="36" t="s">
        <v>139</v>
      </c>
      <c r="EQ80" s="36" t="s">
        <v>139</v>
      </c>
      <c r="ER80" s="36" t="s">
        <v>139</v>
      </c>
      <c r="ES80" s="36" t="s">
        <v>139</v>
      </c>
      <c r="ET80" s="36" t="s">
        <v>139</v>
      </c>
      <c r="EU80" s="36" t="s">
        <v>139</v>
      </c>
      <c r="EV80" s="36" t="s">
        <v>139</v>
      </c>
      <c r="EW80" s="36" t="s">
        <v>139</v>
      </c>
      <c r="EX80" s="36" t="s">
        <v>139</v>
      </c>
      <c r="EY80" s="36" t="s">
        <v>139</v>
      </c>
      <c r="EZ80" s="36" t="s">
        <v>139</v>
      </c>
      <c r="FA80" s="36" t="s">
        <v>139</v>
      </c>
      <c r="FB80" s="36" t="s">
        <v>139</v>
      </c>
      <c r="FC80" s="36" t="s">
        <v>139</v>
      </c>
      <c r="FD80" s="36" t="s">
        <v>139</v>
      </c>
      <c r="FE80" s="36" t="s">
        <v>139</v>
      </c>
      <c r="FF80" s="36" t="s">
        <v>139</v>
      </c>
      <c r="FG80" s="36" t="s">
        <v>139</v>
      </c>
      <c r="FH80" s="36" t="s">
        <v>139</v>
      </c>
      <c r="FI80" s="36" t="s">
        <v>139</v>
      </c>
      <c r="FJ80" s="36" t="s">
        <v>139</v>
      </c>
      <c r="FK80" s="36" t="s">
        <v>139</v>
      </c>
      <c r="FL80" s="36" t="s">
        <v>139</v>
      </c>
      <c r="FM80" s="36" t="s">
        <v>139</v>
      </c>
      <c r="FN80" s="36" t="s">
        <v>139</v>
      </c>
      <c r="FO80" s="36" t="s">
        <v>139</v>
      </c>
      <c r="FP80" s="36" t="s">
        <v>139</v>
      </c>
      <c r="FQ80" s="36" t="s">
        <v>139</v>
      </c>
      <c r="FR80" s="36" t="s">
        <v>139</v>
      </c>
      <c r="FS80" s="36" t="s">
        <v>139</v>
      </c>
      <c r="FT80" s="36" t="s">
        <v>139</v>
      </c>
      <c r="FU80" s="36" t="s">
        <v>139</v>
      </c>
      <c r="FV80" s="36" t="s">
        <v>139</v>
      </c>
      <c r="FW80" s="36" t="s">
        <v>139</v>
      </c>
      <c r="FX80" s="36" t="s">
        <v>139</v>
      </c>
      <c r="FY80" s="36" t="s">
        <v>139</v>
      </c>
      <c r="FZ80" s="36" t="s">
        <v>139</v>
      </c>
      <c r="GA80" s="36" t="s">
        <v>139</v>
      </c>
      <c r="GB80" s="36" t="s">
        <v>139</v>
      </c>
      <c r="GC80" s="36" t="s">
        <v>139</v>
      </c>
      <c r="GD80" s="36" t="s">
        <v>139</v>
      </c>
      <c r="GE80" s="36" t="s">
        <v>139</v>
      </c>
      <c r="GF80" s="36" t="s">
        <v>139</v>
      </c>
      <c r="GG80" s="36" t="s">
        <v>139</v>
      </c>
      <c r="GH80" s="36" t="s">
        <v>139</v>
      </c>
      <c r="GI80" s="36" t="s">
        <v>139</v>
      </c>
      <c r="GJ80" s="36" t="s">
        <v>139</v>
      </c>
      <c r="GK80" s="36" t="s">
        <v>139</v>
      </c>
      <c r="GL80" s="36" t="s">
        <v>139</v>
      </c>
      <c r="GM80" s="36" t="s">
        <v>139</v>
      </c>
      <c r="GN80" s="36" t="s">
        <v>139</v>
      </c>
      <c r="GO80" s="36" t="s">
        <v>139</v>
      </c>
      <c r="GP80" s="36" t="s">
        <v>139</v>
      </c>
      <c r="GQ80" s="36" t="s">
        <v>139</v>
      </c>
      <c r="GR80" s="36" t="s">
        <v>139</v>
      </c>
      <c r="GS80" s="36" t="s">
        <v>139</v>
      </c>
      <c r="GT80" s="36" t="s">
        <v>139</v>
      </c>
      <c r="GU80" s="36" t="s">
        <v>139</v>
      </c>
      <c r="GV80" s="36" t="s">
        <v>139</v>
      </c>
      <c r="GW80" s="36" t="s">
        <v>139</v>
      </c>
      <c r="GX80" s="36" t="s">
        <v>139</v>
      </c>
      <c r="GY80" s="36" t="s">
        <v>139</v>
      </c>
      <c r="GZ80" s="36" t="s">
        <v>139</v>
      </c>
      <c r="HA80" s="36" t="s">
        <v>139</v>
      </c>
      <c r="HB80" s="36" t="s">
        <v>139</v>
      </c>
      <c r="HC80" s="36" t="s">
        <v>139</v>
      </c>
      <c r="HD80" s="36" t="s">
        <v>139</v>
      </c>
      <c r="HE80" s="36" t="s">
        <v>139</v>
      </c>
      <c r="HF80" s="36" t="s">
        <v>139</v>
      </c>
      <c r="HG80" s="36" t="s">
        <v>139</v>
      </c>
      <c r="HH80" s="36" t="s">
        <v>139</v>
      </c>
      <c r="HI80" s="36" t="s">
        <v>139</v>
      </c>
      <c r="HJ80" s="36" t="s">
        <v>139</v>
      </c>
      <c r="HK80" s="36" t="s">
        <v>139</v>
      </c>
      <c r="HL80" s="36" t="s">
        <v>139</v>
      </c>
      <c r="HM80" s="36" t="s">
        <v>139</v>
      </c>
      <c r="HN80" s="36" t="s">
        <v>139</v>
      </c>
      <c r="HO80" s="36" t="s">
        <v>139</v>
      </c>
      <c r="HP80" s="36" t="s">
        <v>139</v>
      </c>
      <c r="HQ80" s="36" t="s">
        <v>139</v>
      </c>
      <c r="HR80" s="36" t="s">
        <v>139</v>
      </c>
      <c r="HS80" s="36" t="s">
        <v>139</v>
      </c>
      <c r="HT80" s="36" t="s">
        <v>139</v>
      </c>
      <c r="HU80" s="36" t="s">
        <v>139</v>
      </c>
      <c r="HV80" s="36" t="s">
        <v>139</v>
      </c>
      <c r="HW80" s="36" t="s">
        <v>139</v>
      </c>
      <c r="HX80" s="36" t="s">
        <v>139</v>
      </c>
      <c r="HY80" s="36" t="s">
        <v>139</v>
      </c>
      <c r="HZ80" s="36" t="s">
        <v>139</v>
      </c>
      <c r="IA80" s="36" t="s">
        <v>139</v>
      </c>
      <c r="IB80" s="36" t="s">
        <v>139</v>
      </c>
      <c r="IC80" s="36" t="s">
        <v>139</v>
      </c>
      <c r="ID80" s="36" t="s">
        <v>139</v>
      </c>
      <c r="IE80" s="36" t="s">
        <v>139</v>
      </c>
      <c r="IF80" s="36" t="s">
        <v>139</v>
      </c>
      <c r="IG80" s="36" t="s">
        <v>139</v>
      </c>
      <c r="IH80" s="36" t="s">
        <v>139</v>
      </c>
      <c r="II80" s="36" t="s">
        <v>139</v>
      </c>
      <c r="IJ80" s="36" t="s">
        <v>139</v>
      </c>
      <c r="IK80" s="36" t="s">
        <v>139</v>
      </c>
      <c r="IL80" s="36" t="s">
        <v>139</v>
      </c>
      <c r="IM80" s="36" t="s">
        <v>139</v>
      </c>
      <c r="IN80" s="36" t="s">
        <v>139</v>
      </c>
      <c r="IO80" s="36" t="s">
        <v>139</v>
      </c>
      <c r="IP80" s="36" t="s">
        <v>139</v>
      </c>
      <c r="IQ80" s="36" t="s">
        <v>139</v>
      </c>
      <c r="IR80" s="36" t="s">
        <v>139</v>
      </c>
      <c r="IS80" s="36" t="s">
        <v>139</v>
      </c>
      <c r="IT80" s="36" t="s">
        <v>139</v>
      </c>
      <c r="IU80" s="36" t="s">
        <v>139</v>
      </c>
      <c r="IV80" s="36" t="s">
        <v>139</v>
      </c>
      <c r="IW80" s="36" t="s">
        <v>139</v>
      </c>
      <c r="IX80" s="36" t="s">
        <v>139</v>
      </c>
      <c r="IY80" s="36" t="s">
        <v>139</v>
      </c>
      <c r="IZ80" s="36" t="s">
        <v>139</v>
      </c>
      <c r="JA80" s="36" t="s">
        <v>139</v>
      </c>
      <c r="JB80" s="36" t="s">
        <v>139</v>
      </c>
      <c r="JC80" s="36" t="s">
        <v>139</v>
      </c>
      <c r="JD80" s="36" t="s">
        <v>139</v>
      </c>
      <c r="JE80" s="36" t="s">
        <v>139</v>
      </c>
      <c r="JF80" s="36" t="s">
        <v>139</v>
      </c>
      <c r="JG80" s="36" t="s">
        <v>139</v>
      </c>
      <c r="JH80" s="36" t="s">
        <v>139</v>
      </c>
      <c r="JI80" s="36" t="s">
        <v>139</v>
      </c>
      <c r="JJ80" s="36" t="s">
        <v>139</v>
      </c>
      <c r="JK80" s="36" t="s">
        <v>139</v>
      </c>
      <c r="JL80" s="36" t="s">
        <v>139</v>
      </c>
      <c r="JM80" s="36" t="s">
        <v>139</v>
      </c>
      <c r="JN80" s="36" t="s">
        <v>139</v>
      </c>
      <c r="JO80" s="36" t="s">
        <v>139</v>
      </c>
      <c r="JP80" s="36" t="s">
        <v>139</v>
      </c>
      <c r="JQ80" s="36" t="s">
        <v>139</v>
      </c>
      <c r="JR80" s="36" t="s">
        <v>139</v>
      </c>
      <c r="JS80" s="36" t="s">
        <v>139</v>
      </c>
      <c r="JT80" s="36" t="s">
        <v>139</v>
      </c>
      <c r="JU80" s="36" t="s">
        <v>139</v>
      </c>
      <c r="JV80" s="36" t="s">
        <v>139</v>
      </c>
      <c r="JW80" s="36" t="s">
        <v>139</v>
      </c>
      <c r="JX80" s="36" t="s">
        <v>139</v>
      </c>
      <c r="JY80" s="36" t="s">
        <v>139</v>
      </c>
      <c r="JZ80" s="36" t="s">
        <v>139</v>
      </c>
      <c r="KA80" s="36" t="s">
        <v>139</v>
      </c>
      <c r="KB80" s="36" t="s">
        <v>139</v>
      </c>
      <c r="KC80" s="36" t="s">
        <v>139</v>
      </c>
      <c r="KD80" s="36" t="s">
        <v>139</v>
      </c>
      <c r="KE80" s="36" t="s">
        <v>139</v>
      </c>
      <c r="KF80" s="36" t="s">
        <v>139</v>
      </c>
      <c r="KG80" s="36" t="s">
        <v>139</v>
      </c>
      <c r="KH80" s="36" t="s">
        <v>139</v>
      </c>
      <c r="KI80" s="36" t="s">
        <v>139</v>
      </c>
      <c r="KJ80" s="36" t="s">
        <v>139</v>
      </c>
      <c r="KK80" s="36" t="s">
        <v>139</v>
      </c>
      <c r="KL80" s="36" t="s">
        <v>139</v>
      </c>
      <c r="KM80" s="36" t="s">
        <v>139</v>
      </c>
      <c r="KN80" s="36" t="s">
        <v>139</v>
      </c>
      <c r="KO80" s="36" t="s">
        <v>139</v>
      </c>
      <c r="KP80" s="36" t="s">
        <v>139</v>
      </c>
      <c r="KQ80" s="36" t="s">
        <v>139</v>
      </c>
      <c r="KR80" s="36" t="s">
        <v>139</v>
      </c>
      <c r="KS80" s="36" t="s">
        <v>139</v>
      </c>
      <c r="KT80" s="36" t="s">
        <v>139</v>
      </c>
      <c r="KU80" s="36" t="s">
        <v>139</v>
      </c>
      <c r="KV80" s="36" t="s">
        <v>139</v>
      </c>
      <c r="KW80" s="36" t="s">
        <v>139</v>
      </c>
      <c r="KX80" s="36" t="s">
        <v>139</v>
      </c>
      <c r="KY80" s="36" t="s">
        <v>139</v>
      </c>
      <c r="KZ80" s="36" t="s">
        <v>139</v>
      </c>
      <c r="LA80" s="36" t="s">
        <v>139</v>
      </c>
      <c r="LB80" s="36" t="s">
        <v>139</v>
      </c>
      <c r="LC80" s="36" t="s">
        <v>139</v>
      </c>
      <c r="LD80" s="36" t="s">
        <v>139</v>
      </c>
      <c r="LE80" s="36" t="s">
        <v>139</v>
      </c>
      <c r="LF80" s="36" t="s">
        <v>139</v>
      </c>
      <c r="LG80" s="36" t="s">
        <v>139</v>
      </c>
      <c r="LH80" s="36" t="s">
        <v>139</v>
      </c>
      <c r="LI80" s="36" t="s">
        <v>139</v>
      </c>
      <c r="LJ80" s="36" t="s">
        <v>139</v>
      </c>
      <c r="LK80" s="36" t="s">
        <v>139</v>
      </c>
      <c r="LL80" s="36" t="s">
        <v>139</v>
      </c>
      <c r="LM80" s="36" t="s">
        <v>139</v>
      </c>
      <c r="LN80" s="36" t="s">
        <v>139</v>
      </c>
      <c r="LO80" s="36" t="s">
        <v>139</v>
      </c>
      <c r="LP80" s="36" t="s">
        <v>139</v>
      </c>
      <c r="LQ80" s="36" t="s">
        <v>139</v>
      </c>
      <c r="LR80" s="36" t="s">
        <v>139</v>
      </c>
      <c r="LS80" s="36" t="s">
        <v>139</v>
      </c>
      <c r="LT80" s="36" t="s">
        <v>139</v>
      </c>
      <c r="LU80" s="36" t="s">
        <v>139</v>
      </c>
      <c r="LV80" s="36" t="s">
        <v>139</v>
      </c>
      <c r="LW80" s="36" t="s">
        <v>139</v>
      </c>
      <c r="LX80" s="36" t="s">
        <v>139</v>
      </c>
      <c r="LY80" s="36" t="s">
        <v>139</v>
      </c>
      <c r="LZ80" s="36" t="s">
        <v>139</v>
      </c>
      <c r="MA80" s="36" t="s">
        <v>139</v>
      </c>
      <c r="MB80" s="36" t="s">
        <v>139</v>
      </c>
      <c r="MC80" s="36" t="s">
        <v>139</v>
      </c>
      <c r="MD80" s="36" t="s">
        <v>139</v>
      </c>
      <c r="ME80" s="36" t="s">
        <v>139</v>
      </c>
      <c r="MF80" s="36" t="s">
        <v>139</v>
      </c>
      <c r="MG80" s="36" t="s">
        <v>139</v>
      </c>
      <c r="MH80" s="36" t="s">
        <v>139</v>
      </c>
      <c r="MI80" s="36" t="s">
        <v>139</v>
      </c>
      <c r="MJ80" s="36" t="s">
        <v>139</v>
      </c>
      <c r="MK80" s="36" t="s">
        <v>139</v>
      </c>
      <c r="ML80" s="36" t="s">
        <v>139</v>
      </c>
      <c r="MM80" s="36" t="s">
        <v>139</v>
      </c>
      <c r="MN80" s="36" t="s">
        <v>139</v>
      </c>
      <c r="MO80" s="36" t="s">
        <v>139</v>
      </c>
      <c r="MP80" s="36" t="s">
        <v>139</v>
      </c>
      <c r="MQ80" s="36" t="s">
        <v>139</v>
      </c>
      <c r="MR80" s="36" t="s">
        <v>139</v>
      </c>
      <c r="MS80" s="36" t="s">
        <v>139</v>
      </c>
      <c r="MT80" s="36" t="s">
        <v>139</v>
      </c>
      <c r="MU80" s="36" t="s">
        <v>139</v>
      </c>
      <c r="MV80" s="36" t="s">
        <v>139</v>
      </c>
      <c r="MW80" s="36" t="s">
        <v>139</v>
      </c>
      <c r="MX80" s="36" t="s">
        <v>139</v>
      </c>
      <c r="MY80" s="36" t="s">
        <v>139</v>
      </c>
      <c r="MZ80" s="36" t="s">
        <v>139</v>
      </c>
      <c r="NA80" s="36" t="s">
        <v>139</v>
      </c>
      <c r="NB80" s="36" t="s">
        <v>139</v>
      </c>
      <c r="NC80" s="36" t="s">
        <v>139</v>
      </c>
      <c r="ND80" s="36" t="s">
        <v>139</v>
      </c>
      <c r="NE80" s="36" t="s">
        <v>139</v>
      </c>
      <c r="NF80" s="36" t="s">
        <v>139</v>
      </c>
      <c r="NG80" s="36" t="s">
        <v>139</v>
      </c>
      <c r="NH80" s="36" t="s">
        <v>139</v>
      </c>
      <c r="NI80" s="36" t="s">
        <v>139</v>
      </c>
      <c r="NJ80" s="36" t="s">
        <v>139</v>
      </c>
      <c r="NK80" s="36" t="s">
        <v>139</v>
      </c>
      <c r="NL80" s="36" t="s">
        <v>139</v>
      </c>
      <c r="NM80" s="36" t="s">
        <v>139</v>
      </c>
      <c r="NN80" s="36" t="s">
        <v>139</v>
      </c>
      <c r="NO80" s="36" t="s">
        <v>139</v>
      </c>
      <c r="NP80" s="36" t="s">
        <v>139</v>
      </c>
      <c r="NQ80" s="36" t="s">
        <v>139</v>
      </c>
      <c r="NR80" s="36" t="s">
        <v>139</v>
      </c>
      <c r="NS80" s="36" t="s">
        <v>139</v>
      </c>
      <c r="NT80" s="36" t="s">
        <v>139</v>
      </c>
      <c r="NU80" s="36" t="s">
        <v>139</v>
      </c>
      <c r="NV80" s="36" t="s">
        <v>139</v>
      </c>
      <c r="NW80" s="36" t="s">
        <v>139</v>
      </c>
      <c r="NX80" s="36" t="s">
        <v>139</v>
      </c>
      <c r="NY80" s="36" t="s">
        <v>139</v>
      </c>
      <c r="NZ80" s="36" t="s">
        <v>139</v>
      </c>
      <c r="OA80" s="36" t="s">
        <v>139</v>
      </c>
      <c r="OB80" s="36" t="s">
        <v>139</v>
      </c>
      <c r="OC80" s="36" t="s">
        <v>139</v>
      </c>
      <c r="OD80" s="36" t="s">
        <v>139</v>
      </c>
      <c r="OE80" s="36" t="s">
        <v>139</v>
      </c>
      <c r="OF80" s="36" t="s">
        <v>139</v>
      </c>
      <c r="OG80" s="36" t="s">
        <v>139</v>
      </c>
      <c r="OH80" s="36" t="s">
        <v>139</v>
      </c>
      <c r="OI80" s="36" t="s">
        <v>139</v>
      </c>
      <c r="OJ80" s="36" t="s">
        <v>139</v>
      </c>
      <c r="OK80" s="36" t="s">
        <v>139</v>
      </c>
      <c r="OL80" s="36" t="s">
        <v>139</v>
      </c>
      <c r="OM80" s="36" t="s">
        <v>139</v>
      </c>
      <c r="ON80" s="36" t="s">
        <v>139</v>
      </c>
      <c r="OO80" s="36" t="s">
        <v>139</v>
      </c>
      <c r="OP80" s="36" t="s">
        <v>139</v>
      </c>
      <c r="OQ80" s="36" t="s">
        <v>139</v>
      </c>
      <c r="OR80" s="36" t="s">
        <v>139</v>
      </c>
      <c r="OS80" s="36" t="s">
        <v>139</v>
      </c>
      <c r="OT80" s="36" t="s">
        <v>139</v>
      </c>
      <c r="OU80" s="36" t="s">
        <v>139</v>
      </c>
      <c r="OV80" s="36" t="s">
        <v>139</v>
      </c>
      <c r="OW80" s="36" t="s">
        <v>139</v>
      </c>
      <c r="OX80" s="36" t="s">
        <v>139</v>
      </c>
      <c r="OY80" s="36" t="s">
        <v>139</v>
      </c>
      <c r="OZ80" s="36" t="s">
        <v>139</v>
      </c>
      <c r="PA80" s="36" t="s">
        <v>139</v>
      </c>
      <c r="PB80" s="36" t="s">
        <v>139</v>
      </c>
      <c r="PC80" s="36" t="s">
        <v>139</v>
      </c>
      <c r="PD80" s="36" t="s">
        <v>139</v>
      </c>
      <c r="PE80" s="36" t="s">
        <v>139</v>
      </c>
      <c r="PF80" s="36" t="s">
        <v>139</v>
      </c>
      <c r="PG80" s="36" t="s">
        <v>139</v>
      </c>
      <c r="PH80" s="36" t="s">
        <v>139</v>
      </c>
      <c r="PI80" s="36" t="s">
        <v>139</v>
      </c>
      <c r="PJ80" s="36" t="s">
        <v>139</v>
      </c>
      <c r="PK80" s="36" t="s">
        <v>139</v>
      </c>
      <c r="PL80" s="36" t="s">
        <v>139</v>
      </c>
      <c r="PM80" s="36" t="s">
        <v>139</v>
      </c>
      <c r="PN80" s="36" t="s">
        <v>139</v>
      </c>
      <c r="PO80" s="74">
        <f>COUNTIFS($C$27:$PN$27,("&lt;"&amp;$B$3),$C$27:$PN$27,("&gt;="&amp;$B$2),$C80:$PN80,TabAsistencias[[#Headers],[1]])</f>
        <v>30</v>
      </c>
      <c r="PP80" s="74">
        <f>COUNTIFS($C$27:$PN$27,("&lt;"&amp;$B$3),$C$27:$PN$27,("&gt;="&amp;$B$2),$C80:$PN80,TabAsistencias[[#Headers],[E]])</f>
        <v>0</v>
      </c>
      <c r="PQ80" s="74">
        <f>COUNTIFS($C$27:$PN$27,("&lt;"&amp;$B$3),$C$27:$PN$27,("&gt;="&amp;$B$2),$C80:$PN80,TabAsistencias[[#Headers],[DE]])</f>
        <v>0</v>
      </c>
      <c r="PR80" s="74">
        <f>COUNTIFS($C$27:$PN$27,("&lt;"&amp;$B$3),$C$27:$PN$27,("&gt;="&amp;$B$2),$C80:$PN80,TabAsistencias[[#Headers],[V]])</f>
        <v>0</v>
      </c>
      <c r="PS80" s="74">
        <f>COUNTIFS($C$27:$PN$27,("&lt;"&amp;$B$3),$C$27:$PN$27,("&gt;="&amp;$B$2),$C80:$PN80,TabAsistencias[[#Headers],[DO]])</f>
        <v>0</v>
      </c>
      <c r="PT80" s="74">
        <f>COUNTIFS($C$27:$PN$27,("&lt;"&amp;$B$3),$C$27:$PN$27,("&gt;="&amp;$B$2),$C80:$PN80,TabAsistencias[[#Headers],[P]])</f>
        <v>0</v>
      </c>
      <c r="PU80" s="74">
        <f>COUNTIFS($C$27:$PN$27,("&lt;"&amp;$B$3),$C$27:$PN$27,("&gt;="&amp;$B$2),$C80:$PN80,TabAsistencias[[#Headers],[F]])</f>
        <v>0</v>
      </c>
      <c r="PV80" s="74">
        <f>COUNTIFS($C$27:$PN$27,("&lt;"&amp;$B$3),$C$27:$PN$27,("&gt;="&amp;$B$2),$C80:$PN80,TabAsistencias[[#Headers],[R]])</f>
        <v>0</v>
      </c>
      <c r="PW80" s="74">
        <f>COUNTIFS($C$27:$PN$27,("&lt;"&amp;$B$3),$C$27:$PN$27,("&gt;="&amp;$B$2),$C80:$PN80,TabAsistencias[[#Headers],[PP]])</f>
        <v>0</v>
      </c>
      <c r="PX80" s="74">
        <f>COUNTIFS($C$27:$PN$27,("&lt;"&amp;$B$3),$C$27:$PN$27,("&gt;="&amp;$B$2),$C80:$PN80,TabAsistencias[[#Headers],[0]])</f>
        <v>0</v>
      </c>
      <c r="PY80" s="74">
        <f>COUNTIFS($C$27:$PN$27,("&lt;"&amp;$B$3),$C$27:$PN$27,("&gt;="&amp;$B$2),$C80:$PN80,TabAsistencias[[#Headers],[IG]])</f>
        <v>0</v>
      </c>
      <c r="PZ80" s="74">
        <f>COUNTIFS($C$27:$PN$27,("&lt;"&amp;$B$3),$C$27:$PN$27,("&gt;="&amp;$B$2),$C80:$PN80,TabAsistencias[[#Headers],[NA]])</f>
        <v>0</v>
      </c>
      <c r="QA80" s="74">
        <f>COUNTIFS($C$27:$PN$27,("&lt;"&amp;$B$3),$C$27:$PN$27,("&gt;="&amp;$B$2),$C80:$PN80,TabAsistencias[[#Headers],[DF]])</f>
        <v>0</v>
      </c>
      <c r="QB80" s="74">
        <f>COUNTIFS($C$27:$PN$27,("&lt;"&amp;$B$3),$C$27:$PN$27,("&gt;="&amp;$B$2),$C80:$PN80,TabAsistencias[[#Headers],[3]])</f>
        <v>0</v>
      </c>
      <c r="QC80" s="74">
        <f>COUNTIFS($C$27:$PN$27,("&lt;"&amp;$B$3),$C$27:$PN$27,("&gt;="&amp;$B$2),$C80:$PN80,TabAsistencias[[#Headers],[CP]])</f>
        <v>0</v>
      </c>
      <c r="QD80" s="74">
        <f>COUNTIFS($C$27:$PN$27,("&lt;"&amp;$B$3),$C$27:$PN$27,("&gt;="&amp;$B$2),$C80:$PN80,TabAsistencias[[#Headers],[I]])</f>
        <v>0</v>
      </c>
      <c r="QE80" s="74">
        <f>COUNTIFS($C$27:$PN$27,("&lt;"&amp;$B$3),$C$27:$PN$27,("&gt;="&amp;$B$2),$C80:$PN80,TabAsistencias[[#Headers],[T/2]])</f>
        <v>0</v>
      </c>
      <c r="QF80" s="74">
        <f>COUNTIFS($C$27:$PN$27,("&lt;"&amp;$B$3),$C$27:$PN$27,("&gt;="&amp;$B$2),$C80:$PN80,TabAsistencias[[#Headers],[ME]])</f>
        <v>0</v>
      </c>
      <c r="QG80" s="74">
        <f>COUNTIFS($C$27:$PN$27,("&lt;"&amp;$B$3),$C$27:$PN$27,("&gt;="&amp;$B$2),$C80:$PN80,TabAsistencias[[#Headers],[DP]])</f>
        <v>0</v>
      </c>
      <c r="QH80" s="74">
        <f>COUNTIFS($C$27:$PN$27,("&lt;"&amp;$B$3),$C$27:$PN$27,("&gt;="&amp;$B$2),$C80:$PN80,TabAsistencias[[#Headers],[B]])</f>
        <v>0</v>
      </c>
      <c r="QI80" s="74">
        <f>(TabAsistencias[[#This Row],[1]]*'Tablas de informacion'!$C$124)+(TabAsistencias[[#This Row],[E]]*'Tablas de informacion'!$C$125)+(TabAsistencias[[#This Row],[DE]]*'Tablas de informacion'!C$126)+(TabAsistencias[[#This Row],[V]]*'Tablas de informacion'!C$127)+(TabAsistencias[[#This Row],[DO]]*'Tablas de informacion'!C$128)+(TabAsistencias[[#This Row],[P]]*'Tablas de informacion'!C$129)+(TabAsistencias[[#This Row],[F]]*'Tablas de informacion'!C$130)+(TabAsistencias[[#This Row],[R]]*'Tablas de informacion'!C$131)+(TabAsistencias[[#This Row],[PP]]*'Tablas de informacion'!C$132)+(TabAsistencias[[#This Row],[0]]*'Tablas de informacion'!C$133)+(TabAsistencias[[#This Row],[IG]]*'Tablas de informacion'!C$134)+(TabAsistencias[[#This Row],[NA]]*'Tablas de informacion'!C$135)+(TabAsistencias[[#This Row],[DF]]*'Tablas de informacion'!C$136)+(TabAsistencias[[#This Row],[3]]*'Tablas de informacion'!C$137)+(TabAsistencias[[#This Row],[CP]]*'Tablas de informacion'!C$138)+(TabAsistencias[[#This Row],[I]]*'Tablas de informacion'!C$139)+(TabAsistencias[[#This Row],[T/2]]*'Tablas de informacion'!C$140)+(TabAsistencias[[#This Row],[ME]]*'Tablas de informacion'!C$141)+(TabAsistencias[[#This Row],[DP]]*'Tablas de informacion'!C$142)+(TabAsistencias[[#This Row],[B]]*'Tablas de informacion'!C$143)-INT(TabAsistencias[[#This Row],[R]]/3)</f>
        <v>30</v>
      </c>
      <c r="QJ80" s="74">
        <f>COUNTIFS($C$27:$PN$27,("&lt;"&amp;$B$3),$C$27:$PN$27,("&gt;="&amp;$B$2),$C$28:$PN$28,1,$C80:$PN80,TabAsistencias[[#Headers],[1]])+
COUNTIFS($C$27:$PN$27,("&lt;"&amp;$B$3),$C$27:$PN$27,("&gt;="&amp;$B$2),$C$28:$PN$28,1,$C80:$PN80,TabAsistencias[[#Headers],[DO]])+
COUNTIFS($C$27:$PN$27,("&lt;"&amp;$B$3),$C$27:$PN$27,("&gt;="&amp;$B$2),$C$28:$PN$28,1,$C80:$PN80,TabAsistencias[[#Headers],[R]])+
COUNTIFS($C$27:$PN$27,("&lt;"&amp;$B$3),$C$27:$PN$27,("&gt;="&amp;$B$2),$C$28:$PN$28,1,$C80:$PN80,TabAsistencias[[#Headers],[NA]])+
COUNTIFS($C$27:$PN$27,("&lt;"&amp;$B$3),$C$27:$PN$27,("&gt;="&amp;$B$2),$C$28:$PN$28,1,$C80:$PN80,TabAsistencias[[#Headers],[DF]])+
COUNTIFS($C$27:$PN$27,("&lt;"&amp;$B$3),$C$27:$PN$27,("&gt;="&amp;$B$2),$C$28:$PN$28,1,$C80:$PN80,TabAsistencias[[#Headers],[3]])+
COUNTIFS($C$27:$PN$27,("&lt;"&amp;$B$3),$C$27:$PN$27,("&gt;="&amp;$B$2),$C$28:$PN$28,1,$C80:$PN80,TabAsistencias[[#Headers],[CP]])+
COUNTIFS($C$27:$PN$27,("&lt;"&amp;$B$3),$C$27:$PN$27,("&gt;="&amp;$B$2),$C$28:$PN$28,1,$C80:$PN80,TabAsistencias[[#Headers],[T/2]])</f>
        <v>4</v>
      </c>
      <c r="QK80" s="315" cm="1">
        <f t="array" ref="QK80">IFERROR(VLOOKUP(
DATEDIF((VLOOKUP(TabAsistencias[[#This Row],[ID]],TabEmpleados[],COLUMN(TabEmpleados[Fecha de ingreso]),FALSE)),Asistencias!$B$3,"Y"),
TabFactorIntegracion[],COLUMN(TabFactorIntegracion[Días vacacionales
establecidos por ley]),FALSE),0)
-
COUNTIF($AH80:$PN80,TabAsistencias[[#Headers],[V]])</f>
        <v>12</v>
      </c>
      <c r="QL80" s="319">
        <f>SUM(TabAsistencias[[#This Row],[''1]],TabAsistencias[[#This Row],[''DE]],TabAsistencias[[#This Row],[''DO]],TabAsistencias[[#This Row],[''R]],TabAsistencias[[#This Row],[''NA]],TabAsistencias[[#This Row],[''DF]],TabAsistencias[[#This Row],[''3]],TabAsistencias[[#This Row],[''CP]],TabAsistencias[[#This Row],[''T/2]],TabAsistencias[[#This Row],[''DP]])</f>
        <v>73</v>
      </c>
      <c r="QM80" s="314">
        <f>COUNTIFS($C$27:$PN$27,("&lt;"&amp;$B$5),$C$27:$PN$27,("&gt;="&amp;$B$4),$C80:$PN80,TabAsistencias[[#Headers],[1]])</f>
        <v>73</v>
      </c>
      <c r="QN80" s="314">
        <f>COUNTIFS($C$27:$PN$27,("&lt;"&amp;$B$5),$C$27:$PN$27,("&gt;="&amp;$B$4),$C80:$PN80,TabAsistencias[[#Headers],[DE]])</f>
        <v>0</v>
      </c>
      <c r="QO80" s="314">
        <f>COUNTIFS($C$27:$PN$27,("&lt;"&amp;$B$5),$C$27:$PN$27,("&gt;="&amp;$B$4),$C80:$PN80,TabAsistencias[[#Headers],[V]])</f>
        <v>0</v>
      </c>
      <c r="QP80" s="314">
        <f>COUNTIFS($C$27:$PN$27,("&lt;"&amp;$B$5),$C$27:$PN$27,("&gt;="&amp;$B$4),$C80:$PN80,TabAsistencias[[#Headers],[DO]])</f>
        <v>0</v>
      </c>
      <c r="QQ80" s="314">
        <f>COUNTIFS($C$27:$PN$27,("&lt;"&amp;$B$5),$C$27:$PN$27,("&gt;="&amp;$B$4),$C80:$PN80,TabAsistencias[[#Headers],[P]])</f>
        <v>0</v>
      </c>
      <c r="QR80" s="314">
        <f>COUNTIFS($C$27:$PN$27,("&lt;"&amp;$B$5),$C$27:$PN$27,("&gt;="&amp;$B$4),$C80:$PN80,TabAsistencias[[#Headers],[F]])</f>
        <v>0</v>
      </c>
      <c r="QS80" s="314">
        <f>COUNTIFS($C$27:$PN$27,("&lt;"&amp;$B$5),$C$27:$PN$27,("&gt;="&amp;$B$4),$C80:$PN80,TabAsistencias[[#Headers],[R]])</f>
        <v>0</v>
      </c>
      <c r="QT80" s="314">
        <f>COUNTIFS($C$27:$PN$27,("&lt;"&amp;$B$5),$C$27:$PN$27,("&gt;="&amp;$B$4),$C80:$PN80,TabAsistencias[[#Headers],[PP]])</f>
        <v>0</v>
      </c>
      <c r="QU80" s="314">
        <f>COUNTIFS($C$27:$PN$27,("&lt;"&amp;$B$5),$C$27:$PN$27,("&gt;="&amp;$B$4),$C80:$PN80,TabAsistencias[[#Headers],[0]])</f>
        <v>0</v>
      </c>
      <c r="QV80" s="314">
        <f>COUNTIFS($C$27:$PN$27,("&lt;"&amp;$B$5),$C$27:$PN$27,("&gt;="&amp;$B$4),$C80:$PN80,TabAsistencias[[#Headers],[IG]])</f>
        <v>0</v>
      </c>
      <c r="QW80" s="314">
        <f>COUNTIFS($C$27:$PN$27,("&lt;"&amp;$B$5),$C$27:$PN$27,("&gt;="&amp;$B$4),$C80:$PN80,TabAsistencias[[#Headers],[NA]])</f>
        <v>0</v>
      </c>
      <c r="QX80" s="314">
        <f>COUNTIFS($C$27:$PN$27,("&lt;"&amp;$B$5),$C$27:$PN$27,("&gt;="&amp;$B$4),$C80:$PN80,TabAsistencias[[#Headers],[DF]])</f>
        <v>0</v>
      </c>
      <c r="QY80" s="314">
        <f>COUNTIFS($C$27:$PN$27,("&lt;"&amp;$B$5),$C$27:$PN$27,("&gt;="&amp;$B$4),$C80:$PN80,TabAsistencias[[#Headers],[3]])</f>
        <v>0</v>
      </c>
      <c r="QZ80" s="314">
        <f>COUNTIFS($C$27:$PN$27,("&lt;"&amp;$B$5),$C$27:$PN$27,("&gt;="&amp;$B$4),$C80:$PN80,TabAsistencias[[#Headers],[CP]])</f>
        <v>0</v>
      </c>
      <c r="RA80" s="314">
        <f>COUNTIFS($C$27:$PN$27,("&lt;"&amp;$B$5),$C$27:$PN$27,("&gt;="&amp;$B$4),$C80:$PN80,TabAsistencias[[#Headers],[I]])</f>
        <v>0</v>
      </c>
      <c r="RB80" s="314">
        <f>COUNTIFS($C$27:$PN$27,("&lt;"&amp;$B$5),$C$27:$PN$27,("&gt;="&amp;$B$4),$C80:$PN80,TabAsistencias[[#Headers],[T/2]])</f>
        <v>0</v>
      </c>
      <c r="RC80" s="314">
        <f>COUNTIFS($C$27:$PN$27,("&lt;"&amp;$B$5),$C$27:$PN$27,("&gt;="&amp;$B$4),$C80:$PN80,TabAsistencias[[#Headers],[ME]])</f>
        <v>0</v>
      </c>
      <c r="RD80" s="314">
        <f>COUNTIFS($C$27:$PN$27,("&lt;"&amp;$B$5),$C$27:$PN$27,("&gt;="&amp;$B$4),$C80:$PN80,TabAsistencias[[#Headers],[DP]])</f>
        <v>0</v>
      </c>
      <c r="RE80" s="314">
        <f>COUNTIFS($C$27:$PN$27,("&lt;"&amp;$B$5),$C$27:$PN$27,("&gt;="&amp;$B$4),$C80:$PN80,TabAsistencias[[#Headers],[B]])</f>
        <v>0</v>
      </c>
      <c r="RF80" s="314">
        <f>COUNTIFS($C$27:$PN$27,("&lt;"&amp;$B$5),$C$27:$PN$27,("&gt;="&amp;$B$4),$C$28:$PN$28,1,$C80:$PN80,TabAsistencias[[#Headers],[1]])+
COUNTIFS($C$27:$PN$27,("&lt;"&amp;$B$5),$C$27:$PN$27,("&gt;="&amp;$B$4),$C$28:$PN$28,1,$C80:$PN80,TabAsistencias[[#Headers],[DO]])+
COUNTIFS($C$27:$PN$27,("&lt;"&amp;$B$5),$C$27:$PN$27,("&gt;="&amp;$B$4),$C$28:$PN$28,1,$C80:$PN80,TabAsistencias[[#Headers],[R]])+
COUNTIFS($C$27:$PN$27,("&lt;"&amp;$B$5),$C$27:$PN$27,("&gt;="&amp;$B$4),$C$28:$PN$28,1,$C80:$PN80,TabAsistencias[[#Headers],[NA]])+
COUNTIFS($C$27:$PN$27,("&lt;"&amp;$B$5),$C$27:$PN$27,("&gt;="&amp;$B$4),$C$28:$PN$28,1,$C80:$PN80,TabAsistencias[[#Headers],[DF]])+
COUNTIFS($C$27:$PN$27,("&lt;"&amp;$B$5),$C$27:$PN$27,("&gt;="&amp;$B$4),$C$28:$PN$28,1,$C80:$PN80,TabAsistencias[[#Headers],[3]])+
COUNTIFS($C$27:$PN$27,("&lt;"&amp;$B$5),$C$27:$PN$27,("&gt;="&amp;$B$4),$C$28:$PN$28,1,$C80:$PN80,TabAsistencias[[#Headers],[CP]])+
COUNTIFS($C$27:$PN$27,("&lt;"&amp;$B$5),$C$27:$PN$27,("&gt;="&amp;$B$4),$C$28:$PN$28,1,$C80:$PN80,TabAsistencias[[#Headers],[T/2]])</f>
        <v>11</v>
      </c>
      <c r="RG80" s="320" cm="1">
        <f t="array" ref="RG80">IFERROR(VLOOKUP(
DATEDIF((VLOOKUP(TabAsistencias[[#This Row],[ID]],TabEmpleados[],COLUMN(TabEmpleados[Fecha de alta NSS]),FALSE)),Asistencias!$B$3,"Y"),
TabFactorIntegracion[],COLUMN(TabFactorIntegracion[Días vacacionales
establecidos por ley]),FALSE),0)
-
COUNTIF($AH80:$PN80,TabAsistencias[[#Headers],[V]])</f>
        <v>12</v>
      </c>
    </row>
    <row r="81" spans="1:475" x14ac:dyDescent="0.25">
      <c r="A81" s="92">
        <f t="shared" si="434"/>
        <v>51</v>
      </c>
      <c r="B81" s="30" t="str" cm="1">
        <f t="array" ref="B81">VLOOKUP(TabAsistencias[[#This Row],[ID]],TabEmpleados[],COLUMN(TabEmpleados[Nombre]),FALSE)</f>
        <v>JOSE JIMENEZ JULIO CESAR</v>
      </c>
      <c r="C81" s="36" t="s">
        <v>139</v>
      </c>
      <c r="D81" s="36" t="s">
        <v>139</v>
      </c>
      <c r="E81" s="36" t="s">
        <v>139</v>
      </c>
      <c r="F81" s="36" t="s">
        <v>139</v>
      </c>
      <c r="G81" s="36" t="s">
        <v>139</v>
      </c>
      <c r="H81" s="36" t="s">
        <v>139</v>
      </c>
      <c r="I81" s="36" t="s">
        <v>139</v>
      </c>
      <c r="J81" s="36" t="s">
        <v>139</v>
      </c>
      <c r="K81" s="36" t="s">
        <v>139</v>
      </c>
      <c r="L81" s="36" t="s">
        <v>139</v>
      </c>
      <c r="M81" s="36" t="s">
        <v>139</v>
      </c>
      <c r="N81" s="36" t="s">
        <v>139</v>
      </c>
      <c r="O81" s="36" t="s">
        <v>139</v>
      </c>
      <c r="P81" s="36" t="s">
        <v>139</v>
      </c>
      <c r="Q81" s="36" t="s">
        <v>139</v>
      </c>
      <c r="R81" s="36" t="s">
        <v>139</v>
      </c>
      <c r="S81" s="36" t="s">
        <v>139</v>
      </c>
      <c r="T81" s="36" t="s">
        <v>139</v>
      </c>
      <c r="U81" s="36" t="s">
        <v>139</v>
      </c>
      <c r="V81" s="36" t="s">
        <v>139</v>
      </c>
      <c r="W81" s="36" t="s">
        <v>139</v>
      </c>
      <c r="X81" s="36" t="s">
        <v>139</v>
      </c>
      <c r="Y81" s="36" t="s">
        <v>139</v>
      </c>
      <c r="Z81" s="36" t="s">
        <v>139</v>
      </c>
      <c r="AA81" s="36" t="s">
        <v>139</v>
      </c>
      <c r="AB81" s="36" t="s">
        <v>139</v>
      </c>
      <c r="AC81" s="36" t="s">
        <v>139</v>
      </c>
      <c r="AD81" s="36" t="s">
        <v>139</v>
      </c>
      <c r="AE81" s="36" t="s">
        <v>139</v>
      </c>
      <c r="AF81" s="36" t="s">
        <v>139</v>
      </c>
      <c r="AG81" s="36" t="s">
        <v>139</v>
      </c>
      <c r="AH81" s="36" t="s">
        <v>139</v>
      </c>
      <c r="AI81" s="36" t="s">
        <v>139</v>
      </c>
      <c r="AJ81" s="36" t="s">
        <v>139</v>
      </c>
      <c r="AK81" s="36" t="s">
        <v>139</v>
      </c>
      <c r="AL81" s="36" t="s">
        <v>139</v>
      </c>
      <c r="AM81" s="36" t="s">
        <v>139</v>
      </c>
      <c r="AN81" s="36" t="s">
        <v>139</v>
      </c>
      <c r="AO81" s="36" t="s">
        <v>139</v>
      </c>
      <c r="AP81" s="36" t="s">
        <v>139</v>
      </c>
      <c r="AQ81" s="36" t="s">
        <v>139</v>
      </c>
      <c r="AR81" s="36" t="s">
        <v>139</v>
      </c>
      <c r="AS81" s="36" t="s">
        <v>139</v>
      </c>
      <c r="AT81" s="36" t="s">
        <v>139</v>
      </c>
      <c r="AU81" s="36" t="s">
        <v>139</v>
      </c>
      <c r="AV81" s="36" t="s">
        <v>139</v>
      </c>
      <c r="AW81" s="36" t="s">
        <v>139</v>
      </c>
      <c r="AX81" s="36" t="s">
        <v>139</v>
      </c>
      <c r="AY81" s="36" t="s">
        <v>139</v>
      </c>
      <c r="AZ81" s="36" t="s">
        <v>139</v>
      </c>
      <c r="BA81" s="36" t="s">
        <v>139</v>
      </c>
      <c r="BB81" s="36" t="s">
        <v>139</v>
      </c>
      <c r="BC81" s="36" t="s">
        <v>139</v>
      </c>
      <c r="BD81" s="36" t="s">
        <v>139</v>
      </c>
      <c r="BE81" s="36" t="s">
        <v>139</v>
      </c>
      <c r="BF81" s="36" t="s">
        <v>139</v>
      </c>
      <c r="BG81" s="36" t="s">
        <v>139</v>
      </c>
      <c r="BH81" s="36" t="s">
        <v>139</v>
      </c>
      <c r="BI81" s="36" t="s">
        <v>139</v>
      </c>
      <c r="BJ81" s="36" t="s">
        <v>139</v>
      </c>
      <c r="BK81" s="36" t="s">
        <v>139</v>
      </c>
      <c r="BL81" s="36" t="s">
        <v>139</v>
      </c>
      <c r="BM81" s="36" t="s">
        <v>139</v>
      </c>
      <c r="BN81" s="36" t="s">
        <v>139</v>
      </c>
      <c r="BO81" s="36" t="s">
        <v>139</v>
      </c>
      <c r="BP81" s="36" t="s">
        <v>139</v>
      </c>
      <c r="BQ81" s="36" t="s">
        <v>139</v>
      </c>
      <c r="BR81" s="36" t="s">
        <v>139</v>
      </c>
      <c r="BS81" s="36" t="s">
        <v>139</v>
      </c>
      <c r="BT81" s="36" t="s">
        <v>139</v>
      </c>
      <c r="BU81" s="36" t="s">
        <v>139</v>
      </c>
      <c r="BV81" s="36" t="s">
        <v>139</v>
      </c>
      <c r="BW81" s="36" t="s">
        <v>139</v>
      </c>
      <c r="BX81" s="36" t="s">
        <v>139</v>
      </c>
      <c r="BY81" s="36" t="s">
        <v>139</v>
      </c>
      <c r="BZ81" s="36" t="s">
        <v>139</v>
      </c>
      <c r="CA81" s="36" t="s">
        <v>139</v>
      </c>
      <c r="CB81" s="36" t="s">
        <v>139</v>
      </c>
      <c r="CC81" s="36" t="s">
        <v>139</v>
      </c>
      <c r="CD81" s="36" t="s">
        <v>139</v>
      </c>
      <c r="CE81" s="36" t="s">
        <v>139</v>
      </c>
      <c r="CF81" s="36" t="s">
        <v>139</v>
      </c>
      <c r="CG81" s="36" t="s">
        <v>139</v>
      </c>
      <c r="CH81" s="36" t="s">
        <v>139</v>
      </c>
      <c r="CI81" s="36" t="s">
        <v>139</v>
      </c>
      <c r="CJ81" s="36" t="s">
        <v>139</v>
      </c>
      <c r="CK81" s="36" t="s">
        <v>139</v>
      </c>
      <c r="CL81" s="36" t="s">
        <v>139</v>
      </c>
      <c r="CM81" s="36" t="s">
        <v>139</v>
      </c>
      <c r="CN81" s="36" t="s">
        <v>139</v>
      </c>
      <c r="CO81" s="36" t="s">
        <v>139</v>
      </c>
      <c r="CP81" s="36" t="s">
        <v>139</v>
      </c>
      <c r="CQ81" s="36" t="s">
        <v>139</v>
      </c>
      <c r="CR81" s="36" t="s">
        <v>139</v>
      </c>
      <c r="CS81" s="36" t="s">
        <v>139</v>
      </c>
      <c r="CT81" s="36" t="s">
        <v>139</v>
      </c>
      <c r="CU81" s="36" t="s">
        <v>139</v>
      </c>
      <c r="CV81" s="36" t="s">
        <v>139</v>
      </c>
      <c r="CW81" s="36" t="s">
        <v>139</v>
      </c>
      <c r="CX81" s="36" t="s">
        <v>139</v>
      </c>
      <c r="CY81" s="36" t="s">
        <v>139</v>
      </c>
      <c r="CZ81" s="36" t="s">
        <v>139</v>
      </c>
      <c r="DA81" s="36" t="s">
        <v>139</v>
      </c>
      <c r="DB81" s="36" t="s">
        <v>139</v>
      </c>
      <c r="DC81" s="36" t="s">
        <v>139</v>
      </c>
      <c r="DD81" s="36" t="s">
        <v>139</v>
      </c>
      <c r="DE81" s="36" t="s">
        <v>139</v>
      </c>
      <c r="DF81" s="36" t="s">
        <v>139</v>
      </c>
      <c r="DG81" s="36" t="s">
        <v>139</v>
      </c>
      <c r="DH81" s="36" t="s">
        <v>139</v>
      </c>
      <c r="DI81" s="36" t="s">
        <v>139</v>
      </c>
      <c r="DJ81" s="36" t="s">
        <v>139</v>
      </c>
      <c r="DK81" s="36" t="s">
        <v>139</v>
      </c>
      <c r="DL81" s="36" t="s">
        <v>139</v>
      </c>
      <c r="DM81" s="36" t="s">
        <v>139</v>
      </c>
      <c r="DN81" s="36" t="s">
        <v>139</v>
      </c>
      <c r="DO81" s="36" t="s">
        <v>139</v>
      </c>
      <c r="DP81" s="36" t="s">
        <v>139</v>
      </c>
      <c r="DQ81" s="36" t="s">
        <v>139</v>
      </c>
      <c r="DR81" s="36" t="s">
        <v>139</v>
      </c>
      <c r="DS81" s="36" t="s">
        <v>139</v>
      </c>
      <c r="DT81" s="36" t="s">
        <v>139</v>
      </c>
      <c r="DU81" s="36" t="s">
        <v>139</v>
      </c>
      <c r="DV81" s="36" t="s">
        <v>139</v>
      </c>
      <c r="DW81" s="36" t="s">
        <v>139</v>
      </c>
      <c r="DX81" s="36" t="s">
        <v>139</v>
      </c>
      <c r="DY81" s="36" t="s">
        <v>139</v>
      </c>
      <c r="DZ81" s="36" t="s">
        <v>139</v>
      </c>
      <c r="EA81" s="36" t="s">
        <v>139</v>
      </c>
      <c r="EB81" s="36" t="s">
        <v>139</v>
      </c>
      <c r="EC81" s="36" t="s">
        <v>139</v>
      </c>
      <c r="ED81" s="36" t="s">
        <v>139</v>
      </c>
      <c r="EE81" s="36" t="s">
        <v>139</v>
      </c>
      <c r="EF81" s="36" t="s">
        <v>139</v>
      </c>
      <c r="EG81" s="36" t="s">
        <v>139</v>
      </c>
      <c r="EH81" s="36" t="s">
        <v>139</v>
      </c>
      <c r="EI81" s="36" t="s">
        <v>139</v>
      </c>
      <c r="EJ81" s="36" t="s">
        <v>139</v>
      </c>
      <c r="EK81" s="36" t="s">
        <v>139</v>
      </c>
      <c r="EL81" s="36" t="s">
        <v>139</v>
      </c>
      <c r="EM81" s="36" t="s">
        <v>139</v>
      </c>
      <c r="EN81" s="36" t="s">
        <v>139</v>
      </c>
      <c r="EO81" s="36" t="s">
        <v>139</v>
      </c>
      <c r="EP81" s="36" t="s">
        <v>139</v>
      </c>
      <c r="EQ81" s="36" t="s">
        <v>139</v>
      </c>
      <c r="ER81" s="36" t="s">
        <v>139</v>
      </c>
      <c r="ES81" s="36" t="s">
        <v>139</v>
      </c>
      <c r="ET81" s="36" t="s">
        <v>139</v>
      </c>
      <c r="EU81" s="36" t="s">
        <v>139</v>
      </c>
      <c r="EV81" s="36" t="s">
        <v>139</v>
      </c>
      <c r="EW81" s="36" t="s">
        <v>139</v>
      </c>
      <c r="EX81" s="36" t="s">
        <v>139</v>
      </c>
      <c r="EY81" s="36" t="s">
        <v>139</v>
      </c>
      <c r="EZ81" s="36" t="s">
        <v>139</v>
      </c>
      <c r="FA81" s="36" t="s">
        <v>139</v>
      </c>
      <c r="FB81" s="36" t="s">
        <v>139</v>
      </c>
      <c r="FC81" s="36" t="s">
        <v>139</v>
      </c>
      <c r="FD81" s="36" t="s">
        <v>139</v>
      </c>
      <c r="FE81" s="36" t="s">
        <v>139</v>
      </c>
      <c r="FF81" s="36" t="s">
        <v>139</v>
      </c>
      <c r="FG81" s="36" t="s">
        <v>139</v>
      </c>
      <c r="FH81" s="36" t="s">
        <v>139</v>
      </c>
      <c r="FI81" s="36" t="s">
        <v>139</v>
      </c>
      <c r="FJ81" s="36" t="s">
        <v>139</v>
      </c>
      <c r="FK81" s="36" t="s">
        <v>139</v>
      </c>
      <c r="FL81" s="36" t="s">
        <v>139</v>
      </c>
      <c r="FM81" s="36" t="s">
        <v>139</v>
      </c>
      <c r="FN81" s="36" t="s">
        <v>139</v>
      </c>
      <c r="FO81" s="36" t="s">
        <v>139</v>
      </c>
      <c r="FP81" s="36" t="s">
        <v>139</v>
      </c>
      <c r="FQ81" s="36" t="s">
        <v>139</v>
      </c>
      <c r="FR81" s="36" t="s">
        <v>139</v>
      </c>
      <c r="FS81" s="36" t="s">
        <v>139</v>
      </c>
      <c r="FT81" s="36" t="s">
        <v>139</v>
      </c>
      <c r="FU81" s="36" t="s">
        <v>139</v>
      </c>
      <c r="FV81" s="36" t="s">
        <v>139</v>
      </c>
      <c r="FW81" s="36" t="s">
        <v>139</v>
      </c>
      <c r="FX81" s="36" t="s">
        <v>139</v>
      </c>
      <c r="FY81" s="36" t="s">
        <v>139</v>
      </c>
      <c r="FZ81" s="36" t="s">
        <v>139</v>
      </c>
      <c r="GA81" s="36" t="s">
        <v>139</v>
      </c>
      <c r="GB81" s="36" t="s">
        <v>139</v>
      </c>
      <c r="GC81" s="36" t="s">
        <v>139</v>
      </c>
      <c r="GD81" s="36" t="s">
        <v>139</v>
      </c>
      <c r="GE81" s="36" t="s">
        <v>139</v>
      </c>
      <c r="GF81" s="36" t="s">
        <v>139</v>
      </c>
      <c r="GG81" s="36" t="s">
        <v>139</v>
      </c>
      <c r="GH81" s="36" t="s">
        <v>139</v>
      </c>
      <c r="GI81" s="36" t="s">
        <v>139</v>
      </c>
      <c r="GJ81" s="36" t="s">
        <v>139</v>
      </c>
      <c r="GK81" s="36" t="s">
        <v>139</v>
      </c>
      <c r="GL81" s="36" t="s">
        <v>139</v>
      </c>
      <c r="GM81" s="36" t="s">
        <v>139</v>
      </c>
      <c r="GN81" s="36" t="s">
        <v>139</v>
      </c>
      <c r="GO81" s="36" t="s">
        <v>139</v>
      </c>
      <c r="GP81" s="36" t="s">
        <v>139</v>
      </c>
      <c r="GQ81" s="36" t="s">
        <v>139</v>
      </c>
      <c r="GR81" s="36" t="s">
        <v>139</v>
      </c>
      <c r="GS81" s="36" t="s">
        <v>139</v>
      </c>
      <c r="GT81" s="36" t="s">
        <v>139</v>
      </c>
      <c r="GU81" s="36" t="s">
        <v>139</v>
      </c>
      <c r="GV81" s="36" t="s">
        <v>139</v>
      </c>
      <c r="GW81" s="36" t="s">
        <v>139</v>
      </c>
      <c r="GX81" s="36" t="s">
        <v>139</v>
      </c>
      <c r="GY81" s="36" t="s">
        <v>139</v>
      </c>
      <c r="GZ81" s="36" t="s">
        <v>139</v>
      </c>
      <c r="HA81" s="36" t="s">
        <v>139</v>
      </c>
      <c r="HB81" s="36" t="s">
        <v>139</v>
      </c>
      <c r="HC81" s="36" t="s">
        <v>139</v>
      </c>
      <c r="HD81" s="36" t="s">
        <v>139</v>
      </c>
      <c r="HE81" s="36" t="s">
        <v>139</v>
      </c>
      <c r="HF81" s="36" t="s">
        <v>139</v>
      </c>
      <c r="HG81" s="36" t="s">
        <v>139</v>
      </c>
      <c r="HH81" s="36" t="s">
        <v>139</v>
      </c>
      <c r="HI81" s="36" t="s">
        <v>139</v>
      </c>
      <c r="HJ81" s="36" t="s">
        <v>139</v>
      </c>
      <c r="HK81" s="36" t="s">
        <v>139</v>
      </c>
      <c r="HL81" s="36" t="s">
        <v>139</v>
      </c>
      <c r="HM81" s="36" t="s">
        <v>139</v>
      </c>
      <c r="HN81" s="36" t="s">
        <v>139</v>
      </c>
      <c r="HO81" s="36" t="s">
        <v>139</v>
      </c>
      <c r="HP81" s="36" t="s">
        <v>139</v>
      </c>
      <c r="HQ81" s="36" t="s">
        <v>139</v>
      </c>
      <c r="HR81" s="36" t="s">
        <v>139</v>
      </c>
      <c r="HS81" s="36" t="s">
        <v>139</v>
      </c>
      <c r="HT81" s="36" t="s">
        <v>139</v>
      </c>
      <c r="HU81" s="36" t="s">
        <v>139</v>
      </c>
      <c r="HV81" s="36" t="s">
        <v>139</v>
      </c>
      <c r="HW81" s="36" t="s">
        <v>139</v>
      </c>
      <c r="HX81" s="36" t="s">
        <v>139</v>
      </c>
      <c r="HY81" s="36" t="s">
        <v>139</v>
      </c>
      <c r="HZ81" s="36" t="s">
        <v>139</v>
      </c>
      <c r="IA81" s="36" t="s">
        <v>139</v>
      </c>
      <c r="IB81" s="36" t="s">
        <v>139</v>
      </c>
      <c r="IC81" s="36" t="s">
        <v>139</v>
      </c>
      <c r="ID81" s="36" t="s">
        <v>139</v>
      </c>
      <c r="IE81" s="36" t="s">
        <v>139</v>
      </c>
      <c r="IF81" s="36" t="s">
        <v>139</v>
      </c>
      <c r="IG81" s="36" t="s">
        <v>139</v>
      </c>
      <c r="IH81" s="36" t="s">
        <v>139</v>
      </c>
      <c r="II81" s="36" t="s">
        <v>139</v>
      </c>
      <c r="IJ81" s="36" t="s">
        <v>139</v>
      </c>
      <c r="IK81" s="36" t="s">
        <v>139</v>
      </c>
      <c r="IL81" s="36" t="s">
        <v>139</v>
      </c>
      <c r="IM81" s="36" t="s">
        <v>139</v>
      </c>
      <c r="IN81" s="36" t="s">
        <v>139</v>
      </c>
      <c r="IO81" s="36" t="s">
        <v>139</v>
      </c>
      <c r="IP81" s="36" t="s">
        <v>139</v>
      </c>
      <c r="IQ81" s="36" t="s">
        <v>139</v>
      </c>
      <c r="IR81" s="36" t="s">
        <v>139</v>
      </c>
      <c r="IS81" s="36" t="s">
        <v>139</v>
      </c>
      <c r="IT81" s="36" t="s">
        <v>139</v>
      </c>
      <c r="IU81" s="36" t="s">
        <v>139</v>
      </c>
      <c r="IV81" s="36" t="s">
        <v>139</v>
      </c>
      <c r="IW81" s="36" t="s">
        <v>139</v>
      </c>
      <c r="IX81" s="36" t="s">
        <v>139</v>
      </c>
      <c r="IY81" s="36" t="s">
        <v>139</v>
      </c>
      <c r="IZ81" s="36" t="s">
        <v>139</v>
      </c>
      <c r="JA81" s="36" t="s">
        <v>139</v>
      </c>
      <c r="JB81" s="36" t="s">
        <v>139</v>
      </c>
      <c r="JC81" s="36" t="s">
        <v>139</v>
      </c>
      <c r="JD81" s="36" t="s">
        <v>139</v>
      </c>
      <c r="JE81" s="36" t="s">
        <v>139</v>
      </c>
      <c r="JF81" s="36" t="s">
        <v>139</v>
      </c>
      <c r="JG81" s="36" t="s">
        <v>139</v>
      </c>
      <c r="JH81" s="36" t="s">
        <v>139</v>
      </c>
      <c r="JI81" s="36" t="s">
        <v>139</v>
      </c>
      <c r="JJ81" s="36" t="s">
        <v>139</v>
      </c>
      <c r="JK81" s="36" t="s">
        <v>139</v>
      </c>
      <c r="JL81" s="36" t="s">
        <v>139</v>
      </c>
      <c r="JM81" s="36" t="s">
        <v>139</v>
      </c>
      <c r="JN81" s="36" t="s">
        <v>139</v>
      </c>
      <c r="JO81" s="36" t="s">
        <v>139</v>
      </c>
      <c r="JP81" s="36" t="s">
        <v>139</v>
      </c>
      <c r="JQ81" s="36" t="s">
        <v>139</v>
      </c>
      <c r="JR81" s="36" t="s">
        <v>139</v>
      </c>
      <c r="JS81" s="36" t="s">
        <v>139</v>
      </c>
      <c r="JT81" s="36" t="s">
        <v>139</v>
      </c>
      <c r="JU81" s="36" t="s">
        <v>139</v>
      </c>
      <c r="JV81" s="36" t="s">
        <v>139</v>
      </c>
      <c r="JW81" s="36" t="s">
        <v>139</v>
      </c>
      <c r="JX81" s="36" t="s">
        <v>139</v>
      </c>
      <c r="JY81" s="36" t="s">
        <v>139</v>
      </c>
      <c r="JZ81" s="36" t="s">
        <v>139</v>
      </c>
      <c r="KA81" s="36" t="s">
        <v>139</v>
      </c>
      <c r="KB81" s="36" t="s">
        <v>139</v>
      </c>
      <c r="KC81" s="36" t="s">
        <v>139</v>
      </c>
      <c r="KD81" s="36" t="s">
        <v>139</v>
      </c>
      <c r="KE81" s="36" t="s">
        <v>139</v>
      </c>
      <c r="KF81" s="36" t="s">
        <v>139</v>
      </c>
      <c r="KG81" s="36" t="s">
        <v>139</v>
      </c>
      <c r="KH81" s="36" t="s">
        <v>139</v>
      </c>
      <c r="KI81" s="36" t="s">
        <v>139</v>
      </c>
      <c r="KJ81" s="36" t="s">
        <v>139</v>
      </c>
      <c r="KK81" s="36" t="s">
        <v>139</v>
      </c>
      <c r="KL81" s="36" t="s">
        <v>139</v>
      </c>
      <c r="KM81" s="36" t="s">
        <v>139</v>
      </c>
      <c r="KN81" s="36" t="s">
        <v>139</v>
      </c>
      <c r="KO81" s="36" t="s">
        <v>139</v>
      </c>
      <c r="KP81" s="36" t="s">
        <v>139</v>
      </c>
      <c r="KQ81" s="36" t="s">
        <v>139</v>
      </c>
      <c r="KR81" s="36" t="s">
        <v>139</v>
      </c>
      <c r="KS81" s="36" t="s">
        <v>139</v>
      </c>
      <c r="KT81" s="36" t="s">
        <v>139</v>
      </c>
      <c r="KU81" s="36" t="s">
        <v>139</v>
      </c>
      <c r="KV81" s="36" t="s">
        <v>139</v>
      </c>
      <c r="KW81" s="36" t="s">
        <v>139</v>
      </c>
      <c r="KX81" s="36" t="s">
        <v>139</v>
      </c>
      <c r="KY81" s="36" t="s">
        <v>139</v>
      </c>
      <c r="KZ81" s="36" t="s">
        <v>139</v>
      </c>
      <c r="LA81" s="36" t="s">
        <v>139</v>
      </c>
      <c r="LB81" s="36" t="s">
        <v>139</v>
      </c>
      <c r="LC81" s="36" t="s">
        <v>139</v>
      </c>
      <c r="LD81" s="36" t="s">
        <v>139</v>
      </c>
      <c r="LE81" s="36" t="s">
        <v>139</v>
      </c>
      <c r="LF81" s="36" t="s">
        <v>139</v>
      </c>
      <c r="LG81" s="36" t="s">
        <v>139</v>
      </c>
      <c r="LH81" s="36" t="s">
        <v>139</v>
      </c>
      <c r="LI81" s="36" t="s">
        <v>139</v>
      </c>
      <c r="LJ81" s="36" t="s">
        <v>139</v>
      </c>
      <c r="LK81" s="36" t="s">
        <v>139</v>
      </c>
      <c r="LL81" s="36" t="s">
        <v>139</v>
      </c>
      <c r="LM81" s="36" t="s">
        <v>139</v>
      </c>
      <c r="LN81" s="36" t="s">
        <v>139</v>
      </c>
      <c r="LO81" s="36" t="s">
        <v>139</v>
      </c>
      <c r="LP81" s="36" t="s">
        <v>139</v>
      </c>
      <c r="LQ81" s="36" t="s">
        <v>139</v>
      </c>
      <c r="LR81" s="36" t="s">
        <v>139</v>
      </c>
      <c r="LS81" s="36" t="s">
        <v>139</v>
      </c>
      <c r="LT81" s="36" t="s">
        <v>139</v>
      </c>
      <c r="LU81" s="36" t="s">
        <v>139</v>
      </c>
      <c r="LV81" s="36" t="s">
        <v>139</v>
      </c>
      <c r="LW81" s="36" t="s">
        <v>139</v>
      </c>
      <c r="LX81" s="36" t="s">
        <v>139</v>
      </c>
      <c r="LY81" s="36" t="s">
        <v>139</v>
      </c>
      <c r="LZ81" s="36" t="s">
        <v>139</v>
      </c>
      <c r="MA81" s="36" t="s">
        <v>139</v>
      </c>
      <c r="MB81" s="36" t="s">
        <v>139</v>
      </c>
      <c r="MC81" s="36" t="s">
        <v>139</v>
      </c>
      <c r="MD81" s="36" t="s">
        <v>139</v>
      </c>
      <c r="ME81" s="36" t="s">
        <v>139</v>
      </c>
      <c r="MF81" s="36" t="s">
        <v>139</v>
      </c>
      <c r="MG81" s="36" t="s">
        <v>139</v>
      </c>
      <c r="MH81" s="36" t="s">
        <v>139</v>
      </c>
      <c r="MI81" s="36" t="s">
        <v>139</v>
      </c>
      <c r="MJ81" s="36" t="s">
        <v>139</v>
      </c>
      <c r="MK81" s="36" t="s">
        <v>139</v>
      </c>
      <c r="ML81" s="36" t="s">
        <v>139</v>
      </c>
      <c r="MM81" s="36" t="s">
        <v>139</v>
      </c>
      <c r="MN81" s="36" t="s">
        <v>139</v>
      </c>
      <c r="MO81" s="36" t="s">
        <v>139</v>
      </c>
      <c r="MP81" s="36" t="s">
        <v>139</v>
      </c>
      <c r="MQ81" s="36" t="s">
        <v>139</v>
      </c>
      <c r="MR81" s="36" t="s">
        <v>139</v>
      </c>
      <c r="MS81" s="36" t="s">
        <v>139</v>
      </c>
      <c r="MT81" s="36" t="s">
        <v>139</v>
      </c>
      <c r="MU81" s="36" t="s">
        <v>139</v>
      </c>
      <c r="MV81" s="36" t="s">
        <v>139</v>
      </c>
      <c r="MW81" s="36" t="s">
        <v>139</v>
      </c>
      <c r="MX81" s="36" t="s">
        <v>139</v>
      </c>
      <c r="MY81" s="36" t="s">
        <v>139</v>
      </c>
      <c r="MZ81" s="36" t="s">
        <v>139</v>
      </c>
      <c r="NA81" s="36" t="s">
        <v>139</v>
      </c>
      <c r="NB81" s="36" t="s">
        <v>139</v>
      </c>
      <c r="NC81" s="36" t="s">
        <v>139</v>
      </c>
      <c r="ND81" s="36" t="s">
        <v>139</v>
      </c>
      <c r="NE81" s="36" t="s">
        <v>139</v>
      </c>
      <c r="NF81" s="36" t="s">
        <v>139</v>
      </c>
      <c r="NG81" s="36" t="s">
        <v>139</v>
      </c>
      <c r="NH81" s="36" t="s">
        <v>139</v>
      </c>
      <c r="NI81" s="36" t="s">
        <v>139</v>
      </c>
      <c r="NJ81" s="36" t="s">
        <v>139</v>
      </c>
      <c r="NK81" s="36" t="s">
        <v>139</v>
      </c>
      <c r="NL81" s="36" t="s">
        <v>139</v>
      </c>
      <c r="NM81" s="36" t="s">
        <v>139</v>
      </c>
      <c r="NN81" s="36" t="s">
        <v>139</v>
      </c>
      <c r="NO81" s="36" t="s">
        <v>139</v>
      </c>
      <c r="NP81" s="36" t="s">
        <v>139</v>
      </c>
      <c r="NQ81" s="36" t="s">
        <v>139</v>
      </c>
      <c r="NR81" s="36" t="s">
        <v>139</v>
      </c>
      <c r="NS81" s="36" t="s">
        <v>139</v>
      </c>
      <c r="NT81" s="36" t="s">
        <v>139</v>
      </c>
      <c r="NU81" s="36" t="s">
        <v>139</v>
      </c>
      <c r="NV81" s="36" t="s">
        <v>139</v>
      </c>
      <c r="NW81" s="36" t="s">
        <v>139</v>
      </c>
      <c r="NX81" s="36" t="s">
        <v>139</v>
      </c>
      <c r="NY81" s="36" t="s">
        <v>139</v>
      </c>
      <c r="NZ81" s="36" t="s">
        <v>139</v>
      </c>
      <c r="OA81" s="36" t="s">
        <v>139</v>
      </c>
      <c r="OB81" s="36" t="s">
        <v>139</v>
      </c>
      <c r="OC81" s="36" t="s">
        <v>139</v>
      </c>
      <c r="OD81" s="36" t="s">
        <v>139</v>
      </c>
      <c r="OE81" s="36" t="s">
        <v>139</v>
      </c>
      <c r="OF81" s="36" t="s">
        <v>139</v>
      </c>
      <c r="OG81" s="36" t="s">
        <v>139</v>
      </c>
      <c r="OH81" s="36" t="s">
        <v>139</v>
      </c>
      <c r="OI81" s="36" t="s">
        <v>139</v>
      </c>
      <c r="OJ81" s="36" t="s">
        <v>139</v>
      </c>
      <c r="OK81" s="36" t="s">
        <v>139</v>
      </c>
      <c r="OL81" s="36" t="s">
        <v>139</v>
      </c>
      <c r="OM81" s="36" t="s">
        <v>139</v>
      </c>
      <c r="ON81" s="36" t="s">
        <v>139</v>
      </c>
      <c r="OO81" s="36" t="s">
        <v>139</v>
      </c>
      <c r="OP81" s="36" t="s">
        <v>139</v>
      </c>
      <c r="OQ81" s="36" t="s">
        <v>139</v>
      </c>
      <c r="OR81" s="36" t="s">
        <v>139</v>
      </c>
      <c r="OS81" s="36" t="s">
        <v>139</v>
      </c>
      <c r="OT81" s="36" t="s">
        <v>139</v>
      </c>
      <c r="OU81" s="36" t="s">
        <v>139</v>
      </c>
      <c r="OV81" s="36" t="s">
        <v>139</v>
      </c>
      <c r="OW81" s="36" t="s">
        <v>139</v>
      </c>
      <c r="OX81" s="36" t="s">
        <v>139</v>
      </c>
      <c r="OY81" s="36" t="s">
        <v>139</v>
      </c>
      <c r="OZ81" s="36" t="s">
        <v>139</v>
      </c>
      <c r="PA81" s="36" t="s">
        <v>139</v>
      </c>
      <c r="PB81" s="36" t="s">
        <v>139</v>
      </c>
      <c r="PC81" s="36" t="s">
        <v>139</v>
      </c>
      <c r="PD81" s="36" t="s">
        <v>139</v>
      </c>
      <c r="PE81" s="36" t="s">
        <v>139</v>
      </c>
      <c r="PF81" s="36" t="s">
        <v>139</v>
      </c>
      <c r="PG81" s="36" t="s">
        <v>139</v>
      </c>
      <c r="PH81" s="36" t="s">
        <v>139</v>
      </c>
      <c r="PI81" s="36" t="s">
        <v>139</v>
      </c>
      <c r="PJ81" s="36" t="s">
        <v>139</v>
      </c>
      <c r="PK81" s="36" t="s">
        <v>139</v>
      </c>
      <c r="PL81" s="36" t="s">
        <v>139</v>
      </c>
      <c r="PM81" s="36" t="s">
        <v>139</v>
      </c>
      <c r="PN81" s="36" t="s">
        <v>139</v>
      </c>
      <c r="PO81" s="74">
        <f>COUNTIFS($C$27:$PN$27,("&lt;"&amp;$B$3),$C$27:$PN$27,("&gt;="&amp;$B$2),$C81:$PN81,TabAsistencias[[#Headers],[1]])</f>
        <v>30</v>
      </c>
      <c r="PP81" s="74">
        <f>COUNTIFS($C$27:$PN$27,("&lt;"&amp;$B$3),$C$27:$PN$27,("&gt;="&amp;$B$2),$C81:$PN81,TabAsistencias[[#Headers],[E]])</f>
        <v>0</v>
      </c>
      <c r="PQ81" s="74">
        <f>COUNTIFS($C$27:$PN$27,("&lt;"&amp;$B$3),$C$27:$PN$27,("&gt;="&amp;$B$2),$C81:$PN81,TabAsistencias[[#Headers],[DE]])</f>
        <v>0</v>
      </c>
      <c r="PR81" s="74">
        <f>COUNTIFS($C$27:$PN$27,("&lt;"&amp;$B$3),$C$27:$PN$27,("&gt;="&amp;$B$2),$C81:$PN81,TabAsistencias[[#Headers],[V]])</f>
        <v>0</v>
      </c>
      <c r="PS81" s="74">
        <f>COUNTIFS($C$27:$PN$27,("&lt;"&amp;$B$3),$C$27:$PN$27,("&gt;="&amp;$B$2),$C81:$PN81,TabAsistencias[[#Headers],[DO]])</f>
        <v>0</v>
      </c>
      <c r="PT81" s="74">
        <f>COUNTIFS($C$27:$PN$27,("&lt;"&amp;$B$3),$C$27:$PN$27,("&gt;="&amp;$B$2),$C81:$PN81,TabAsistencias[[#Headers],[P]])</f>
        <v>0</v>
      </c>
      <c r="PU81" s="74">
        <f>COUNTIFS($C$27:$PN$27,("&lt;"&amp;$B$3),$C$27:$PN$27,("&gt;="&amp;$B$2),$C81:$PN81,TabAsistencias[[#Headers],[F]])</f>
        <v>0</v>
      </c>
      <c r="PV81" s="74">
        <f>COUNTIFS($C$27:$PN$27,("&lt;"&amp;$B$3),$C$27:$PN$27,("&gt;="&amp;$B$2),$C81:$PN81,TabAsistencias[[#Headers],[R]])</f>
        <v>0</v>
      </c>
      <c r="PW81" s="74">
        <f>COUNTIFS($C$27:$PN$27,("&lt;"&amp;$B$3),$C$27:$PN$27,("&gt;="&amp;$B$2),$C81:$PN81,TabAsistencias[[#Headers],[PP]])</f>
        <v>0</v>
      </c>
      <c r="PX81" s="74">
        <f>COUNTIFS($C$27:$PN$27,("&lt;"&amp;$B$3),$C$27:$PN$27,("&gt;="&amp;$B$2),$C81:$PN81,TabAsistencias[[#Headers],[0]])</f>
        <v>0</v>
      </c>
      <c r="PY81" s="74">
        <f>COUNTIFS($C$27:$PN$27,("&lt;"&amp;$B$3),$C$27:$PN$27,("&gt;="&amp;$B$2),$C81:$PN81,TabAsistencias[[#Headers],[IG]])</f>
        <v>0</v>
      </c>
      <c r="PZ81" s="74">
        <f>COUNTIFS($C$27:$PN$27,("&lt;"&amp;$B$3),$C$27:$PN$27,("&gt;="&amp;$B$2),$C81:$PN81,TabAsistencias[[#Headers],[NA]])</f>
        <v>0</v>
      </c>
      <c r="QA81" s="74">
        <f>COUNTIFS($C$27:$PN$27,("&lt;"&amp;$B$3),$C$27:$PN$27,("&gt;="&amp;$B$2),$C81:$PN81,TabAsistencias[[#Headers],[DF]])</f>
        <v>0</v>
      </c>
      <c r="QB81" s="74">
        <f>COUNTIFS($C$27:$PN$27,("&lt;"&amp;$B$3),$C$27:$PN$27,("&gt;="&amp;$B$2),$C81:$PN81,TabAsistencias[[#Headers],[3]])</f>
        <v>0</v>
      </c>
      <c r="QC81" s="74">
        <f>COUNTIFS($C$27:$PN$27,("&lt;"&amp;$B$3),$C$27:$PN$27,("&gt;="&amp;$B$2),$C81:$PN81,TabAsistencias[[#Headers],[CP]])</f>
        <v>0</v>
      </c>
      <c r="QD81" s="74">
        <f>COUNTIFS($C$27:$PN$27,("&lt;"&amp;$B$3),$C$27:$PN$27,("&gt;="&amp;$B$2),$C81:$PN81,TabAsistencias[[#Headers],[I]])</f>
        <v>0</v>
      </c>
      <c r="QE81" s="74">
        <f>COUNTIFS($C$27:$PN$27,("&lt;"&amp;$B$3),$C$27:$PN$27,("&gt;="&amp;$B$2),$C81:$PN81,TabAsistencias[[#Headers],[T/2]])</f>
        <v>0</v>
      </c>
      <c r="QF81" s="74">
        <f>COUNTIFS($C$27:$PN$27,("&lt;"&amp;$B$3),$C$27:$PN$27,("&gt;="&amp;$B$2),$C81:$PN81,TabAsistencias[[#Headers],[ME]])</f>
        <v>0</v>
      </c>
      <c r="QG81" s="74">
        <f>COUNTIFS($C$27:$PN$27,("&lt;"&amp;$B$3),$C$27:$PN$27,("&gt;="&amp;$B$2),$C81:$PN81,TabAsistencias[[#Headers],[DP]])</f>
        <v>0</v>
      </c>
      <c r="QH81" s="74">
        <f>COUNTIFS($C$27:$PN$27,("&lt;"&amp;$B$3),$C$27:$PN$27,("&gt;="&amp;$B$2),$C81:$PN81,TabAsistencias[[#Headers],[B]])</f>
        <v>0</v>
      </c>
      <c r="QI81" s="74">
        <f>(TabAsistencias[[#This Row],[1]]*'Tablas de informacion'!$C$124)+(TabAsistencias[[#This Row],[E]]*'Tablas de informacion'!$C$125)+(TabAsistencias[[#This Row],[DE]]*'Tablas de informacion'!C$126)+(TabAsistencias[[#This Row],[V]]*'Tablas de informacion'!C$127)+(TabAsistencias[[#This Row],[DO]]*'Tablas de informacion'!C$128)+(TabAsistencias[[#This Row],[P]]*'Tablas de informacion'!C$129)+(TabAsistencias[[#This Row],[F]]*'Tablas de informacion'!C$130)+(TabAsistencias[[#This Row],[R]]*'Tablas de informacion'!C$131)+(TabAsistencias[[#This Row],[PP]]*'Tablas de informacion'!C$132)+(TabAsistencias[[#This Row],[0]]*'Tablas de informacion'!C$133)+(TabAsistencias[[#This Row],[IG]]*'Tablas de informacion'!C$134)+(TabAsistencias[[#This Row],[NA]]*'Tablas de informacion'!C$135)+(TabAsistencias[[#This Row],[DF]]*'Tablas de informacion'!C$136)+(TabAsistencias[[#This Row],[3]]*'Tablas de informacion'!C$137)+(TabAsistencias[[#This Row],[CP]]*'Tablas de informacion'!C$138)+(TabAsistencias[[#This Row],[I]]*'Tablas de informacion'!C$139)+(TabAsistencias[[#This Row],[T/2]]*'Tablas de informacion'!C$140)+(TabAsistencias[[#This Row],[ME]]*'Tablas de informacion'!C$141)+(TabAsistencias[[#This Row],[DP]]*'Tablas de informacion'!C$142)+(TabAsistencias[[#This Row],[B]]*'Tablas de informacion'!C$143)-INT(TabAsistencias[[#This Row],[R]]/3)</f>
        <v>30</v>
      </c>
      <c r="QJ81" s="74">
        <f>COUNTIFS($C$27:$PN$27,("&lt;"&amp;$B$3),$C$27:$PN$27,("&gt;="&amp;$B$2),$C$28:$PN$28,1,$C81:$PN81,TabAsistencias[[#Headers],[1]])+
COUNTIFS($C$27:$PN$27,("&lt;"&amp;$B$3),$C$27:$PN$27,("&gt;="&amp;$B$2),$C$28:$PN$28,1,$C81:$PN81,TabAsistencias[[#Headers],[DO]])+
COUNTIFS($C$27:$PN$27,("&lt;"&amp;$B$3),$C$27:$PN$27,("&gt;="&amp;$B$2),$C$28:$PN$28,1,$C81:$PN81,TabAsistencias[[#Headers],[R]])+
COUNTIFS($C$27:$PN$27,("&lt;"&amp;$B$3),$C$27:$PN$27,("&gt;="&amp;$B$2),$C$28:$PN$28,1,$C81:$PN81,TabAsistencias[[#Headers],[NA]])+
COUNTIFS($C$27:$PN$27,("&lt;"&amp;$B$3),$C$27:$PN$27,("&gt;="&amp;$B$2),$C$28:$PN$28,1,$C81:$PN81,TabAsistencias[[#Headers],[DF]])+
COUNTIFS($C$27:$PN$27,("&lt;"&amp;$B$3),$C$27:$PN$27,("&gt;="&amp;$B$2),$C$28:$PN$28,1,$C81:$PN81,TabAsistencias[[#Headers],[3]])+
COUNTIFS($C$27:$PN$27,("&lt;"&amp;$B$3),$C$27:$PN$27,("&gt;="&amp;$B$2),$C$28:$PN$28,1,$C81:$PN81,TabAsistencias[[#Headers],[CP]])+
COUNTIFS($C$27:$PN$27,("&lt;"&amp;$B$3),$C$27:$PN$27,("&gt;="&amp;$B$2),$C$28:$PN$28,1,$C81:$PN81,TabAsistencias[[#Headers],[T/2]])</f>
        <v>4</v>
      </c>
      <c r="QK81" s="315" cm="1">
        <f t="array" ref="QK81">IFERROR(VLOOKUP(
DATEDIF((VLOOKUP(TabAsistencias[[#This Row],[ID]],TabEmpleados[],COLUMN(TabEmpleados[Fecha de ingreso]),FALSE)),Asistencias!$B$3,"Y"),
TabFactorIntegracion[],COLUMN(TabFactorIntegracion[Días vacacionales
establecidos por ley]),FALSE),0)
-
COUNTIF($AH81:$PN81,TabAsistencias[[#Headers],[V]])</f>
        <v>12</v>
      </c>
      <c r="QL81" s="319">
        <f>SUM(TabAsistencias[[#This Row],[''1]],TabAsistencias[[#This Row],[''DE]],TabAsistencias[[#This Row],[''DO]],TabAsistencias[[#This Row],[''R]],TabAsistencias[[#This Row],[''NA]],TabAsistencias[[#This Row],[''DF]],TabAsistencias[[#This Row],[''3]],TabAsistencias[[#This Row],[''CP]],TabAsistencias[[#This Row],[''T/2]],TabAsistencias[[#This Row],[''DP]])</f>
        <v>73</v>
      </c>
      <c r="QM81" s="314">
        <f>COUNTIFS($C$27:$PN$27,("&lt;"&amp;$B$5),$C$27:$PN$27,("&gt;="&amp;$B$4),$C81:$PN81,TabAsistencias[[#Headers],[1]])</f>
        <v>73</v>
      </c>
      <c r="QN81" s="314">
        <f>COUNTIFS($C$27:$PN$27,("&lt;"&amp;$B$5),$C$27:$PN$27,("&gt;="&amp;$B$4),$C81:$PN81,TabAsistencias[[#Headers],[DE]])</f>
        <v>0</v>
      </c>
      <c r="QO81" s="314">
        <f>COUNTIFS($C$27:$PN$27,("&lt;"&amp;$B$5),$C$27:$PN$27,("&gt;="&amp;$B$4),$C81:$PN81,TabAsistencias[[#Headers],[V]])</f>
        <v>0</v>
      </c>
      <c r="QP81" s="314">
        <f>COUNTIFS($C$27:$PN$27,("&lt;"&amp;$B$5),$C$27:$PN$27,("&gt;="&amp;$B$4),$C81:$PN81,TabAsistencias[[#Headers],[DO]])</f>
        <v>0</v>
      </c>
      <c r="QQ81" s="314">
        <f>COUNTIFS($C$27:$PN$27,("&lt;"&amp;$B$5),$C$27:$PN$27,("&gt;="&amp;$B$4),$C81:$PN81,TabAsistencias[[#Headers],[P]])</f>
        <v>0</v>
      </c>
      <c r="QR81" s="314">
        <f>COUNTIFS($C$27:$PN$27,("&lt;"&amp;$B$5),$C$27:$PN$27,("&gt;="&amp;$B$4),$C81:$PN81,TabAsistencias[[#Headers],[F]])</f>
        <v>0</v>
      </c>
      <c r="QS81" s="314">
        <f>COUNTIFS($C$27:$PN$27,("&lt;"&amp;$B$5),$C$27:$PN$27,("&gt;="&amp;$B$4),$C81:$PN81,TabAsistencias[[#Headers],[R]])</f>
        <v>0</v>
      </c>
      <c r="QT81" s="314">
        <f>COUNTIFS($C$27:$PN$27,("&lt;"&amp;$B$5),$C$27:$PN$27,("&gt;="&amp;$B$4),$C81:$PN81,TabAsistencias[[#Headers],[PP]])</f>
        <v>0</v>
      </c>
      <c r="QU81" s="314">
        <f>COUNTIFS($C$27:$PN$27,("&lt;"&amp;$B$5),$C$27:$PN$27,("&gt;="&amp;$B$4),$C81:$PN81,TabAsistencias[[#Headers],[0]])</f>
        <v>0</v>
      </c>
      <c r="QV81" s="314">
        <f>COUNTIFS($C$27:$PN$27,("&lt;"&amp;$B$5),$C$27:$PN$27,("&gt;="&amp;$B$4),$C81:$PN81,TabAsistencias[[#Headers],[IG]])</f>
        <v>0</v>
      </c>
      <c r="QW81" s="314">
        <f>COUNTIFS($C$27:$PN$27,("&lt;"&amp;$B$5),$C$27:$PN$27,("&gt;="&amp;$B$4),$C81:$PN81,TabAsistencias[[#Headers],[NA]])</f>
        <v>0</v>
      </c>
      <c r="QX81" s="314">
        <f>COUNTIFS($C$27:$PN$27,("&lt;"&amp;$B$5),$C$27:$PN$27,("&gt;="&amp;$B$4),$C81:$PN81,TabAsistencias[[#Headers],[DF]])</f>
        <v>0</v>
      </c>
      <c r="QY81" s="314">
        <f>COUNTIFS($C$27:$PN$27,("&lt;"&amp;$B$5),$C$27:$PN$27,("&gt;="&amp;$B$4),$C81:$PN81,TabAsistencias[[#Headers],[3]])</f>
        <v>0</v>
      </c>
      <c r="QZ81" s="314">
        <f>COUNTIFS($C$27:$PN$27,("&lt;"&amp;$B$5),$C$27:$PN$27,("&gt;="&amp;$B$4),$C81:$PN81,TabAsistencias[[#Headers],[CP]])</f>
        <v>0</v>
      </c>
      <c r="RA81" s="314">
        <f>COUNTIFS($C$27:$PN$27,("&lt;"&amp;$B$5),$C$27:$PN$27,("&gt;="&amp;$B$4),$C81:$PN81,TabAsistencias[[#Headers],[I]])</f>
        <v>0</v>
      </c>
      <c r="RB81" s="314">
        <f>COUNTIFS($C$27:$PN$27,("&lt;"&amp;$B$5),$C$27:$PN$27,("&gt;="&amp;$B$4),$C81:$PN81,TabAsistencias[[#Headers],[T/2]])</f>
        <v>0</v>
      </c>
      <c r="RC81" s="314">
        <f>COUNTIFS($C$27:$PN$27,("&lt;"&amp;$B$5),$C$27:$PN$27,("&gt;="&amp;$B$4),$C81:$PN81,TabAsistencias[[#Headers],[ME]])</f>
        <v>0</v>
      </c>
      <c r="RD81" s="314">
        <f>COUNTIFS($C$27:$PN$27,("&lt;"&amp;$B$5),$C$27:$PN$27,("&gt;="&amp;$B$4),$C81:$PN81,TabAsistencias[[#Headers],[DP]])</f>
        <v>0</v>
      </c>
      <c r="RE81" s="314">
        <f>COUNTIFS($C$27:$PN$27,("&lt;"&amp;$B$5),$C$27:$PN$27,("&gt;="&amp;$B$4),$C81:$PN81,TabAsistencias[[#Headers],[B]])</f>
        <v>0</v>
      </c>
      <c r="RF81" s="314">
        <f>COUNTIFS($C$27:$PN$27,("&lt;"&amp;$B$5),$C$27:$PN$27,("&gt;="&amp;$B$4),$C$28:$PN$28,1,$C81:$PN81,TabAsistencias[[#Headers],[1]])+
COUNTIFS($C$27:$PN$27,("&lt;"&amp;$B$5),$C$27:$PN$27,("&gt;="&amp;$B$4),$C$28:$PN$28,1,$C81:$PN81,TabAsistencias[[#Headers],[DO]])+
COUNTIFS($C$27:$PN$27,("&lt;"&amp;$B$5),$C$27:$PN$27,("&gt;="&amp;$B$4),$C$28:$PN$28,1,$C81:$PN81,TabAsistencias[[#Headers],[R]])+
COUNTIFS($C$27:$PN$27,("&lt;"&amp;$B$5),$C$27:$PN$27,("&gt;="&amp;$B$4),$C$28:$PN$28,1,$C81:$PN81,TabAsistencias[[#Headers],[NA]])+
COUNTIFS($C$27:$PN$27,("&lt;"&amp;$B$5),$C$27:$PN$27,("&gt;="&amp;$B$4),$C$28:$PN$28,1,$C81:$PN81,TabAsistencias[[#Headers],[DF]])+
COUNTIFS($C$27:$PN$27,("&lt;"&amp;$B$5),$C$27:$PN$27,("&gt;="&amp;$B$4),$C$28:$PN$28,1,$C81:$PN81,TabAsistencias[[#Headers],[3]])+
COUNTIFS($C$27:$PN$27,("&lt;"&amp;$B$5),$C$27:$PN$27,("&gt;="&amp;$B$4),$C$28:$PN$28,1,$C81:$PN81,TabAsistencias[[#Headers],[CP]])+
COUNTIFS($C$27:$PN$27,("&lt;"&amp;$B$5),$C$27:$PN$27,("&gt;="&amp;$B$4),$C$28:$PN$28,1,$C81:$PN81,TabAsistencias[[#Headers],[T/2]])</f>
        <v>11</v>
      </c>
      <c r="RG81" s="320" cm="1">
        <f t="array" ref="RG81">IFERROR(VLOOKUP(
DATEDIF((VLOOKUP(TabAsistencias[[#This Row],[ID]],TabEmpleados[],COLUMN(TabEmpleados[Fecha de alta NSS]),FALSE)),Asistencias!$B$3,"Y"),
TabFactorIntegracion[],COLUMN(TabFactorIntegracion[Días vacacionales
establecidos por ley]),FALSE),0)
-
COUNTIF($AH81:$PN81,TabAsistencias[[#Headers],[V]])</f>
        <v>12</v>
      </c>
    </row>
    <row r="82" spans="1:475" x14ac:dyDescent="0.25">
      <c r="A82" s="92">
        <f t="shared" si="434"/>
        <v>52</v>
      </c>
      <c r="B82" s="30" t="str" cm="1">
        <f t="array" ref="B82">VLOOKUP(TabAsistencias[[#This Row],[ID]],TabEmpleados[],COLUMN(TabEmpleados[Nombre]),FALSE)</f>
        <v xml:space="preserve">CRUZ CORTES ALEX MANUEL </v>
      </c>
      <c r="C82" s="36" t="s">
        <v>139</v>
      </c>
      <c r="D82" s="36" t="s">
        <v>139</v>
      </c>
      <c r="E82" s="36" t="s">
        <v>139</v>
      </c>
      <c r="F82" s="36" t="s">
        <v>139</v>
      </c>
      <c r="G82" s="36" t="s">
        <v>139</v>
      </c>
      <c r="H82" s="36" t="s">
        <v>139</v>
      </c>
      <c r="I82" s="36" t="s">
        <v>139</v>
      </c>
      <c r="J82" s="36" t="s">
        <v>139</v>
      </c>
      <c r="K82" s="36" t="s">
        <v>139</v>
      </c>
      <c r="L82" s="36" t="s">
        <v>139</v>
      </c>
      <c r="M82" s="36" t="s">
        <v>139</v>
      </c>
      <c r="N82" s="36" t="s">
        <v>139</v>
      </c>
      <c r="O82" s="36" t="s">
        <v>139</v>
      </c>
      <c r="P82" s="36" t="s">
        <v>139</v>
      </c>
      <c r="Q82" s="36" t="s">
        <v>139</v>
      </c>
      <c r="R82" s="36" t="s">
        <v>139</v>
      </c>
      <c r="S82" s="36" t="s">
        <v>139</v>
      </c>
      <c r="T82" s="36" t="s">
        <v>139</v>
      </c>
      <c r="U82" s="36" t="s">
        <v>139</v>
      </c>
      <c r="V82" s="36" t="s">
        <v>139</v>
      </c>
      <c r="W82" s="36" t="s">
        <v>139</v>
      </c>
      <c r="X82" s="36" t="s">
        <v>139</v>
      </c>
      <c r="Y82" s="36" t="s">
        <v>139</v>
      </c>
      <c r="Z82" s="36" t="s">
        <v>139</v>
      </c>
      <c r="AA82" s="36" t="s">
        <v>139</v>
      </c>
      <c r="AB82" s="36" t="s">
        <v>139</v>
      </c>
      <c r="AC82" s="36" t="s">
        <v>139</v>
      </c>
      <c r="AD82" s="36" t="s">
        <v>139</v>
      </c>
      <c r="AE82" s="36" t="s">
        <v>139</v>
      </c>
      <c r="AF82" s="36" t="s">
        <v>139</v>
      </c>
      <c r="AG82" s="36" t="s">
        <v>139</v>
      </c>
      <c r="AH82" s="36" t="s">
        <v>139</v>
      </c>
      <c r="AI82" s="36" t="s">
        <v>139</v>
      </c>
      <c r="AJ82" s="36" t="s">
        <v>139</v>
      </c>
      <c r="AK82" s="36" t="s">
        <v>139</v>
      </c>
      <c r="AL82" s="36" t="s">
        <v>139</v>
      </c>
      <c r="AM82" s="36" t="s">
        <v>139</v>
      </c>
      <c r="AN82" s="36" t="s">
        <v>139</v>
      </c>
      <c r="AO82" s="36" t="s">
        <v>139</v>
      </c>
      <c r="AP82" s="36" t="s">
        <v>139</v>
      </c>
      <c r="AQ82" s="36" t="s">
        <v>139</v>
      </c>
      <c r="AR82" s="36" t="s">
        <v>139</v>
      </c>
      <c r="AS82" s="36" t="s">
        <v>139</v>
      </c>
      <c r="AT82" s="36" t="s">
        <v>139</v>
      </c>
      <c r="AU82" s="36" t="s">
        <v>139</v>
      </c>
      <c r="AV82" s="36" t="s">
        <v>139</v>
      </c>
      <c r="AW82" s="36" t="s">
        <v>139</v>
      </c>
      <c r="AX82" s="36" t="s">
        <v>139</v>
      </c>
      <c r="AY82" s="36" t="s">
        <v>139</v>
      </c>
      <c r="AZ82" s="36" t="s">
        <v>139</v>
      </c>
      <c r="BA82" s="36" t="s">
        <v>139</v>
      </c>
      <c r="BB82" s="36" t="s">
        <v>139</v>
      </c>
      <c r="BC82" s="36" t="s">
        <v>139</v>
      </c>
      <c r="BD82" s="36" t="s">
        <v>139</v>
      </c>
      <c r="BE82" s="36" t="s">
        <v>139</v>
      </c>
      <c r="BF82" s="36" t="s">
        <v>139</v>
      </c>
      <c r="BG82" s="36" t="s">
        <v>139</v>
      </c>
      <c r="BH82" s="36" t="s">
        <v>139</v>
      </c>
      <c r="BI82" s="36" t="s">
        <v>139</v>
      </c>
      <c r="BJ82" s="36" t="s">
        <v>139</v>
      </c>
      <c r="BK82" s="36" t="s">
        <v>139</v>
      </c>
      <c r="BL82" s="36" t="s">
        <v>139</v>
      </c>
      <c r="BM82" s="36" t="s">
        <v>139</v>
      </c>
      <c r="BN82" s="36" t="s">
        <v>139</v>
      </c>
      <c r="BO82" s="36" t="s">
        <v>139</v>
      </c>
      <c r="BP82" s="36" t="s">
        <v>139</v>
      </c>
      <c r="BQ82" s="36" t="s">
        <v>139</v>
      </c>
      <c r="BR82" s="36" t="s">
        <v>139</v>
      </c>
      <c r="BS82" s="36" t="s">
        <v>139</v>
      </c>
      <c r="BT82" s="36" t="s">
        <v>139</v>
      </c>
      <c r="BU82" s="36" t="s">
        <v>139</v>
      </c>
      <c r="BV82" s="36" t="s">
        <v>139</v>
      </c>
      <c r="BW82" s="36" t="s">
        <v>139</v>
      </c>
      <c r="BX82" s="36" t="s">
        <v>139</v>
      </c>
      <c r="BY82" s="36" t="s">
        <v>139</v>
      </c>
      <c r="BZ82" s="36" t="s">
        <v>139</v>
      </c>
      <c r="CA82" s="36" t="s">
        <v>139</v>
      </c>
      <c r="CB82" s="36" t="s">
        <v>139</v>
      </c>
      <c r="CC82" s="36" t="s">
        <v>139</v>
      </c>
      <c r="CD82" s="36" t="s">
        <v>139</v>
      </c>
      <c r="CE82" s="36" t="s">
        <v>139</v>
      </c>
      <c r="CF82" s="36" t="s">
        <v>139</v>
      </c>
      <c r="CG82" s="36" t="s">
        <v>139</v>
      </c>
      <c r="CH82" s="36" t="s">
        <v>139</v>
      </c>
      <c r="CI82" s="36" t="s">
        <v>139</v>
      </c>
      <c r="CJ82" s="36" t="s">
        <v>139</v>
      </c>
      <c r="CK82" s="36" t="s">
        <v>139</v>
      </c>
      <c r="CL82" s="36" t="s">
        <v>139</v>
      </c>
      <c r="CM82" s="36" t="s">
        <v>139</v>
      </c>
      <c r="CN82" s="36" t="s">
        <v>139</v>
      </c>
      <c r="CO82" s="36" t="s">
        <v>139</v>
      </c>
      <c r="CP82" s="36" t="s">
        <v>139</v>
      </c>
      <c r="CQ82" s="36" t="s">
        <v>139</v>
      </c>
      <c r="CR82" s="36" t="s">
        <v>139</v>
      </c>
      <c r="CS82" s="36" t="s">
        <v>139</v>
      </c>
      <c r="CT82" s="36" t="s">
        <v>139</v>
      </c>
      <c r="CU82" s="36" t="s">
        <v>139</v>
      </c>
      <c r="CV82" s="36" t="s">
        <v>139</v>
      </c>
      <c r="CW82" s="36" t="s">
        <v>139</v>
      </c>
      <c r="CX82" s="36" t="s">
        <v>139</v>
      </c>
      <c r="CY82" s="36" t="s">
        <v>139</v>
      </c>
      <c r="CZ82" s="36" t="s">
        <v>139</v>
      </c>
      <c r="DA82" s="36" t="s">
        <v>139</v>
      </c>
      <c r="DB82" s="36" t="s">
        <v>139</v>
      </c>
      <c r="DC82" s="36" t="s">
        <v>139</v>
      </c>
      <c r="DD82" s="36" t="s">
        <v>139</v>
      </c>
      <c r="DE82" s="36" t="s">
        <v>139</v>
      </c>
      <c r="DF82" s="36" t="s">
        <v>139</v>
      </c>
      <c r="DG82" s="36" t="s">
        <v>139</v>
      </c>
      <c r="DH82" s="36" t="s">
        <v>139</v>
      </c>
      <c r="DI82" s="36" t="s">
        <v>139</v>
      </c>
      <c r="DJ82" s="36" t="s">
        <v>139</v>
      </c>
      <c r="DK82" s="36" t="s">
        <v>139</v>
      </c>
      <c r="DL82" s="36" t="s">
        <v>139</v>
      </c>
      <c r="DM82" s="36" t="s">
        <v>139</v>
      </c>
      <c r="DN82" s="36" t="s">
        <v>139</v>
      </c>
      <c r="DO82" s="36" t="s">
        <v>139</v>
      </c>
      <c r="DP82" s="36" t="s">
        <v>139</v>
      </c>
      <c r="DQ82" s="36" t="s">
        <v>139</v>
      </c>
      <c r="DR82" s="36" t="s">
        <v>139</v>
      </c>
      <c r="DS82" s="36" t="s">
        <v>139</v>
      </c>
      <c r="DT82" s="36" t="s">
        <v>139</v>
      </c>
      <c r="DU82" s="36" t="s">
        <v>139</v>
      </c>
      <c r="DV82" s="36" t="s">
        <v>139</v>
      </c>
      <c r="DW82" s="36" t="s">
        <v>139</v>
      </c>
      <c r="DX82" s="36" t="s">
        <v>139</v>
      </c>
      <c r="DY82" s="36" t="s">
        <v>139</v>
      </c>
      <c r="DZ82" s="36" t="s">
        <v>139</v>
      </c>
      <c r="EA82" s="36" t="s">
        <v>139</v>
      </c>
      <c r="EB82" s="36" t="s">
        <v>139</v>
      </c>
      <c r="EC82" s="36" t="s">
        <v>139</v>
      </c>
      <c r="ED82" s="36" t="s">
        <v>139</v>
      </c>
      <c r="EE82" s="36" t="s">
        <v>139</v>
      </c>
      <c r="EF82" s="36" t="s">
        <v>139</v>
      </c>
      <c r="EG82" s="36" t="s">
        <v>139</v>
      </c>
      <c r="EH82" s="36" t="s">
        <v>139</v>
      </c>
      <c r="EI82" s="36" t="s">
        <v>139</v>
      </c>
      <c r="EJ82" s="36" t="s">
        <v>139</v>
      </c>
      <c r="EK82" s="36" t="s">
        <v>139</v>
      </c>
      <c r="EL82" s="36" t="s">
        <v>139</v>
      </c>
      <c r="EM82" s="36" t="s">
        <v>139</v>
      </c>
      <c r="EN82" s="36" t="s">
        <v>139</v>
      </c>
      <c r="EO82" s="36" t="s">
        <v>139</v>
      </c>
      <c r="EP82" s="36" t="s">
        <v>139</v>
      </c>
      <c r="EQ82" s="36" t="s">
        <v>139</v>
      </c>
      <c r="ER82" s="36" t="s">
        <v>139</v>
      </c>
      <c r="ES82" s="36" t="s">
        <v>139</v>
      </c>
      <c r="ET82" s="36" t="s">
        <v>139</v>
      </c>
      <c r="EU82" s="36" t="s">
        <v>139</v>
      </c>
      <c r="EV82" s="36" t="s">
        <v>139</v>
      </c>
      <c r="EW82" s="36" t="s">
        <v>139</v>
      </c>
      <c r="EX82" s="36" t="s">
        <v>139</v>
      </c>
      <c r="EY82" s="36" t="s">
        <v>139</v>
      </c>
      <c r="EZ82" s="36" t="s">
        <v>139</v>
      </c>
      <c r="FA82" s="36" t="s">
        <v>139</v>
      </c>
      <c r="FB82" s="36" t="s">
        <v>139</v>
      </c>
      <c r="FC82" s="36" t="s">
        <v>139</v>
      </c>
      <c r="FD82" s="36" t="s">
        <v>139</v>
      </c>
      <c r="FE82" s="36" t="s">
        <v>139</v>
      </c>
      <c r="FF82" s="36" t="s">
        <v>139</v>
      </c>
      <c r="FG82" s="36" t="s">
        <v>139</v>
      </c>
      <c r="FH82" s="36" t="s">
        <v>139</v>
      </c>
      <c r="FI82" s="36" t="s">
        <v>139</v>
      </c>
      <c r="FJ82" s="36" t="s">
        <v>139</v>
      </c>
      <c r="FK82" s="36" t="s">
        <v>139</v>
      </c>
      <c r="FL82" s="36" t="s">
        <v>139</v>
      </c>
      <c r="FM82" s="36" t="s">
        <v>139</v>
      </c>
      <c r="FN82" s="36" t="s">
        <v>139</v>
      </c>
      <c r="FO82" s="36" t="s">
        <v>139</v>
      </c>
      <c r="FP82" s="36" t="s">
        <v>139</v>
      </c>
      <c r="FQ82" s="36" t="s">
        <v>139</v>
      </c>
      <c r="FR82" s="36" t="s">
        <v>139</v>
      </c>
      <c r="FS82" s="36" t="s">
        <v>139</v>
      </c>
      <c r="FT82" s="36" t="s">
        <v>139</v>
      </c>
      <c r="FU82" s="36" t="s">
        <v>139</v>
      </c>
      <c r="FV82" s="36" t="s">
        <v>139</v>
      </c>
      <c r="FW82" s="36" t="s">
        <v>139</v>
      </c>
      <c r="FX82" s="36" t="s">
        <v>139</v>
      </c>
      <c r="FY82" s="36" t="s">
        <v>139</v>
      </c>
      <c r="FZ82" s="36" t="s">
        <v>139</v>
      </c>
      <c r="GA82" s="36" t="s">
        <v>139</v>
      </c>
      <c r="GB82" s="36" t="s">
        <v>139</v>
      </c>
      <c r="GC82" s="36" t="s">
        <v>139</v>
      </c>
      <c r="GD82" s="36" t="s">
        <v>139</v>
      </c>
      <c r="GE82" s="36" t="s">
        <v>139</v>
      </c>
      <c r="GF82" s="36" t="s">
        <v>139</v>
      </c>
      <c r="GG82" s="36" t="s">
        <v>139</v>
      </c>
      <c r="GH82" s="36" t="s">
        <v>139</v>
      </c>
      <c r="GI82" s="36" t="s">
        <v>139</v>
      </c>
      <c r="GJ82" s="36" t="s">
        <v>139</v>
      </c>
      <c r="GK82" s="36" t="s">
        <v>139</v>
      </c>
      <c r="GL82" s="36" t="s">
        <v>139</v>
      </c>
      <c r="GM82" s="36" t="s">
        <v>139</v>
      </c>
      <c r="GN82" s="36" t="s">
        <v>139</v>
      </c>
      <c r="GO82" s="36" t="s">
        <v>139</v>
      </c>
      <c r="GP82" s="36" t="s">
        <v>139</v>
      </c>
      <c r="GQ82" s="36" t="s">
        <v>139</v>
      </c>
      <c r="GR82" s="36" t="s">
        <v>139</v>
      </c>
      <c r="GS82" s="36" t="s">
        <v>139</v>
      </c>
      <c r="GT82" s="36" t="s">
        <v>139</v>
      </c>
      <c r="GU82" s="36" t="s">
        <v>139</v>
      </c>
      <c r="GV82" s="36" t="s">
        <v>139</v>
      </c>
      <c r="GW82" s="36" t="s">
        <v>139</v>
      </c>
      <c r="GX82" s="36" t="s">
        <v>139</v>
      </c>
      <c r="GY82" s="36" t="s">
        <v>139</v>
      </c>
      <c r="GZ82" s="36" t="s">
        <v>139</v>
      </c>
      <c r="HA82" s="36" t="s">
        <v>139</v>
      </c>
      <c r="HB82" s="36" t="s">
        <v>139</v>
      </c>
      <c r="HC82" s="36" t="s">
        <v>139</v>
      </c>
      <c r="HD82" s="36" t="s">
        <v>139</v>
      </c>
      <c r="HE82" s="36" t="s">
        <v>139</v>
      </c>
      <c r="HF82" s="36" t="s">
        <v>139</v>
      </c>
      <c r="HG82" s="36" t="s">
        <v>139</v>
      </c>
      <c r="HH82" s="36" t="s">
        <v>139</v>
      </c>
      <c r="HI82" s="36" t="s">
        <v>139</v>
      </c>
      <c r="HJ82" s="36" t="s">
        <v>139</v>
      </c>
      <c r="HK82" s="36" t="s">
        <v>139</v>
      </c>
      <c r="HL82" s="36" t="s">
        <v>139</v>
      </c>
      <c r="HM82" s="36" t="s">
        <v>139</v>
      </c>
      <c r="HN82" s="36" t="s">
        <v>139</v>
      </c>
      <c r="HO82" s="36" t="s">
        <v>139</v>
      </c>
      <c r="HP82" s="36" t="s">
        <v>139</v>
      </c>
      <c r="HQ82" s="36" t="s">
        <v>139</v>
      </c>
      <c r="HR82" s="36" t="s">
        <v>139</v>
      </c>
      <c r="HS82" s="36" t="s">
        <v>139</v>
      </c>
      <c r="HT82" s="36" t="s">
        <v>139</v>
      </c>
      <c r="HU82" s="36" t="s">
        <v>139</v>
      </c>
      <c r="HV82" s="36" t="s">
        <v>139</v>
      </c>
      <c r="HW82" s="36" t="s">
        <v>139</v>
      </c>
      <c r="HX82" s="36" t="s">
        <v>139</v>
      </c>
      <c r="HY82" s="36" t="s">
        <v>139</v>
      </c>
      <c r="HZ82" s="36" t="s">
        <v>139</v>
      </c>
      <c r="IA82" s="36" t="s">
        <v>139</v>
      </c>
      <c r="IB82" s="36" t="s">
        <v>139</v>
      </c>
      <c r="IC82" s="36" t="s">
        <v>139</v>
      </c>
      <c r="ID82" s="36" t="s">
        <v>139</v>
      </c>
      <c r="IE82" s="36" t="s">
        <v>139</v>
      </c>
      <c r="IF82" s="36" t="s">
        <v>139</v>
      </c>
      <c r="IG82" s="36" t="s">
        <v>139</v>
      </c>
      <c r="IH82" s="36" t="s">
        <v>139</v>
      </c>
      <c r="II82" s="36" t="s">
        <v>139</v>
      </c>
      <c r="IJ82" s="36" t="s">
        <v>139</v>
      </c>
      <c r="IK82" s="36" t="s">
        <v>139</v>
      </c>
      <c r="IL82" s="36" t="s">
        <v>139</v>
      </c>
      <c r="IM82" s="36" t="s">
        <v>139</v>
      </c>
      <c r="IN82" s="36" t="s">
        <v>139</v>
      </c>
      <c r="IO82" s="36" t="s">
        <v>139</v>
      </c>
      <c r="IP82" s="36" t="s">
        <v>139</v>
      </c>
      <c r="IQ82" s="36" t="s">
        <v>139</v>
      </c>
      <c r="IR82" s="36" t="s">
        <v>139</v>
      </c>
      <c r="IS82" s="36" t="s">
        <v>139</v>
      </c>
      <c r="IT82" s="36" t="s">
        <v>139</v>
      </c>
      <c r="IU82" s="36" t="s">
        <v>139</v>
      </c>
      <c r="IV82" s="36" t="s">
        <v>139</v>
      </c>
      <c r="IW82" s="36" t="s">
        <v>139</v>
      </c>
      <c r="IX82" s="36" t="s">
        <v>139</v>
      </c>
      <c r="IY82" s="36" t="s">
        <v>139</v>
      </c>
      <c r="IZ82" s="36" t="s">
        <v>139</v>
      </c>
      <c r="JA82" s="36" t="s">
        <v>139</v>
      </c>
      <c r="JB82" s="36" t="s">
        <v>139</v>
      </c>
      <c r="JC82" s="36" t="s">
        <v>139</v>
      </c>
      <c r="JD82" s="36" t="s">
        <v>139</v>
      </c>
      <c r="JE82" s="36" t="s">
        <v>139</v>
      </c>
      <c r="JF82" s="36" t="s">
        <v>139</v>
      </c>
      <c r="JG82" s="36" t="s">
        <v>139</v>
      </c>
      <c r="JH82" s="36" t="s">
        <v>139</v>
      </c>
      <c r="JI82" s="36" t="s">
        <v>139</v>
      </c>
      <c r="JJ82" s="36" t="s">
        <v>139</v>
      </c>
      <c r="JK82" s="36" t="s">
        <v>139</v>
      </c>
      <c r="JL82" s="36" t="s">
        <v>139</v>
      </c>
      <c r="JM82" s="36" t="s">
        <v>139</v>
      </c>
      <c r="JN82" s="36" t="s">
        <v>139</v>
      </c>
      <c r="JO82" s="36" t="s">
        <v>139</v>
      </c>
      <c r="JP82" s="36" t="s">
        <v>139</v>
      </c>
      <c r="JQ82" s="36" t="s">
        <v>139</v>
      </c>
      <c r="JR82" s="36" t="s">
        <v>139</v>
      </c>
      <c r="JS82" s="36" t="s">
        <v>139</v>
      </c>
      <c r="JT82" s="36" t="s">
        <v>139</v>
      </c>
      <c r="JU82" s="36" t="s">
        <v>139</v>
      </c>
      <c r="JV82" s="36" t="s">
        <v>139</v>
      </c>
      <c r="JW82" s="36" t="s">
        <v>139</v>
      </c>
      <c r="JX82" s="36" t="s">
        <v>139</v>
      </c>
      <c r="JY82" s="36" t="s">
        <v>139</v>
      </c>
      <c r="JZ82" s="36" t="s">
        <v>139</v>
      </c>
      <c r="KA82" s="36" t="s">
        <v>139</v>
      </c>
      <c r="KB82" s="36" t="s">
        <v>139</v>
      </c>
      <c r="KC82" s="36" t="s">
        <v>139</v>
      </c>
      <c r="KD82" s="36" t="s">
        <v>139</v>
      </c>
      <c r="KE82" s="36" t="s">
        <v>139</v>
      </c>
      <c r="KF82" s="36" t="s">
        <v>139</v>
      </c>
      <c r="KG82" s="36" t="s">
        <v>139</v>
      </c>
      <c r="KH82" s="36" t="s">
        <v>139</v>
      </c>
      <c r="KI82" s="36" t="s">
        <v>139</v>
      </c>
      <c r="KJ82" s="36" t="s">
        <v>139</v>
      </c>
      <c r="KK82" s="36" t="s">
        <v>139</v>
      </c>
      <c r="KL82" s="36" t="s">
        <v>139</v>
      </c>
      <c r="KM82" s="36" t="s">
        <v>139</v>
      </c>
      <c r="KN82" s="36" t="s">
        <v>139</v>
      </c>
      <c r="KO82" s="36" t="s">
        <v>139</v>
      </c>
      <c r="KP82" s="36" t="s">
        <v>139</v>
      </c>
      <c r="KQ82" s="36" t="s">
        <v>139</v>
      </c>
      <c r="KR82" s="36" t="s">
        <v>139</v>
      </c>
      <c r="KS82" s="36" t="s">
        <v>139</v>
      </c>
      <c r="KT82" s="36" t="s">
        <v>139</v>
      </c>
      <c r="KU82" s="36" t="s">
        <v>139</v>
      </c>
      <c r="KV82" s="36" t="s">
        <v>139</v>
      </c>
      <c r="KW82" s="36" t="s">
        <v>139</v>
      </c>
      <c r="KX82" s="36" t="s">
        <v>139</v>
      </c>
      <c r="KY82" s="36" t="s">
        <v>139</v>
      </c>
      <c r="KZ82" s="36" t="s">
        <v>139</v>
      </c>
      <c r="LA82" s="36" t="s">
        <v>139</v>
      </c>
      <c r="LB82" s="36" t="s">
        <v>139</v>
      </c>
      <c r="LC82" s="36" t="s">
        <v>139</v>
      </c>
      <c r="LD82" s="36" t="s">
        <v>139</v>
      </c>
      <c r="LE82" s="36" t="s">
        <v>139</v>
      </c>
      <c r="LF82" s="36" t="s">
        <v>139</v>
      </c>
      <c r="LG82" s="36" t="s">
        <v>139</v>
      </c>
      <c r="LH82" s="36" t="s">
        <v>139</v>
      </c>
      <c r="LI82" s="36" t="s">
        <v>139</v>
      </c>
      <c r="LJ82" s="36" t="s">
        <v>139</v>
      </c>
      <c r="LK82" s="36" t="s">
        <v>139</v>
      </c>
      <c r="LL82" s="36" t="s">
        <v>139</v>
      </c>
      <c r="LM82" s="36" t="s">
        <v>139</v>
      </c>
      <c r="LN82" s="36" t="s">
        <v>139</v>
      </c>
      <c r="LO82" s="36" t="s">
        <v>139</v>
      </c>
      <c r="LP82" s="36" t="s">
        <v>139</v>
      </c>
      <c r="LQ82" s="36" t="s">
        <v>139</v>
      </c>
      <c r="LR82" s="36" t="s">
        <v>139</v>
      </c>
      <c r="LS82" s="36" t="s">
        <v>139</v>
      </c>
      <c r="LT82" s="36" t="s">
        <v>139</v>
      </c>
      <c r="LU82" s="36" t="s">
        <v>139</v>
      </c>
      <c r="LV82" s="36" t="s">
        <v>139</v>
      </c>
      <c r="LW82" s="36" t="s">
        <v>139</v>
      </c>
      <c r="LX82" s="36" t="s">
        <v>139</v>
      </c>
      <c r="LY82" s="36" t="s">
        <v>139</v>
      </c>
      <c r="LZ82" s="36" t="s">
        <v>139</v>
      </c>
      <c r="MA82" s="36" t="s">
        <v>139</v>
      </c>
      <c r="MB82" s="36" t="s">
        <v>139</v>
      </c>
      <c r="MC82" s="36" t="s">
        <v>139</v>
      </c>
      <c r="MD82" s="36" t="s">
        <v>139</v>
      </c>
      <c r="ME82" s="36" t="s">
        <v>139</v>
      </c>
      <c r="MF82" s="36" t="s">
        <v>139</v>
      </c>
      <c r="MG82" s="36" t="s">
        <v>139</v>
      </c>
      <c r="MH82" s="36" t="s">
        <v>139</v>
      </c>
      <c r="MI82" s="36" t="s">
        <v>139</v>
      </c>
      <c r="MJ82" s="36" t="s">
        <v>139</v>
      </c>
      <c r="MK82" s="36" t="s">
        <v>139</v>
      </c>
      <c r="ML82" s="36" t="s">
        <v>139</v>
      </c>
      <c r="MM82" s="36" t="s">
        <v>139</v>
      </c>
      <c r="MN82" s="36" t="s">
        <v>139</v>
      </c>
      <c r="MO82" s="36" t="s">
        <v>139</v>
      </c>
      <c r="MP82" s="36" t="s">
        <v>139</v>
      </c>
      <c r="MQ82" s="36" t="s">
        <v>139</v>
      </c>
      <c r="MR82" s="36" t="s">
        <v>139</v>
      </c>
      <c r="MS82" s="36" t="s">
        <v>139</v>
      </c>
      <c r="MT82" s="36" t="s">
        <v>139</v>
      </c>
      <c r="MU82" s="36" t="s">
        <v>139</v>
      </c>
      <c r="MV82" s="36" t="s">
        <v>139</v>
      </c>
      <c r="MW82" s="36" t="s">
        <v>139</v>
      </c>
      <c r="MX82" s="36" t="s">
        <v>139</v>
      </c>
      <c r="MY82" s="36" t="s">
        <v>139</v>
      </c>
      <c r="MZ82" s="36" t="s">
        <v>139</v>
      </c>
      <c r="NA82" s="36" t="s">
        <v>139</v>
      </c>
      <c r="NB82" s="36" t="s">
        <v>139</v>
      </c>
      <c r="NC82" s="36" t="s">
        <v>139</v>
      </c>
      <c r="ND82" s="36" t="s">
        <v>139</v>
      </c>
      <c r="NE82" s="36" t="s">
        <v>139</v>
      </c>
      <c r="NF82" s="36" t="s">
        <v>139</v>
      </c>
      <c r="NG82" s="36" t="s">
        <v>139</v>
      </c>
      <c r="NH82" s="36" t="s">
        <v>139</v>
      </c>
      <c r="NI82" s="36" t="s">
        <v>139</v>
      </c>
      <c r="NJ82" s="36" t="s">
        <v>139</v>
      </c>
      <c r="NK82" s="36" t="s">
        <v>139</v>
      </c>
      <c r="NL82" s="36" t="s">
        <v>139</v>
      </c>
      <c r="NM82" s="36" t="s">
        <v>139</v>
      </c>
      <c r="NN82" s="36" t="s">
        <v>139</v>
      </c>
      <c r="NO82" s="36" t="s">
        <v>139</v>
      </c>
      <c r="NP82" s="36" t="s">
        <v>139</v>
      </c>
      <c r="NQ82" s="36" t="s">
        <v>139</v>
      </c>
      <c r="NR82" s="36" t="s">
        <v>139</v>
      </c>
      <c r="NS82" s="36" t="s">
        <v>139</v>
      </c>
      <c r="NT82" s="36" t="s">
        <v>139</v>
      </c>
      <c r="NU82" s="36" t="s">
        <v>139</v>
      </c>
      <c r="NV82" s="36" t="s">
        <v>139</v>
      </c>
      <c r="NW82" s="36" t="s">
        <v>139</v>
      </c>
      <c r="NX82" s="36" t="s">
        <v>139</v>
      </c>
      <c r="NY82" s="36" t="s">
        <v>139</v>
      </c>
      <c r="NZ82" s="36" t="s">
        <v>139</v>
      </c>
      <c r="OA82" s="36" t="s">
        <v>139</v>
      </c>
      <c r="OB82" s="36" t="s">
        <v>139</v>
      </c>
      <c r="OC82" s="36" t="s">
        <v>139</v>
      </c>
      <c r="OD82" s="36" t="s">
        <v>139</v>
      </c>
      <c r="OE82" s="36" t="s">
        <v>139</v>
      </c>
      <c r="OF82" s="36" t="s">
        <v>139</v>
      </c>
      <c r="OG82" s="36" t="s">
        <v>139</v>
      </c>
      <c r="OH82" s="36" t="s">
        <v>139</v>
      </c>
      <c r="OI82" s="36" t="s">
        <v>139</v>
      </c>
      <c r="OJ82" s="36" t="s">
        <v>139</v>
      </c>
      <c r="OK82" s="36" t="s">
        <v>139</v>
      </c>
      <c r="OL82" s="36" t="s">
        <v>139</v>
      </c>
      <c r="OM82" s="36" t="s">
        <v>139</v>
      </c>
      <c r="ON82" s="36" t="s">
        <v>139</v>
      </c>
      <c r="OO82" s="36" t="s">
        <v>139</v>
      </c>
      <c r="OP82" s="36" t="s">
        <v>139</v>
      </c>
      <c r="OQ82" s="36" t="s">
        <v>139</v>
      </c>
      <c r="OR82" s="36" t="s">
        <v>139</v>
      </c>
      <c r="OS82" s="36" t="s">
        <v>139</v>
      </c>
      <c r="OT82" s="36" t="s">
        <v>139</v>
      </c>
      <c r="OU82" s="36" t="s">
        <v>139</v>
      </c>
      <c r="OV82" s="36" t="s">
        <v>139</v>
      </c>
      <c r="OW82" s="36" t="s">
        <v>139</v>
      </c>
      <c r="OX82" s="36" t="s">
        <v>139</v>
      </c>
      <c r="OY82" s="36" t="s">
        <v>139</v>
      </c>
      <c r="OZ82" s="36" t="s">
        <v>139</v>
      </c>
      <c r="PA82" s="36" t="s">
        <v>139</v>
      </c>
      <c r="PB82" s="36" t="s">
        <v>139</v>
      </c>
      <c r="PC82" s="36" t="s">
        <v>139</v>
      </c>
      <c r="PD82" s="36" t="s">
        <v>139</v>
      </c>
      <c r="PE82" s="36" t="s">
        <v>139</v>
      </c>
      <c r="PF82" s="36" t="s">
        <v>139</v>
      </c>
      <c r="PG82" s="36" t="s">
        <v>139</v>
      </c>
      <c r="PH82" s="36" t="s">
        <v>139</v>
      </c>
      <c r="PI82" s="36" t="s">
        <v>139</v>
      </c>
      <c r="PJ82" s="36" t="s">
        <v>139</v>
      </c>
      <c r="PK82" s="36" t="s">
        <v>139</v>
      </c>
      <c r="PL82" s="36" t="s">
        <v>139</v>
      </c>
      <c r="PM82" s="36" t="s">
        <v>139</v>
      </c>
      <c r="PN82" s="36" t="s">
        <v>139</v>
      </c>
      <c r="PO82" s="74">
        <f>COUNTIFS($C$27:$PN$27,("&lt;"&amp;$B$3),$C$27:$PN$27,("&gt;="&amp;$B$2),$C82:$PN82,TabAsistencias[[#Headers],[1]])</f>
        <v>30</v>
      </c>
      <c r="PP82" s="74">
        <f>COUNTIFS($C$27:$PN$27,("&lt;"&amp;$B$3),$C$27:$PN$27,("&gt;="&amp;$B$2),$C82:$PN82,TabAsistencias[[#Headers],[E]])</f>
        <v>0</v>
      </c>
      <c r="PQ82" s="74">
        <f>COUNTIFS($C$27:$PN$27,("&lt;"&amp;$B$3),$C$27:$PN$27,("&gt;="&amp;$B$2),$C82:$PN82,TabAsistencias[[#Headers],[DE]])</f>
        <v>0</v>
      </c>
      <c r="PR82" s="74">
        <f>COUNTIFS($C$27:$PN$27,("&lt;"&amp;$B$3),$C$27:$PN$27,("&gt;="&amp;$B$2),$C82:$PN82,TabAsistencias[[#Headers],[V]])</f>
        <v>0</v>
      </c>
      <c r="PS82" s="74">
        <f>COUNTIFS($C$27:$PN$27,("&lt;"&amp;$B$3),$C$27:$PN$27,("&gt;="&amp;$B$2),$C82:$PN82,TabAsistencias[[#Headers],[DO]])</f>
        <v>0</v>
      </c>
      <c r="PT82" s="74">
        <f>COUNTIFS($C$27:$PN$27,("&lt;"&amp;$B$3),$C$27:$PN$27,("&gt;="&amp;$B$2),$C82:$PN82,TabAsistencias[[#Headers],[P]])</f>
        <v>0</v>
      </c>
      <c r="PU82" s="74">
        <f>COUNTIFS($C$27:$PN$27,("&lt;"&amp;$B$3),$C$27:$PN$27,("&gt;="&amp;$B$2),$C82:$PN82,TabAsistencias[[#Headers],[F]])</f>
        <v>0</v>
      </c>
      <c r="PV82" s="74">
        <f>COUNTIFS($C$27:$PN$27,("&lt;"&amp;$B$3),$C$27:$PN$27,("&gt;="&amp;$B$2),$C82:$PN82,TabAsistencias[[#Headers],[R]])</f>
        <v>0</v>
      </c>
      <c r="PW82" s="74">
        <f>COUNTIFS($C$27:$PN$27,("&lt;"&amp;$B$3),$C$27:$PN$27,("&gt;="&amp;$B$2),$C82:$PN82,TabAsistencias[[#Headers],[PP]])</f>
        <v>0</v>
      </c>
      <c r="PX82" s="74">
        <f>COUNTIFS($C$27:$PN$27,("&lt;"&amp;$B$3),$C$27:$PN$27,("&gt;="&amp;$B$2),$C82:$PN82,TabAsistencias[[#Headers],[0]])</f>
        <v>0</v>
      </c>
      <c r="PY82" s="74">
        <f>COUNTIFS($C$27:$PN$27,("&lt;"&amp;$B$3),$C$27:$PN$27,("&gt;="&amp;$B$2),$C82:$PN82,TabAsistencias[[#Headers],[IG]])</f>
        <v>0</v>
      </c>
      <c r="PZ82" s="74">
        <f>COUNTIFS($C$27:$PN$27,("&lt;"&amp;$B$3),$C$27:$PN$27,("&gt;="&amp;$B$2),$C82:$PN82,TabAsistencias[[#Headers],[NA]])</f>
        <v>0</v>
      </c>
      <c r="QA82" s="74">
        <f>COUNTIFS($C$27:$PN$27,("&lt;"&amp;$B$3),$C$27:$PN$27,("&gt;="&amp;$B$2),$C82:$PN82,TabAsistencias[[#Headers],[DF]])</f>
        <v>0</v>
      </c>
      <c r="QB82" s="74">
        <f>COUNTIFS($C$27:$PN$27,("&lt;"&amp;$B$3),$C$27:$PN$27,("&gt;="&amp;$B$2),$C82:$PN82,TabAsistencias[[#Headers],[3]])</f>
        <v>0</v>
      </c>
      <c r="QC82" s="74">
        <f>COUNTIFS($C$27:$PN$27,("&lt;"&amp;$B$3),$C$27:$PN$27,("&gt;="&amp;$B$2),$C82:$PN82,TabAsistencias[[#Headers],[CP]])</f>
        <v>0</v>
      </c>
      <c r="QD82" s="74">
        <f>COUNTIFS($C$27:$PN$27,("&lt;"&amp;$B$3),$C$27:$PN$27,("&gt;="&amp;$B$2),$C82:$PN82,TabAsistencias[[#Headers],[I]])</f>
        <v>0</v>
      </c>
      <c r="QE82" s="74">
        <f>COUNTIFS($C$27:$PN$27,("&lt;"&amp;$B$3),$C$27:$PN$27,("&gt;="&amp;$B$2),$C82:$PN82,TabAsistencias[[#Headers],[T/2]])</f>
        <v>0</v>
      </c>
      <c r="QF82" s="74">
        <f>COUNTIFS($C$27:$PN$27,("&lt;"&amp;$B$3),$C$27:$PN$27,("&gt;="&amp;$B$2),$C82:$PN82,TabAsistencias[[#Headers],[ME]])</f>
        <v>0</v>
      </c>
      <c r="QG82" s="74">
        <f>COUNTIFS($C$27:$PN$27,("&lt;"&amp;$B$3),$C$27:$PN$27,("&gt;="&amp;$B$2),$C82:$PN82,TabAsistencias[[#Headers],[DP]])</f>
        <v>0</v>
      </c>
      <c r="QH82" s="74">
        <f>COUNTIFS($C$27:$PN$27,("&lt;"&amp;$B$3),$C$27:$PN$27,("&gt;="&amp;$B$2),$C82:$PN82,TabAsistencias[[#Headers],[B]])</f>
        <v>0</v>
      </c>
      <c r="QI82" s="74">
        <f>(TabAsistencias[[#This Row],[1]]*'Tablas de informacion'!$C$124)+(TabAsistencias[[#This Row],[E]]*'Tablas de informacion'!$C$125)+(TabAsistencias[[#This Row],[DE]]*'Tablas de informacion'!C$126)+(TabAsistencias[[#This Row],[V]]*'Tablas de informacion'!C$127)+(TabAsistencias[[#This Row],[DO]]*'Tablas de informacion'!C$128)+(TabAsistencias[[#This Row],[P]]*'Tablas de informacion'!C$129)+(TabAsistencias[[#This Row],[F]]*'Tablas de informacion'!C$130)+(TabAsistencias[[#This Row],[R]]*'Tablas de informacion'!C$131)+(TabAsistencias[[#This Row],[PP]]*'Tablas de informacion'!C$132)+(TabAsistencias[[#This Row],[0]]*'Tablas de informacion'!C$133)+(TabAsistencias[[#This Row],[IG]]*'Tablas de informacion'!C$134)+(TabAsistencias[[#This Row],[NA]]*'Tablas de informacion'!C$135)+(TabAsistencias[[#This Row],[DF]]*'Tablas de informacion'!C$136)+(TabAsistencias[[#This Row],[3]]*'Tablas de informacion'!C$137)+(TabAsistencias[[#This Row],[CP]]*'Tablas de informacion'!C$138)+(TabAsistencias[[#This Row],[I]]*'Tablas de informacion'!C$139)+(TabAsistencias[[#This Row],[T/2]]*'Tablas de informacion'!C$140)+(TabAsistencias[[#This Row],[ME]]*'Tablas de informacion'!C$141)+(TabAsistencias[[#This Row],[DP]]*'Tablas de informacion'!C$142)+(TabAsistencias[[#This Row],[B]]*'Tablas de informacion'!C$143)-INT(TabAsistencias[[#This Row],[R]]/3)</f>
        <v>30</v>
      </c>
      <c r="QJ82" s="74">
        <f>COUNTIFS($C$27:$PN$27,("&lt;"&amp;$B$3),$C$27:$PN$27,("&gt;="&amp;$B$2),$C$28:$PN$28,1,$C82:$PN82,TabAsistencias[[#Headers],[1]])+
COUNTIFS($C$27:$PN$27,("&lt;"&amp;$B$3),$C$27:$PN$27,("&gt;="&amp;$B$2),$C$28:$PN$28,1,$C82:$PN82,TabAsistencias[[#Headers],[DO]])+
COUNTIFS($C$27:$PN$27,("&lt;"&amp;$B$3),$C$27:$PN$27,("&gt;="&amp;$B$2),$C$28:$PN$28,1,$C82:$PN82,TabAsistencias[[#Headers],[R]])+
COUNTIFS($C$27:$PN$27,("&lt;"&amp;$B$3),$C$27:$PN$27,("&gt;="&amp;$B$2),$C$28:$PN$28,1,$C82:$PN82,TabAsistencias[[#Headers],[NA]])+
COUNTIFS($C$27:$PN$27,("&lt;"&amp;$B$3),$C$27:$PN$27,("&gt;="&amp;$B$2),$C$28:$PN$28,1,$C82:$PN82,TabAsistencias[[#Headers],[DF]])+
COUNTIFS($C$27:$PN$27,("&lt;"&amp;$B$3),$C$27:$PN$27,("&gt;="&amp;$B$2),$C$28:$PN$28,1,$C82:$PN82,TabAsistencias[[#Headers],[3]])+
COUNTIFS($C$27:$PN$27,("&lt;"&amp;$B$3),$C$27:$PN$27,("&gt;="&amp;$B$2),$C$28:$PN$28,1,$C82:$PN82,TabAsistencias[[#Headers],[CP]])+
COUNTIFS($C$27:$PN$27,("&lt;"&amp;$B$3),$C$27:$PN$27,("&gt;="&amp;$B$2),$C$28:$PN$28,1,$C82:$PN82,TabAsistencias[[#Headers],[T/2]])</f>
        <v>4</v>
      </c>
      <c r="QK82" s="315" cm="1">
        <f t="array" ref="QK82">IFERROR(VLOOKUP(
DATEDIF((VLOOKUP(TabAsistencias[[#This Row],[ID]],TabEmpleados[],COLUMN(TabEmpleados[Fecha de ingreso]),FALSE)),Asistencias!$B$3,"Y"),
TabFactorIntegracion[],COLUMN(TabFactorIntegracion[Días vacacionales
establecidos por ley]),FALSE),0)
-
COUNTIF($AH82:$PN82,TabAsistencias[[#Headers],[V]])</f>
        <v>12</v>
      </c>
      <c r="QL82" s="319">
        <f>SUM(TabAsistencias[[#This Row],[''1]],TabAsistencias[[#This Row],[''DE]],TabAsistencias[[#This Row],[''DO]],TabAsistencias[[#This Row],[''R]],TabAsistencias[[#This Row],[''NA]],TabAsistencias[[#This Row],[''DF]],TabAsistencias[[#This Row],[''3]],TabAsistencias[[#This Row],[''CP]],TabAsistencias[[#This Row],[''T/2]],TabAsistencias[[#This Row],[''DP]])</f>
        <v>73</v>
      </c>
      <c r="QM82" s="314">
        <f>COUNTIFS($C$27:$PN$27,("&lt;"&amp;$B$5),$C$27:$PN$27,("&gt;="&amp;$B$4),$C82:$PN82,TabAsistencias[[#Headers],[1]])</f>
        <v>73</v>
      </c>
      <c r="QN82" s="314">
        <f>COUNTIFS($C$27:$PN$27,("&lt;"&amp;$B$5),$C$27:$PN$27,("&gt;="&amp;$B$4),$C82:$PN82,TabAsistencias[[#Headers],[DE]])</f>
        <v>0</v>
      </c>
      <c r="QO82" s="314">
        <f>COUNTIFS($C$27:$PN$27,("&lt;"&amp;$B$5),$C$27:$PN$27,("&gt;="&amp;$B$4),$C82:$PN82,TabAsistencias[[#Headers],[V]])</f>
        <v>0</v>
      </c>
      <c r="QP82" s="314">
        <f>COUNTIFS($C$27:$PN$27,("&lt;"&amp;$B$5),$C$27:$PN$27,("&gt;="&amp;$B$4),$C82:$PN82,TabAsistencias[[#Headers],[DO]])</f>
        <v>0</v>
      </c>
      <c r="QQ82" s="314">
        <f>COUNTIFS($C$27:$PN$27,("&lt;"&amp;$B$5),$C$27:$PN$27,("&gt;="&amp;$B$4),$C82:$PN82,TabAsistencias[[#Headers],[P]])</f>
        <v>0</v>
      </c>
      <c r="QR82" s="314">
        <f>COUNTIFS($C$27:$PN$27,("&lt;"&amp;$B$5),$C$27:$PN$27,("&gt;="&amp;$B$4),$C82:$PN82,TabAsistencias[[#Headers],[F]])</f>
        <v>0</v>
      </c>
      <c r="QS82" s="314">
        <f>COUNTIFS($C$27:$PN$27,("&lt;"&amp;$B$5),$C$27:$PN$27,("&gt;="&amp;$B$4),$C82:$PN82,TabAsistencias[[#Headers],[R]])</f>
        <v>0</v>
      </c>
      <c r="QT82" s="314">
        <f>COUNTIFS($C$27:$PN$27,("&lt;"&amp;$B$5),$C$27:$PN$27,("&gt;="&amp;$B$4),$C82:$PN82,TabAsistencias[[#Headers],[PP]])</f>
        <v>0</v>
      </c>
      <c r="QU82" s="314">
        <f>COUNTIFS($C$27:$PN$27,("&lt;"&amp;$B$5),$C$27:$PN$27,("&gt;="&amp;$B$4),$C82:$PN82,TabAsistencias[[#Headers],[0]])</f>
        <v>0</v>
      </c>
      <c r="QV82" s="314">
        <f>COUNTIFS($C$27:$PN$27,("&lt;"&amp;$B$5),$C$27:$PN$27,("&gt;="&amp;$B$4),$C82:$PN82,TabAsistencias[[#Headers],[IG]])</f>
        <v>0</v>
      </c>
      <c r="QW82" s="314">
        <f>COUNTIFS($C$27:$PN$27,("&lt;"&amp;$B$5),$C$27:$PN$27,("&gt;="&amp;$B$4),$C82:$PN82,TabAsistencias[[#Headers],[NA]])</f>
        <v>0</v>
      </c>
      <c r="QX82" s="314">
        <f>COUNTIFS($C$27:$PN$27,("&lt;"&amp;$B$5),$C$27:$PN$27,("&gt;="&amp;$B$4),$C82:$PN82,TabAsistencias[[#Headers],[DF]])</f>
        <v>0</v>
      </c>
      <c r="QY82" s="314">
        <f>COUNTIFS($C$27:$PN$27,("&lt;"&amp;$B$5),$C$27:$PN$27,("&gt;="&amp;$B$4),$C82:$PN82,TabAsistencias[[#Headers],[3]])</f>
        <v>0</v>
      </c>
      <c r="QZ82" s="314">
        <f>COUNTIFS($C$27:$PN$27,("&lt;"&amp;$B$5),$C$27:$PN$27,("&gt;="&amp;$B$4),$C82:$PN82,TabAsistencias[[#Headers],[CP]])</f>
        <v>0</v>
      </c>
      <c r="RA82" s="314">
        <f>COUNTIFS($C$27:$PN$27,("&lt;"&amp;$B$5),$C$27:$PN$27,("&gt;="&amp;$B$4),$C82:$PN82,TabAsistencias[[#Headers],[I]])</f>
        <v>0</v>
      </c>
      <c r="RB82" s="314">
        <f>COUNTIFS($C$27:$PN$27,("&lt;"&amp;$B$5),$C$27:$PN$27,("&gt;="&amp;$B$4),$C82:$PN82,TabAsistencias[[#Headers],[T/2]])</f>
        <v>0</v>
      </c>
      <c r="RC82" s="314">
        <f>COUNTIFS($C$27:$PN$27,("&lt;"&amp;$B$5),$C$27:$PN$27,("&gt;="&amp;$B$4),$C82:$PN82,TabAsistencias[[#Headers],[ME]])</f>
        <v>0</v>
      </c>
      <c r="RD82" s="314">
        <f>COUNTIFS($C$27:$PN$27,("&lt;"&amp;$B$5),$C$27:$PN$27,("&gt;="&amp;$B$4),$C82:$PN82,TabAsistencias[[#Headers],[DP]])</f>
        <v>0</v>
      </c>
      <c r="RE82" s="314">
        <f>COUNTIFS($C$27:$PN$27,("&lt;"&amp;$B$5),$C$27:$PN$27,("&gt;="&amp;$B$4),$C82:$PN82,TabAsistencias[[#Headers],[B]])</f>
        <v>0</v>
      </c>
      <c r="RF82" s="314">
        <f>COUNTIFS($C$27:$PN$27,("&lt;"&amp;$B$5),$C$27:$PN$27,("&gt;="&amp;$B$4),$C$28:$PN$28,1,$C82:$PN82,TabAsistencias[[#Headers],[1]])+
COUNTIFS($C$27:$PN$27,("&lt;"&amp;$B$5),$C$27:$PN$27,("&gt;="&amp;$B$4),$C$28:$PN$28,1,$C82:$PN82,TabAsistencias[[#Headers],[DO]])+
COUNTIFS($C$27:$PN$27,("&lt;"&amp;$B$5),$C$27:$PN$27,("&gt;="&amp;$B$4),$C$28:$PN$28,1,$C82:$PN82,TabAsistencias[[#Headers],[R]])+
COUNTIFS($C$27:$PN$27,("&lt;"&amp;$B$5),$C$27:$PN$27,("&gt;="&amp;$B$4),$C$28:$PN$28,1,$C82:$PN82,TabAsistencias[[#Headers],[NA]])+
COUNTIFS($C$27:$PN$27,("&lt;"&amp;$B$5),$C$27:$PN$27,("&gt;="&amp;$B$4),$C$28:$PN$28,1,$C82:$PN82,TabAsistencias[[#Headers],[DF]])+
COUNTIFS($C$27:$PN$27,("&lt;"&amp;$B$5),$C$27:$PN$27,("&gt;="&amp;$B$4),$C$28:$PN$28,1,$C82:$PN82,TabAsistencias[[#Headers],[3]])+
COUNTIFS($C$27:$PN$27,("&lt;"&amp;$B$5),$C$27:$PN$27,("&gt;="&amp;$B$4),$C$28:$PN$28,1,$C82:$PN82,TabAsistencias[[#Headers],[CP]])+
COUNTIFS($C$27:$PN$27,("&lt;"&amp;$B$5),$C$27:$PN$27,("&gt;="&amp;$B$4),$C$28:$PN$28,1,$C82:$PN82,TabAsistencias[[#Headers],[T/2]])</f>
        <v>11</v>
      </c>
      <c r="RG82" s="320" cm="1">
        <f t="array" ref="RG82">IFERROR(VLOOKUP(
DATEDIF((VLOOKUP(TabAsistencias[[#This Row],[ID]],TabEmpleados[],COLUMN(TabEmpleados[Fecha de alta NSS]),FALSE)),Asistencias!$B$3,"Y"),
TabFactorIntegracion[],COLUMN(TabFactorIntegracion[Días vacacionales
establecidos por ley]),FALSE),0)
-
COUNTIF($AH82:$PN82,TabAsistencias[[#Headers],[V]])</f>
        <v>12</v>
      </c>
    </row>
    <row r="83" spans="1:475" x14ac:dyDescent="0.25">
      <c r="A83" s="92">
        <f t="shared" si="434"/>
        <v>53</v>
      </c>
      <c r="B83" s="30" t="str" cm="1">
        <f t="array" ref="B83">VLOOKUP(TabAsistencias[[#This Row],[ID]],TabEmpleados[],COLUMN(TabEmpleados[Nombre]),FALSE)</f>
        <v>GASPAR VALERIANO WILLEVALDO INOCENCIO</v>
      </c>
      <c r="C83" s="36" t="s">
        <v>139</v>
      </c>
      <c r="D83" s="36" t="s">
        <v>139</v>
      </c>
      <c r="E83" s="36" t="s">
        <v>139</v>
      </c>
      <c r="F83" s="36" t="s">
        <v>139</v>
      </c>
      <c r="G83" s="36" t="s">
        <v>139</v>
      </c>
      <c r="H83" s="36" t="s">
        <v>139</v>
      </c>
      <c r="I83" s="36" t="s">
        <v>139</v>
      </c>
      <c r="J83" s="36" t="s">
        <v>139</v>
      </c>
      <c r="K83" s="36" t="s">
        <v>139</v>
      </c>
      <c r="L83" s="36" t="s">
        <v>139</v>
      </c>
      <c r="M83" s="36" t="s">
        <v>139</v>
      </c>
      <c r="N83" s="36" t="s">
        <v>139</v>
      </c>
      <c r="O83" s="36" t="s">
        <v>139</v>
      </c>
      <c r="P83" s="36" t="s">
        <v>139</v>
      </c>
      <c r="Q83" s="36" t="s">
        <v>139</v>
      </c>
      <c r="R83" s="36" t="s">
        <v>139</v>
      </c>
      <c r="S83" s="36" t="s">
        <v>139</v>
      </c>
      <c r="T83" s="36" t="s">
        <v>139</v>
      </c>
      <c r="U83" s="36" t="s">
        <v>139</v>
      </c>
      <c r="V83" s="36" t="s">
        <v>139</v>
      </c>
      <c r="W83" s="36" t="s">
        <v>139</v>
      </c>
      <c r="X83" s="36" t="s">
        <v>139</v>
      </c>
      <c r="Y83" s="36" t="s">
        <v>139</v>
      </c>
      <c r="Z83" s="36" t="s">
        <v>139</v>
      </c>
      <c r="AA83" s="36" t="s">
        <v>139</v>
      </c>
      <c r="AB83" s="36" t="s">
        <v>139</v>
      </c>
      <c r="AC83" s="36" t="s">
        <v>139</v>
      </c>
      <c r="AD83" s="36" t="s">
        <v>139</v>
      </c>
      <c r="AE83" s="36" t="s">
        <v>139</v>
      </c>
      <c r="AF83" s="36" t="s">
        <v>139</v>
      </c>
      <c r="AG83" s="36" t="s">
        <v>139</v>
      </c>
      <c r="AH83" s="36" t="s">
        <v>139</v>
      </c>
      <c r="AI83" s="36" t="s">
        <v>139</v>
      </c>
      <c r="AJ83" s="36" t="s">
        <v>139</v>
      </c>
      <c r="AK83" s="36" t="s">
        <v>139</v>
      </c>
      <c r="AL83" s="36" t="s">
        <v>139</v>
      </c>
      <c r="AM83" s="36" t="s">
        <v>139</v>
      </c>
      <c r="AN83" s="36" t="s">
        <v>139</v>
      </c>
      <c r="AO83" s="36" t="s">
        <v>139</v>
      </c>
      <c r="AP83" s="36" t="s">
        <v>139</v>
      </c>
      <c r="AQ83" s="36" t="s">
        <v>139</v>
      </c>
      <c r="AR83" s="36" t="s">
        <v>139</v>
      </c>
      <c r="AS83" s="36" t="s">
        <v>139</v>
      </c>
      <c r="AT83" s="36" t="s">
        <v>139</v>
      </c>
      <c r="AU83" s="36" t="s">
        <v>139</v>
      </c>
      <c r="AV83" s="36" t="s">
        <v>139</v>
      </c>
      <c r="AW83" s="36" t="s">
        <v>139</v>
      </c>
      <c r="AX83" s="36" t="s">
        <v>139</v>
      </c>
      <c r="AY83" s="36" t="s">
        <v>139</v>
      </c>
      <c r="AZ83" s="36" t="s">
        <v>139</v>
      </c>
      <c r="BA83" s="36" t="s">
        <v>139</v>
      </c>
      <c r="BB83" s="36" t="s">
        <v>139</v>
      </c>
      <c r="BC83" s="36" t="s">
        <v>139</v>
      </c>
      <c r="BD83" s="36" t="s">
        <v>139</v>
      </c>
      <c r="BE83" s="36" t="s">
        <v>139</v>
      </c>
      <c r="BF83" s="36" t="s">
        <v>139</v>
      </c>
      <c r="BG83" s="36" t="s">
        <v>139</v>
      </c>
      <c r="BH83" s="36" t="s">
        <v>139</v>
      </c>
      <c r="BI83" s="36" t="s">
        <v>139</v>
      </c>
      <c r="BJ83" s="36" t="s">
        <v>139</v>
      </c>
      <c r="BK83" s="36" t="s">
        <v>139</v>
      </c>
      <c r="BL83" s="36" t="s">
        <v>139</v>
      </c>
      <c r="BM83" s="36" t="s">
        <v>139</v>
      </c>
      <c r="BN83" s="36" t="s">
        <v>139</v>
      </c>
      <c r="BO83" s="36" t="s">
        <v>139</v>
      </c>
      <c r="BP83" s="36" t="s">
        <v>139</v>
      </c>
      <c r="BQ83" s="36" t="s">
        <v>139</v>
      </c>
      <c r="BR83" s="36" t="s">
        <v>139</v>
      </c>
      <c r="BS83" s="36" t="s">
        <v>139</v>
      </c>
      <c r="BT83" s="36" t="s">
        <v>139</v>
      </c>
      <c r="BU83" s="36" t="s">
        <v>139</v>
      </c>
      <c r="BV83" s="36" t="s">
        <v>139</v>
      </c>
      <c r="BW83" s="36" t="s">
        <v>139</v>
      </c>
      <c r="BX83" s="36" t="s">
        <v>139</v>
      </c>
      <c r="BY83" s="36" t="s">
        <v>139</v>
      </c>
      <c r="BZ83" s="36" t="s">
        <v>139</v>
      </c>
      <c r="CA83" s="36" t="s">
        <v>139</v>
      </c>
      <c r="CB83" s="36" t="s">
        <v>139</v>
      </c>
      <c r="CC83" s="36" t="s">
        <v>139</v>
      </c>
      <c r="CD83" s="36" t="s">
        <v>139</v>
      </c>
      <c r="CE83" s="36" t="s">
        <v>139</v>
      </c>
      <c r="CF83" s="36" t="s">
        <v>139</v>
      </c>
      <c r="CG83" s="36" t="s">
        <v>139</v>
      </c>
      <c r="CH83" s="36" t="s">
        <v>139</v>
      </c>
      <c r="CI83" s="36" t="s">
        <v>139</v>
      </c>
      <c r="CJ83" s="36" t="s">
        <v>139</v>
      </c>
      <c r="CK83" s="36" t="s">
        <v>139</v>
      </c>
      <c r="CL83" s="36" t="s">
        <v>139</v>
      </c>
      <c r="CM83" s="36" t="s">
        <v>139</v>
      </c>
      <c r="CN83" s="36" t="s">
        <v>139</v>
      </c>
      <c r="CO83" s="36" t="s">
        <v>139</v>
      </c>
      <c r="CP83" s="36" t="s">
        <v>139</v>
      </c>
      <c r="CQ83" s="36" t="s">
        <v>139</v>
      </c>
      <c r="CR83" s="36" t="s">
        <v>139</v>
      </c>
      <c r="CS83" s="36" t="s">
        <v>139</v>
      </c>
      <c r="CT83" s="36" t="s">
        <v>139</v>
      </c>
      <c r="CU83" s="36" t="s">
        <v>139</v>
      </c>
      <c r="CV83" s="36" t="s">
        <v>139</v>
      </c>
      <c r="CW83" s="36" t="s">
        <v>139</v>
      </c>
      <c r="CX83" s="36" t="s">
        <v>139</v>
      </c>
      <c r="CY83" s="36" t="s">
        <v>139</v>
      </c>
      <c r="CZ83" s="36" t="s">
        <v>139</v>
      </c>
      <c r="DA83" s="36" t="s">
        <v>139</v>
      </c>
      <c r="DB83" s="36" t="s">
        <v>139</v>
      </c>
      <c r="DC83" s="36" t="s">
        <v>139</v>
      </c>
      <c r="DD83" s="36" t="s">
        <v>139</v>
      </c>
      <c r="DE83" s="36" t="s">
        <v>139</v>
      </c>
      <c r="DF83" s="36" t="s">
        <v>139</v>
      </c>
      <c r="DG83" s="36" t="s">
        <v>139</v>
      </c>
      <c r="DH83" s="36" t="s">
        <v>139</v>
      </c>
      <c r="DI83" s="36" t="s">
        <v>139</v>
      </c>
      <c r="DJ83" s="36" t="s">
        <v>139</v>
      </c>
      <c r="DK83" s="36" t="s">
        <v>139</v>
      </c>
      <c r="DL83" s="36" t="s">
        <v>139</v>
      </c>
      <c r="DM83" s="36" t="s">
        <v>139</v>
      </c>
      <c r="DN83" s="36" t="s">
        <v>139</v>
      </c>
      <c r="DO83" s="36" t="s">
        <v>139</v>
      </c>
      <c r="DP83" s="36" t="s">
        <v>139</v>
      </c>
      <c r="DQ83" s="36" t="s">
        <v>139</v>
      </c>
      <c r="DR83" s="36" t="s">
        <v>139</v>
      </c>
      <c r="DS83" s="36" t="s">
        <v>139</v>
      </c>
      <c r="DT83" s="36" t="s">
        <v>139</v>
      </c>
      <c r="DU83" s="36" t="s">
        <v>139</v>
      </c>
      <c r="DV83" s="36" t="s">
        <v>139</v>
      </c>
      <c r="DW83" s="36" t="s">
        <v>139</v>
      </c>
      <c r="DX83" s="36" t="s">
        <v>139</v>
      </c>
      <c r="DY83" s="36" t="s">
        <v>139</v>
      </c>
      <c r="DZ83" s="36" t="s">
        <v>139</v>
      </c>
      <c r="EA83" s="36" t="s">
        <v>139</v>
      </c>
      <c r="EB83" s="36" t="s">
        <v>139</v>
      </c>
      <c r="EC83" s="36" t="s">
        <v>139</v>
      </c>
      <c r="ED83" s="36" t="s">
        <v>139</v>
      </c>
      <c r="EE83" s="36" t="s">
        <v>139</v>
      </c>
      <c r="EF83" s="36" t="s">
        <v>139</v>
      </c>
      <c r="EG83" s="36" t="s">
        <v>139</v>
      </c>
      <c r="EH83" s="36" t="s">
        <v>139</v>
      </c>
      <c r="EI83" s="36" t="s">
        <v>139</v>
      </c>
      <c r="EJ83" s="36" t="s">
        <v>139</v>
      </c>
      <c r="EK83" s="36" t="s">
        <v>139</v>
      </c>
      <c r="EL83" s="36" t="s">
        <v>139</v>
      </c>
      <c r="EM83" s="36" t="s">
        <v>139</v>
      </c>
      <c r="EN83" s="36" t="s">
        <v>139</v>
      </c>
      <c r="EO83" s="36" t="s">
        <v>139</v>
      </c>
      <c r="EP83" s="36" t="s">
        <v>139</v>
      </c>
      <c r="EQ83" s="36" t="s">
        <v>139</v>
      </c>
      <c r="ER83" s="36" t="s">
        <v>139</v>
      </c>
      <c r="ES83" s="36" t="s">
        <v>139</v>
      </c>
      <c r="ET83" s="36" t="s">
        <v>139</v>
      </c>
      <c r="EU83" s="36" t="s">
        <v>139</v>
      </c>
      <c r="EV83" s="36" t="s">
        <v>139</v>
      </c>
      <c r="EW83" s="36" t="s">
        <v>139</v>
      </c>
      <c r="EX83" s="36" t="s">
        <v>139</v>
      </c>
      <c r="EY83" s="36" t="s">
        <v>139</v>
      </c>
      <c r="EZ83" s="36" t="s">
        <v>139</v>
      </c>
      <c r="FA83" s="36" t="s">
        <v>139</v>
      </c>
      <c r="FB83" s="36" t="s">
        <v>139</v>
      </c>
      <c r="FC83" s="36" t="s">
        <v>139</v>
      </c>
      <c r="FD83" s="36" t="s">
        <v>139</v>
      </c>
      <c r="FE83" s="36" t="s">
        <v>139</v>
      </c>
      <c r="FF83" s="36" t="s">
        <v>139</v>
      </c>
      <c r="FG83" s="36" t="s">
        <v>139</v>
      </c>
      <c r="FH83" s="36" t="s">
        <v>139</v>
      </c>
      <c r="FI83" s="36" t="s">
        <v>139</v>
      </c>
      <c r="FJ83" s="36" t="s">
        <v>139</v>
      </c>
      <c r="FK83" s="36" t="s">
        <v>139</v>
      </c>
      <c r="FL83" s="36" t="s">
        <v>139</v>
      </c>
      <c r="FM83" s="36" t="s">
        <v>139</v>
      </c>
      <c r="FN83" s="36" t="s">
        <v>139</v>
      </c>
      <c r="FO83" s="36" t="s">
        <v>139</v>
      </c>
      <c r="FP83" s="36" t="s">
        <v>139</v>
      </c>
      <c r="FQ83" s="36" t="s">
        <v>139</v>
      </c>
      <c r="FR83" s="36" t="s">
        <v>139</v>
      </c>
      <c r="FS83" s="36" t="s">
        <v>139</v>
      </c>
      <c r="FT83" s="36" t="s">
        <v>139</v>
      </c>
      <c r="FU83" s="36" t="s">
        <v>139</v>
      </c>
      <c r="FV83" s="36" t="s">
        <v>139</v>
      </c>
      <c r="FW83" s="36" t="s">
        <v>139</v>
      </c>
      <c r="FX83" s="36" t="s">
        <v>139</v>
      </c>
      <c r="FY83" s="36" t="s">
        <v>139</v>
      </c>
      <c r="FZ83" s="36" t="s">
        <v>139</v>
      </c>
      <c r="GA83" s="36" t="s">
        <v>139</v>
      </c>
      <c r="GB83" s="36" t="s">
        <v>139</v>
      </c>
      <c r="GC83" s="36" t="s">
        <v>139</v>
      </c>
      <c r="GD83" s="36" t="s">
        <v>139</v>
      </c>
      <c r="GE83" s="36" t="s">
        <v>139</v>
      </c>
      <c r="GF83" s="36" t="s">
        <v>139</v>
      </c>
      <c r="GG83" s="36" t="s">
        <v>139</v>
      </c>
      <c r="GH83" s="36" t="s">
        <v>139</v>
      </c>
      <c r="GI83" s="36" t="s">
        <v>139</v>
      </c>
      <c r="GJ83" s="36" t="s">
        <v>139</v>
      </c>
      <c r="GK83" s="36" t="s">
        <v>139</v>
      </c>
      <c r="GL83" s="36" t="s">
        <v>139</v>
      </c>
      <c r="GM83" s="36" t="s">
        <v>139</v>
      </c>
      <c r="GN83" s="36" t="s">
        <v>139</v>
      </c>
      <c r="GO83" s="36" t="s">
        <v>139</v>
      </c>
      <c r="GP83" s="36" t="s">
        <v>139</v>
      </c>
      <c r="GQ83" s="36" t="s">
        <v>139</v>
      </c>
      <c r="GR83" s="36" t="s">
        <v>139</v>
      </c>
      <c r="GS83" s="36" t="s">
        <v>139</v>
      </c>
      <c r="GT83" s="36" t="s">
        <v>139</v>
      </c>
      <c r="GU83" s="36" t="s">
        <v>139</v>
      </c>
      <c r="GV83" s="36" t="s">
        <v>139</v>
      </c>
      <c r="GW83" s="36" t="s">
        <v>139</v>
      </c>
      <c r="GX83" s="36" t="s">
        <v>139</v>
      </c>
      <c r="GY83" s="36" t="s">
        <v>139</v>
      </c>
      <c r="GZ83" s="36" t="s">
        <v>139</v>
      </c>
      <c r="HA83" s="36" t="s">
        <v>139</v>
      </c>
      <c r="HB83" s="36" t="s">
        <v>139</v>
      </c>
      <c r="HC83" s="36" t="s">
        <v>139</v>
      </c>
      <c r="HD83" s="36" t="s">
        <v>139</v>
      </c>
      <c r="HE83" s="36" t="s">
        <v>139</v>
      </c>
      <c r="HF83" s="36" t="s">
        <v>139</v>
      </c>
      <c r="HG83" s="36" t="s">
        <v>139</v>
      </c>
      <c r="HH83" s="36" t="s">
        <v>139</v>
      </c>
      <c r="HI83" s="36" t="s">
        <v>139</v>
      </c>
      <c r="HJ83" s="36" t="s">
        <v>139</v>
      </c>
      <c r="HK83" s="36" t="s">
        <v>139</v>
      </c>
      <c r="HL83" s="36" t="s">
        <v>139</v>
      </c>
      <c r="HM83" s="36" t="s">
        <v>139</v>
      </c>
      <c r="HN83" s="36" t="s">
        <v>139</v>
      </c>
      <c r="HO83" s="36" t="s">
        <v>139</v>
      </c>
      <c r="HP83" s="36" t="s">
        <v>139</v>
      </c>
      <c r="HQ83" s="36" t="s">
        <v>139</v>
      </c>
      <c r="HR83" s="36" t="s">
        <v>139</v>
      </c>
      <c r="HS83" s="36" t="s">
        <v>139</v>
      </c>
      <c r="HT83" s="36" t="s">
        <v>139</v>
      </c>
      <c r="HU83" s="36" t="s">
        <v>139</v>
      </c>
      <c r="HV83" s="36" t="s">
        <v>139</v>
      </c>
      <c r="HW83" s="36" t="s">
        <v>139</v>
      </c>
      <c r="HX83" s="36" t="s">
        <v>139</v>
      </c>
      <c r="HY83" s="36" t="s">
        <v>139</v>
      </c>
      <c r="HZ83" s="36" t="s">
        <v>139</v>
      </c>
      <c r="IA83" s="36" t="s">
        <v>139</v>
      </c>
      <c r="IB83" s="36" t="s">
        <v>139</v>
      </c>
      <c r="IC83" s="36" t="s">
        <v>139</v>
      </c>
      <c r="ID83" s="36" t="s">
        <v>139</v>
      </c>
      <c r="IE83" s="36" t="s">
        <v>139</v>
      </c>
      <c r="IF83" s="36" t="s">
        <v>139</v>
      </c>
      <c r="IG83" s="36" t="s">
        <v>139</v>
      </c>
      <c r="IH83" s="36" t="s">
        <v>139</v>
      </c>
      <c r="II83" s="36" t="s">
        <v>139</v>
      </c>
      <c r="IJ83" s="36" t="s">
        <v>139</v>
      </c>
      <c r="IK83" s="36" t="s">
        <v>139</v>
      </c>
      <c r="IL83" s="36" t="s">
        <v>139</v>
      </c>
      <c r="IM83" s="36" t="s">
        <v>139</v>
      </c>
      <c r="IN83" s="36" t="s">
        <v>139</v>
      </c>
      <c r="IO83" s="36" t="s">
        <v>139</v>
      </c>
      <c r="IP83" s="36" t="s">
        <v>139</v>
      </c>
      <c r="IQ83" s="36" t="s">
        <v>139</v>
      </c>
      <c r="IR83" s="36" t="s">
        <v>139</v>
      </c>
      <c r="IS83" s="36" t="s">
        <v>139</v>
      </c>
      <c r="IT83" s="36" t="s">
        <v>139</v>
      </c>
      <c r="IU83" s="36" t="s">
        <v>139</v>
      </c>
      <c r="IV83" s="36" t="s">
        <v>139</v>
      </c>
      <c r="IW83" s="36" t="s">
        <v>139</v>
      </c>
      <c r="IX83" s="36" t="s">
        <v>139</v>
      </c>
      <c r="IY83" s="36" t="s">
        <v>139</v>
      </c>
      <c r="IZ83" s="36" t="s">
        <v>139</v>
      </c>
      <c r="JA83" s="36" t="s">
        <v>139</v>
      </c>
      <c r="JB83" s="36" t="s">
        <v>139</v>
      </c>
      <c r="JC83" s="36" t="s">
        <v>139</v>
      </c>
      <c r="JD83" s="36" t="s">
        <v>139</v>
      </c>
      <c r="JE83" s="36" t="s">
        <v>139</v>
      </c>
      <c r="JF83" s="36" t="s">
        <v>139</v>
      </c>
      <c r="JG83" s="36" t="s">
        <v>139</v>
      </c>
      <c r="JH83" s="36" t="s">
        <v>139</v>
      </c>
      <c r="JI83" s="36" t="s">
        <v>139</v>
      </c>
      <c r="JJ83" s="36" t="s">
        <v>139</v>
      </c>
      <c r="JK83" s="36" t="s">
        <v>139</v>
      </c>
      <c r="JL83" s="36" t="s">
        <v>139</v>
      </c>
      <c r="JM83" s="36" t="s">
        <v>139</v>
      </c>
      <c r="JN83" s="36" t="s">
        <v>139</v>
      </c>
      <c r="JO83" s="36" t="s">
        <v>139</v>
      </c>
      <c r="JP83" s="36" t="s">
        <v>139</v>
      </c>
      <c r="JQ83" s="36" t="s">
        <v>139</v>
      </c>
      <c r="JR83" s="36" t="s">
        <v>139</v>
      </c>
      <c r="JS83" s="36" t="s">
        <v>139</v>
      </c>
      <c r="JT83" s="36" t="s">
        <v>139</v>
      </c>
      <c r="JU83" s="36" t="s">
        <v>139</v>
      </c>
      <c r="JV83" s="36" t="s">
        <v>139</v>
      </c>
      <c r="JW83" s="36" t="s">
        <v>139</v>
      </c>
      <c r="JX83" s="36" t="s">
        <v>139</v>
      </c>
      <c r="JY83" s="36" t="s">
        <v>139</v>
      </c>
      <c r="JZ83" s="36" t="s">
        <v>139</v>
      </c>
      <c r="KA83" s="36" t="s">
        <v>139</v>
      </c>
      <c r="KB83" s="36" t="s">
        <v>139</v>
      </c>
      <c r="KC83" s="36" t="s">
        <v>139</v>
      </c>
      <c r="KD83" s="36" t="s">
        <v>139</v>
      </c>
      <c r="KE83" s="36" t="s">
        <v>139</v>
      </c>
      <c r="KF83" s="36" t="s">
        <v>139</v>
      </c>
      <c r="KG83" s="36" t="s">
        <v>139</v>
      </c>
      <c r="KH83" s="36" t="s">
        <v>139</v>
      </c>
      <c r="KI83" s="36" t="s">
        <v>139</v>
      </c>
      <c r="KJ83" s="36" t="s">
        <v>139</v>
      </c>
      <c r="KK83" s="36" t="s">
        <v>139</v>
      </c>
      <c r="KL83" s="36" t="s">
        <v>139</v>
      </c>
      <c r="KM83" s="36" t="s">
        <v>139</v>
      </c>
      <c r="KN83" s="36" t="s">
        <v>139</v>
      </c>
      <c r="KO83" s="36" t="s">
        <v>139</v>
      </c>
      <c r="KP83" s="36" t="s">
        <v>139</v>
      </c>
      <c r="KQ83" s="36" t="s">
        <v>139</v>
      </c>
      <c r="KR83" s="36" t="s">
        <v>139</v>
      </c>
      <c r="KS83" s="36" t="s">
        <v>139</v>
      </c>
      <c r="KT83" s="36" t="s">
        <v>139</v>
      </c>
      <c r="KU83" s="36" t="s">
        <v>139</v>
      </c>
      <c r="KV83" s="36" t="s">
        <v>139</v>
      </c>
      <c r="KW83" s="36" t="s">
        <v>139</v>
      </c>
      <c r="KX83" s="36" t="s">
        <v>139</v>
      </c>
      <c r="KY83" s="36" t="s">
        <v>139</v>
      </c>
      <c r="KZ83" s="36" t="s">
        <v>139</v>
      </c>
      <c r="LA83" s="36" t="s">
        <v>139</v>
      </c>
      <c r="LB83" s="36" t="s">
        <v>139</v>
      </c>
      <c r="LC83" s="36" t="s">
        <v>139</v>
      </c>
      <c r="LD83" s="36" t="s">
        <v>139</v>
      </c>
      <c r="LE83" s="36" t="s">
        <v>139</v>
      </c>
      <c r="LF83" s="36" t="s">
        <v>139</v>
      </c>
      <c r="LG83" s="36" t="s">
        <v>139</v>
      </c>
      <c r="LH83" s="36" t="s">
        <v>139</v>
      </c>
      <c r="LI83" s="36" t="s">
        <v>139</v>
      </c>
      <c r="LJ83" s="36" t="s">
        <v>139</v>
      </c>
      <c r="LK83" s="36" t="s">
        <v>139</v>
      </c>
      <c r="LL83" s="36" t="s">
        <v>139</v>
      </c>
      <c r="LM83" s="36" t="s">
        <v>139</v>
      </c>
      <c r="LN83" s="36" t="s">
        <v>139</v>
      </c>
      <c r="LO83" s="36" t="s">
        <v>139</v>
      </c>
      <c r="LP83" s="36" t="s">
        <v>139</v>
      </c>
      <c r="LQ83" s="36" t="s">
        <v>139</v>
      </c>
      <c r="LR83" s="36" t="s">
        <v>139</v>
      </c>
      <c r="LS83" s="36" t="s">
        <v>139</v>
      </c>
      <c r="LT83" s="36" t="s">
        <v>139</v>
      </c>
      <c r="LU83" s="36" t="s">
        <v>139</v>
      </c>
      <c r="LV83" s="36" t="s">
        <v>139</v>
      </c>
      <c r="LW83" s="36" t="s">
        <v>139</v>
      </c>
      <c r="LX83" s="36" t="s">
        <v>139</v>
      </c>
      <c r="LY83" s="36" t="s">
        <v>139</v>
      </c>
      <c r="LZ83" s="36" t="s">
        <v>139</v>
      </c>
      <c r="MA83" s="36" t="s">
        <v>139</v>
      </c>
      <c r="MB83" s="36" t="s">
        <v>139</v>
      </c>
      <c r="MC83" s="36" t="s">
        <v>139</v>
      </c>
      <c r="MD83" s="36" t="s">
        <v>139</v>
      </c>
      <c r="ME83" s="36" t="s">
        <v>139</v>
      </c>
      <c r="MF83" s="36" t="s">
        <v>139</v>
      </c>
      <c r="MG83" s="36" t="s">
        <v>139</v>
      </c>
      <c r="MH83" s="36" t="s">
        <v>139</v>
      </c>
      <c r="MI83" s="36" t="s">
        <v>139</v>
      </c>
      <c r="MJ83" s="36" t="s">
        <v>139</v>
      </c>
      <c r="MK83" s="36" t="s">
        <v>139</v>
      </c>
      <c r="ML83" s="36" t="s">
        <v>139</v>
      </c>
      <c r="MM83" s="36" t="s">
        <v>139</v>
      </c>
      <c r="MN83" s="36" t="s">
        <v>139</v>
      </c>
      <c r="MO83" s="36" t="s">
        <v>139</v>
      </c>
      <c r="MP83" s="36" t="s">
        <v>139</v>
      </c>
      <c r="MQ83" s="36" t="s">
        <v>139</v>
      </c>
      <c r="MR83" s="36" t="s">
        <v>139</v>
      </c>
      <c r="MS83" s="36" t="s">
        <v>139</v>
      </c>
      <c r="MT83" s="36" t="s">
        <v>139</v>
      </c>
      <c r="MU83" s="36" t="s">
        <v>139</v>
      </c>
      <c r="MV83" s="36" t="s">
        <v>139</v>
      </c>
      <c r="MW83" s="36" t="s">
        <v>139</v>
      </c>
      <c r="MX83" s="36" t="s">
        <v>139</v>
      </c>
      <c r="MY83" s="36" t="s">
        <v>139</v>
      </c>
      <c r="MZ83" s="36" t="s">
        <v>139</v>
      </c>
      <c r="NA83" s="36" t="s">
        <v>139</v>
      </c>
      <c r="NB83" s="36" t="s">
        <v>139</v>
      </c>
      <c r="NC83" s="36" t="s">
        <v>139</v>
      </c>
      <c r="ND83" s="36" t="s">
        <v>139</v>
      </c>
      <c r="NE83" s="36" t="s">
        <v>139</v>
      </c>
      <c r="NF83" s="36" t="s">
        <v>139</v>
      </c>
      <c r="NG83" s="36" t="s">
        <v>139</v>
      </c>
      <c r="NH83" s="36" t="s">
        <v>139</v>
      </c>
      <c r="NI83" s="36" t="s">
        <v>139</v>
      </c>
      <c r="NJ83" s="36" t="s">
        <v>139</v>
      </c>
      <c r="NK83" s="36" t="s">
        <v>139</v>
      </c>
      <c r="NL83" s="36" t="s">
        <v>139</v>
      </c>
      <c r="NM83" s="36" t="s">
        <v>139</v>
      </c>
      <c r="NN83" s="36" t="s">
        <v>139</v>
      </c>
      <c r="NO83" s="36" t="s">
        <v>139</v>
      </c>
      <c r="NP83" s="36" t="s">
        <v>139</v>
      </c>
      <c r="NQ83" s="36" t="s">
        <v>139</v>
      </c>
      <c r="NR83" s="36" t="s">
        <v>139</v>
      </c>
      <c r="NS83" s="36" t="s">
        <v>139</v>
      </c>
      <c r="NT83" s="36" t="s">
        <v>139</v>
      </c>
      <c r="NU83" s="36" t="s">
        <v>139</v>
      </c>
      <c r="NV83" s="36" t="s">
        <v>139</v>
      </c>
      <c r="NW83" s="36" t="s">
        <v>139</v>
      </c>
      <c r="NX83" s="36" t="s">
        <v>139</v>
      </c>
      <c r="NY83" s="36" t="s">
        <v>139</v>
      </c>
      <c r="NZ83" s="36" t="s">
        <v>139</v>
      </c>
      <c r="OA83" s="36" t="s">
        <v>139</v>
      </c>
      <c r="OB83" s="36" t="s">
        <v>139</v>
      </c>
      <c r="OC83" s="36" t="s">
        <v>139</v>
      </c>
      <c r="OD83" s="36" t="s">
        <v>139</v>
      </c>
      <c r="OE83" s="36" t="s">
        <v>139</v>
      </c>
      <c r="OF83" s="36" t="s">
        <v>139</v>
      </c>
      <c r="OG83" s="36" t="s">
        <v>139</v>
      </c>
      <c r="OH83" s="36" t="s">
        <v>139</v>
      </c>
      <c r="OI83" s="36" t="s">
        <v>139</v>
      </c>
      <c r="OJ83" s="36" t="s">
        <v>139</v>
      </c>
      <c r="OK83" s="36" t="s">
        <v>139</v>
      </c>
      <c r="OL83" s="36" t="s">
        <v>139</v>
      </c>
      <c r="OM83" s="36" t="s">
        <v>139</v>
      </c>
      <c r="ON83" s="36" t="s">
        <v>139</v>
      </c>
      <c r="OO83" s="36" t="s">
        <v>139</v>
      </c>
      <c r="OP83" s="36" t="s">
        <v>139</v>
      </c>
      <c r="OQ83" s="36" t="s">
        <v>139</v>
      </c>
      <c r="OR83" s="36" t="s">
        <v>139</v>
      </c>
      <c r="OS83" s="36" t="s">
        <v>139</v>
      </c>
      <c r="OT83" s="36" t="s">
        <v>139</v>
      </c>
      <c r="OU83" s="36" t="s">
        <v>139</v>
      </c>
      <c r="OV83" s="36" t="s">
        <v>139</v>
      </c>
      <c r="OW83" s="36" t="s">
        <v>139</v>
      </c>
      <c r="OX83" s="36" t="s">
        <v>139</v>
      </c>
      <c r="OY83" s="36" t="s">
        <v>139</v>
      </c>
      <c r="OZ83" s="36" t="s">
        <v>139</v>
      </c>
      <c r="PA83" s="36" t="s">
        <v>139</v>
      </c>
      <c r="PB83" s="36" t="s">
        <v>139</v>
      </c>
      <c r="PC83" s="36" t="s">
        <v>139</v>
      </c>
      <c r="PD83" s="36" t="s">
        <v>139</v>
      </c>
      <c r="PE83" s="36" t="s">
        <v>139</v>
      </c>
      <c r="PF83" s="36" t="s">
        <v>139</v>
      </c>
      <c r="PG83" s="36" t="s">
        <v>139</v>
      </c>
      <c r="PH83" s="36" t="s">
        <v>139</v>
      </c>
      <c r="PI83" s="36" t="s">
        <v>139</v>
      </c>
      <c r="PJ83" s="36" t="s">
        <v>139</v>
      </c>
      <c r="PK83" s="36" t="s">
        <v>139</v>
      </c>
      <c r="PL83" s="36" t="s">
        <v>139</v>
      </c>
      <c r="PM83" s="36" t="s">
        <v>139</v>
      </c>
      <c r="PN83" s="36" t="s">
        <v>139</v>
      </c>
      <c r="PO83" s="74">
        <f>COUNTIFS($C$27:$PN$27,("&lt;"&amp;$B$3),$C$27:$PN$27,("&gt;="&amp;$B$2),$C83:$PN83,TabAsistencias[[#Headers],[1]])</f>
        <v>30</v>
      </c>
      <c r="PP83" s="74">
        <f>COUNTIFS($C$27:$PN$27,("&lt;"&amp;$B$3),$C$27:$PN$27,("&gt;="&amp;$B$2),$C83:$PN83,TabAsistencias[[#Headers],[E]])</f>
        <v>0</v>
      </c>
      <c r="PQ83" s="74">
        <f>COUNTIFS($C$27:$PN$27,("&lt;"&amp;$B$3),$C$27:$PN$27,("&gt;="&amp;$B$2),$C83:$PN83,TabAsistencias[[#Headers],[DE]])</f>
        <v>0</v>
      </c>
      <c r="PR83" s="74">
        <f>COUNTIFS($C$27:$PN$27,("&lt;"&amp;$B$3),$C$27:$PN$27,("&gt;="&amp;$B$2),$C83:$PN83,TabAsistencias[[#Headers],[V]])</f>
        <v>0</v>
      </c>
      <c r="PS83" s="74">
        <f>COUNTIFS($C$27:$PN$27,("&lt;"&amp;$B$3),$C$27:$PN$27,("&gt;="&amp;$B$2),$C83:$PN83,TabAsistencias[[#Headers],[DO]])</f>
        <v>0</v>
      </c>
      <c r="PT83" s="74">
        <f>COUNTIFS($C$27:$PN$27,("&lt;"&amp;$B$3),$C$27:$PN$27,("&gt;="&amp;$B$2),$C83:$PN83,TabAsistencias[[#Headers],[P]])</f>
        <v>0</v>
      </c>
      <c r="PU83" s="74">
        <f>COUNTIFS($C$27:$PN$27,("&lt;"&amp;$B$3),$C$27:$PN$27,("&gt;="&amp;$B$2),$C83:$PN83,TabAsistencias[[#Headers],[F]])</f>
        <v>0</v>
      </c>
      <c r="PV83" s="74">
        <f>COUNTIFS($C$27:$PN$27,("&lt;"&amp;$B$3),$C$27:$PN$27,("&gt;="&amp;$B$2),$C83:$PN83,TabAsistencias[[#Headers],[R]])</f>
        <v>0</v>
      </c>
      <c r="PW83" s="74">
        <f>COUNTIFS($C$27:$PN$27,("&lt;"&amp;$B$3),$C$27:$PN$27,("&gt;="&amp;$B$2),$C83:$PN83,TabAsistencias[[#Headers],[PP]])</f>
        <v>0</v>
      </c>
      <c r="PX83" s="74">
        <f>COUNTIFS($C$27:$PN$27,("&lt;"&amp;$B$3),$C$27:$PN$27,("&gt;="&amp;$B$2),$C83:$PN83,TabAsistencias[[#Headers],[0]])</f>
        <v>0</v>
      </c>
      <c r="PY83" s="74">
        <f>COUNTIFS($C$27:$PN$27,("&lt;"&amp;$B$3),$C$27:$PN$27,("&gt;="&amp;$B$2),$C83:$PN83,TabAsistencias[[#Headers],[IG]])</f>
        <v>0</v>
      </c>
      <c r="PZ83" s="74">
        <f>COUNTIFS($C$27:$PN$27,("&lt;"&amp;$B$3),$C$27:$PN$27,("&gt;="&amp;$B$2),$C83:$PN83,TabAsistencias[[#Headers],[NA]])</f>
        <v>0</v>
      </c>
      <c r="QA83" s="74">
        <f>COUNTIFS($C$27:$PN$27,("&lt;"&amp;$B$3),$C$27:$PN$27,("&gt;="&amp;$B$2),$C83:$PN83,TabAsistencias[[#Headers],[DF]])</f>
        <v>0</v>
      </c>
      <c r="QB83" s="74">
        <f>COUNTIFS($C$27:$PN$27,("&lt;"&amp;$B$3),$C$27:$PN$27,("&gt;="&amp;$B$2),$C83:$PN83,TabAsistencias[[#Headers],[3]])</f>
        <v>0</v>
      </c>
      <c r="QC83" s="74">
        <f>COUNTIFS($C$27:$PN$27,("&lt;"&amp;$B$3),$C$27:$PN$27,("&gt;="&amp;$B$2),$C83:$PN83,TabAsistencias[[#Headers],[CP]])</f>
        <v>0</v>
      </c>
      <c r="QD83" s="74">
        <f>COUNTIFS($C$27:$PN$27,("&lt;"&amp;$B$3),$C$27:$PN$27,("&gt;="&amp;$B$2),$C83:$PN83,TabAsistencias[[#Headers],[I]])</f>
        <v>0</v>
      </c>
      <c r="QE83" s="74">
        <f>COUNTIFS($C$27:$PN$27,("&lt;"&amp;$B$3),$C$27:$PN$27,("&gt;="&amp;$B$2),$C83:$PN83,TabAsistencias[[#Headers],[T/2]])</f>
        <v>0</v>
      </c>
      <c r="QF83" s="74">
        <f>COUNTIFS($C$27:$PN$27,("&lt;"&amp;$B$3),$C$27:$PN$27,("&gt;="&amp;$B$2),$C83:$PN83,TabAsistencias[[#Headers],[ME]])</f>
        <v>0</v>
      </c>
      <c r="QG83" s="74">
        <f>COUNTIFS($C$27:$PN$27,("&lt;"&amp;$B$3),$C$27:$PN$27,("&gt;="&amp;$B$2),$C83:$PN83,TabAsistencias[[#Headers],[DP]])</f>
        <v>0</v>
      </c>
      <c r="QH83" s="74">
        <f>COUNTIFS($C$27:$PN$27,("&lt;"&amp;$B$3),$C$27:$PN$27,("&gt;="&amp;$B$2),$C83:$PN83,TabAsistencias[[#Headers],[B]])</f>
        <v>0</v>
      </c>
      <c r="QI83" s="74">
        <f>(TabAsistencias[[#This Row],[1]]*'Tablas de informacion'!$C$124)+(TabAsistencias[[#This Row],[E]]*'Tablas de informacion'!$C$125)+(TabAsistencias[[#This Row],[DE]]*'Tablas de informacion'!C$126)+(TabAsistencias[[#This Row],[V]]*'Tablas de informacion'!C$127)+(TabAsistencias[[#This Row],[DO]]*'Tablas de informacion'!C$128)+(TabAsistencias[[#This Row],[P]]*'Tablas de informacion'!C$129)+(TabAsistencias[[#This Row],[F]]*'Tablas de informacion'!C$130)+(TabAsistencias[[#This Row],[R]]*'Tablas de informacion'!C$131)+(TabAsistencias[[#This Row],[PP]]*'Tablas de informacion'!C$132)+(TabAsistencias[[#This Row],[0]]*'Tablas de informacion'!C$133)+(TabAsistencias[[#This Row],[IG]]*'Tablas de informacion'!C$134)+(TabAsistencias[[#This Row],[NA]]*'Tablas de informacion'!C$135)+(TabAsistencias[[#This Row],[DF]]*'Tablas de informacion'!C$136)+(TabAsistencias[[#This Row],[3]]*'Tablas de informacion'!C$137)+(TabAsistencias[[#This Row],[CP]]*'Tablas de informacion'!C$138)+(TabAsistencias[[#This Row],[I]]*'Tablas de informacion'!C$139)+(TabAsistencias[[#This Row],[T/2]]*'Tablas de informacion'!C$140)+(TabAsistencias[[#This Row],[ME]]*'Tablas de informacion'!C$141)+(TabAsistencias[[#This Row],[DP]]*'Tablas de informacion'!C$142)+(TabAsistencias[[#This Row],[B]]*'Tablas de informacion'!C$143)-INT(TabAsistencias[[#This Row],[R]]/3)</f>
        <v>30</v>
      </c>
      <c r="QJ83" s="74">
        <f>COUNTIFS($C$27:$PN$27,("&lt;"&amp;$B$3),$C$27:$PN$27,("&gt;="&amp;$B$2),$C$28:$PN$28,1,$C83:$PN83,TabAsistencias[[#Headers],[1]])+
COUNTIFS($C$27:$PN$27,("&lt;"&amp;$B$3),$C$27:$PN$27,("&gt;="&amp;$B$2),$C$28:$PN$28,1,$C83:$PN83,TabAsistencias[[#Headers],[DO]])+
COUNTIFS($C$27:$PN$27,("&lt;"&amp;$B$3),$C$27:$PN$27,("&gt;="&amp;$B$2),$C$28:$PN$28,1,$C83:$PN83,TabAsistencias[[#Headers],[R]])+
COUNTIFS($C$27:$PN$27,("&lt;"&amp;$B$3),$C$27:$PN$27,("&gt;="&amp;$B$2),$C$28:$PN$28,1,$C83:$PN83,TabAsistencias[[#Headers],[NA]])+
COUNTIFS($C$27:$PN$27,("&lt;"&amp;$B$3),$C$27:$PN$27,("&gt;="&amp;$B$2),$C$28:$PN$28,1,$C83:$PN83,TabAsistencias[[#Headers],[DF]])+
COUNTIFS($C$27:$PN$27,("&lt;"&amp;$B$3),$C$27:$PN$27,("&gt;="&amp;$B$2),$C$28:$PN$28,1,$C83:$PN83,TabAsistencias[[#Headers],[3]])+
COUNTIFS($C$27:$PN$27,("&lt;"&amp;$B$3),$C$27:$PN$27,("&gt;="&amp;$B$2),$C$28:$PN$28,1,$C83:$PN83,TabAsistencias[[#Headers],[CP]])+
COUNTIFS($C$27:$PN$27,("&lt;"&amp;$B$3),$C$27:$PN$27,("&gt;="&amp;$B$2),$C$28:$PN$28,1,$C83:$PN83,TabAsistencias[[#Headers],[T/2]])</f>
        <v>4</v>
      </c>
      <c r="QK83" s="315" cm="1">
        <f t="array" ref="QK83">IFERROR(VLOOKUP(
DATEDIF((VLOOKUP(TabAsistencias[[#This Row],[ID]],TabEmpleados[],COLUMN(TabEmpleados[Fecha de ingreso]),FALSE)),Asistencias!$B$3,"Y"),
TabFactorIntegracion[],COLUMN(TabFactorIntegracion[Días vacacionales
establecidos por ley]),FALSE),0)
-
COUNTIF($AH83:$PN83,TabAsistencias[[#Headers],[V]])</f>
        <v>12</v>
      </c>
      <c r="QL83" s="319">
        <f>SUM(TabAsistencias[[#This Row],[''1]],TabAsistencias[[#This Row],[''DE]],TabAsistencias[[#This Row],[''DO]],TabAsistencias[[#This Row],[''R]],TabAsistencias[[#This Row],[''NA]],TabAsistencias[[#This Row],[''DF]],TabAsistencias[[#This Row],[''3]],TabAsistencias[[#This Row],[''CP]],TabAsistencias[[#This Row],[''T/2]],TabAsistencias[[#This Row],[''DP]])</f>
        <v>73</v>
      </c>
      <c r="QM83" s="314">
        <f>COUNTIFS($C$27:$PN$27,("&lt;"&amp;$B$5),$C$27:$PN$27,("&gt;="&amp;$B$4),$C83:$PN83,TabAsistencias[[#Headers],[1]])</f>
        <v>73</v>
      </c>
      <c r="QN83" s="314">
        <f>COUNTIFS($C$27:$PN$27,("&lt;"&amp;$B$5),$C$27:$PN$27,("&gt;="&amp;$B$4),$C83:$PN83,TabAsistencias[[#Headers],[DE]])</f>
        <v>0</v>
      </c>
      <c r="QO83" s="314">
        <f>COUNTIFS($C$27:$PN$27,("&lt;"&amp;$B$5),$C$27:$PN$27,("&gt;="&amp;$B$4),$C83:$PN83,TabAsistencias[[#Headers],[V]])</f>
        <v>0</v>
      </c>
      <c r="QP83" s="314">
        <f>COUNTIFS($C$27:$PN$27,("&lt;"&amp;$B$5),$C$27:$PN$27,("&gt;="&amp;$B$4),$C83:$PN83,TabAsistencias[[#Headers],[DO]])</f>
        <v>0</v>
      </c>
      <c r="QQ83" s="314">
        <f>COUNTIFS($C$27:$PN$27,("&lt;"&amp;$B$5),$C$27:$PN$27,("&gt;="&amp;$B$4),$C83:$PN83,TabAsistencias[[#Headers],[P]])</f>
        <v>0</v>
      </c>
      <c r="QR83" s="314">
        <f>COUNTIFS($C$27:$PN$27,("&lt;"&amp;$B$5),$C$27:$PN$27,("&gt;="&amp;$B$4),$C83:$PN83,TabAsistencias[[#Headers],[F]])</f>
        <v>0</v>
      </c>
      <c r="QS83" s="314">
        <f>COUNTIFS($C$27:$PN$27,("&lt;"&amp;$B$5),$C$27:$PN$27,("&gt;="&amp;$B$4),$C83:$PN83,TabAsistencias[[#Headers],[R]])</f>
        <v>0</v>
      </c>
      <c r="QT83" s="314">
        <f>COUNTIFS($C$27:$PN$27,("&lt;"&amp;$B$5),$C$27:$PN$27,("&gt;="&amp;$B$4),$C83:$PN83,TabAsistencias[[#Headers],[PP]])</f>
        <v>0</v>
      </c>
      <c r="QU83" s="314">
        <f>COUNTIFS($C$27:$PN$27,("&lt;"&amp;$B$5),$C$27:$PN$27,("&gt;="&amp;$B$4),$C83:$PN83,TabAsistencias[[#Headers],[0]])</f>
        <v>0</v>
      </c>
      <c r="QV83" s="314">
        <f>COUNTIFS($C$27:$PN$27,("&lt;"&amp;$B$5),$C$27:$PN$27,("&gt;="&amp;$B$4),$C83:$PN83,TabAsistencias[[#Headers],[IG]])</f>
        <v>0</v>
      </c>
      <c r="QW83" s="314">
        <f>COUNTIFS($C$27:$PN$27,("&lt;"&amp;$B$5),$C$27:$PN$27,("&gt;="&amp;$B$4),$C83:$PN83,TabAsistencias[[#Headers],[NA]])</f>
        <v>0</v>
      </c>
      <c r="QX83" s="314">
        <f>COUNTIFS($C$27:$PN$27,("&lt;"&amp;$B$5),$C$27:$PN$27,("&gt;="&amp;$B$4),$C83:$PN83,TabAsistencias[[#Headers],[DF]])</f>
        <v>0</v>
      </c>
      <c r="QY83" s="314">
        <f>COUNTIFS($C$27:$PN$27,("&lt;"&amp;$B$5),$C$27:$PN$27,("&gt;="&amp;$B$4),$C83:$PN83,TabAsistencias[[#Headers],[3]])</f>
        <v>0</v>
      </c>
      <c r="QZ83" s="314">
        <f>COUNTIFS($C$27:$PN$27,("&lt;"&amp;$B$5),$C$27:$PN$27,("&gt;="&amp;$B$4),$C83:$PN83,TabAsistencias[[#Headers],[CP]])</f>
        <v>0</v>
      </c>
      <c r="RA83" s="314">
        <f>COUNTIFS($C$27:$PN$27,("&lt;"&amp;$B$5),$C$27:$PN$27,("&gt;="&amp;$B$4),$C83:$PN83,TabAsistencias[[#Headers],[I]])</f>
        <v>0</v>
      </c>
      <c r="RB83" s="314">
        <f>COUNTIFS($C$27:$PN$27,("&lt;"&amp;$B$5),$C$27:$PN$27,("&gt;="&amp;$B$4),$C83:$PN83,TabAsistencias[[#Headers],[T/2]])</f>
        <v>0</v>
      </c>
      <c r="RC83" s="314">
        <f>COUNTIFS($C$27:$PN$27,("&lt;"&amp;$B$5),$C$27:$PN$27,("&gt;="&amp;$B$4),$C83:$PN83,TabAsistencias[[#Headers],[ME]])</f>
        <v>0</v>
      </c>
      <c r="RD83" s="314">
        <f>COUNTIFS($C$27:$PN$27,("&lt;"&amp;$B$5),$C$27:$PN$27,("&gt;="&amp;$B$4),$C83:$PN83,TabAsistencias[[#Headers],[DP]])</f>
        <v>0</v>
      </c>
      <c r="RE83" s="314">
        <f>COUNTIFS($C$27:$PN$27,("&lt;"&amp;$B$5),$C$27:$PN$27,("&gt;="&amp;$B$4),$C83:$PN83,TabAsistencias[[#Headers],[B]])</f>
        <v>0</v>
      </c>
      <c r="RF83" s="314">
        <f>COUNTIFS($C$27:$PN$27,("&lt;"&amp;$B$5),$C$27:$PN$27,("&gt;="&amp;$B$4),$C$28:$PN$28,1,$C83:$PN83,TabAsistencias[[#Headers],[1]])+
COUNTIFS($C$27:$PN$27,("&lt;"&amp;$B$5),$C$27:$PN$27,("&gt;="&amp;$B$4),$C$28:$PN$28,1,$C83:$PN83,TabAsistencias[[#Headers],[DO]])+
COUNTIFS($C$27:$PN$27,("&lt;"&amp;$B$5),$C$27:$PN$27,("&gt;="&amp;$B$4),$C$28:$PN$28,1,$C83:$PN83,TabAsistencias[[#Headers],[R]])+
COUNTIFS($C$27:$PN$27,("&lt;"&amp;$B$5),$C$27:$PN$27,("&gt;="&amp;$B$4),$C$28:$PN$28,1,$C83:$PN83,TabAsistencias[[#Headers],[NA]])+
COUNTIFS($C$27:$PN$27,("&lt;"&amp;$B$5),$C$27:$PN$27,("&gt;="&amp;$B$4),$C$28:$PN$28,1,$C83:$PN83,TabAsistencias[[#Headers],[DF]])+
COUNTIFS($C$27:$PN$27,("&lt;"&amp;$B$5),$C$27:$PN$27,("&gt;="&amp;$B$4),$C$28:$PN$28,1,$C83:$PN83,TabAsistencias[[#Headers],[3]])+
COUNTIFS($C$27:$PN$27,("&lt;"&amp;$B$5),$C$27:$PN$27,("&gt;="&amp;$B$4),$C$28:$PN$28,1,$C83:$PN83,TabAsistencias[[#Headers],[CP]])+
COUNTIFS($C$27:$PN$27,("&lt;"&amp;$B$5),$C$27:$PN$27,("&gt;="&amp;$B$4),$C$28:$PN$28,1,$C83:$PN83,TabAsistencias[[#Headers],[T/2]])</f>
        <v>11</v>
      </c>
      <c r="RG83" s="320" cm="1">
        <f t="array" ref="RG83">IFERROR(VLOOKUP(
DATEDIF((VLOOKUP(TabAsistencias[[#This Row],[ID]],TabEmpleados[],COLUMN(TabEmpleados[Fecha de alta NSS]),FALSE)),Asistencias!$B$3,"Y"),
TabFactorIntegracion[],COLUMN(TabFactorIntegracion[Días vacacionales
establecidos por ley]),FALSE),0)
-
COUNTIF($AH83:$PN83,TabAsistencias[[#Headers],[V]])</f>
        <v>12</v>
      </c>
    </row>
    <row r="84" spans="1:475" x14ac:dyDescent="0.25">
      <c r="A84" s="92">
        <f t="shared" si="434"/>
        <v>54</v>
      </c>
      <c r="B84" s="30" t="str" cm="1">
        <f t="array" ref="B84">VLOOKUP(TabAsistencias[[#This Row],[ID]],TabEmpleados[],COLUMN(TabEmpleados[Nombre]),FALSE)</f>
        <v>ZANABRIGA VELASQUEZ ELOY</v>
      </c>
      <c r="C84" s="36" t="s">
        <v>139</v>
      </c>
      <c r="D84" s="36" t="s">
        <v>139</v>
      </c>
      <c r="E84" s="36" t="s">
        <v>139</v>
      </c>
      <c r="F84" s="36" t="s">
        <v>139</v>
      </c>
      <c r="G84" s="36" t="s">
        <v>139</v>
      </c>
      <c r="H84" s="36" t="s">
        <v>139</v>
      </c>
      <c r="I84" s="36" t="s">
        <v>139</v>
      </c>
      <c r="J84" s="36" t="s">
        <v>139</v>
      </c>
      <c r="K84" s="36" t="s">
        <v>139</v>
      </c>
      <c r="L84" s="36" t="s">
        <v>139</v>
      </c>
      <c r="M84" s="36" t="s">
        <v>139</v>
      </c>
      <c r="N84" s="36" t="s">
        <v>139</v>
      </c>
      <c r="O84" s="36" t="s">
        <v>139</v>
      </c>
      <c r="P84" s="36" t="s">
        <v>139</v>
      </c>
      <c r="Q84" s="36" t="s">
        <v>139</v>
      </c>
      <c r="R84" s="36" t="s">
        <v>139</v>
      </c>
      <c r="S84" s="36" t="s">
        <v>139</v>
      </c>
      <c r="T84" s="36" t="s">
        <v>139</v>
      </c>
      <c r="U84" s="36" t="s">
        <v>139</v>
      </c>
      <c r="V84" s="36" t="s">
        <v>139</v>
      </c>
      <c r="W84" s="36" t="s">
        <v>139</v>
      </c>
      <c r="X84" s="36" t="s">
        <v>139</v>
      </c>
      <c r="Y84" s="36" t="s">
        <v>139</v>
      </c>
      <c r="Z84" s="36" t="s">
        <v>139</v>
      </c>
      <c r="AA84" s="36" t="s">
        <v>139</v>
      </c>
      <c r="AB84" s="36" t="s">
        <v>139</v>
      </c>
      <c r="AC84" s="36" t="s">
        <v>139</v>
      </c>
      <c r="AD84" s="36" t="s">
        <v>139</v>
      </c>
      <c r="AE84" s="36" t="s">
        <v>139</v>
      </c>
      <c r="AF84" s="36" t="s">
        <v>139</v>
      </c>
      <c r="AG84" s="36" t="s">
        <v>139</v>
      </c>
      <c r="AH84" s="36" t="s">
        <v>139</v>
      </c>
      <c r="AI84" s="36" t="s">
        <v>139</v>
      </c>
      <c r="AJ84" s="36" t="s">
        <v>139</v>
      </c>
      <c r="AK84" s="36" t="s">
        <v>139</v>
      </c>
      <c r="AL84" s="36" t="s">
        <v>139</v>
      </c>
      <c r="AM84" s="36" t="s">
        <v>139</v>
      </c>
      <c r="AN84" s="36" t="s">
        <v>139</v>
      </c>
      <c r="AO84" s="36" t="s">
        <v>139</v>
      </c>
      <c r="AP84" s="36" t="s">
        <v>139</v>
      </c>
      <c r="AQ84" s="36" t="s">
        <v>139</v>
      </c>
      <c r="AR84" s="36" t="s">
        <v>139</v>
      </c>
      <c r="AS84" s="36" t="s">
        <v>139</v>
      </c>
      <c r="AT84" s="36" t="s">
        <v>139</v>
      </c>
      <c r="AU84" s="36" t="s">
        <v>139</v>
      </c>
      <c r="AV84" s="36" t="s">
        <v>139</v>
      </c>
      <c r="AW84" s="36" t="s">
        <v>139</v>
      </c>
      <c r="AX84" s="36" t="s">
        <v>139</v>
      </c>
      <c r="AY84" s="36" t="s">
        <v>139</v>
      </c>
      <c r="AZ84" s="36" t="s">
        <v>139</v>
      </c>
      <c r="BA84" s="36" t="s">
        <v>139</v>
      </c>
      <c r="BB84" s="36" t="s">
        <v>139</v>
      </c>
      <c r="BC84" s="36" t="s">
        <v>139</v>
      </c>
      <c r="BD84" s="36" t="s">
        <v>139</v>
      </c>
      <c r="BE84" s="36" t="s">
        <v>139</v>
      </c>
      <c r="BF84" s="36" t="s">
        <v>139</v>
      </c>
      <c r="BG84" s="36" t="s">
        <v>139</v>
      </c>
      <c r="BH84" s="36" t="s">
        <v>139</v>
      </c>
      <c r="BI84" s="36" t="s">
        <v>139</v>
      </c>
      <c r="BJ84" s="36" t="s">
        <v>139</v>
      </c>
      <c r="BK84" s="36" t="s">
        <v>139</v>
      </c>
      <c r="BL84" s="36" t="s">
        <v>139</v>
      </c>
      <c r="BM84" s="36" t="s">
        <v>139</v>
      </c>
      <c r="BN84" s="36" t="s">
        <v>139</v>
      </c>
      <c r="BO84" s="36" t="s">
        <v>139</v>
      </c>
      <c r="BP84" s="36" t="s">
        <v>139</v>
      </c>
      <c r="BQ84" s="36" t="s">
        <v>139</v>
      </c>
      <c r="BR84" s="36" t="s">
        <v>139</v>
      </c>
      <c r="BS84" s="36" t="s">
        <v>139</v>
      </c>
      <c r="BT84" s="36" t="s">
        <v>139</v>
      </c>
      <c r="BU84" s="36" t="s">
        <v>139</v>
      </c>
      <c r="BV84" s="36" t="s">
        <v>139</v>
      </c>
      <c r="BW84" s="36" t="s">
        <v>139</v>
      </c>
      <c r="BX84" s="36" t="s">
        <v>139</v>
      </c>
      <c r="BY84" s="36" t="s">
        <v>139</v>
      </c>
      <c r="BZ84" s="36" t="s">
        <v>139</v>
      </c>
      <c r="CA84" s="36" t="s">
        <v>139</v>
      </c>
      <c r="CB84" s="36" t="s">
        <v>139</v>
      </c>
      <c r="CC84" s="36" t="s">
        <v>139</v>
      </c>
      <c r="CD84" s="36" t="s">
        <v>139</v>
      </c>
      <c r="CE84" s="36" t="s">
        <v>139</v>
      </c>
      <c r="CF84" s="36" t="s">
        <v>139</v>
      </c>
      <c r="CG84" s="36" t="s">
        <v>139</v>
      </c>
      <c r="CH84" s="36" t="s">
        <v>139</v>
      </c>
      <c r="CI84" s="36" t="s">
        <v>139</v>
      </c>
      <c r="CJ84" s="36" t="s">
        <v>139</v>
      </c>
      <c r="CK84" s="36" t="s">
        <v>139</v>
      </c>
      <c r="CL84" s="36" t="s">
        <v>139</v>
      </c>
      <c r="CM84" s="36" t="s">
        <v>139</v>
      </c>
      <c r="CN84" s="36" t="s">
        <v>139</v>
      </c>
      <c r="CO84" s="36" t="s">
        <v>139</v>
      </c>
      <c r="CP84" s="36" t="s">
        <v>139</v>
      </c>
      <c r="CQ84" s="36" t="s">
        <v>139</v>
      </c>
      <c r="CR84" s="36" t="s">
        <v>139</v>
      </c>
      <c r="CS84" s="36" t="s">
        <v>139</v>
      </c>
      <c r="CT84" s="36" t="s">
        <v>139</v>
      </c>
      <c r="CU84" s="36" t="s">
        <v>139</v>
      </c>
      <c r="CV84" s="36" t="s">
        <v>139</v>
      </c>
      <c r="CW84" s="36" t="s">
        <v>139</v>
      </c>
      <c r="CX84" s="36" t="s">
        <v>139</v>
      </c>
      <c r="CY84" s="36" t="s">
        <v>139</v>
      </c>
      <c r="CZ84" s="36" t="s">
        <v>139</v>
      </c>
      <c r="DA84" s="36" t="s">
        <v>139</v>
      </c>
      <c r="DB84" s="36" t="s">
        <v>139</v>
      </c>
      <c r="DC84" s="36" t="s">
        <v>139</v>
      </c>
      <c r="DD84" s="36" t="s">
        <v>139</v>
      </c>
      <c r="DE84" s="36" t="s">
        <v>139</v>
      </c>
      <c r="DF84" s="36" t="s">
        <v>139</v>
      </c>
      <c r="DG84" s="36" t="s">
        <v>139</v>
      </c>
      <c r="DH84" s="36" t="s">
        <v>139</v>
      </c>
      <c r="DI84" s="36" t="s">
        <v>139</v>
      </c>
      <c r="DJ84" s="36" t="s">
        <v>139</v>
      </c>
      <c r="DK84" s="36" t="s">
        <v>139</v>
      </c>
      <c r="DL84" s="36" t="s">
        <v>139</v>
      </c>
      <c r="DM84" s="36" t="s">
        <v>139</v>
      </c>
      <c r="DN84" s="36" t="s">
        <v>139</v>
      </c>
      <c r="DO84" s="36" t="s">
        <v>139</v>
      </c>
      <c r="DP84" s="36" t="s">
        <v>139</v>
      </c>
      <c r="DQ84" s="36" t="s">
        <v>139</v>
      </c>
      <c r="DR84" s="36" t="s">
        <v>139</v>
      </c>
      <c r="DS84" s="36" t="s">
        <v>139</v>
      </c>
      <c r="DT84" s="36" t="s">
        <v>139</v>
      </c>
      <c r="DU84" s="36" t="s">
        <v>139</v>
      </c>
      <c r="DV84" s="36" t="s">
        <v>139</v>
      </c>
      <c r="DW84" s="36" t="s">
        <v>139</v>
      </c>
      <c r="DX84" s="36" t="s">
        <v>139</v>
      </c>
      <c r="DY84" s="36" t="s">
        <v>139</v>
      </c>
      <c r="DZ84" s="36" t="s">
        <v>139</v>
      </c>
      <c r="EA84" s="36" t="s">
        <v>139</v>
      </c>
      <c r="EB84" s="36" t="s">
        <v>139</v>
      </c>
      <c r="EC84" s="36" t="s">
        <v>139</v>
      </c>
      <c r="ED84" s="36" t="s">
        <v>139</v>
      </c>
      <c r="EE84" s="36" t="s">
        <v>139</v>
      </c>
      <c r="EF84" s="36" t="s">
        <v>139</v>
      </c>
      <c r="EG84" s="36" t="s">
        <v>139</v>
      </c>
      <c r="EH84" s="36" t="s">
        <v>139</v>
      </c>
      <c r="EI84" s="36" t="s">
        <v>139</v>
      </c>
      <c r="EJ84" s="36" t="s">
        <v>139</v>
      </c>
      <c r="EK84" s="36" t="s">
        <v>139</v>
      </c>
      <c r="EL84" s="36" t="s">
        <v>139</v>
      </c>
      <c r="EM84" s="36" t="s">
        <v>139</v>
      </c>
      <c r="EN84" s="36" t="s">
        <v>139</v>
      </c>
      <c r="EO84" s="36" t="s">
        <v>139</v>
      </c>
      <c r="EP84" s="36" t="s">
        <v>139</v>
      </c>
      <c r="EQ84" s="36" t="s">
        <v>139</v>
      </c>
      <c r="ER84" s="36" t="s">
        <v>139</v>
      </c>
      <c r="ES84" s="36" t="s">
        <v>139</v>
      </c>
      <c r="ET84" s="36" t="s">
        <v>139</v>
      </c>
      <c r="EU84" s="36" t="s">
        <v>139</v>
      </c>
      <c r="EV84" s="36" t="s">
        <v>139</v>
      </c>
      <c r="EW84" s="36" t="s">
        <v>139</v>
      </c>
      <c r="EX84" s="36" t="s">
        <v>139</v>
      </c>
      <c r="EY84" s="36" t="s">
        <v>139</v>
      </c>
      <c r="EZ84" s="36" t="s">
        <v>139</v>
      </c>
      <c r="FA84" s="36" t="s">
        <v>139</v>
      </c>
      <c r="FB84" s="36" t="s">
        <v>139</v>
      </c>
      <c r="FC84" s="36" t="s">
        <v>139</v>
      </c>
      <c r="FD84" s="36" t="s">
        <v>139</v>
      </c>
      <c r="FE84" s="36" t="s">
        <v>139</v>
      </c>
      <c r="FF84" s="36" t="s">
        <v>139</v>
      </c>
      <c r="FG84" s="36" t="s">
        <v>139</v>
      </c>
      <c r="FH84" s="36" t="s">
        <v>139</v>
      </c>
      <c r="FI84" s="36" t="s">
        <v>139</v>
      </c>
      <c r="FJ84" s="36" t="s">
        <v>139</v>
      </c>
      <c r="FK84" s="36" t="s">
        <v>139</v>
      </c>
      <c r="FL84" s="36" t="s">
        <v>139</v>
      </c>
      <c r="FM84" s="36" t="s">
        <v>139</v>
      </c>
      <c r="FN84" s="36" t="s">
        <v>139</v>
      </c>
      <c r="FO84" s="36" t="s">
        <v>139</v>
      </c>
      <c r="FP84" s="36" t="s">
        <v>139</v>
      </c>
      <c r="FQ84" s="36" t="s">
        <v>139</v>
      </c>
      <c r="FR84" s="36" t="s">
        <v>139</v>
      </c>
      <c r="FS84" s="36" t="s">
        <v>139</v>
      </c>
      <c r="FT84" s="36" t="s">
        <v>139</v>
      </c>
      <c r="FU84" s="36" t="s">
        <v>139</v>
      </c>
      <c r="FV84" s="36" t="s">
        <v>139</v>
      </c>
      <c r="FW84" s="36" t="s">
        <v>139</v>
      </c>
      <c r="FX84" s="36" t="s">
        <v>139</v>
      </c>
      <c r="FY84" s="36" t="s">
        <v>139</v>
      </c>
      <c r="FZ84" s="36" t="s">
        <v>139</v>
      </c>
      <c r="GA84" s="36" t="s">
        <v>139</v>
      </c>
      <c r="GB84" s="36" t="s">
        <v>139</v>
      </c>
      <c r="GC84" s="36" t="s">
        <v>139</v>
      </c>
      <c r="GD84" s="36" t="s">
        <v>139</v>
      </c>
      <c r="GE84" s="36" t="s">
        <v>139</v>
      </c>
      <c r="GF84" s="36" t="s">
        <v>139</v>
      </c>
      <c r="GG84" s="36" t="s">
        <v>139</v>
      </c>
      <c r="GH84" s="36" t="s">
        <v>139</v>
      </c>
      <c r="GI84" s="36" t="s">
        <v>139</v>
      </c>
      <c r="GJ84" s="36" t="s">
        <v>139</v>
      </c>
      <c r="GK84" s="36" t="s">
        <v>139</v>
      </c>
      <c r="GL84" s="36" t="s">
        <v>139</v>
      </c>
      <c r="GM84" s="36" t="s">
        <v>139</v>
      </c>
      <c r="GN84" s="36" t="s">
        <v>139</v>
      </c>
      <c r="GO84" s="36" t="s">
        <v>139</v>
      </c>
      <c r="GP84" s="36" t="s">
        <v>139</v>
      </c>
      <c r="GQ84" s="36" t="s">
        <v>139</v>
      </c>
      <c r="GR84" s="36" t="s">
        <v>139</v>
      </c>
      <c r="GS84" s="36" t="s">
        <v>139</v>
      </c>
      <c r="GT84" s="36" t="s">
        <v>139</v>
      </c>
      <c r="GU84" s="36" t="s">
        <v>139</v>
      </c>
      <c r="GV84" s="36" t="s">
        <v>139</v>
      </c>
      <c r="GW84" s="36" t="s">
        <v>139</v>
      </c>
      <c r="GX84" s="36" t="s">
        <v>139</v>
      </c>
      <c r="GY84" s="36" t="s">
        <v>139</v>
      </c>
      <c r="GZ84" s="36" t="s">
        <v>139</v>
      </c>
      <c r="HA84" s="36" t="s">
        <v>139</v>
      </c>
      <c r="HB84" s="36" t="s">
        <v>139</v>
      </c>
      <c r="HC84" s="36" t="s">
        <v>139</v>
      </c>
      <c r="HD84" s="36" t="s">
        <v>139</v>
      </c>
      <c r="HE84" s="36" t="s">
        <v>139</v>
      </c>
      <c r="HF84" s="36" t="s">
        <v>139</v>
      </c>
      <c r="HG84" s="36" t="s">
        <v>139</v>
      </c>
      <c r="HH84" s="36" t="s">
        <v>139</v>
      </c>
      <c r="HI84" s="36" t="s">
        <v>139</v>
      </c>
      <c r="HJ84" s="36" t="s">
        <v>139</v>
      </c>
      <c r="HK84" s="36" t="s">
        <v>139</v>
      </c>
      <c r="HL84" s="36" t="s">
        <v>139</v>
      </c>
      <c r="HM84" s="36" t="s">
        <v>139</v>
      </c>
      <c r="HN84" s="36" t="s">
        <v>139</v>
      </c>
      <c r="HO84" s="36" t="s">
        <v>139</v>
      </c>
      <c r="HP84" s="36" t="s">
        <v>139</v>
      </c>
      <c r="HQ84" s="36" t="s">
        <v>139</v>
      </c>
      <c r="HR84" s="36" t="s">
        <v>139</v>
      </c>
      <c r="HS84" s="36" t="s">
        <v>139</v>
      </c>
      <c r="HT84" s="36" t="s">
        <v>139</v>
      </c>
      <c r="HU84" s="36" t="s">
        <v>139</v>
      </c>
      <c r="HV84" s="36" t="s">
        <v>139</v>
      </c>
      <c r="HW84" s="36" t="s">
        <v>139</v>
      </c>
      <c r="HX84" s="36" t="s">
        <v>139</v>
      </c>
      <c r="HY84" s="36" t="s">
        <v>139</v>
      </c>
      <c r="HZ84" s="36" t="s">
        <v>139</v>
      </c>
      <c r="IA84" s="36" t="s">
        <v>139</v>
      </c>
      <c r="IB84" s="36" t="s">
        <v>139</v>
      </c>
      <c r="IC84" s="36" t="s">
        <v>139</v>
      </c>
      <c r="ID84" s="36" t="s">
        <v>139</v>
      </c>
      <c r="IE84" s="36" t="s">
        <v>139</v>
      </c>
      <c r="IF84" s="36" t="s">
        <v>139</v>
      </c>
      <c r="IG84" s="36" t="s">
        <v>139</v>
      </c>
      <c r="IH84" s="36" t="s">
        <v>139</v>
      </c>
      <c r="II84" s="36" t="s">
        <v>139</v>
      </c>
      <c r="IJ84" s="36" t="s">
        <v>139</v>
      </c>
      <c r="IK84" s="36" t="s">
        <v>139</v>
      </c>
      <c r="IL84" s="36" t="s">
        <v>139</v>
      </c>
      <c r="IM84" s="36" t="s">
        <v>139</v>
      </c>
      <c r="IN84" s="36" t="s">
        <v>139</v>
      </c>
      <c r="IO84" s="36" t="s">
        <v>139</v>
      </c>
      <c r="IP84" s="36" t="s">
        <v>139</v>
      </c>
      <c r="IQ84" s="36" t="s">
        <v>139</v>
      </c>
      <c r="IR84" s="36" t="s">
        <v>139</v>
      </c>
      <c r="IS84" s="36" t="s">
        <v>139</v>
      </c>
      <c r="IT84" s="36" t="s">
        <v>139</v>
      </c>
      <c r="IU84" s="36" t="s">
        <v>139</v>
      </c>
      <c r="IV84" s="36" t="s">
        <v>139</v>
      </c>
      <c r="IW84" s="36" t="s">
        <v>139</v>
      </c>
      <c r="IX84" s="36" t="s">
        <v>139</v>
      </c>
      <c r="IY84" s="36" t="s">
        <v>139</v>
      </c>
      <c r="IZ84" s="36" t="s">
        <v>139</v>
      </c>
      <c r="JA84" s="36" t="s">
        <v>139</v>
      </c>
      <c r="JB84" s="36" t="s">
        <v>139</v>
      </c>
      <c r="JC84" s="36" t="s">
        <v>139</v>
      </c>
      <c r="JD84" s="36" t="s">
        <v>139</v>
      </c>
      <c r="JE84" s="36" t="s">
        <v>139</v>
      </c>
      <c r="JF84" s="36" t="s">
        <v>139</v>
      </c>
      <c r="JG84" s="36" t="s">
        <v>139</v>
      </c>
      <c r="JH84" s="36" t="s">
        <v>139</v>
      </c>
      <c r="JI84" s="36" t="s">
        <v>139</v>
      </c>
      <c r="JJ84" s="36" t="s">
        <v>139</v>
      </c>
      <c r="JK84" s="36" t="s">
        <v>139</v>
      </c>
      <c r="JL84" s="36" t="s">
        <v>139</v>
      </c>
      <c r="JM84" s="36" t="s">
        <v>139</v>
      </c>
      <c r="JN84" s="36" t="s">
        <v>139</v>
      </c>
      <c r="JO84" s="36" t="s">
        <v>139</v>
      </c>
      <c r="JP84" s="36" t="s">
        <v>139</v>
      </c>
      <c r="JQ84" s="36" t="s">
        <v>139</v>
      </c>
      <c r="JR84" s="36" t="s">
        <v>139</v>
      </c>
      <c r="JS84" s="36" t="s">
        <v>139</v>
      </c>
      <c r="JT84" s="36" t="s">
        <v>139</v>
      </c>
      <c r="JU84" s="36" t="s">
        <v>139</v>
      </c>
      <c r="JV84" s="36" t="s">
        <v>139</v>
      </c>
      <c r="JW84" s="36" t="s">
        <v>139</v>
      </c>
      <c r="JX84" s="36" t="s">
        <v>139</v>
      </c>
      <c r="JY84" s="36" t="s">
        <v>139</v>
      </c>
      <c r="JZ84" s="36" t="s">
        <v>139</v>
      </c>
      <c r="KA84" s="36" t="s">
        <v>139</v>
      </c>
      <c r="KB84" s="36" t="s">
        <v>139</v>
      </c>
      <c r="KC84" s="36" t="s">
        <v>139</v>
      </c>
      <c r="KD84" s="36" t="s">
        <v>139</v>
      </c>
      <c r="KE84" s="36" t="s">
        <v>139</v>
      </c>
      <c r="KF84" s="36" t="s">
        <v>139</v>
      </c>
      <c r="KG84" s="36" t="s">
        <v>139</v>
      </c>
      <c r="KH84" s="36" t="s">
        <v>139</v>
      </c>
      <c r="KI84" s="36" t="s">
        <v>139</v>
      </c>
      <c r="KJ84" s="36" t="s">
        <v>139</v>
      </c>
      <c r="KK84" s="36" t="s">
        <v>139</v>
      </c>
      <c r="KL84" s="36" t="s">
        <v>139</v>
      </c>
      <c r="KM84" s="36" t="s">
        <v>139</v>
      </c>
      <c r="KN84" s="36" t="s">
        <v>139</v>
      </c>
      <c r="KO84" s="36" t="s">
        <v>139</v>
      </c>
      <c r="KP84" s="36" t="s">
        <v>139</v>
      </c>
      <c r="KQ84" s="36" t="s">
        <v>139</v>
      </c>
      <c r="KR84" s="36" t="s">
        <v>139</v>
      </c>
      <c r="KS84" s="36" t="s">
        <v>139</v>
      </c>
      <c r="KT84" s="36" t="s">
        <v>139</v>
      </c>
      <c r="KU84" s="36" t="s">
        <v>139</v>
      </c>
      <c r="KV84" s="36" t="s">
        <v>139</v>
      </c>
      <c r="KW84" s="36" t="s">
        <v>139</v>
      </c>
      <c r="KX84" s="36" t="s">
        <v>139</v>
      </c>
      <c r="KY84" s="36" t="s">
        <v>139</v>
      </c>
      <c r="KZ84" s="36" t="s">
        <v>139</v>
      </c>
      <c r="LA84" s="36" t="s">
        <v>139</v>
      </c>
      <c r="LB84" s="36" t="s">
        <v>139</v>
      </c>
      <c r="LC84" s="36" t="s">
        <v>139</v>
      </c>
      <c r="LD84" s="36" t="s">
        <v>139</v>
      </c>
      <c r="LE84" s="36" t="s">
        <v>139</v>
      </c>
      <c r="LF84" s="36" t="s">
        <v>139</v>
      </c>
      <c r="LG84" s="36" t="s">
        <v>139</v>
      </c>
      <c r="LH84" s="36" t="s">
        <v>139</v>
      </c>
      <c r="LI84" s="36" t="s">
        <v>139</v>
      </c>
      <c r="LJ84" s="36" t="s">
        <v>139</v>
      </c>
      <c r="LK84" s="36" t="s">
        <v>139</v>
      </c>
      <c r="LL84" s="36" t="s">
        <v>139</v>
      </c>
      <c r="LM84" s="36" t="s">
        <v>139</v>
      </c>
      <c r="LN84" s="36" t="s">
        <v>139</v>
      </c>
      <c r="LO84" s="36" t="s">
        <v>139</v>
      </c>
      <c r="LP84" s="36" t="s">
        <v>139</v>
      </c>
      <c r="LQ84" s="36" t="s">
        <v>139</v>
      </c>
      <c r="LR84" s="36" t="s">
        <v>139</v>
      </c>
      <c r="LS84" s="36" t="s">
        <v>139</v>
      </c>
      <c r="LT84" s="36" t="s">
        <v>139</v>
      </c>
      <c r="LU84" s="36" t="s">
        <v>139</v>
      </c>
      <c r="LV84" s="36" t="s">
        <v>139</v>
      </c>
      <c r="LW84" s="36" t="s">
        <v>139</v>
      </c>
      <c r="LX84" s="36" t="s">
        <v>139</v>
      </c>
      <c r="LY84" s="36" t="s">
        <v>139</v>
      </c>
      <c r="LZ84" s="36" t="s">
        <v>139</v>
      </c>
      <c r="MA84" s="36" t="s">
        <v>139</v>
      </c>
      <c r="MB84" s="36" t="s">
        <v>139</v>
      </c>
      <c r="MC84" s="36" t="s">
        <v>139</v>
      </c>
      <c r="MD84" s="36" t="s">
        <v>139</v>
      </c>
      <c r="ME84" s="36" t="s">
        <v>139</v>
      </c>
      <c r="MF84" s="36" t="s">
        <v>139</v>
      </c>
      <c r="MG84" s="36" t="s">
        <v>139</v>
      </c>
      <c r="MH84" s="36" t="s">
        <v>139</v>
      </c>
      <c r="MI84" s="36" t="s">
        <v>139</v>
      </c>
      <c r="MJ84" s="36" t="s">
        <v>139</v>
      </c>
      <c r="MK84" s="36" t="s">
        <v>139</v>
      </c>
      <c r="ML84" s="36" t="s">
        <v>139</v>
      </c>
      <c r="MM84" s="36" t="s">
        <v>139</v>
      </c>
      <c r="MN84" s="36" t="s">
        <v>139</v>
      </c>
      <c r="MO84" s="36" t="s">
        <v>139</v>
      </c>
      <c r="MP84" s="36" t="s">
        <v>139</v>
      </c>
      <c r="MQ84" s="36" t="s">
        <v>139</v>
      </c>
      <c r="MR84" s="36" t="s">
        <v>139</v>
      </c>
      <c r="MS84" s="36" t="s">
        <v>139</v>
      </c>
      <c r="MT84" s="36" t="s">
        <v>139</v>
      </c>
      <c r="MU84" s="36" t="s">
        <v>139</v>
      </c>
      <c r="MV84" s="36" t="s">
        <v>139</v>
      </c>
      <c r="MW84" s="36" t="s">
        <v>139</v>
      </c>
      <c r="MX84" s="36" t="s">
        <v>139</v>
      </c>
      <c r="MY84" s="36" t="s">
        <v>139</v>
      </c>
      <c r="MZ84" s="36" t="s">
        <v>139</v>
      </c>
      <c r="NA84" s="36" t="s">
        <v>139</v>
      </c>
      <c r="NB84" s="36" t="s">
        <v>139</v>
      </c>
      <c r="NC84" s="36" t="s">
        <v>139</v>
      </c>
      <c r="ND84" s="36" t="s">
        <v>139</v>
      </c>
      <c r="NE84" s="36" t="s">
        <v>139</v>
      </c>
      <c r="NF84" s="36" t="s">
        <v>139</v>
      </c>
      <c r="NG84" s="36" t="s">
        <v>139</v>
      </c>
      <c r="NH84" s="36" t="s">
        <v>139</v>
      </c>
      <c r="NI84" s="36" t="s">
        <v>139</v>
      </c>
      <c r="NJ84" s="36" t="s">
        <v>139</v>
      </c>
      <c r="NK84" s="36" t="s">
        <v>139</v>
      </c>
      <c r="NL84" s="36" t="s">
        <v>139</v>
      </c>
      <c r="NM84" s="36" t="s">
        <v>139</v>
      </c>
      <c r="NN84" s="36" t="s">
        <v>139</v>
      </c>
      <c r="NO84" s="36" t="s">
        <v>139</v>
      </c>
      <c r="NP84" s="36" t="s">
        <v>139</v>
      </c>
      <c r="NQ84" s="36" t="s">
        <v>139</v>
      </c>
      <c r="NR84" s="36" t="s">
        <v>139</v>
      </c>
      <c r="NS84" s="36" t="s">
        <v>139</v>
      </c>
      <c r="NT84" s="36" t="s">
        <v>139</v>
      </c>
      <c r="NU84" s="36" t="s">
        <v>139</v>
      </c>
      <c r="NV84" s="36" t="s">
        <v>139</v>
      </c>
      <c r="NW84" s="36" t="s">
        <v>139</v>
      </c>
      <c r="NX84" s="36" t="s">
        <v>139</v>
      </c>
      <c r="NY84" s="36" t="s">
        <v>139</v>
      </c>
      <c r="NZ84" s="36" t="s">
        <v>139</v>
      </c>
      <c r="OA84" s="36" t="s">
        <v>139</v>
      </c>
      <c r="OB84" s="36" t="s">
        <v>139</v>
      </c>
      <c r="OC84" s="36" t="s">
        <v>139</v>
      </c>
      <c r="OD84" s="36" t="s">
        <v>139</v>
      </c>
      <c r="OE84" s="36" t="s">
        <v>139</v>
      </c>
      <c r="OF84" s="36" t="s">
        <v>139</v>
      </c>
      <c r="OG84" s="36" t="s">
        <v>139</v>
      </c>
      <c r="OH84" s="36" t="s">
        <v>139</v>
      </c>
      <c r="OI84" s="36" t="s">
        <v>139</v>
      </c>
      <c r="OJ84" s="36" t="s">
        <v>139</v>
      </c>
      <c r="OK84" s="36" t="s">
        <v>139</v>
      </c>
      <c r="OL84" s="36" t="s">
        <v>139</v>
      </c>
      <c r="OM84" s="36" t="s">
        <v>139</v>
      </c>
      <c r="ON84" s="36" t="s">
        <v>139</v>
      </c>
      <c r="OO84" s="36" t="s">
        <v>139</v>
      </c>
      <c r="OP84" s="36" t="s">
        <v>139</v>
      </c>
      <c r="OQ84" s="36" t="s">
        <v>139</v>
      </c>
      <c r="OR84" s="36" t="s">
        <v>139</v>
      </c>
      <c r="OS84" s="36" t="s">
        <v>139</v>
      </c>
      <c r="OT84" s="36" t="s">
        <v>139</v>
      </c>
      <c r="OU84" s="36" t="s">
        <v>139</v>
      </c>
      <c r="OV84" s="36" t="s">
        <v>139</v>
      </c>
      <c r="OW84" s="36" t="s">
        <v>139</v>
      </c>
      <c r="OX84" s="36" t="s">
        <v>139</v>
      </c>
      <c r="OY84" s="36" t="s">
        <v>139</v>
      </c>
      <c r="OZ84" s="36" t="s">
        <v>139</v>
      </c>
      <c r="PA84" s="36" t="s">
        <v>139</v>
      </c>
      <c r="PB84" s="36" t="s">
        <v>139</v>
      </c>
      <c r="PC84" s="36" t="s">
        <v>139</v>
      </c>
      <c r="PD84" s="36" t="s">
        <v>139</v>
      </c>
      <c r="PE84" s="36" t="s">
        <v>139</v>
      </c>
      <c r="PF84" s="36" t="s">
        <v>139</v>
      </c>
      <c r="PG84" s="36" t="s">
        <v>139</v>
      </c>
      <c r="PH84" s="36" t="s">
        <v>139</v>
      </c>
      <c r="PI84" s="36" t="s">
        <v>139</v>
      </c>
      <c r="PJ84" s="36" t="s">
        <v>139</v>
      </c>
      <c r="PK84" s="36" t="s">
        <v>139</v>
      </c>
      <c r="PL84" s="36" t="s">
        <v>139</v>
      </c>
      <c r="PM84" s="36" t="s">
        <v>139</v>
      </c>
      <c r="PN84" s="36" t="s">
        <v>139</v>
      </c>
      <c r="PO84" s="74">
        <f>COUNTIFS($C$27:$PN$27,("&lt;"&amp;$B$3),$C$27:$PN$27,("&gt;="&amp;$B$2),$C84:$PN84,TabAsistencias[[#Headers],[1]])</f>
        <v>30</v>
      </c>
      <c r="PP84" s="74">
        <f>COUNTIFS($C$27:$PN$27,("&lt;"&amp;$B$3),$C$27:$PN$27,("&gt;="&amp;$B$2),$C84:$PN84,TabAsistencias[[#Headers],[E]])</f>
        <v>0</v>
      </c>
      <c r="PQ84" s="74">
        <f>COUNTIFS($C$27:$PN$27,("&lt;"&amp;$B$3),$C$27:$PN$27,("&gt;="&amp;$B$2),$C84:$PN84,TabAsistencias[[#Headers],[DE]])</f>
        <v>0</v>
      </c>
      <c r="PR84" s="74">
        <f>COUNTIFS($C$27:$PN$27,("&lt;"&amp;$B$3),$C$27:$PN$27,("&gt;="&amp;$B$2),$C84:$PN84,TabAsistencias[[#Headers],[V]])</f>
        <v>0</v>
      </c>
      <c r="PS84" s="74">
        <f>COUNTIFS($C$27:$PN$27,("&lt;"&amp;$B$3),$C$27:$PN$27,("&gt;="&amp;$B$2),$C84:$PN84,TabAsistencias[[#Headers],[DO]])</f>
        <v>0</v>
      </c>
      <c r="PT84" s="74">
        <f>COUNTIFS($C$27:$PN$27,("&lt;"&amp;$B$3),$C$27:$PN$27,("&gt;="&amp;$B$2),$C84:$PN84,TabAsistencias[[#Headers],[P]])</f>
        <v>0</v>
      </c>
      <c r="PU84" s="74">
        <f>COUNTIFS($C$27:$PN$27,("&lt;"&amp;$B$3),$C$27:$PN$27,("&gt;="&amp;$B$2),$C84:$PN84,TabAsistencias[[#Headers],[F]])</f>
        <v>0</v>
      </c>
      <c r="PV84" s="74">
        <f>COUNTIFS($C$27:$PN$27,("&lt;"&amp;$B$3),$C$27:$PN$27,("&gt;="&amp;$B$2),$C84:$PN84,TabAsistencias[[#Headers],[R]])</f>
        <v>0</v>
      </c>
      <c r="PW84" s="74">
        <f>COUNTIFS($C$27:$PN$27,("&lt;"&amp;$B$3),$C$27:$PN$27,("&gt;="&amp;$B$2),$C84:$PN84,TabAsistencias[[#Headers],[PP]])</f>
        <v>0</v>
      </c>
      <c r="PX84" s="74">
        <f>COUNTIFS($C$27:$PN$27,("&lt;"&amp;$B$3),$C$27:$PN$27,("&gt;="&amp;$B$2),$C84:$PN84,TabAsistencias[[#Headers],[0]])</f>
        <v>0</v>
      </c>
      <c r="PY84" s="74">
        <f>COUNTIFS($C$27:$PN$27,("&lt;"&amp;$B$3),$C$27:$PN$27,("&gt;="&amp;$B$2),$C84:$PN84,TabAsistencias[[#Headers],[IG]])</f>
        <v>0</v>
      </c>
      <c r="PZ84" s="74">
        <f>COUNTIFS($C$27:$PN$27,("&lt;"&amp;$B$3),$C$27:$PN$27,("&gt;="&amp;$B$2),$C84:$PN84,TabAsistencias[[#Headers],[NA]])</f>
        <v>0</v>
      </c>
      <c r="QA84" s="74">
        <f>COUNTIFS($C$27:$PN$27,("&lt;"&amp;$B$3),$C$27:$PN$27,("&gt;="&amp;$B$2),$C84:$PN84,TabAsistencias[[#Headers],[DF]])</f>
        <v>0</v>
      </c>
      <c r="QB84" s="74">
        <f>COUNTIFS($C$27:$PN$27,("&lt;"&amp;$B$3),$C$27:$PN$27,("&gt;="&amp;$B$2),$C84:$PN84,TabAsistencias[[#Headers],[3]])</f>
        <v>0</v>
      </c>
      <c r="QC84" s="74">
        <f>COUNTIFS($C$27:$PN$27,("&lt;"&amp;$B$3),$C$27:$PN$27,("&gt;="&amp;$B$2),$C84:$PN84,TabAsistencias[[#Headers],[CP]])</f>
        <v>0</v>
      </c>
      <c r="QD84" s="74">
        <f>COUNTIFS($C$27:$PN$27,("&lt;"&amp;$B$3),$C$27:$PN$27,("&gt;="&amp;$B$2),$C84:$PN84,TabAsistencias[[#Headers],[I]])</f>
        <v>0</v>
      </c>
      <c r="QE84" s="74">
        <f>COUNTIFS($C$27:$PN$27,("&lt;"&amp;$B$3),$C$27:$PN$27,("&gt;="&amp;$B$2),$C84:$PN84,TabAsistencias[[#Headers],[T/2]])</f>
        <v>0</v>
      </c>
      <c r="QF84" s="74">
        <f>COUNTIFS($C$27:$PN$27,("&lt;"&amp;$B$3),$C$27:$PN$27,("&gt;="&amp;$B$2),$C84:$PN84,TabAsistencias[[#Headers],[ME]])</f>
        <v>0</v>
      </c>
      <c r="QG84" s="74">
        <f>COUNTIFS($C$27:$PN$27,("&lt;"&amp;$B$3),$C$27:$PN$27,("&gt;="&amp;$B$2),$C84:$PN84,TabAsistencias[[#Headers],[DP]])</f>
        <v>0</v>
      </c>
      <c r="QH84" s="74">
        <f>COUNTIFS($C$27:$PN$27,("&lt;"&amp;$B$3),$C$27:$PN$27,("&gt;="&amp;$B$2),$C84:$PN84,TabAsistencias[[#Headers],[B]])</f>
        <v>0</v>
      </c>
      <c r="QI84" s="74">
        <f>(TabAsistencias[[#This Row],[1]]*'Tablas de informacion'!$C$124)+(TabAsistencias[[#This Row],[E]]*'Tablas de informacion'!$C$125)+(TabAsistencias[[#This Row],[DE]]*'Tablas de informacion'!C$126)+(TabAsistencias[[#This Row],[V]]*'Tablas de informacion'!C$127)+(TabAsistencias[[#This Row],[DO]]*'Tablas de informacion'!C$128)+(TabAsistencias[[#This Row],[P]]*'Tablas de informacion'!C$129)+(TabAsistencias[[#This Row],[F]]*'Tablas de informacion'!C$130)+(TabAsistencias[[#This Row],[R]]*'Tablas de informacion'!C$131)+(TabAsistencias[[#This Row],[PP]]*'Tablas de informacion'!C$132)+(TabAsistencias[[#This Row],[0]]*'Tablas de informacion'!C$133)+(TabAsistencias[[#This Row],[IG]]*'Tablas de informacion'!C$134)+(TabAsistencias[[#This Row],[NA]]*'Tablas de informacion'!C$135)+(TabAsistencias[[#This Row],[DF]]*'Tablas de informacion'!C$136)+(TabAsistencias[[#This Row],[3]]*'Tablas de informacion'!C$137)+(TabAsistencias[[#This Row],[CP]]*'Tablas de informacion'!C$138)+(TabAsistencias[[#This Row],[I]]*'Tablas de informacion'!C$139)+(TabAsistencias[[#This Row],[T/2]]*'Tablas de informacion'!C$140)+(TabAsistencias[[#This Row],[ME]]*'Tablas de informacion'!C$141)+(TabAsistencias[[#This Row],[DP]]*'Tablas de informacion'!C$142)+(TabAsistencias[[#This Row],[B]]*'Tablas de informacion'!C$143)-INT(TabAsistencias[[#This Row],[R]]/3)</f>
        <v>30</v>
      </c>
      <c r="QJ84" s="74">
        <f>COUNTIFS($C$27:$PN$27,("&lt;"&amp;$B$3),$C$27:$PN$27,("&gt;="&amp;$B$2),$C$28:$PN$28,1,$C84:$PN84,TabAsistencias[[#Headers],[1]])+
COUNTIFS($C$27:$PN$27,("&lt;"&amp;$B$3),$C$27:$PN$27,("&gt;="&amp;$B$2),$C$28:$PN$28,1,$C84:$PN84,TabAsistencias[[#Headers],[DO]])+
COUNTIFS($C$27:$PN$27,("&lt;"&amp;$B$3),$C$27:$PN$27,("&gt;="&amp;$B$2),$C$28:$PN$28,1,$C84:$PN84,TabAsistencias[[#Headers],[R]])+
COUNTIFS($C$27:$PN$27,("&lt;"&amp;$B$3),$C$27:$PN$27,("&gt;="&amp;$B$2),$C$28:$PN$28,1,$C84:$PN84,TabAsistencias[[#Headers],[NA]])+
COUNTIFS($C$27:$PN$27,("&lt;"&amp;$B$3),$C$27:$PN$27,("&gt;="&amp;$B$2),$C$28:$PN$28,1,$C84:$PN84,TabAsistencias[[#Headers],[DF]])+
COUNTIFS($C$27:$PN$27,("&lt;"&amp;$B$3),$C$27:$PN$27,("&gt;="&amp;$B$2),$C$28:$PN$28,1,$C84:$PN84,TabAsistencias[[#Headers],[3]])+
COUNTIFS($C$27:$PN$27,("&lt;"&amp;$B$3),$C$27:$PN$27,("&gt;="&amp;$B$2),$C$28:$PN$28,1,$C84:$PN84,TabAsistencias[[#Headers],[CP]])+
COUNTIFS($C$27:$PN$27,("&lt;"&amp;$B$3),$C$27:$PN$27,("&gt;="&amp;$B$2),$C$28:$PN$28,1,$C84:$PN84,TabAsistencias[[#Headers],[T/2]])</f>
        <v>4</v>
      </c>
      <c r="QK84" s="315" cm="1">
        <f t="array" ref="QK84">IFERROR(VLOOKUP(
DATEDIF((VLOOKUP(TabAsistencias[[#This Row],[ID]],TabEmpleados[],COLUMN(TabEmpleados[Fecha de ingreso]),FALSE)),Asistencias!$B$3,"Y"),
TabFactorIntegracion[],COLUMN(TabFactorIntegracion[Días vacacionales
establecidos por ley]),FALSE),0)
-
COUNTIF($AH84:$PN84,TabAsistencias[[#Headers],[V]])</f>
        <v>12</v>
      </c>
      <c r="QL84" s="319">
        <f>SUM(TabAsistencias[[#This Row],[''1]],TabAsistencias[[#This Row],[''DE]],TabAsistencias[[#This Row],[''DO]],TabAsistencias[[#This Row],[''R]],TabAsistencias[[#This Row],[''NA]],TabAsistencias[[#This Row],[''DF]],TabAsistencias[[#This Row],[''3]],TabAsistencias[[#This Row],[''CP]],TabAsistencias[[#This Row],[''T/2]],TabAsistencias[[#This Row],[''DP]])</f>
        <v>73</v>
      </c>
      <c r="QM84" s="314">
        <f>COUNTIFS($C$27:$PN$27,("&lt;"&amp;$B$5),$C$27:$PN$27,("&gt;="&amp;$B$4),$C84:$PN84,TabAsistencias[[#Headers],[1]])</f>
        <v>73</v>
      </c>
      <c r="QN84" s="314">
        <f>COUNTIFS($C$27:$PN$27,("&lt;"&amp;$B$5),$C$27:$PN$27,("&gt;="&amp;$B$4),$C84:$PN84,TabAsistencias[[#Headers],[DE]])</f>
        <v>0</v>
      </c>
      <c r="QO84" s="314">
        <f>COUNTIFS($C$27:$PN$27,("&lt;"&amp;$B$5),$C$27:$PN$27,("&gt;="&amp;$B$4),$C84:$PN84,TabAsistencias[[#Headers],[V]])</f>
        <v>0</v>
      </c>
      <c r="QP84" s="314">
        <f>COUNTIFS($C$27:$PN$27,("&lt;"&amp;$B$5),$C$27:$PN$27,("&gt;="&amp;$B$4),$C84:$PN84,TabAsistencias[[#Headers],[DO]])</f>
        <v>0</v>
      </c>
      <c r="QQ84" s="314">
        <f>COUNTIFS($C$27:$PN$27,("&lt;"&amp;$B$5),$C$27:$PN$27,("&gt;="&amp;$B$4),$C84:$PN84,TabAsistencias[[#Headers],[P]])</f>
        <v>0</v>
      </c>
      <c r="QR84" s="314">
        <f>COUNTIFS($C$27:$PN$27,("&lt;"&amp;$B$5),$C$27:$PN$27,("&gt;="&amp;$B$4),$C84:$PN84,TabAsistencias[[#Headers],[F]])</f>
        <v>0</v>
      </c>
      <c r="QS84" s="314">
        <f>COUNTIFS($C$27:$PN$27,("&lt;"&amp;$B$5),$C$27:$PN$27,("&gt;="&amp;$B$4),$C84:$PN84,TabAsistencias[[#Headers],[R]])</f>
        <v>0</v>
      </c>
      <c r="QT84" s="314">
        <f>COUNTIFS($C$27:$PN$27,("&lt;"&amp;$B$5),$C$27:$PN$27,("&gt;="&amp;$B$4),$C84:$PN84,TabAsistencias[[#Headers],[PP]])</f>
        <v>0</v>
      </c>
      <c r="QU84" s="314">
        <f>COUNTIFS($C$27:$PN$27,("&lt;"&amp;$B$5),$C$27:$PN$27,("&gt;="&amp;$B$4),$C84:$PN84,TabAsistencias[[#Headers],[0]])</f>
        <v>0</v>
      </c>
      <c r="QV84" s="314">
        <f>COUNTIFS($C$27:$PN$27,("&lt;"&amp;$B$5),$C$27:$PN$27,("&gt;="&amp;$B$4),$C84:$PN84,TabAsistencias[[#Headers],[IG]])</f>
        <v>0</v>
      </c>
      <c r="QW84" s="314">
        <f>COUNTIFS($C$27:$PN$27,("&lt;"&amp;$B$5),$C$27:$PN$27,("&gt;="&amp;$B$4),$C84:$PN84,TabAsistencias[[#Headers],[NA]])</f>
        <v>0</v>
      </c>
      <c r="QX84" s="314">
        <f>COUNTIFS($C$27:$PN$27,("&lt;"&amp;$B$5),$C$27:$PN$27,("&gt;="&amp;$B$4),$C84:$PN84,TabAsistencias[[#Headers],[DF]])</f>
        <v>0</v>
      </c>
      <c r="QY84" s="314">
        <f>COUNTIFS($C$27:$PN$27,("&lt;"&amp;$B$5),$C$27:$PN$27,("&gt;="&amp;$B$4),$C84:$PN84,TabAsistencias[[#Headers],[3]])</f>
        <v>0</v>
      </c>
      <c r="QZ84" s="314">
        <f>COUNTIFS($C$27:$PN$27,("&lt;"&amp;$B$5),$C$27:$PN$27,("&gt;="&amp;$B$4),$C84:$PN84,TabAsistencias[[#Headers],[CP]])</f>
        <v>0</v>
      </c>
      <c r="RA84" s="314">
        <f>COUNTIFS($C$27:$PN$27,("&lt;"&amp;$B$5),$C$27:$PN$27,("&gt;="&amp;$B$4),$C84:$PN84,TabAsistencias[[#Headers],[I]])</f>
        <v>0</v>
      </c>
      <c r="RB84" s="314">
        <f>COUNTIFS($C$27:$PN$27,("&lt;"&amp;$B$5),$C$27:$PN$27,("&gt;="&amp;$B$4),$C84:$PN84,TabAsistencias[[#Headers],[T/2]])</f>
        <v>0</v>
      </c>
      <c r="RC84" s="314">
        <f>COUNTIFS($C$27:$PN$27,("&lt;"&amp;$B$5),$C$27:$PN$27,("&gt;="&amp;$B$4),$C84:$PN84,TabAsistencias[[#Headers],[ME]])</f>
        <v>0</v>
      </c>
      <c r="RD84" s="314">
        <f>COUNTIFS($C$27:$PN$27,("&lt;"&amp;$B$5),$C$27:$PN$27,("&gt;="&amp;$B$4),$C84:$PN84,TabAsistencias[[#Headers],[DP]])</f>
        <v>0</v>
      </c>
      <c r="RE84" s="314">
        <f>COUNTIFS($C$27:$PN$27,("&lt;"&amp;$B$5),$C$27:$PN$27,("&gt;="&amp;$B$4),$C84:$PN84,TabAsistencias[[#Headers],[B]])</f>
        <v>0</v>
      </c>
      <c r="RF84" s="314">
        <f>COUNTIFS($C$27:$PN$27,("&lt;"&amp;$B$5),$C$27:$PN$27,("&gt;="&amp;$B$4),$C$28:$PN$28,1,$C84:$PN84,TabAsistencias[[#Headers],[1]])+
COUNTIFS($C$27:$PN$27,("&lt;"&amp;$B$5),$C$27:$PN$27,("&gt;="&amp;$B$4),$C$28:$PN$28,1,$C84:$PN84,TabAsistencias[[#Headers],[DO]])+
COUNTIFS($C$27:$PN$27,("&lt;"&amp;$B$5),$C$27:$PN$27,("&gt;="&amp;$B$4),$C$28:$PN$28,1,$C84:$PN84,TabAsistencias[[#Headers],[R]])+
COUNTIFS($C$27:$PN$27,("&lt;"&amp;$B$5),$C$27:$PN$27,("&gt;="&amp;$B$4),$C$28:$PN$28,1,$C84:$PN84,TabAsistencias[[#Headers],[NA]])+
COUNTIFS($C$27:$PN$27,("&lt;"&amp;$B$5),$C$27:$PN$27,("&gt;="&amp;$B$4),$C$28:$PN$28,1,$C84:$PN84,TabAsistencias[[#Headers],[DF]])+
COUNTIFS($C$27:$PN$27,("&lt;"&amp;$B$5),$C$27:$PN$27,("&gt;="&amp;$B$4),$C$28:$PN$28,1,$C84:$PN84,TabAsistencias[[#Headers],[3]])+
COUNTIFS($C$27:$PN$27,("&lt;"&amp;$B$5),$C$27:$PN$27,("&gt;="&amp;$B$4),$C$28:$PN$28,1,$C84:$PN84,TabAsistencias[[#Headers],[CP]])+
COUNTIFS($C$27:$PN$27,("&lt;"&amp;$B$5),$C$27:$PN$27,("&gt;="&amp;$B$4),$C$28:$PN$28,1,$C84:$PN84,TabAsistencias[[#Headers],[T/2]])</f>
        <v>11</v>
      </c>
      <c r="RG84" s="320" cm="1">
        <f t="array" ref="RG84">IFERROR(VLOOKUP(
DATEDIF((VLOOKUP(TabAsistencias[[#This Row],[ID]],TabEmpleados[],COLUMN(TabEmpleados[Fecha de alta NSS]),FALSE)),Asistencias!$B$3,"Y"),
TabFactorIntegracion[],COLUMN(TabFactorIntegracion[Días vacacionales
establecidos por ley]),FALSE),0)
-
COUNTIF($AH84:$PN84,TabAsistencias[[#Headers],[V]])</f>
        <v>12</v>
      </c>
    </row>
    <row r="85" spans="1:475" x14ac:dyDescent="0.25">
      <c r="A85" s="92">
        <f t="shared" si="434"/>
        <v>55</v>
      </c>
      <c r="B85" s="30" t="str" cm="1">
        <f t="array" ref="B85">VLOOKUP(TabAsistencias[[#This Row],[ID]],TabEmpleados[],COLUMN(TabEmpleados[Nombre]),FALSE)</f>
        <v>MARTINEZ HERNANDEZ URIEL VALENTINO</v>
      </c>
      <c r="C85" s="36" t="s">
        <v>139</v>
      </c>
      <c r="D85" s="36" t="s">
        <v>139</v>
      </c>
      <c r="E85" s="36" t="s">
        <v>139</v>
      </c>
      <c r="F85" s="36" t="s">
        <v>139</v>
      </c>
      <c r="G85" s="36" t="s">
        <v>139</v>
      </c>
      <c r="H85" s="36" t="s">
        <v>139</v>
      </c>
      <c r="I85" s="36" t="s">
        <v>139</v>
      </c>
      <c r="J85" s="36" t="s">
        <v>139</v>
      </c>
      <c r="K85" s="36" t="s">
        <v>139</v>
      </c>
      <c r="L85" s="36" t="s">
        <v>139</v>
      </c>
      <c r="M85" s="36" t="s">
        <v>139</v>
      </c>
      <c r="N85" s="36" t="s">
        <v>139</v>
      </c>
      <c r="O85" s="36" t="s">
        <v>139</v>
      </c>
      <c r="P85" s="36" t="s">
        <v>139</v>
      </c>
      <c r="Q85" s="36" t="s">
        <v>139</v>
      </c>
      <c r="R85" s="36" t="s">
        <v>139</v>
      </c>
      <c r="S85" s="36" t="s">
        <v>139</v>
      </c>
      <c r="T85" s="36" t="s">
        <v>139</v>
      </c>
      <c r="U85" s="36" t="s">
        <v>139</v>
      </c>
      <c r="V85" s="36" t="s">
        <v>139</v>
      </c>
      <c r="W85" s="36" t="s">
        <v>139</v>
      </c>
      <c r="X85" s="36" t="s">
        <v>139</v>
      </c>
      <c r="Y85" s="36" t="s">
        <v>139</v>
      </c>
      <c r="Z85" s="36" t="s">
        <v>139</v>
      </c>
      <c r="AA85" s="36" t="s">
        <v>139</v>
      </c>
      <c r="AB85" s="36" t="s">
        <v>139</v>
      </c>
      <c r="AC85" s="36" t="s">
        <v>139</v>
      </c>
      <c r="AD85" s="36" t="s">
        <v>139</v>
      </c>
      <c r="AE85" s="36" t="s">
        <v>139</v>
      </c>
      <c r="AF85" s="36" t="s">
        <v>139</v>
      </c>
      <c r="AG85" s="36" t="s">
        <v>139</v>
      </c>
      <c r="AH85" s="36" t="s">
        <v>139</v>
      </c>
      <c r="AI85" s="36" t="s">
        <v>139</v>
      </c>
      <c r="AJ85" s="36" t="s">
        <v>139</v>
      </c>
      <c r="AK85" s="36" t="s">
        <v>139</v>
      </c>
      <c r="AL85" s="36" t="s">
        <v>139</v>
      </c>
      <c r="AM85" s="36" t="s">
        <v>139</v>
      </c>
      <c r="AN85" s="36" t="s">
        <v>139</v>
      </c>
      <c r="AO85" s="36" t="s">
        <v>139</v>
      </c>
      <c r="AP85" s="36" t="s">
        <v>139</v>
      </c>
      <c r="AQ85" s="36" t="s">
        <v>139</v>
      </c>
      <c r="AR85" s="36" t="s">
        <v>139</v>
      </c>
      <c r="AS85" s="36" t="s">
        <v>139</v>
      </c>
      <c r="AT85" s="36" t="s">
        <v>139</v>
      </c>
      <c r="AU85" s="36" t="s">
        <v>139</v>
      </c>
      <c r="AV85" s="36" t="s">
        <v>139</v>
      </c>
      <c r="AW85" s="36" t="s">
        <v>139</v>
      </c>
      <c r="AX85" s="36" t="s">
        <v>139</v>
      </c>
      <c r="AY85" s="36" t="s">
        <v>139</v>
      </c>
      <c r="AZ85" s="36" t="s">
        <v>139</v>
      </c>
      <c r="BA85" s="36" t="s">
        <v>139</v>
      </c>
      <c r="BB85" s="36" t="s">
        <v>139</v>
      </c>
      <c r="BC85" s="36" t="s">
        <v>139</v>
      </c>
      <c r="BD85" s="36" t="s">
        <v>139</v>
      </c>
      <c r="BE85" s="36" t="s">
        <v>139</v>
      </c>
      <c r="BF85" s="36" t="s">
        <v>139</v>
      </c>
      <c r="BG85" s="36" t="s">
        <v>139</v>
      </c>
      <c r="BH85" s="36" t="s">
        <v>139</v>
      </c>
      <c r="BI85" s="36" t="s">
        <v>139</v>
      </c>
      <c r="BJ85" s="36" t="s">
        <v>139</v>
      </c>
      <c r="BK85" s="36" t="s">
        <v>139</v>
      </c>
      <c r="BL85" s="36" t="s">
        <v>139</v>
      </c>
      <c r="BM85" s="36" t="s">
        <v>139</v>
      </c>
      <c r="BN85" s="36" t="s">
        <v>139</v>
      </c>
      <c r="BO85" s="36" t="s">
        <v>139</v>
      </c>
      <c r="BP85" s="36" t="s">
        <v>139</v>
      </c>
      <c r="BQ85" s="36" t="s">
        <v>139</v>
      </c>
      <c r="BR85" s="36" t="s">
        <v>139</v>
      </c>
      <c r="BS85" s="36" t="s">
        <v>139</v>
      </c>
      <c r="BT85" s="36" t="s">
        <v>139</v>
      </c>
      <c r="BU85" s="36" t="s">
        <v>139</v>
      </c>
      <c r="BV85" s="36" t="s">
        <v>139</v>
      </c>
      <c r="BW85" s="36" t="s">
        <v>139</v>
      </c>
      <c r="BX85" s="36" t="s">
        <v>139</v>
      </c>
      <c r="BY85" s="36" t="s">
        <v>139</v>
      </c>
      <c r="BZ85" s="36" t="s">
        <v>139</v>
      </c>
      <c r="CA85" s="36" t="s">
        <v>139</v>
      </c>
      <c r="CB85" s="36" t="s">
        <v>139</v>
      </c>
      <c r="CC85" s="36" t="s">
        <v>139</v>
      </c>
      <c r="CD85" s="36" t="s">
        <v>139</v>
      </c>
      <c r="CE85" s="36" t="s">
        <v>139</v>
      </c>
      <c r="CF85" s="36" t="s">
        <v>139</v>
      </c>
      <c r="CG85" s="36" t="s">
        <v>139</v>
      </c>
      <c r="CH85" s="36" t="s">
        <v>139</v>
      </c>
      <c r="CI85" s="36" t="s">
        <v>139</v>
      </c>
      <c r="CJ85" s="36" t="s">
        <v>139</v>
      </c>
      <c r="CK85" s="36" t="s">
        <v>139</v>
      </c>
      <c r="CL85" s="36" t="s">
        <v>139</v>
      </c>
      <c r="CM85" s="36" t="s">
        <v>139</v>
      </c>
      <c r="CN85" s="36" t="s">
        <v>139</v>
      </c>
      <c r="CO85" s="36" t="s">
        <v>139</v>
      </c>
      <c r="CP85" s="36" t="s">
        <v>139</v>
      </c>
      <c r="CQ85" s="36" t="s">
        <v>139</v>
      </c>
      <c r="CR85" s="36" t="s">
        <v>139</v>
      </c>
      <c r="CS85" s="36" t="s">
        <v>139</v>
      </c>
      <c r="CT85" s="36" t="s">
        <v>139</v>
      </c>
      <c r="CU85" s="36" t="s">
        <v>139</v>
      </c>
      <c r="CV85" s="36" t="s">
        <v>139</v>
      </c>
      <c r="CW85" s="36" t="s">
        <v>139</v>
      </c>
      <c r="CX85" s="36" t="s">
        <v>139</v>
      </c>
      <c r="CY85" s="36" t="s">
        <v>139</v>
      </c>
      <c r="CZ85" s="36" t="s">
        <v>139</v>
      </c>
      <c r="DA85" s="36" t="s">
        <v>139</v>
      </c>
      <c r="DB85" s="36" t="s">
        <v>139</v>
      </c>
      <c r="DC85" s="36" t="s">
        <v>139</v>
      </c>
      <c r="DD85" s="36" t="s">
        <v>139</v>
      </c>
      <c r="DE85" s="36" t="s">
        <v>139</v>
      </c>
      <c r="DF85" s="36" t="s">
        <v>139</v>
      </c>
      <c r="DG85" s="36" t="s">
        <v>139</v>
      </c>
      <c r="DH85" s="36" t="s">
        <v>139</v>
      </c>
      <c r="DI85" s="36" t="s">
        <v>139</v>
      </c>
      <c r="DJ85" s="36" t="s">
        <v>139</v>
      </c>
      <c r="DK85" s="36" t="s">
        <v>139</v>
      </c>
      <c r="DL85" s="36" t="s">
        <v>139</v>
      </c>
      <c r="DM85" s="36" t="s">
        <v>139</v>
      </c>
      <c r="DN85" s="36" t="s">
        <v>139</v>
      </c>
      <c r="DO85" s="36" t="s">
        <v>139</v>
      </c>
      <c r="DP85" s="36" t="s">
        <v>139</v>
      </c>
      <c r="DQ85" s="36" t="s">
        <v>139</v>
      </c>
      <c r="DR85" s="36" t="s">
        <v>139</v>
      </c>
      <c r="DS85" s="36" t="s">
        <v>139</v>
      </c>
      <c r="DT85" s="36" t="s">
        <v>139</v>
      </c>
      <c r="DU85" s="36" t="s">
        <v>139</v>
      </c>
      <c r="DV85" s="36" t="s">
        <v>139</v>
      </c>
      <c r="DW85" s="36" t="s">
        <v>139</v>
      </c>
      <c r="DX85" s="36" t="s">
        <v>139</v>
      </c>
      <c r="DY85" s="36" t="s">
        <v>139</v>
      </c>
      <c r="DZ85" s="36" t="s">
        <v>139</v>
      </c>
      <c r="EA85" s="36" t="s">
        <v>139</v>
      </c>
      <c r="EB85" s="36" t="s">
        <v>139</v>
      </c>
      <c r="EC85" s="36" t="s">
        <v>139</v>
      </c>
      <c r="ED85" s="36" t="s">
        <v>139</v>
      </c>
      <c r="EE85" s="36" t="s">
        <v>139</v>
      </c>
      <c r="EF85" s="36" t="s">
        <v>139</v>
      </c>
      <c r="EG85" s="36" t="s">
        <v>139</v>
      </c>
      <c r="EH85" s="36" t="s">
        <v>139</v>
      </c>
      <c r="EI85" s="36" t="s">
        <v>139</v>
      </c>
      <c r="EJ85" s="36" t="s">
        <v>139</v>
      </c>
      <c r="EK85" s="36" t="s">
        <v>139</v>
      </c>
      <c r="EL85" s="36" t="s">
        <v>139</v>
      </c>
      <c r="EM85" s="36" t="s">
        <v>139</v>
      </c>
      <c r="EN85" s="36" t="s">
        <v>139</v>
      </c>
      <c r="EO85" s="36" t="s">
        <v>139</v>
      </c>
      <c r="EP85" s="36" t="s">
        <v>139</v>
      </c>
      <c r="EQ85" s="36" t="s">
        <v>139</v>
      </c>
      <c r="ER85" s="36" t="s">
        <v>139</v>
      </c>
      <c r="ES85" s="36" t="s">
        <v>139</v>
      </c>
      <c r="ET85" s="36" t="s">
        <v>139</v>
      </c>
      <c r="EU85" s="36" t="s">
        <v>139</v>
      </c>
      <c r="EV85" s="36" t="s">
        <v>139</v>
      </c>
      <c r="EW85" s="36" t="s">
        <v>139</v>
      </c>
      <c r="EX85" s="36" t="s">
        <v>139</v>
      </c>
      <c r="EY85" s="36" t="s">
        <v>139</v>
      </c>
      <c r="EZ85" s="36" t="s">
        <v>139</v>
      </c>
      <c r="FA85" s="36" t="s">
        <v>139</v>
      </c>
      <c r="FB85" s="36" t="s">
        <v>139</v>
      </c>
      <c r="FC85" s="36" t="s">
        <v>139</v>
      </c>
      <c r="FD85" s="36" t="s">
        <v>139</v>
      </c>
      <c r="FE85" s="36" t="s">
        <v>139</v>
      </c>
      <c r="FF85" s="36" t="s">
        <v>139</v>
      </c>
      <c r="FG85" s="36" t="s">
        <v>139</v>
      </c>
      <c r="FH85" s="36" t="s">
        <v>139</v>
      </c>
      <c r="FI85" s="36" t="s">
        <v>139</v>
      </c>
      <c r="FJ85" s="36" t="s">
        <v>139</v>
      </c>
      <c r="FK85" s="36" t="s">
        <v>139</v>
      </c>
      <c r="FL85" s="36" t="s">
        <v>139</v>
      </c>
      <c r="FM85" s="36" t="s">
        <v>139</v>
      </c>
      <c r="FN85" s="36" t="s">
        <v>139</v>
      </c>
      <c r="FO85" s="36" t="s">
        <v>139</v>
      </c>
      <c r="FP85" s="36" t="s">
        <v>139</v>
      </c>
      <c r="FQ85" s="36" t="s">
        <v>139</v>
      </c>
      <c r="FR85" s="36" t="s">
        <v>139</v>
      </c>
      <c r="FS85" s="36" t="s">
        <v>139</v>
      </c>
      <c r="FT85" s="36" t="s">
        <v>139</v>
      </c>
      <c r="FU85" s="36" t="s">
        <v>139</v>
      </c>
      <c r="FV85" s="36" t="s">
        <v>139</v>
      </c>
      <c r="FW85" s="36" t="s">
        <v>139</v>
      </c>
      <c r="FX85" s="36" t="s">
        <v>139</v>
      </c>
      <c r="FY85" s="36" t="s">
        <v>139</v>
      </c>
      <c r="FZ85" s="36" t="s">
        <v>139</v>
      </c>
      <c r="GA85" s="36" t="s">
        <v>139</v>
      </c>
      <c r="GB85" s="36" t="s">
        <v>139</v>
      </c>
      <c r="GC85" s="36" t="s">
        <v>139</v>
      </c>
      <c r="GD85" s="36" t="s">
        <v>139</v>
      </c>
      <c r="GE85" s="36" t="s">
        <v>139</v>
      </c>
      <c r="GF85" s="36" t="s">
        <v>139</v>
      </c>
      <c r="GG85" s="36" t="s">
        <v>139</v>
      </c>
      <c r="GH85" s="36" t="s">
        <v>139</v>
      </c>
      <c r="GI85" s="36" t="s">
        <v>139</v>
      </c>
      <c r="GJ85" s="36" t="s">
        <v>139</v>
      </c>
      <c r="GK85" s="36" t="s">
        <v>139</v>
      </c>
      <c r="GL85" s="36" t="s">
        <v>139</v>
      </c>
      <c r="GM85" s="36" t="s">
        <v>139</v>
      </c>
      <c r="GN85" s="36" t="s">
        <v>139</v>
      </c>
      <c r="GO85" s="36" t="s">
        <v>139</v>
      </c>
      <c r="GP85" s="36" t="s">
        <v>139</v>
      </c>
      <c r="GQ85" s="36" t="s">
        <v>139</v>
      </c>
      <c r="GR85" s="36" t="s">
        <v>139</v>
      </c>
      <c r="GS85" s="36" t="s">
        <v>139</v>
      </c>
      <c r="GT85" s="36" t="s">
        <v>139</v>
      </c>
      <c r="GU85" s="36" t="s">
        <v>139</v>
      </c>
      <c r="GV85" s="36" t="s">
        <v>139</v>
      </c>
      <c r="GW85" s="36" t="s">
        <v>139</v>
      </c>
      <c r="GX85" s="36" t="s">
        <v>139</v>
      </c>
      <c r="GY85" s="36" t="s">
        <v>139</v>
      </c>
      <c r="GZ85" s="36" t="s">
        <v>139</v>
      </c>
      <c r="HA85" s="36" t="s">
        <v>139</v>
      </c>
      <c r="HB85" s="36" t="s">
        <v>139</v>
      </c>
      <c r="HC85" s="36" t="s">
        <v>139</v>
      </c>
      <c r="HD85" s="36" t="s">
        <v>139</v>
      </c>
      <c r="HE85" s="36" t="s">
        <v>139</v>
      </c>
      <c r="HF85" s="36" t="s">
        <v>139</v>
      </c>
      <c r="HG85" s="36" t="s">
        <v>139</v>
      </c>
      <c r="HH85" s="36" t="s">
        <v>139</v>
      </c>
      <c r="HI85" s="36" t="s">
        <v>139</v>
      </c>
      <c r="HJ85" s="36" t="s">
        <v>139</v>
      </c>
      <c r="HK85" s="36" t="s">
        <v>139</v>
      </c>
      <c r="HL85" s="36" t="s">
        <v>139</v>
      </c>
      <c r="HM85" s="36" t="s">
        <v>139</v>
      </c>
      <c r="HN85" s="36" t="s">
        <v>139</v>
      </c>
      <c r="HO85" s="36" t="s">
        <v>139</v>
      </c>
      <c r="HP85" s="36" t="s">
        <v>139</v>
      </c>
      <c r="HQ85" s="36" t="s">
        <v>139</v>
      </c>
      <c r="HR85" s="36" t="s">
        <v>139</v>
      </c>
      <c r="HS85" s="36" t="s">
        <v>139</v>
      </c>
      <c r="HT85" s="36" t="s">
        <v>139</v>
      </c>
      <c r="HU85" s="36" t="s">
        <v>139</v>
      </c>
      <c r="HV85" s="36" t="s">
        <v>139</v>
      </c>
      <c r="HW85" s="36" t="s">
        <v>139</v>
      </c>
      <c r="HX85" s="36" t="s">
        <v>139</v>
      </c>
      <c r="HY85" s="36" t="s">
        <v>139</v>
      </c>
      <c r="HZ85" s="36" t="s">
        <v>139</v>
      </c>
      <c r="IA85" s="36" t="s">
        <v>139</v>
      </c>
      <c r="IB85" s="36" t="s">
        <v>139</v>
      </c>
      <c r="IC85" s="36" t="s">
        <v>139</v>
      </c>
      <c r="ID85" s="36" t="s">
        <v>139</v>
      </c>
      <c r="IE85" s="36" t="s">
        <v>139</v>
      </c>
      <c r="IF85" s="36" t="s">
        <v>139</v>
      </c>
      <c r="IG85" s="36" t="s">
        <v>139</v>
      </c>
      <c r="IH85" s="36" t="s">
        <v>139</v>
      </c>
      <c r="II85" s="36" t="s">
        <v>139</v>
      </c>
      <c r="IJ85" s="36" t="s">
        <v>139</v>
      </c>
      <c r="IK85" s="36" t="s">
        <v>139</v>
      </c>
      <c r="IL85" s="36" t="s">
        <v>139</v>
      </c>
      <c r="IM85" s="36" t="s">
        <v>139</v>
      </c>
      <c r="IN85" s="36" t="s">
        <v>139</v>
      </c>
      <c r="IO85" s="36" t="s">
        <v>139</v>
      </c>
      <c r="IP85" s="36" t="s">
        <v>139</v>
      </c>
      <c r="IQ85" s="36" t="s">
        <v>139</v>
      </c>
      <c r="IR85" s="36" t="s">
        <v>139</v>
      </c>
      <c r="IS85" s="36" t="s">
        <v>139</v>
      </c>
      <c r="IT85" s="36" t="s">
        <v>139</v>
      </c>
      <c r="IU85" s="36" t="s">
        <v>139</v>
      </c>
      <c r="IV85" s="36" t="s">
        <v>139</v>
      </c>
      <c r="IW85" s="36" t="s">
        <v>139</v>
      </c>
      <c r="IX85" s="36" t="s">
        <v>139</v>
      </c>
      <c r="IY85" s="36" t="s">
        <v>139</v>
      </c>
      <c r="IZ85" s="36" t="s">
        <v>139</v>
      </c>
      <c r="JA85" s="36" t="s">
        <v>139</v>
      </c>
      <c r="JB85" s="36" t="s">
        <v>139</v>
      </c>
      <c r="JC85" s="36" t="s">
        <v>139</v>
      </c>
      <c r="JD85" s="36" t="s">
        <v>139</v>
      </c>
      <c r="JE85" s="36" t="s">
        <v>139</v>
      </c>
      <c r="JF85" s="36" t="s">
        <v>139</v>
      </c>
      <c r="JG85" s="36" t="s">
        <v>139</v>
      </c>
      <c r="JH85" s="36" t="s">
        <v>139</v>
      </c>
      <c r="JI85" s="36" t="s">
        <v>139</v>
      </c>
      <c r="JJ85" s="36" t="s">
        <v>139</v>
      </c>
      <c r="JK85" s="36" t="s">
        <v>139</v>
      </c>
      <c r="JL85" s="36" t="s">
        <v>139</v>
      </c>
      <c r="JM85" s="36" t="s">
        <v>139</v>
      </c>
      <c r="JN85" s="36" t="s">
        <v>139</v>
      </c>
      <c r="JO85" s="36" t="s">
        <v>139</v>
      </c>
      <c r="JP85" s="36" t="s">
        <v>139</v>
      </c>
      <c r="JQ85" s="36" t="s">
        <v>139</v>
      </c>
      <c r="JR85" s="36" t="s">
        <v>139</v>
      </c>
      <c r="JS85" s="36" t="s">
        <v>139</v>
      </c>
      <c r="JT85" s="36" t="s">
        <v>139</v>
      </c>
      <c r="JU85" s="36" t="s">
        <v>139</v>
      </c>
      <c r="JV85" s="36" t="s">
        <v>139</v>
      </c>
      <c r="JW85" s="36" t="s">
        <v>139</v>
      </c>
      <c r="JX85" s="36" t="s">
        <v>139</v>
      </c>
      <c r="JY85" s="36" t="s">
        <v>139</v>
      </c>
      <c r="JZ85" s="36" t="s">
        <v>139</v>
      </c>
      <c r="KA85" s="36" t="s">
        <v>139</v>
      </c>
      <c r="KB85" s="36" t="s">
        <v>139</v>
      </c>
      <c r="KC85" s="36" t="s">
        <v>139</v>
      </c>
      <c r="KD85" s="36" t="s">
        <v>139</v>
      </c>
      <c r="KE85" s="36" t="s">
        <v>139</v>
      </c>
      <c r="KF85" s="36" t="s">
        <v>139</v>
      </c>
      <c r="KG85" s="36" t="s">
        <v>139</v>
      </c>
      <c r="KH85" s="36" t="s">
        <v>139</v>
      </c>
      <c r="KI85" s="36" t="s">
        <v>139</v>
      </c>
      <c r="KJ85" s="36" t="s">
        <v>139</v>
      </c>
      <c r="KK85" s="36" t="s">
        <v>139</v>
      </c>
      <c r="KL85" s="36" t="s">
        <v>139</v>
      </c>
      <c r="KM85" s="36" t="s">
        <v>139</v>
      </c>
      <c r="KN85" s="36" t="s">
        <v>139</v>
      </c>
      <c r="KO85" s="36" t="s">
        <v>139</v>
      </c>
      <c r="KP85" s="36" t="s">
        <v>139</v>
      </c>
      <c r="KQ85" s="36" t="s">
        <v>139</v>
      </c>
      <c r="KR85" s="36" t="s">
        <v>139</v>
      </c>
      <c r="KS85" s="36" t="s">
        <v>139</v>
      </c>
      <c r="KT85" s="36" t="s">
        <v>139</v>
      </c>
      <c r="KU85" s="36" t="s">
        <v>139</v>
      </c>
      <c r="KV85" s="36" t="s">
        <v>139</v>
      </c>
      <c r="KW85" s="36" t="s">
        <v>139</v>
      </c>
      <c r="KX85" s="36" t="s">
        <v>139</v>
      </c>
      <c r="KY85" s="36" t="s">
        <v>139</v>
      </c>
      <c r="KZ85" s="36" t="s">
        <v>139</v>
      </c>
      <c r="LA85" s="36" t="s">
        <v>139</v>
      </c>
      <c r="LB85" s="36" t="s">
        <v>139</v>
      </c>
      <c r="LC85" s="36" t="s">
        <v>139</v>
      </c>
      <c r="LD85" s="36" t="s">
        <v>139</v>
      </c>
      <c r="LE85" s="36" t="s">
        <v>139</v>
      </c>
      <c r="LF85" s="36" t="s">
        <v>139</v>
      </c>
      <c r="LG85" s="36" t="s">
        <v>139</v>
      </c>
      <c r="LH85" s="36" t="s">
        <v>139</v>
      </c>
      <c r="LI85" s="36" t="s">
        <v>139</v>
      </c>
      <c r="LJ85" s="36" t="s">
        <v>139</v>
      </c>
      <c r="LK85" s="36" t="s">
        <v>139</v>
      </c>
      <c r="LL85" s="36" t="s">
        <v>139</v>
      </c>
      <c r="LM85" s="36" t="s">
        <v>139</v>
      </c>
      <c r="LN85" s="36" t="s">
        <v>139</v>
      </c>
      <c r="LO85" s="36" t="s">
        <v>139</v>
      </c>
      <c r="LP85" s="36" t="s">
        <v>139</v>
      </c>
      <c r="LQ85" s="36" t="s">
        <v>139</v>
      </c>
      <c r="LR85" s="36" t="s">
        <v>139</v>
      </c>
      <c r="LS85" s="36" t="s">
        <v>139</v>
      </c>
      <c r="LT85" s="36" t="s">
        <v>139</v>
      </c>
      <c r="LU85" s="36" t="s">
        <v>139</v>
      </c>
      <c r="LV85" s="36" t="s">
        <v>139</v>
      </c>
      <c r="LW85" s="36" t="s">
        <v>139</v>
      </c>
      <c r="LX85" s="36" t="s">
        <v>139</v>
      </c>
      <c r="LY85" s="36" t="s">
        <v>139</v>
      </c>
      <c r="LZ85" s="36" t="s">
        <v>139</v>
      </c>
      <c r="MA85" s="36" t="s">
        <v>139</v>
      </c>
      <c r="MB85" s="36" t="s">
        <v>139</v>
      </c>
      <c r="MC85" s="36" t="s">
        <v>139</v>
      </c>
      <c r="MD85" s="36" t="s">
        <v>139</v>
      </c>
      <c r="ME85" s="36" t="s">
        <v>139</v>
      </c>
      <c r="MF85" s="36" t="s">
        <v>139</v>
      </c>
      <c r="MG85" s="36" t="s">
        <v>139</v>
      </c>
      <c r="MH85" s="36" t="s">
        <v>139</v>
      </c>
      <c r="MI85" s="36" t="s">
        <v>139</v>
      </c>
      <c r="MJ85" s="36" t="s">
        <v>139</v>
      </c>
      <c r="MK85" s="36" t="s">
        <v>139</v>
      </c>
      <c r="ML85" s="36" t="s">
        <v>139</v>
      </c>
      <c r="MM85" s="36" t="s">
        <v>139</v>
      </c>
      <c r="MN85" s="36" t="s">
        <v>139</v>
      </c>
      <c r="MO85" s="36" t="s">
        <v>139</v>
      </c>
      <c r="MP85" s="36" t="s">
        <v>139</v>
      </c>
      <c r="MQ85" s="36" t="s">
        <v>139</v>
      </c>
      <c r="MR85" s="36" t="s">
        <v>139</v>
      </c>
      <c r="MS85" s="36" t="s">
        <v>139</v>
      </c>
      <c r="MT85" s="36" t="s">
        <v>139</v>
      </c>
      <c r="MU85" s="36" t="s">
        <v>139</v>
      </c>
      <c r="MV85" s="36" t="s">
        <v>139</v>
      </c>
      <c r="MW85" s="36" t="s">
        <v>139</v>
      </c>
      <c r="MX85" s="36" t="s">
        <v>139</v>
      </c>
      <c r="MY85" s="36" t="s">
        <v>139</v>
      </c>
      <c r="MZ85" s="36" t="s">
        <v>139</v>
      </c>
      <c r="NA85" s="36" t="s">
        <v>139</v>
      </c>
      <c r="NB85" s="36" t="s">
        <v>139</v>
      </c>
      <c r="NC85" s="36" t="s">
        <v>139</v>
      </c>
      <c r="ND85" s="36" t="s">
        <v>139</v>
      </c>
      <c r="NE85" s="36" t="s">
        <v>139</v>
      </c>
      <c r="NF85" s="36" t="s">
        <v>139</v>
      </c>
      <c r="NG85" s="36" t="s">
        <v>139</v>
      </c>
      <c r="NH85" s="36" t="s">
        <v>139</v>
      </c>
      <c r="NI85" s="36" t="s">
        <v>139</v>
      </c>
      <c r="NJ85" s="36" t="s">
        <v>139</v>
      </c>
      <c r="NK85" s="36" t="s">
        <v>139</v>
      </c>
      <c r="NL85" s="36" t="s">
        <v>139</v>
      </c>
      <c r="NM85" s="36" t="s">
        <v>139</v>
      </c>
      <c r="NN85" s="36" t="s">
        <v>139</v>
      </c>
      <c r="NO85" s="36" t="s">
        <v>139</v>
      </c>
      <c r="NP85" s="36" t="s">
        <v>139</v>
      </c>
      <c r="NQ85" s="36" t="s">
        <v>139</v>
      </c>
      <c r="NR85" s="36" t="s">
        <v>139</v>
      </c>
      <c r="NS85" s="36" t="s">
        <v>139</v>
      </c>
      <c r="NT85" s="36" t="s">
        <v>139</v>
      </c>
      <c r="NU85" s="36" t="s">
        <v>139</v>
      </c>
      <c r="NV85" s="36" t="s">
        <v>139</v>
      </c>
      <c r="NW85" s="36" t="s">
        <v>139</v>
      </c>
      <c r="NX85" s="36" t="s">
        <v>139</v>
      </c>
      <c r="NY85" s="36" t="s">
        <v>139</v>
      </c>
      <c r="NZ85" s="36" t="s">
        <v>139</v>
      </c>
      <c r="OA85" s="36" t="s">
        <v>139</v>
      </c>
      <c r="OB85" s="36" t="s">
        <v>139</v>
      </c>
      <c r="OC85" s="36" t="s">
        <v>139</v>
      </c>
      <c r="OD85" s="36" t="s">
        <v>139</v>
      </c>
      <c r="OE85" s="36" t="s">
        <v>139</v>
      </c>
      <c r="OF85" s="36" t="s">
        <v>139</v>
      </c>
      <c r="OG85" s="36" t="s">
        <v>139</v>
      </c>
      <c r="OH85" s="36" t="s">
        <v>139</v>
      </c>
      <c r="OI85" s="36" t="s">
        <v>139</v>
      </c>
      <c r="OJ85" s="36" t="s">
        <v>139</v>
      </c>
      <c r="OK85" s="36" t="s">
        <v>139</v>
      </c>
      <c r="OL85" s="36" t="s">
        <v>139</v>
      </c>
      <c r="OM85" s="36" t="s">
        <v>139</v>
      </c>
      <c r="ON85" s="36" t="s">
        <v>139</v>
      </c>
      <c r="OO85" s="36" t="s">
        <v>139</v>
      </c>
      <c r="OP85" s="36" t="s">
        <v>139</v>
      </c>
      <c r="OQ85" s="36" t="s">
        <v>139</v>
      </c>
      <c r="OR85" s="36" t="s">
        <v>139</v>
      </c>
      <c r="OS85" s="36" t="s">
        <v>139</v>
      </c>
      <c r="OT85" s="36" t="s">
        <v>139</v>
      </c>
      <c r="OU85" s="36" t="s">
        <v>139</v>
      </c>
      <c r="OV85" s="36" t="s">
        <v>139</v>
      </c>
      <c r="OW85" s="36" t="s">
        <v>139</v>
      </c>
      <c r="OX85" s="36" t="s">
        <v>139</v>
      </c>
      <c r="OY85" s="36" t="s">
        <v>139</v>
      </c>
      <c r="OZ85" s="36" t="s">
        <v>139</v>
      </c>
      <c r="PA85" s="36" t="s">
        <v>139</v>
      </c>
      <c r="PB85" s="36" t="s">
        <v>139</v>
      </c>
      <c r="PC85" s="36" t="s">
        <v>139</v>
      </c>
      <c r="PD85" s="36" t="s">
        <v>139</v>
      </c>
      <c r="PE85" s="36" t="s">
        <v>139</v>
      </c>
      <c r="PF85" s="36" t="s">
        <v>139</v>
      </c>
      <c r="PG85" s="36" t="s">
        <v>139</v>
      </c>
      <c r="PH85" s="36" t="s">
        <v>139</v>
      </c>
      <c r="PI85" s="36" t="s">
        <v>139</v>
      </c>
      <c r="PJ85" s="36" t="s">
        <v>139</v>
      </c>
      <c r="PK85" s="36" t="s">
        <v>139</v>
      </c>
      <c r="PL85" s="36" t="s">
        <v>139</v>
      </c>
      <c r="PM85" s="36" t="s">
        <v>139</v>
      </c>
      <c r="PN85" s="36" t="s">
        <v>139</v>
      </c>
      <c r="PO85" s="74">
        <f>COUNTIFS($C$27:$PN$27,("&lt;"&amp;$B$3),$C$27:$PN$27,("&gt;="&amp;$B$2),$C85:$PN85,TabAsistencias[[#Headers],[1]])</f>
        <v>30</v>
      </c>
      <c r="PP85" s="74">
        <f>COUNTIFS($C$27:$PN$27,("&lt;"&amp;$B$3),$C$27:$PN$27,("&gt;="&amp;$B$2),$C85:$PN85,TabAsistencias[[#Headers],[E]])</f>
        <v>0</v>
      </c>
      <c r="PQ85" s="74">
        <f>COUNTIFS($C$27:$PN$27,("&lt;"&amp;$B$3),$C$27:$PN$27,("&gt;="&amp;$B$2),$C85:$PN85,TabAsistencias[[#Headers],[DE]])</f>
        <v>0</v>
      </c>
      <c r="PR85" s="74">
        <f>COUNTIFS($C$27:$PN$27,("&lt;"&amp;$B$3),$C$27:$PN$27,("&gt;="&amp;$B$2),$C85:$PN85,TabAsistencias[[#Headers],[V]])</f>
        <v>0</v>
      </c>
      <c r="PS85" s="74">
        <f>COUNTIFS($C$27:$PN$27,("&lt;"&amp;$B$3),$C$27:$PN$27,("&gt;="&amp;$B$2),$C85:$PN85,TabAsistencias[[#Headers],[DO]])</f>
        <v>0</v>
      </c>
      <c r="PT85" s="74">
        <f>COUNTIFS($C$27:$PN$27,("&lt;"&amp;$B$3),$C$27:$PN$27,("&gt;="&amp;$B$2),$C85:$PN85,TabAsistencias[[#Headers],[P]])</f>
        <v>0</v>
      </c>
      <c r="PU85" s="74">
        <f>COUNTIFS($C$27:$PN$27,("&lt;"&amp;$B$3),$C$27:$PN$27,("&gt;="&amp;$B$2),$C85:$PN85,TabAsistencias[[#Headers],[F]])</f>
        <v>0</v>
      </c>
      <c r="PV85" s="74">
        <f>COUNTIFS($C$27:$PN$27,("&lt;"&amp;$B$3),$C$27:$PN$27,("&gt;="&amp;$B$2),$C85:$PN85,TabAsistencias[[#Headers],[R]])</f>
        <v>0</v>
      </c>
      <c r="PW85" s="74">
        <f>COUNTIFS($C$27:$PN$27,("&lt;"&amp;$B$3),$C$27:$PN$27,("&gt;="&amp;$B$2),$C85:$PN85,TabAsistencias[[#Headers],[PP]])</f>
        <v>0</v>
      </c>
      <c r="PX85" s="74">
        <f>COUNTIFS($C$27:$PN$27,("&lt;"&amp;$B$3),$C$27:$PN$27,("&gt;="&amp;$B$2),$C85:$PN85,TabAsistencias[[#Headers],[0]])</f>
        <v>0</v>
      </c>
      <c r="PY85" s="74">
        <f>COUNTIFS($C$27:$PN$27,("&lt;"&amp;$B$3),$C$27:$PN$27,("&gt;="&amp;$B$2),$C85:$PN85,TabAsistencias[[#Headers],[IG]])</f>
        <v>0</v>
      </c>
      <c r="PZ85" s="74">
        <f>COUNTIFS($C$27:$PN$27,("&lt;"&amp;$B$3),$C$27:$PN$27,("&gt;="&amp;$B$2),$C85:$PN85,TabAsistencias[[#Headers],[NA]])</f>
        <v>0</v>
      </c>
      <c r="QA85" s="74">
        <f>COUNTIFS($C$27:$PN$27,("&lt;"&amp;$B$3),$C$27:$PN$27,("&gt;="&amp;$B$2),$C85:$PN85,TabAsistencias[[#Headers],[DF]])</f>
        <v>0</v>
      </c>
      <c r="QB85" s="74">
        <f>COUNTIFS($C$27:$PN$27,("&lt;"&amp;$B$3),$C$27:$PN$27,("&gt;="&amp;$B$2),$C85:$PN85,TabAsistencias[[#Headers],[3]])</f>
        <v>0</v>
      </c>
      <c r="QC85" s="74">
        <f>COUNTIFS($C$27:$PN$27,("&lt;"&amp;$B$3),$C$27:$PN$27,("&gt;="&amp;$B$2),$C85:$PN85,TabAsistencias[[#Headers],[CP]])</f>
        <v>0</v>
      </c>
      <c r="QD85" s="74">
        <f>COUNTIFS($C$27:$PN$27,("&lt;"&amp;$B$3),$C$27:$PN$27,("&gt;="&amp;$B$2),$C85:$PN85,TabAsistencias[[#Headers],[I]])</f>
        <v>0</v>
      </c>
      <c r="QE85" s="74">
        <f>COUNTIFS($C$27:$PN$27,("&lt;"&amp;$B$3),$C$27:$PN$27,("&gt;="&amp;$B$2),$C85:$PN85,TabAsistencias[[#Headers],[T/2]])</f>
        <v>0</v>
      </c>
      <c r="QF85" s="74">
        <f>COUNTIFS($C$27:$PN$27,("&lt;"&amp;$B$3),$C$27:$PN$27,("&gt;="&amp;$B$2),$C85:$PN85,TabAsistencias[[#Headers],[ME]])</f>
        <v>0</v>
      </c>
      <c r="QG85" s="74">
        <f>COUNTIFS($C$27:$PN$27,("&lt;"&amp;$B$3),$C$27:$PN$27,("&gt;="&amp;$B$2),$C85:$PN85,TabAsistencias[[#Headers],[DP]])</f>
        <v>0</v>
      </c>
      <c r="QH85" s="74">
        <f>COUNTIFS($C$27:$PN$27,("&lt;"&amp;$B$3),$C$27:$PN$27,("&gt;="&amp;$B$2),$C85:$PN85,TabAsistencias[[#Headers],[B]])</f>
        <v>0</v>
      </c>
      <c r="QI85" s="74">
        <f>(TabAsistencias[[#This Row],[1]]*'Tablas de informacion'!$C$124)+(TabAsistencias[[#This Row],[E]]*'Tablas de informacion'!$C$125)+(TabAsistencias[[#This Row],[DE]]*'Tablas de informacion'!C$126)+(TabAsistencias[[#This Row],[V]]*'Tablas de informacion'!C$127)+(TabAsistencias[[#This Row],[DO]]*'Tablas de informacion'!C$128)+(TabAsistencias[[#This Row],[P]]*'Tablas de informacion'!C$129)+(TabAsistencias[[#This Row],[F]]*'Tablas de informacion'!C$130)+(TabAsistencias[[#This Row],[R]]*'Tablas de informacion'!C$131)+(TabAsistencias[[#This Row],[PP]]*'Tablas de informacion'!C$132)+(TabAsistencias[[#This Row],[0]]*'Tablas de informacion'!C$133)+(TabAsistencias[[#This Row],[IG]]*'Tablas de informacion'!C$134)+(TabAsistencias[[#This Row],[NA]]*'Tablas de informacion'!C$135)+(TabAsistencias[[#This Row],[DF]]*'Tablas de informacion'!C$136)+(TabAsistencias[[#This Row],[3]]*'Tablas de informacion'!C$137)+(TabAsistencias[[#This Row],[CP]]*'Tablas de informacion'!C$138)+(TabAsistencias[[#This Row],[I]]*'Tablas de informacion'!C$139)+(TabAsistencias[[#This Row],[T/2]]*'Tablas de informacion'!C$140)+(TabAsistencias[[#This Row],[ME]]*'Tablas de informacion'!C$141)+(TabAsistencias[[#This Row],[DP]]*'Tablas de informacion'!C$142)+(TabAsistencias[[#This Row],[B]]*'Tablas de informacion'!C$143)-INT(TabAsistencias[[#This Row],[R]]/3)</f>
        <v>30</v>
      </c>
      <c r="QJ85" s="74">
        <f>COUNTIFS($C$27:$PN$27,("&lt;"&amp;$B$3),$C$27:$PN$27,("&gt;="&amp;$B$2),$C$28:$PN$28,1,$C85:$PN85,TabAsistencias[[#Headers],[1]])+
COUNTIFS($C$27:$PN$27,("&lt;"&amp;$B$3),$C$27:$PN$27,("&gt;="&amp;$B$2),$C$28:$PN$28,1,$C85:$PN85,TabAsistencias[[#Headers],[DO]])+
COUNTIFS($C$27:$PN$27,("&lt;"&amp;$B$3),$C$27:$PN$27,("&gt;="&amp;$B$2),$C$28:$PN$28,1,$C85:$PN85,TabAsistencias[[#Headers],[R]])+
COUNTIFS($C$27:$PN$27,("&lt;"&amp;$B$3),$C$27:$PN$27,("&gt;="&amp;$B$2),$C$28:$PN$28,1,$C85:$PN85,TabAsistencias[[#Headers],[NA]])+
COUNTIFS($C$27:$PN$27,("&lt;"&amp;$B$3),$C$27:$PN$27,("&gt;="&amp;$B$2),$C$28:$PN$28,1,$C85:$PN85,TabAsistencias[[#Headers],[DF]])+
COUNTIFS($C$27:$PN$27,("&lt;"&amp;$B$3),$C$27:$PN$27,("&gt;="&amp;$B$2),$C$28:$PN$28,1,$C85:$PN85,TabAsistencias[[#Headers],[3]])+
COUNTIFS($C$27:$PN$27,("&lt;"&amp;$B$3),$C$27:$PN$27,("&gt;="&amp;$B$2),$C$28:$PN$28,1,$C85:$PN85,TabAsistencias[[#Headers],[CP]])+
COUNTIFS($C$27:$PN$27,("&lt;"&amp;$B$3),$C$27:$PN$27,("&gt;="&amp;$B$2),$C$28:$PN$28,1,$C85:$PN85,TabAsistencias[[#Headers],[T/2]])</f>
        <v>4</v>
      </c>
      <c r="QK85" s="315" cm="1">
        <f t="array" ref="QK85">IFERROR(VLOOKUP(
DATEDIF((VLOOKUP(TabAsistencias[[#This Row],[ID]],TabEmpleados[],COLUMN(TabEmpleados[Fecha de ingreso]),FALSE)),Asistencias!$B$3,"Y"),
TabFactorIntegracion[],COLUMN(TabFactorIntegracion[Días vacacionales
establecidos por ley]),FALSE),0)
-
COUNTIF($AH85:$PN85,TabAsistencias[[#Headers],[V]])</f>
        <v>12</v>
      </c>
      <c r="QL85" s="319">
        <f>SUM(TabAsistencias[[#This Row],[''1]],TabAsistencias[[#This Row],[''DE]],TabAsistencias[[#This Row],[''DO]],TabAsistencias[[#This Row],[''R]],TabAsistencias[[#This Row],[''NA]],TabAsistencias[[#This Row],[''DF]],TabAsistencias[[#This Row],[''3]],TabAsistencias[[#This Row],[''CP]],TabAsistencias[[#This Row],[''T/2]],TabAsistencias[[#This Row],[''DP]])</f>
        <v>73</v>
      </c>
      <c r="QM85" s="314">
        <f>COUNTIFS($C$27:$PN$27,("&lt;"&amp;$B$5),$C$27:$PN$27,("&gt;="&amp;$B$4),$C85:$PN85,TabAsistencias[[#Headers],[1]])</f>
        <v>73</v>
      </c>
      <c r="QN85" s="314">
        <f>COUNTIFS($C$27:$PN$27,("&lt;"&amp;$B$5),$C$27:$PN$27,("&gt;="&amp;$B$4),$C85:$PN85,TabAsistencias[[#Headers],[DE]])</f>
        <v>0</v>
      </c>
      <c r="QO85" s="314">
        <f>COUNTIFS($C$27:$PN$27,("&lt;"&amp;$B$5),$C$27:$PN$27,("&gt;="&amp;$B$4),$C85:$PN85,TabAsistencias[[#Headers],[V]])</f>
        <v>0</v>
      </c>
      <c r="QP85" s="314">
        <f>COUNTIFS($C$27:$PN$27,("&lt;"&amp;$B$5),$C$27:$PN$27,("&gt;="&amp;$B$4),$C85:$PN85,TabAsistencias[[#Headers],[DO]])</f>
        <v>0</v>
      </c>
      <c r="QQ85" s="314">
        <f>COUNTIFS($C$27:$PN$27,("&lt;"&amp;$B$5),$C$27:$PN$27,("&gt;="&amp;$B$4),$C85:$PN85,TabAsistencias[[#Headers],[P]])</f>
        <v>0</v>
      </c>
      <c r="QR85" s="314">
        <f>COUNTIFS($C$27:$PN$27,("&lt;"&amp;$B$5),$C$27:$PN$27,("&gt;="&amp;$B$4),$C85:$PN85,TabAsistencias[[#Headers],[F]])</f>
        <v>0</v>
      </c>
      <c r="QS85" s="314">
        <f>COUNTIFS($C$27:$PN$27,("&lt;"&amp;$B$5),$C$27:$PN$27,("&gt;="&amp;$B$4),$C85:$PN85,TabAsistencias[[#Headers],[R]])</f>
        <v>0</v>
      </c>
      <c r="QT85" s="314">
        <f>COUNTIFS($C$27:$PN$27,("&lt;"&amp;$B$5),$C$27:$PN$27,("&gt;="&amp;$B$4),$C85:$PN85,TabAsistencias[[#Headers],[PP]])</f>
        <v>0</v>
      </c>
      <c r="QU85" s="314">
        <f>COUNTIFS($C$27:$PN$27,("&lt;"&amp;$B$5),$C$27:$PN$27,("&gt;="&amp;$B$4),$C85:$PN85,TabAsistencias[[#Headers],[0]])</f>
        <v>0</v>
      </c>
      <c r="QV85" s="314">
        <f>COUNTIFS($C$27:$PN$27,("&lt;"&amp;$B$5),$C$27:$PN$27,("&gt;="&amp;$B$4),$C85:$PN85,TabAsistencias[[#Headers],[IG]])</f>
        <v>0</v>
      </c>
      <c r="QW85" s="314">
        <f>COUNTIFS($C$27:$PN$27,("&lt;"&amp;$B$5),$C$27:$PN$27,("&gt;="&amp;$B$4),$C85:$PN85,TabAsistencias[[#Headers],[NA]])</f>
        <v>0</v>
      </c>
      <c r="QX85" s="314">
        <f>COUNTIFS($C$27:$PN$27,("&lt;"&amp;$B$5),$C$27:$PN$27,("&gt;="&amp;$B$4),$C85:$PN85,TabAsistencias[[#Headers],[DF]])</f>
        <v>0</v>
      </c>
      <c r="QY85" s="314">
        <f>COUNTIFS($C$27:$PN$27,("&lt;"&amp;$B$5),$C$27:$PN$27,("&gt;="&amp;$B$4),$C85:$PN85,TabAsistencias[[#Headers],[3]])</f>
        <v>0</v>
      </c>
      <c r="QZ85" s="314">
        <f>COUNTIFS($C$27:$PN$27,("&lt;"&amp;$B$5),$C$27:$PN$27,("&gt;="&amp;$B$4),$C85:$PN85,TabAsistencias[[#Headers],[CP]])</f>
        <v>0</v>
      </c>
      <c r="RA85" s="314">
        <f>COUNTIFS($C$27:$PN$27,("&lt;"&amp;$B$5),$C$27:$PN$27,("&gt;="&amp;$B$4),$C85:$PN85,TabAsistencias[[#Headers],[I]])</f>
        <v>0</v>
      </c>
      <c r="RB85" s="314">
        <f>COUNTIFS($C$27:$PN$27,("&lt;"&amp;$B$5),$C$27:$PN$27,("&gt;="&amp;$B$4),$C85:$PN85,TabAsistencias[[#Headers],[T/2]])</f>
        <v>0</v>
      </c>
      <c r="RC85" s="314">
        <f>COUNTIFS($C$27:$PN$27,("&lt;"&amp;$B$5),$C$27:$PN$27,("&gt;="&amp;$B$4),$C85:$PN85,TabAsistencias[[#Headers],[ME]])</f>
        <v>0</v>
      </c>
      <c r="RD85" s="314">
        <f>COUNTIFS($C$27:$PN$27,("&lt;"&amp;$B$5),$C$27:$PN$27,("&gt;="&amp;$B$4),$C85:$PN85,TabAsistencias[[#Headers],[DP]])</f>
        <v>0</v>
      </c>
      <c r="RE85" s="314">
        <f>COUNTIFS($C$27:$PN$27,("&lt;"&amp;$B$5),$C$27:$PN$27,("&gt;="&amp;$B$4),$C85:$PN85,TabAsistencias[[#Headers],[B]])</f>
        <v>0</v>
      </c>
      <c r="RF85" s="314">
        <f>COUNTIFS($C$27:$PN$27,("&lt;"&amp;$B$5),$C$27:$PN$27,("&gt;="&amp;$B$4),$C$28:$PN$28,1,$C85:$PN85,TabAsistencias[[#Headers],[1]])+
COUNTIFS($C$27:$PN$27,("&lt;"&amp;$B$5),$C$27:$PN$27,("&gt;="&amp;$B$4),$C$28:$PN$28,1,$C85:$PN85,TabAsistencias[[#Headers],[DO]])+
COUNTIFS($C$27:$PN$27,("&lt;"&amp;$B$5),$C$27:$PN$27,("&gt;="&amp;$B$4),$C$28:$PN$28,1,$C85:$PN85,TabAsistencias[[#Headers],[R]])+
COUNTIFS($C$27:$PN$27,("&lt;"&amp;$B$5),$C$27:$PN$27,("&gt;="&amp;$B$4),$C$28:$PN$28,1,$C85:$PN85,TabAsistencias[[#Headers],[NA]])+
COUNTIFS($C$27:$PN$27,("&lt;"&amp;$B$5),$C$27:$PN$27,("&gt;="&amp;$B$4),$C$28:$PN$28,1,$C85:$PN85,TabAsistencias[[#Headers],[DF]])+
COUNTIFS($C$27:$PN$27,("&lt;"&amp;$B$5),$C$27:$PN$27,("&gt;="&amp;$B$4),$C$28:$PN$28,1,$C85:$PN85,TabAsistencias[[#Headers],[3]])+
COUNTIFS($C$27:$PN$27,("&lt;"&amp;$B$5),$C$27:$PN$27,("&gt;="&amp;$B$4),$C$28:$PN$28,1,$C85:$PN85,TabAsistencias[[#Headers],[CP]])+
COUNTIFS($C$27:$PN$27,("&lt;"&amp;$B$5),$C$27:$PN$27,("&gt;="&amp;$B$4),$C$28:$PN$28,1,$C85:$PN85,TabAsistencias[[#Headers],[T/2]])</f>
        <v>11</v>
      </c>
      <c r="RG85" s="320" cm="1">
        <f t="array" ref="RG85">IFERROR(VLOOKUP(
DATEDIF((VLOOKUP(TabAsistencias[[#This Row],[ID]],TabEmpleados[],COLUMN(TabEmpleados[Fecha de alta NSS]),FALSE)),Asistencias!$B$3,"Y"),
TabFactorIntegracion[],COLUMN(TabFactorIntegracion[Días vacacionales
establecidos por ley]),FALSE),0)
-
COUNTIF($AH85:$PN85,TabAsistencias[[#Headers],[V]])</f>
        <v>12</v>
      </c>
    </row>
    <row r="86" spans="1:475" x14ac:dyDescent="0.25">
      <c r="A86" s="92">
        <f t="shared" si="434"/>
        <v>56</v>
      </c>
      <c r="B86" s="30" t="str" cm="1">
        <f t="array" ref="B86">VLOOKUP(TabAsistencias[[#This Row],[ID]],TabEmpleados[],COLUMN(TabEmpleados[Nombre]),FALSE)</f>
        <v>ESPINDOLA CASTILLO JUAN MANUEL</v>
      </c>
      <c r="C86" s="36" t="s">
        <v>139</v>
      </c>
      <c r="D86" s="36" t="s">
        <v>139</v>
      </c>
      <c r="E86" s="36" t="s">
        <v>139</v>
      </c>
      <c r="F86" s="36" t="s">
        <v>139</v>
      </c>
      <c r="G86" s="36" t="s">
        <v>139</v>
      </c>
      <c r="H86" s="36" t="s">
        <v>139</v>
      </c>
      <c r="I86" s="36" t="s">
        <v>139</v>
      </c>
      <c r="J86" s="36" t="s">
        <v>139</v>
      </c>
      <c r="K86" s="36" t="s">
        <v>139</v>
      </c>
      <c r="L86" s="36" t="s">
        <v>139</v>
      </c>
      <c r="M86" s="36" t="s">
        <v>139</v>
      </c>
      <c r="N86" s="36" t="s">
        <v>139</v>
      </c>
      <c r="O86" s="36" t="s">
        <v>139</v>
      </c>
      <c r="P86" s="36" t="s">
        <v>139</v>
      </c>
      <c r="Q86" s="36" t="s">
        <v>139</v>
      </c>
      <c r="R86" s="36" t="s">
        <v>139</v>
      </c>
      <c r="S86" s="36" t="s">
        <v>139</v>
      </c>
      <c r="T86" s="36" t="s">
        <v>139</v>
      </c>
      <c r="U86" s="36" t="s">
        <v>139</v>
      </c>
      <c r="V86" s="36" t="s">
        <v>139</v>
      </c>
      <c r="W86" s="36" t="s">
        <v>139</v>
      </c>
      <c r="X86" s="36" t="s">
        <v>139</v>
      </c>
      <c r="Y86" s="36" t="s">
        <v>139</v>
      </c>
      <c r="Z86" s="36" t="s">
        <v>139</v>
      </c>
      <c r="AA86" s="36" t="s">
        <v>139</v>
      </c>
      <c r="AB86" s="36" t="s">
        <v>139</v>
      </c>
      <c r="AC86" s="36" t="s">
        <v>139</v>
      </c>
      <c r="AD86" s="36" t="s">
        <v>139</v>
      </c>
      <c r="AE86" s="36" t="s">
        <v>139</v>
      </c>
      <c r="AF86" s="36" t="s">
        <v>139</v>
      </c>
      <c r="AG86" s="36" t="s">
        <v>139</v>
      </c>
      <c r="AH86" s="36" t="s">
        <v>139</v>
      </c>
      <c r="AI86" s="36" t="s">
        <v>139</v>
      </c>
      <c r="AJ86" s="36" t="s">
        <v>139</v>
      </c>
      <c r="AK86" s="36" t="s">
        <v>139</v>
      </c>
      <c r="AL86" s="36" t="s">
        <v>139</v>
      </c>
      <c r="AM86" s="36" t="s">
        <v>139</v>
      </c>
      <c r="AN86" s="36" t="s">
        <v>139</v>
      </c>
      <c r="AO86" s="36" t="s">
        <v>139</v>
      </c>
      <c r="AP86" s="36" t="s">
        <v>139</v>
      </c>
      <c r="AQ86" s="36" t="s">
        <v>139</v>
      </c>
      <c r="AR86" s="36" t="s">
        <v>139</v>
      </c>
      <c r="AS86" s="36" t="s">
        <v>139</v>
      </c>
      <c r="AT86" s="36" t="s">
        <v>139</v>
      </c>
      <c r="AU86" s="36" t="s">
        <v>139</v>
      </c>
      <c r="AV86" s="36" t="s">
        <v>139</v>
      </c>
      <c r="AW86" s="36" t="s">
        <v>139</v>
      </c>
      <c r="AX86" s="36" t="s">
        <v>139</v>
      </c>
      <c r="AY86" s="36" t="s">
        <v>139</v>
      </c>
      <c r="AZ86" s="36" t="s">
        <v>139</v>
      </c>
      <c r="BA86" s="36" t="s">
        <v>139</v>
      </c>
      <c r="BB86" s="36" t="s">
        <v>139</v>
      </c>
      <c r="BC86" s="36" t="s">
        <v>139</v>
      </c>
      <c r="BD86" s="36" t="s">
        <v>139</v>
      </c>
      <c r="BE86" s="36" t="s">
        <v>139</v>
      </c>
      <c r="BF86" s="36" t="s">
        <v>139</v>
      </c>
      <c r="BG86" s="36" t="s">
        <v>139</v>
      </c>
      <c r="BH86" s="36" t="s">
        <v>139</v>
      </c>
      <c r="BI86" s="36" t="s">
        <v>139</v>
      </c>
      <c r="BJ86" s="36" t="s">
        <v>139</v>
      </c>
      <c r="BK86" s="36" t="s">
        <v>139</v>
      </c>
      <c r="BL86" s="36" t="s">
        <v>139</v>
      </c>
      <c r="BM86" s="36" t="s">
        <v>139</v>
      </c>
      <c r="BN86" s="36" t="s">
        <v>139</v>
      </c>
      <c r="BO86" s="36" t="s">
        <v>139</v>
      </c>
      <c r="BP86" s="36" t="s">
        <v>139</v>
      </c>
      <c r="BQ86" s="36" t="s">
        <v>139</v>
      </c>
      <c r="BR86" s="36" t="s">
        <v>139</v>
      </c>
      <c r="BS86" s="36" t="s">
        <v>139</v>
      </c>
      <c r="BT86" s="36" t="s">
        <v>139</v>
      </c>
      <c r="BU86" s="36" t="s">
        <v>139</v>
      </c>
      <c r="BV86" s="36" t="s">
        <v>139</v>
      </c>
      <c r="BW86" s="36" t="s">
        <v>139</v>
      </c>
      <c r="BX86" s="36" t="s">
        <v>139</v>
      </c>
      <c r="BY86" s="36" t="s">
        <v>139</v>
      </c>
      <c r="BZ86" s="36" t="s">
        <v>139</v>
      </c>
      <c r="CA86" s="36" t="s">
        <v>139</v>
      </c>
      <c r="CB86" s="36" t="s">
        <v>139</v>
      </c>
      <c r="CC86" s="36" t="s">
        <v>139</v>
      </c>
      <c r="CD86" s="36" t="s">
        <v>139</v>
      </c>
      <c r="CE86" s="36" t="s">
        <v>139</v>
      </c>
      <c r="CF86" s="36" t="s">
        <v>139</v>
      </c>
      <c r="CG86" s="36" t="s">
        <v>139</v>
      </c>
      <c r="CH86" s="36" t="s">
        <v>139</v>
      </c>
      <c r="CI86" s="36" t="s">
        <v>139</v>
      </c>
      <c r="CJ86" s="36" t="s">
        <v>139</v>
      </c>
      <c r="CK86" s="36" t="s">
        <v>139</v>
      </c>
      <c r="CL86" s="36" t="s">
        <v>139</v>
      </c>
      <c r="CM86" s="36" t="s">
        <v>139</v>
      </c>
      <c r="CN86" s="36" t="s">
        <v>139</v>
      </c>
      <c r="CO86" s="36" t="s">
        <v>139</v>
      </c>
      <c r="CP86" s="36" t="s">
        <v>139</v>
      </c>
      <c r="CQ86" s="36" t="s">
        <v>139</v>
      </c>
      <c r="CR86" s="36" t="s">
        <v>139</v>
      </c>
      <c r="CS86" s="36" t="s">
        <v>139</v>
      </c>
      <c r="CT86" s="36" t="s">
        <v>139</v>
      </c>
      <c r="CU86" s="36" t="s">
        <v>139</v>
      </c>
      <c r="CV86" s="36" t="s">
        <v>139</v>
      </c>
      <c r="CW86" s="36" t="s">
        <v>139</v>
      </c>
      <c r="CX86" s="36" t="s">
        <v>139</v>
      </c>
      <c r="CY86" s="36" t="s">
        <v>139</v>
      </c>
      <c r="CZ86" s="36" t="s">
        <v>139</v>
      </c>
      <c r="DA86" s="36" t="s">
        <v>139</v>
      </c>
      <c r="DB86" s="36" t="s">
        <v>139</v>
      </c>
      <c r="DC86" s="36" t="s">
        <v>139</v>
      </c>
      <c r="DD86" s="36" t="s">
        <v>139</v>
      </c>
      <c r="DE86" s="36" t="s">
        <v>139</v>
      </c>
      <c r="DF86" s="36" t="s">
        <v>139</v>
      </c>
      <c r="DG86" s="36" t="s">
        <v>139</v>
      </c>
      <c r="DH86" s="36" t="s">
        <v>139</v>
      </c>
      <c r="DI86" s="36" t="s">
        <v>139</v>
      </c>
      <c r="DJ86" s="36" t="s">
        <v>139</v>
      </c>
      <c r="DK86" s="36" t="s">
        <v>139</v>
      </c>
      <c r="DL86" s="36" t="s">
        <v>139</v>
      </c>
      <c r="DM86" s="36" t="s">
        <v>139</v>
      </c>
      <c r="DN86" s="36" t="s">
        <v>139</v>
      </c>
      <c r="DO86" s="36" t="s">
        <v>139</v>
      </c>
      <c r="DP86" s="36" t="s">
        <v>139</v>
      </c>
      <c r="DQ86" s="36" t="s">
        <v>139</v>
      </c>
      <c r="DR86" s="36" t="s">
        <v>139</v>
      </c>
      <c r="DS86" s="36" t="s">
        <v>139</v>
      </c>
      <c r="DT86" s="36" t="s">
        <v>139</v>
      </c>
      <c r="DU86" s="36" t="s">
        <v>139</v>
      </c>
      <c r="DV86" s="36" t="s">
        <v>139</v>
      </c>
      <c r="DW86" s="36" t="s">
        <v>139</v>
      </c>
      <c r="DX86" s="36" t="s">
        <v>139</v>
      </c>
      <c r="DY86" s="36" t="s">
        <v>139</v>
      </c>
      <c r="DZ86" s="36" t="s">
        <v>139</v>
      </c>
      <c r="EA86" s="36" t="s">
        <v>139</v>
      </c>
      <c r="EB86" s="36" t="s">
        <v>139</v>
      </c>
      <c r="EC86" s="36" t="s">
        <v>139</v>
      </c>
      <c r="ED86" s="36" t="s">
        <v>139</v>
      </c>
      <c r="EE86" s="36" t="s">
        <v>139</v>
      </c>
      <c r="EF86" s="36" t="s">
        <v>139</v>
      </c>
      <c r="EG86" s="36" t="s">
        <v>139</v>
      </c>
      <c r="EH86" s="36" t="s">
        <v>139</v>
      </c>
      <c r="EI86" s="36" t="s">
        <v>139</v>
      </c>
      <c r="EJ86" s="36" t="s">
        <v>139</v>
      </c>
      <c r="EK86" s="36" t="s">
        <v>139</v>
      </c>
      <c r="EL86" s="36" t="s">
        <v>139</v>
      </c>
      <c r="EM86" s="36" t="s">
        <v>139</v>
      </c>
      <c r="EN86" s="36" t="s">
        <v>139</v>
      </c>
      <c r="EO86" s="36" t="s">
        <v>139</v>
      </c>
      <c r="EP86" s="36" t="s">
        <v>139</v>
      </c>
      <c r="EQ86" s="36" t="s">
        <v>139</v>
      </c>
      <c r="ER86" s="36" t="s">
        <v>139</v>
      </c>
      <c r="ES86" s="36" t="s">
        <v>139</v>
      </c>
      <c r="ET86" s="36" t="s">
        <v>139</v>
      </c>
      <c r="EU86" s="36" t="s">
        <v>139</v>
      </c>
      <c r="EV86" s="36" t="s">
        <v>139</v>
      </c>
      <c r="EW86" s="36" t="s">
        <v>139</v>
      </c>
      <c r="EX86" s="36" t="s">
        <v>139</v>
      </c>
      <c r="EY86" s="36" t="s">
        <v>139</v>
      </c>
      <c r="EZ86" s="36" t="s">
        <v>139</v>
      </c>
      <c r="FA86" s="36" t="s">
        <v>139</v>
      </c>
      <c r="FB86" s="36" t="s">
        <v>139</v>
      </c>
      <c r="FC86" s="36" t="s">
        <v>139</v>
      </c>
      <c r="FD86" s="36" t="s">
        <v>139</v>
      </c>
      <c r="FE86" s="36" t="s">
        <v>139</v>
      </c>
      <c r="FF86" s="36" t="s">
        <v>139</v>
      </c>
      <c r="FG86" s="36" t="s">
        <v>139</v>
      </c>
      <c r="FH86" s="36" t="s">
        <v>139</v>
      </c>
      <c r="FI86" s="36" t="s">
        <v>139</v>
      </c>
      <c r="FJ86" s="36" t="s">
        <v>139</v>
      </c>
      <c r="FK86" s="36" t="s">
        <v>139</v>
      </c>
      <c r="FL86" s="36" t="s">
        <v>139</v>
      </c>
      <c r="FM86" s="36" t="s">
        <v>139</v>
      </c>
      <c r="FN86" s="36" t="s">
        <v>139</v>
      </c>
      <c r="FO86" s="36" t="s">
        <v>139</v>
      </c>
      <c r="FP86" s="36" t="s">
        <v>139</v>
      </c>
      <c r="FQ86" s="36" t="s">
        <v>139</v>
      </c>
      <c r="FR86" s="36" t="s">
        <v>139</v>
      </c>
      <c r="FS86" s="36" t="s">
        <v>139</v>
      </c>
      <c r="FT86" s="36" t="s">
        <v>139</v>
      </c>
      <c r="FU86" s="36" t="s">
        <v>139</v>
      </c>
      <c r="FV86" s="36" t="s">
        <v>139</v>
      </c>
      <c r="FW86" s="36" t="s">
        <v>139</v>
      </c>
      <c r="FX86" s="36" t="s">
        <v>139</v>
      </c>
      <c r="FY86" s="36" t="s">
        <v>139</v>
      </c>
      <c r="FZ86" s="36" t="s">
        <v>139</v>
      </c>
      <c r="GA86" s="36" t="s">
        <v>139</v>
      </c>
      <c r="GB86" s="36" t="s">
        <v>139</v>
      </c>
      <c r="GC86" s="36" t="s">
        <v>139</v>
      </c>
      <c r="GD86" s="36" t="s">
        <v>139</v>
      </c>
      <c r="GE86" s="36" t="s">
        <v>139</v>
      </c>
      <c r="GF86" s="36" t="s">
        <v>139</v>
      </c>
      <c r="GG86" s="36" t="s">
        <v>139</v>
      </c>
      <c r="GH86" s="36" t="s">
        <v>139</v>
      </c>
      <c r="GI86" s="36" t="s">
        <v>139</v>
      </c>
      <c r="GJ86" s="36" t="s">
        <v>139</v>
      </c>
      <c r="GK86" s="36" t="s">
        <v>139</v>
      </c>
      <c r="GL86" s="36" t="s">
        <v>139</v>
      </c>
      <c r="GM86" s="36" t="s">
        <v>139</v>
      </c>
      <c r="GN86" s="36" t="s">
        <v>139</v>
      </c>
      <c r="GO86" s="36" t="s">
        <v>139</v>
      </c>
      <c r="GP86" s="36" t="s">
        <v>139</v>
      </c>
      <c r="GQ86" s="36" t="s">
        <v>139</v>
      </c>
      <c r="GR86" s="36" t="s">
        <v>139</v>
      </c>
      <c r="GS86" s="36" t="s">
        <v>139</v>
      </c>
      <c r="GT86" s="36" t="s">
        <v>139</v>
      </c>
      <c r="GU86" s="36" t="s">
        <v>139</v>
      </c>
      <c r="GV86" s="36" t="s">
        <v>139</v>
      </c>
      <c r="GW86" s="36" t="s">
        <v>139</v>
      </c>
      <c r="GX86" s="36" t="s">
        <v>139</v>
      </c>
      <c r="GY86" s="36" t="s">
        <v>139</v>
      </c>
      <c r="GZ86" s="36" t="s">
        <v>139</v>
      </c>
      <c r="HA86" s="36" t="s">
        <v>139</v>
      </c>
      <c r="HB86" s="36" t="s">
        <v>139</v>
      </c>
      <c r="HC86" s="36" t="s">
        <v>139</v>
      </c>
      <c r="HD86" s="36" t="s">
        <v>139</v>
      </c>
      <c r="HE86" s="36" t="s">
        <v>139</v>
      </c>
      <c r="HF86" s="36" t="s">
        <v>139</v>
      </c>
      <c r="HG86" s="36" t="s">
        <v>139</v>
      </c>
      <c r="HH86" s="36" t="s">
        <v>139</v>
      </c>
      <c r="HI86" s="36" t="s">
        <v>139</v>
      </c>
      <c r="HJ86" s="36" t="s">
        <v>139</v>
      </c>
      <c r="HK86" s="36" t="s">
        <v>139</v>
      </c>
      <c r="HL86" s="36" t="s">
        <v>139</v>
      </c>
      <c r="HM86" s="36" t="s">
        <v>139</v>
      </c>
      <c r="HN86" s="36" t="s">
        <v>139</v>
      </c>
      <c r="HO86" s="36" t="s">
        <v>139</v>
      </c>
      <c r="HP86" s="36" t="s">
        <v>139</v>
      </c>
      <c r="HQ86" s="36" t="s">
        <v>139</v>
      </c>
      <c r="HR86" s="36" t="s">
        <v>139</v>
      </c>
      <c r="HS86" s="36" t="s">
        <v>139</v>
      </c>
      <c r="HT86" s="36" t="s">
        <v>139</v>
      </c>
      <c r="HU86" s="36" t="s">
        <v>139</v>
      </c>
      <c r="HV86" s="36" t="s">
        <v>139</v>
      </c>
      <c r="HW86" s="36" t="s">
        <v>139</v>
      </c>
      <c r="HX86" s="36" t="s">
        <v>139</v>
      </c>
      <c r="HY86" s="36" t="s">
        <v>139</v>
      </c>
      <c r="HZ86" s="36" t="s">
        <v>139</v>
      </c>
      <c r="IA86" s="36" t="s">
        <v>139</v>
      </c>
      <c r="IB86" s="36" t="s">
        <v>139</v>
      </c>
      <c r="IC86" s="36" t="s">
        <v>139</v>
      </c>
      <c r="ID86" s="36" t="s">
        <v>139</v>
      </c>
      <c r="IE86" s="36" t="s">
        <v>139</v>
      </c>
      <c r="IF86" s="36" t="s">
        <v>139</v>
      </c>
      <c r="IG86" s="36" t="s">
        <v>139</v>
      </c>
      <c r="IH86" s="36" t="s">
        <v>139</v>
      </c>
      <c r="II86" s="36" t="s">
        <v>139</v>
      </c>
      <c r="IJ86" s="36" t="s">
        <v>139</v>
      </c>
      <c r="IK86" s="36" t="s">
        <v>139</v>
      </c>
      <c r="IL86" s="36" t="s">
        <v>139</v>
      </c>
      <c r="IM86" s="36" t="s">
        <v>139</v>
      </c>
      <c r="IN86" s="36" t="s">
        <v>139</v>
      </c>
      <c r="IO86" s="36" t="s">
        <v>139</v>
      </c>
      <c r="IP86" s="36" t="s">
        <v>139</v>
      </c>
      <c r="IQ86" s="36" t="s">
        <v>139</v>
      </c>
      <c r="IR86" s="36" t="s">
        <v>139</v>
      </c>
      <c r="IS86" s="36" t="s">
        <v>139</v>
      </c>
      <c r="IT86" s="36" t="s">
        <v>139</v>
      </c>
      <c r="IU86" s="36" t="s">
        <v>139</v>
      </c>
      <c r="IV86" s="36" t="s">
        <v>139</v>
      </c>
      <c r="IW86" s="36" t="s">
        <v>139</v>
      </c>
      <c r="IX86" s="36" t="s">
        <v>139</v>
      </c>
      <c r="IY86" s="36" t="s">
        <v>139</v>
      </c>
      <c r="IZ86" s="36" t="s">
        <v>139</v>
      </c>
      <c r="JA86" s="36" t="s">
        <v>139</v>
      </c>
      <c r="JB86" s="36" t="s">
        <v>139</v>
      </c>
      <c r="JC86" s="36" t="s">
        <v>139</v>
      </c>
      <c r="JD86" s="36" t="s">
        <v>139</v>
      </c>
      <c r="JE86" s="36" t="s">
        <v>139</v>
      </c>
      <c r="JF86" s="36" t="s">
        <v>139</v>
      </c>
      <c r="JG86" s="36" t="s">
        <v>139</v>
      </c>
      <c r="JH86" s="36" t="s">
        <v>139</v>
      </c>
      <c r="JI86" s="36" t="s">
        <v>139</v>
      </c>
      <c r="JJ86" s="36" t="s">
        <v>139</v>
      </c>
      <c r="JK86" s="36" t="s">
        <v>139</v>
      </c>
      <c r="JL86" s="36" t="s">
        <v>139</v>
      </c>
      <c r="JM86" s="36" t="s">
        <v>139</v>
      </c>
      <c r="JN86" s="36" t="s">
        <v>139</v>
      </c>
      <c r="JO86" s="36" t="s">
        <v>139</v>
      </c>
      <c r="JP86" s="36" t="s">
        <v>139</v>
      </c>
      <c r="JQ86" s="36" t="s">
        <v>139</v>
      </c>
      <c r="JR86" s="36" t="s">
        <v>139</v>
      </c>
      <c r="JS86" s="36" t="s">
        <v>139</v>
      </c>
      <c r="JT86" s="36" t="s">
        <v>139</v>
      </c>
      <c r="JU86" s="36" t="s">
        <v>139</v>
      </c>
      <c r="JV86" s="36" t="s">
        <v>139</v>
      </c>
      <c r="JW86" s="36" t="s">
        <v>139</v>
      </c>
      <c r="JX86" s="36" t="s">
        <v>139</v>
      </c>
      <c r="JY86" s="36" t="s">
        <v>139</v>
      </c>
      <c r="JZ86" s="36" t="s">
        <v>139</v>
      </c>
      <c r="KA86" s="36" t="s">
        <v>139</v>
      </c>
      <c r="KB86" s="36" t="s">
        <v>139</v>
      </c>
      <c r="KC86" s="36" t="s">
        <v>139</v>
      </c>
      <c r="KD86" s="36" t="s">
        <v>139</v>
      </c>
      <c r="KE86" s="36" t="s">
        <v>139</v>
      </c>
      <c r="KF86" s="36" t="s">
        <v>139</v>
      </c>
      <c r="KG86" s="36" t="s">
        <v>139</v>
      </c>
      <c r="KH86" s="36" t="s">
        <v>139</v>
      </c>
      <c r="KI86" s="36" t="s">
        <v>139</v>
      </c>
      <c r="KJ86" s="36" t="s">
        <v>139</v>
      </c>
      <c r="KK86" s="36" t="s">
        <v>139</v>
      </c>
      <c r="KL86" s="36" t="s">
        <v>139</v>
      </c>
      <c r="KM86" s="36" t="s">
        <v>139</v>
      </c>
      <c r="KN86" s="36" t="s">
        <v>139</v>
      </c>
      <c r="KO86" s="36" t="s">
        <v>139</v>
      </c>
      <c r="KP86" s="36" t="s">
        <v>139</v>
      </c>
      <c r="KQ86" s="36" t="s">
        <v>139</v>
      </c>
      <c r="KR86" s="36" t="s">
        <v>139</v>
      </c>
      <c r="KS86" s="36" t="s">
        <v>139</v>
      </c>
      <c r="KT86" s="36" t="s">
        <v>139</v>
      </c>
      <c r="KU86" s="36" t="s">
        <v>139</v>
      </c>
      <c r="KV86" s="36" t="s">
        <v>139</v>
      </c>
      <c r="KW86" s="36" t="s">
        <v>139</v>
      </c>
      <c r="KX86" s="36" t="s">
        <v>139</v>
      </c>
      <c r="KY86" s="36" t="s">
        <v>139</v>
      </c>
      <c r="KZ86" s="36" t="s">
        <v>139</v>
      </c>
      <c r="LA86" s="36" t="s">
        <v>139</v>
      </c>
      <c r="LB86" s="36" t="s">
        <v>139</v>
      </c>
      <c r="LC86" s="36" t="s">
        <v>139</v>
      </c>
      <c r="LD86" s="36" t="s">
        <v>139</v>
      </c>
      <c r="LE86" s="36" t="s">
        <v>139</v>
      </c>
      <c r="LF86" s="36" t="s">
        <v>139</v>
      </c>
      <c r="LG86" s="36" t="s">
        <v>139</v>
      </c>
      <c r="LH86" s="36" t="s">
        <v>139</v>
      </c>
      <c r="LI86" s="36" t="s">
        <v>139</v>
      </c>
      <c r="LJ86" s="36" t="s">
        <v>139</v>
      </c>
      <c r="LK86" s="36" t="s">
        <v>139</v>
      </c>
      <c r="LL86" s="36" t="s">
        <v>139</v>
      </c>
      <c r="LM86" s="36" t="s">
        <v>139</v>
      </c>
      <c r="LN86" s="36" t="s">
        <v>139</v>
      </c>
      <c r="LO86" s="36" t="s">
        <v>139</v>
      </c>
      <c r="LP86" s="36" t="s">
        <v>139</v>
      </c>
      <c r="LQ86" s="36" t="s">
        <v>139</v>
      </c>
      <c r="LR86" s="36" t="s">
        <v>139</v>
      </c>
      <c r="LS86" s="36" t="s">
        <v>139</v>
      </c>
      <c r="LT86" s="36" t="s">
        <v>139</v>
      </c>
      <c r="LU86" s="36" t="s">
        <v>139</v>
      </c>
      <c r="LV86" s="36" t="s">
        <v>139</v>
      </c>
      <c r="LW86" s="36" t="s">
        <v>139</v>
      </c>
      <c r="LX86" s="36" t="s">
        <v>139</v>
      </c>
      <c r="LY86" s="36" t="s">
        <v>139</v>
      </c>
      <c r="LZ86" s="36" t="s">
        <v>139</v>
      </c>
      <c r="MA86" s="36" t="s">
        <v>139</v>
      </c>
      <c r="MB86" s="36" t="s">
        <v>139</v>
      </c>
      <c r="MC86" s="36" t="s">
        <v>139</v>
      </c>
      <c r="MD86" s="36" t="s">
        <v>139</v>
      </c>
      <c r="ME86" s="36" t="s">
        <v>139</v>
      </c>
      <c r="MF86" s="36" t="s">
        <v>139</v>
      </c>
      <c r="MG86" s="36" t="s">
        <v>139</v>
      </c>
      <c r="MH86" s="36" t="s">
        <v>139</v>
      </c>
      <c r="MI86" s="36" t="s">
        <v>139</v>
      </c>
      <c r="MJ86" s="36" t="s">
        <v>139</v>
      </c>
      <c r="MK86" s="36" t="s">
        <v>139</v>
      </c>
      <c r="ML86" s="36" t="s">
        <v>139</v>
      </c>
      <c r="MM86" s="36" t="s">
        <v>139</v>
      </c>
      <c r="MN86" s="36" t="s">
        <v>139</v>
      </c>
      <c r="MO86" s="36" t="s">
        <v>139</v>
      </c>
      <c r="MP86" s="36" t="s">
        <v>139</v>
      </c>
      <c r="MQ86" s="36" t="s">
        <v>139</v>
      </c>
      <c r="MR86" s="36" t="s">
        <v>139</v>
      </c>
      <c r="MS86" s="36" t="s">
        <v>139</v>
      </c>
      <c r="MT86" s="36" t="s">
        <v>139</v>
      </c>
      <c r="MU86" s="36" t="s">
        <v>139</v>
      </c>
      <c r="MV86" s="36" t="s">
        <v>139</v>
      </c>
      <c r="MW86" s="36" t="s">
        <v>139</v>
      </c>
      <c r="MX86" s="36" t="s">
        <v>139</v>
      </c>
      <c r="MY86" s="36" t="s">
        <v>139</v>
      </c>
      <c r="MZ86" s="36" t="s">
        <v>139</v>
      </c>
      <c r="NA86" s="36" t="s">
        <v>139</v>
      </c>
      <c r="NB86" s="36" t="s">
        <v>139</v>
      </c>
      <c r="NC86" s="36" t="s">
        <v>139</v>
      </c>
      <c r="ND86" s="36" t="s">
        <v>139</v>
      </c>
      <c r="NE86" s="36" t="s">
        <v>139</v>
      </c>
      <c r="NF86" s="36" t="s">
        <v>139</v>
      </c>
      <c r="NG86" s="36" t="s">
        <v>139</v>
      </c>
      <c r="NH86" s="36" t="s">
        <v>139</v>
      </c>
      <c r="NI86" s="36" t="s">
        <v>139</v>
      </c>
      <c r="NJ86" s="36" t="s">
        <v>139</v>
      </c>
      <c r="NK86" s="36" t="s">
        <v>139</v>
      </c>
      <c r="NL86" s="36" t="s">
        <v>139</v>
      </c>
      <c r="NM86" s="36" t="s">
        <v>139</v>
      </c>
      <c r="NN86" s="36" t="s">
        <v>139</v>
      </c>
      <c r="NO86" s="36" t="s">
        <v>139</v>
      </c>
      <c r="NP86" s="36" t="s">
        <v>139</v>
      </c>
      <c r="NQ86" s="36" t="s">
        <v>139</v>
      </c>
      <c r="NR86" s="36" t="s">
        <v>139</v>
      </c>
      <c r="NS86" s="36" t="s">
        <v>139</v>
      </c>
      <c r="NT86" s="36" t="s">
        <v>139</v>
      </c>
      <c r="NU86" s="36" t="s">
        <v>139</v>
      </c>
      <c r="NV86" s="36" t="s">
        <v>139</v>
      </c>
      <c r="NW86" s="36" t="s">
        <v>139</v>
      </c>
      <c r="NX86" s="36" t="s">
        <v>139</v>
      </c>
      <c r="NY86" s="36" t="s">
        <v>139</v>
      </c>
      <c r="NZ86" s="36" t="s">
        <v>139</v>
      </c>
      <c r="OA86" s="36" t="s">
        <v>139</v>
      </c>
      <c r="OB86" s="36" t="s">
        <v>139</v>
      </c>
      <c r="OC86" s="36" t="s">
        <v>139</v>
      </c>
      <c r="OD86" s="36" t="s">
        <v>139</v>
      </c>
      <c r="OE86" s="36" t="s">
        <v>139</v>
      </c>
      <c r="OF86" s="36" t="s">
        <v>139</v>
      </c>
      <c r="OG86" s="36" t="s">
        <v>139</v>
      </c>
      <c r="OH86" s="36" t="s">
        <v>139</v>
      </c>
      <c r="OI86" s="36" t="s">
        <v>139</v>
      </c>
      <c r="OJ86" s="36" t="s">
        <v>139</v>
      </c>
      <c r="OK86" s="36" t="s">
        <v>139</v>
      </c>
      <c r="OL86" s="36" t="s">
        <v>139</v>
      </c>
      <c r="OM86" s="36" t="s">
        <v>139</v>
      </c>
      <c r="ON86" s="36" t="s">
        <v>139</v>
      </c>
      <c r="OO86" s="36" t="s">
        <v>139</v>
      </c>
      <c r="OP86" s="36" t="s">
        <v>139</v>
      </c>
      <c r="OQ86" s="36" t="s">
        <v>139</v>
      </c>
      <c r="OR86" s="36" t="s">
        <v>139</v>
      </c>
      <c r="OS86" s="36" t="s">
        <v>139</v>
      </c>
      <c r="OT86" s="36" t="s">
        <v>139</v>
      </c>
      <c r="OU86" s="36" t="s">
        <v>139</v>
      </c>
      <c r="OV86" s="36" t="s">
        <v>139</v>
      </c>
      <c r="OW86" s="36" t="s">
        <v>139</v>
      </c>
      <c r="OX86" s="36" t="s">
        <v>139</v>
      </c>
      <c r="OY86" s="36" t="s">
        <v>139</v>
      </c>
      <c r="OZ86" s="36" t="s">
        <v>139</v>
      </c>
      <c r="PA86" s="36" t="s">
        <v>139</v>
      </c>
      <c r="PB86" s="36" t="s">
        <v>139</v>
      </c>
      <c r="PC86" s="36" t="s">
        <v>139</v>
      </c>
      <c r="PD86" s="36" t="s">
        <v>139</v>
      </c>
      <c r="PE86" s="36" t="s">
        <v>139</v>
      </c>
      <c r="PF86" s="36" t="s">
        <v>139</v>
      </c>
      <c r="PG86" s="36" t="s">
        <v>139</v>
      </c>
      <c r="PH86" s="36" t="s">
        <v>139</v>
      </c>
      <c r="PI86" s="36" t="s">
        <v>139</v>
      </c>
      <c r="PJ86" s="36" t="s">
        <v>139</v>
      </c>
      <c r="PK86" s="36" t="s">
        <v>139</v>
      </c>
      <c r="PL86" s="36" t="s">
        <v>139</v>
      </c>
      <c r="PM86" s="36" t="s">
        <v>139</v>
      </c>
      <c r="PN86" s="36" t="s">
        <v>139</v>
      </c>
      <c r="PO86" s="74">
        <f>COUNTIFS($C$27:$PN$27,("&lt;"&amp;$B$3),$C$27:$PN$27,("&gt;="&amp;$B$2),$C86:$PN86,TabAsistencias[[#Headers],[1]])</f>
        <v>30</v>
      </c>
      <c r="PP86" s="74">
        <f>COUNTIFS($C$27:$PN$27,("&lt;"&amp;$B$3),$C$27:$PN$27,("&gt;="&amp;$B$2),$C86:$PN86,TabAsistencias[[#Headers],[E]])</f>
        <v>0</v>
      </c>
      <c r="PQ86" s="74">
        <f>COUNTIFS($C$27:$PN$27,("&lt;"&amp;$B$3),$C$27:$PN$27,("&gt;="&amp;$B$2),$C86:$PN86,TabAsistencias[[#Headers],[DE]])</f>
        <v>0</v>
      </c>
      <c r="PR86" s="74">
        <f>COUNTIFS($C$27:$PN$27,("&lt;"&amp;$B$3),$C$27:$PN$27,("&gt;="&amp;$B$2),$C86:$PN86,TabAsistencias[[#Headers],[V]])</f>
        <v>0</v>
      </c>
      <c r="PS86" s="74">
        <f>COUNTIFS($C$27:$PN$27,("&lt;"&amp;$B$3),$C$27:$PN$27,("&gt;="&amp;$B$2),$C86:$PN86,TabAsistencias[[#Headers],[DO]])</f>
        <v>0</v>
      </c>
      <c r="PT86" s="74">
        <f>COUNTIFS($C$27:$PN$27,("&lt;"&amp;$B$3),$C$27:$PN$27,("&gt;="&amp;$B$2),$C86:$PN86,TabAsistencias[[#Headers],[P]])</f>
        <v>0</v>
      </c>
      <c r="PU86" s="74">
        <f>COUNTIFS($C$27:$PN$27,("&lt;"&amp;$B$3),$C$27:$PN$27,("&gt;="&amp;$B$2),$C86:$PN86,TabAsistencias[[#Headers],[F]])</f>
        <v>0</v>
      </c>
      <c r="PV86" s="74">
        <f>COUNTIFS($C$27:$PN$27,("&lt;"&amp;$B$3),$C$27:$PN$27,("&gt;="&amp;$B$2),$C86:$PN86,TabAsistencias[[#Headers],[R]])</f>
        <v>0</v>
      </c>
      <c r="PW86" s="74">
        <f>COUNTIFS($C$27:$PN$27,("&lt;"&amp;$B$3),$C$27:$PN$27,("&gt;="&amp;$B$2),$C86:$PN86,TabAsistencias[[#Headers],[PP]])</f>
        <v>0</v>
      </c>
      <c r="PX86" s="74">
        <f>COUNTIFS($C$27:$PN$27,("&lt;"&amp;$B$3),$C$27:$PN$27,("&gt;="&amp;$B$2),$C86:$PN86,TabAsistencias[[#Headers],[0]])</f>
        <v>0</v>
      </c>
      <c r="PY86" s="74">
        <f>COUNTIFS($C$27:$PN$27,("&lt;"&amp;$B$3),$C$27:$PN$27,("&gt;="&amp;$B$2),$C86:$PN86,TabAsistencias[[#Headers],[IG]])</f>
        <v>0</v>
      </c>
      <c r="PZ86" s="74">
        <f>COUNTIFS($C$27:$PN$27,("&lt;"&amp;$B$3),$C$27:$PN$27,("&gt;="&amp;$B$2),$C86:$PN86,TabAsistencias[[#Headers],[NA]])</f>
        <v>0</v>
      </c>
      <c r="QA86" s="74">
        <f>COUNTIFS($C$27:$PN$27,("&lt;"&amp;$B$3),$C$27:$PN$27,("&gt;="&amp;$B$2),$C86:$PN86,TabAsistencias[[#Headers],[DF]])</f>
        <v>0</v>
      </c>
      <c r="QB86" s="74">
        <f>COUNTIFS($C$27:$PN$27,("&lt;"&amp;$B$3),$C$27:$PN$27,("&gt;="&amp;$B$2),$C86:$PN86,TabAsistencias[[#Headers],[3]])</f>
        <v>0</v>
      </c>
      <c r="QC86" s="74">
        <f>COUNTIFS($C$27:$PN$27,("&lt;"&amp;$B$3),$C$27:$PN$27,("&gt;="&amp;$B$2),$C86:$PN86,TabAsistencias[[#Headers],[CP]])</f>
        <v>0</v>
      </c>
      <c r="QD86" s="74">
        <f>COUNTIFS($C$27:$PN$27,("&lt;"&amp;$B$3),$C$27:$PN$27,("&gt;="&amp;$B$2),$C86:$PN86,TabAsistencias[[#Headers],[I]])</f>
        <v>0</v>
      </c>
      <c r="QE86" s="74">
        <f>COUNTIFS($C$27:$PN$27,("&lt;"&amp;$B$3),$C$27:$PN$27,("&gt;="&amp;$B$2),$C86:$PN86,TabAsistencias[[#Headers],[T/2]])</f>
        <v>0</v>
      </c>
      <c r="QF86" s="74">
        <f>COUNTIFS($C$27:$PN$27,("&lt;"&amp;$B$3),$C$27:$PN$27,("&gt;="&amp;$B$2),$C86:$PN86,TabAsistencias[[#Headers],[ME]])</f>
        <v>0</v>
      </c>
      <c r="QG86" s="74">
        <f>COUNTIFS($C$27:$PN$27,("&lt;"&amp;$B$3),$C$27:$PN$27,("&gt;="&amp;$B$2),$C86:$PN86,TabAsistencias[[#Headers],[DP]])</f>
        <v>0</v>
      </c>
      <c r="QH86" s="74">
        <f>COUNTIFS($C$27:$PN$27,("&lt;"&amp;$B$3),$C$27:$PN$27,("&gt;="&amp;$B$2),$C86:$PN86,TabAsistencias[[#Headers],[B]])</f>
        <v>0</v>
      </c>
      <c r="QI86" s="74">
        <f>(TabAsistencias[[#This Row],[1]]*'Tablas de informacion'!$C$124)+(TabAsistencias[[#This Row],[E]]*'Tablas de informacion'!$C$125)+(TabAsistencias[[#This Row],[DE]]*'Tablas de informacion'!C$126)+(TabAsistencias[[#This Row],[V]]*'Tablas de informacion'!C$127)+(TabAsistencias[[#This Row],[DO]]*'Tablas de informacion'!C$128)+(TabAsistencias[[#This Row],[P]]*'Tablas de informacion'!C$129)+(TabAsistencias[[#This Row],[F]]*'Tablas de informacion'!C$130)+(TabAsistencias[[#This Row],[R]]*'Tablas de informacion'!C$131)+(TabAsistencias[[#This Row],[PP]]*'Tablas de informacion'!C$132)+(TabAsistencias[[#This Row],[0]]*'Tablas de informacion'!C$133)+(TabAsistencias[[#This Row],[IG]]*'Tablas de informacion'!C$134)+(TabAsistencias[[#This Row],[NA]]*'Tablas de informacion'!C$135)+(TabAsistencias[[#This Row],[DF]]*'Tablas de informacion'!C$136)+(TabAsistencias[[#This Row],[3]]*'Tablas de informacion'!C$137)+(TabAsistencias[[#This Row],[CP]]*'Tablas de informacion'!C$138)+(TabAsistencias[[#This Row],[I]]*'Tablas de informacion'!C$139)+(TabAsistencias[[#This Row],[T/2]]*'Tablas de informacion'!C$140)+(TabAsistencias[[#This Row],[ME]]*'Tablas de informacion'!C$141)+(TabAsistencias[[#This Row],[DP]]*'Tablas de informacion'!C$142)+(TabAsistencias[[#This Row],[B]]*'Tablas de informacion'!C$143)-INT(TabAsistencias[[#This Row],[R]]/3)</f>
        <v>30</v>
      </c>
      <c r="QJ86" s="74">
        <f>COUNTIFS($C$27:$PN$27,("&lt;"&amp;$B$3),$C$27:$PN$27,("&gt;="&amp;$B$2),$C$28:$PN$28,1,$C86:$PN86,TabAsistencias[[#Headers],[1]])+
COUNTIFS($C$27:$PN$27,("&lt;"&amp;$B$3),$C$27:$PN$27,("&gt;="&amp;$B$2),$C$28:$PN$28,1,$C86:$PN86,TabAsistencias[[#Headers],[DO]])+
COUNTIFS($C$27:$PN$27,("&lt;"&amp;$B$3),$C$27:$PN$27,("&gt;="&amp;$B$2),$C$28:$PN$28,1,$C86:$PN86,TabAsistencias[[#Headers],[R]])+
COUNTIFS($C$27:$PN$27,("&lt;"&amp;$B$3),$C$27:$PN$27,("&gt;="&amp;$B$2),$C$28:$PN$28,1,$C86:$PN86,TabAsistencias[[#Headers],[NA]])+
COUNTIFS($C$27:$PN$27,("&lt;"&amp;$B$3),$C$27:$PN$27,("&gt;="&amp;$B$2),$C$28:$PN$28,1,$C86:$PN86,TabAsistencias[[#Headers],[DF]])+
COUNTIFS($C$27:$PN$27,("&lt;"&amp;$B$3),$C$27:$PN$27,("&gt;="&amp;$B$2),$C$28:$PN$28,1,$C86:$PN86,TabAsistencias[[#Headers],[3]])+
COUNTIFS($C$27:$PN$27,("&lt;"&amp;$B$3),$C$27:$PN$27,("&gt;="&amp;$B$2),$C$28:$PN$28,1,$C86:$PN86,TabAsistencias[[#Headers],[CP]])+
COUNTIFS($C$27:$PN$27,("&lt;"&amp;$B$3),$C$27:$PN$27,("&gt;="&amp;$B$2),$C$28:$PN$28,1,$C86:$PN86,TabAsistencias[[#Headers],[T/2]])</f>
        <v>4</v>
      </c>
      <c r="QK86" s="315" cm="1">
        <f t="array" ref="QK86">IFERROR(VLOOKUP(
DATEDIF((VLOOKUP(TabAsistencias[[#This Row],[ID]],TabEmpleados[],COLUMN(TabEmpleados[Fecha de ingreso]),FALSE)),Asistencias!$B$3,"Y"),
TabFactorIntegracion[],COLUMN(TabFactorIntegracion[Días vacacionales
establecidos por ley]),FALSE),0)
-
COUNTIF($AH86:$PN86,TabAsistencias[[#Headers],[V]])</f>
        <v>12</v>
      </c>
      <c r="QL86" s="319">
        <f>SUM(TabAsistencias[[#This Row],[''1]],TabAsistencias[[#This Row],[''DE]],TabAsistencias[[#This Row],[''DO]],TabAsistencias[[#This Row],[''R]],TabAsistencias[[#This Row],[''NA]],TabAsistencias[[#This Row],[''DF]],TabAsistencias[[#This Row],[''3]],TabAsistencias[[#This Row],[''CP]],TabAsistencias[[#This Row],[''T/2]],TabAsistencias[[#This Row],[''DP]])</f>
        <v>73</v>
      </c>
      <c r="QM86" s="314">
        <f>COUNTIFS($C$27:$PN$27,("&lt;"&amp;$B$5),$C$27:$PN$27,("&gt;="&amp;$B$4),$C86:$PN86,TabAsistencias[[#Headers],[1]])</f>
        <v>73</v>
      </c>
      <c r="QN86" s="314">
        <f>COUNTIFS($C$27:$PN$27,("&lt;"&amp;$B$5),$C$27:$PN$27,("&gt;="&amp;$B$4),$C86:$PN86,TabAsistencias[[#Headers],[DE]])</f>
        <v>0</v>
      </c>
      <c r="QO86" s="314">
        <f>COUNTIFS($C$27:$PN$27,("&lt;"&amp;$B$5),$C$27:$PN$27,("&gt;="&amp;$B$4),$C86:$PN86,TabAsistencias[[#Headers],[V]])</f>
        <v>0</v>
      </c>
      <c r="QP86" s="314">
        <f>COUNTIFS($C$27:$PN$27,("&lt;"&amp;$B$5),$C$27:$PN$27,("&gt;="&amp;$B$4),$C86:$PN86,TabAsistencias[[#Headers],[DO]])</f>
        <v>0</v>
      </c>
      <c r="QQ86" s="314">
        <f>COUNTIFS($C$27:$PN$27,("&lt;"&amp;$B$5),$C$27:$PN$27,("&gt;="&amp;$B$4),$C86:$PN86,TabAsistencias[[#Headers],[P]])</f>
        <v>0</v>
      </c>
      <c r="QR86" s="314">
        <f>COUNTIFS($C$27:$PN$27,("&lt;"&amp;$B$5),$C$27:$PN$27,("&gt;="&amp;$B$4),$C86:$PN86,TabAsistencias[[#Headers],[F]])</f>
        <v>0</v>
      </c>
      <c r="QS86" s="314">
        <f>COUNTIFS($C$27:$PN$27,("&lt;"&amp;$B$5),$C$27:$PN$27,("&gt;="&amp;$B$4),$C86:$PN86,TabAsistencias[[#Headers],[R]])</f>
        <v>0</v>
      </c>
      <c r="QT86" s="314">
        <f>COUNTIFS($C$27:$PN$27,("&lt;"&amp;$B$5),$C$27:$PN$27,("&gt;="&amp;$B$4),$C86:$PN86,TabAsistencias[[#Headers],[PP]])</f>
        <v>0</v>
      </c>
      <c r="QU86" s="314">
        <f>COUNTIFS($C$27:$PN$27,("&lt;"&amp;$B$5),$C$27:$PN$27,("&gt;="&amp;$B$4),$C86:$PN86,TabAsistencias[[#Headers],[0]])</f>
        <v>0</v>
      </c>
      <c r="QV86" s="314">
        <f>COUNTIFS($C$27:$PN$27,("&lt;"&amp;$B$5),$C$27:$PN$27,("&gt;="&amp;$B$4),$C86:$PN86,TabAsistencias[[#Headers],[IG]])</f>
        <v>0</v>
      </c>
      <c r="QW86" s="314">
        <f>COUNTIFS($C$27:$PN$27,("&lt;"&amp;$B$5),$C$27:$PN$27,("&gt;="&amp;$B$4),$C86:$PN86,TabAsistencias[[#Headers],[NA]])</f>
        <v>0</v>
      </c>
      <c r="QX86" s="314">
        <f>COUNTIFS($C$27:$PN$27,("&lt;"&amp;$B$5),$C$27:$PN$27,("&gt;="&amp;$B$4),$C86:$PN86,TabAsistencias[[#Headers],[DF]])</f>
        <v>0</v>
      </c>
      <c r="QY86" s="314">
        <f>COUNTIFS($C$27:$PN$27,("&lt;"&amp;$B$5),$C$27:$PN$27,("&gt;="&amp;$B$4),$C86:$PN86,TabAsistencias[[#Headers],[3]])</f>
        <v>0</v>
      </c>
      <c r="QZ86" s="314">
        <f>COUNTIFS($C$27:$PN$27,("&lt;"&amp;$B$5),$C$27:$PN$27,("&gt;="&amp;$B$4),$C86:$PN86,TabAsistencias[[#Headers],[CP]])</f>
        <v>0</v>
      </c>
      <c r="RA86" s="314">
        <f>COUNTIFS($C$27:$PN$27,("&lt;"&amp;$B$5),$C$27:$PN$27,("&gt;="&amp;$B$4),$C86:$PN86,TabAsistencias[[#Headers],[I]])</f>
        <v>0</v>
      </c>
      <c r="RB86" s="314">
        <f>COUNTIFS($C$27:$PN$27,("&lt;"&amp;$B$5),$C$27:$PN$27,("&gt;="&amp;$B$4),$C86:$PN86,TabAsistencias[[#Headers],[T/2]])</f>
        <v>0</v>
      </c>
      <c r="RC86" s="314">
        <f>COUNTIFS($C$27:$PN$27,("&lt;"&amp;$B$5),$C$27:$PN$27,("&gt;="&amp;$B$4),$C86:$PN86,TabAsistencias[[#Headers],[ME]])</f>
        <v>0</v>
      </c>
      <c r="RD86" s="314">
        <f>COUNTIFS($C$27:$PN$27,("&lt;"&amp;$B$5),$C$27:$PN$27,("&gt;="&amp;$B$4),$C86:$PN86,TabAsistencias[[#Headers],[DP]])</f>
        <v>0</v>
      </c>
      <c r="RE86" s="314">
        <f>COUNTIFS($C$27:$PN$27,("&lt;"&amp;$B$5),$C$27:$PN$27,("&gt;="&amp;$B$4),$C86:$PN86,TabAsistencias[[#Headers],[B]])</f>
        <v>0</v>
      </c>
      <c r="RF86" s="314">
        <f>COUNTIFS($C$27:$PN$27,("&lt;"&amp;$B$5),$C$27:$PN$27,("&gt;="&amp;$B$4),$C$28:$PN$28,1,$C86:$PN86,TabAsistencias[[#Headers],[1]])+
COUNTIFS($C$27:$PN$27,("&lt;"&amp;$B$5),$C$27:$PN$27,("&gt;="&amp;$B$4),$C$28:$PN$28,1,$C86:$PN86,TabAsistencias[[#Headers],[DO]])+
COUNTIFS($C$27:$PN$27,("&lt;"&amp;$B$5),$C$27:$PN$27,("&gt;="&amp;$B$4),$C$28:$PN$28,1,$C86:$PN86,TabAsistencias[[#Headers],[R]])+
COUNTIFS($C$27:$PN$27,("&lt;"&amp;$B$5),$C$27:$PN$27,("&gt;="&amp;$B$4),$C$28:$PN$28,1,$C86:$PN86,TabAsistencias[[#Headers],[NA]])+
COUNTIFS($C$27:$PN$27,("&lt;"&amp;$B$5),$C$27:$PN$27,("&gt;="&amp;$B$4),$C$28:$PN$28,1,$C86:$PN86,TabAsistencias[[#Headers],[DF]])+
COUNTIFS($C$27:$PN$27,("&lt;"&amp;$B$5),$C$27:$PN$27,("&gt;="&amp;$B$4),$C$28:$PN$28,1,$C86:$PN86,TabAsistencias[[#Headers],[3]])+
COUNTIFS($C$27:$PN$27,("&lt;"&amp;$B$5),$C$27:$PN$27,("&gt;="&amp;$B$4),$C$28:$PN$28,1,$C86:$PN86,TabAsistencias[[#Headers],[CP]])+
COUNTIFS($C$27:$PN$27,("&lt;"&amp;$B$5),$C$27:$PN$27,("&gt;="&amp;$B$4),$C$28:$PN$28,1,$C86:$PN86,TabAsistencias[[#Headers],[T/2]])</f>
        <v>11</v>
      </c>
      <c r="RG86" s="320" cm="1">
        <f t="array" ref="RG86">IFERROR(VLOOKUP(
DATEDIF((VLOOKUP(TabAsistencias[[#This Row],[ID]],TabEmpleados[],COLUMN(TabEmpleados[Fecha de alta NSS]),FALSE)),Asistencias!$B$3,"Y"),
TabFactorIntegracion[],COLUMN(TabFactorIntegracion[Días vacacionales
establecidos por ley]),FALSE),0)
-
COUNTIF($AH86:$PN86,TabAsistencias[[#Headers],[V]])</f>
        <v>12</v>
      </c>
    </row>
    <row r="87" spans="1:475" x14ac:dyDescent="0.25">
      <c r="A87" s="92">
        <f t="shared" si="434"/>
        <v>57</v>
      </c>
      <c r="B87" s="30" t="str" cm="1">
        <f t="array" ref="B87">VLOOKUP(TabAsistencias[[#This Row],[ID]],TabEmpleados[],COLUMN(TabEmpleados[Nombre]),FALSE)</f>
        <v>LOPEZ ALMARAZ JOSE ORIOL</v>
      </c>
      <c r="C87" s="36" t="s">
        <v>139</v>
      </c>
      <c r="D87" s="36" t="s">
        <v>139</v>
      </c>
      <c r="E87" s="36" t="s">
        <v>139</v>
      </c>
      <c r="F87" s="36" t="s">
        <v>139</v>
      </c>
      <c r="G87" s="36" t="s">
        <v>139</v>
      </c>
      <c r="H87" s="36" t="s">
        <v>139</v>
      </c>
      <c r="I87" s="36" t="s">
        <v>139</v>
      </c>
      <c r="J87" s="36" t="s">
        <v>139</v>
      </c>
      <c r="K87" s="36" t="s">
        <v>139</v>
      </c>
      <c r="L87" s="36" t="s">
        <v>139</v>
      </c>
      <c r="M87" s="36" t="s">
        <v>139</v>
      </c>
      <c r="N87" s="36" t="s">
        <v>139</v>
      </c>
      <c r="O87" s="36" t="s">
        <v>139</v>
      </c>
      <c r="P87" s="36" t="s">
        <v>139</v>
      </c>
      <c r="Q87" s="36" t="s">
        <v>139</v>
      </c>
      <c r="R87" s="36" t="s">
        <v>139</v>
      </c>
      <c r="S87" s="36" t="s">
        <v>139</v>
      </c>
      <c r="T87" s="36" t="s">
        <v>139</v>
      </c>
      <c r="U87" s="36" t="s">
        <v>139</v>
      </c>
      <c r="V87" s="36" t="s">
        <v>139</v>
      </c>
      <c r="W87" s="36" t="s">
        <v>139</v>
      </c>
      <c r="X87" s="36" t="s">
        <v>139</v>
      </c>
      <c r="Y87" s="36" t="s">
        <v>139</v>
      </c>
      <c r="Z87" s="36" t="s">
        <v>139</v>
      </c>
      <c r="AA87" s="36" t="s">
        <v>139</v>
      </c>
      <c r="AB87" s="36" t="s">
        <v>139</v>
      </c>
      <c r="AC87" s="36" t="s">
        <v>139</v>
      </c>
      <c r="AD87" s="36" t="s">
        <v>139</v>
      </c>
      <c r="AE87" s="36" t="s">
        <v>139</v>
      </c>
      <c r="AF87" s="36" t="s">
        <v>139</v>
      </c>
      <c r="AG87" s="36" t="s">
        <v>139</v>
      </c>
      <c r="AH87" s="36" t="s">
        <v>139</v>
      </c>
      <c r="AI87" s="36" t="s">
        <v>139</v>
      </c>
      <c r="AJ87" s="36" t="s">
        <v>139</v>
      </c>
      <c r="AK87" s="36" t="s">
        <v>139</v>
      </c>
      <c r="AL87" s="36" t="s">
        <v>139</v>
      </c>
      <c r="AM87" s="36" t="s">
        <v>139</v>
      </c>
      <c r="AN87" s="36" t="s">
        <v>139</v>
      </c>
      <c r="AO87" s="36" t="s">
        <v>139</v>
      </c>
      <c r="AP87" s="36" t="s">
        <v>139</v>
      </c>
      <c r="AQ87" s="36" t="s">
        <v>139</v>
      </c>
      <c r="AR87" s="36" t="s">
        <v>139</v>
      </c>
      <c r="AS87" s="36" t="s">
        <v>139</v>
      </c>
      <c r="AT87" s="36" t="s">
        <v>139</v>
      </c>
      <c r="AU87" s="36" t="s">
        <v>139</v>
      </c>
      <c r="AV87" s="36" t="s">
        <v>139</v>
      </c>
      <c r="AW87" s="36" t="s">
        <v>139</v>
      </c>
      <c r="AX87" s="36" t="s">
        <v>139</v>
      </c>
      <c r="AY87" s="36" t="s">
        <v>139</v>
      </c>
      <c r="AZ87" s="36" t="s">
        <v>139</v>
      </c>
      <c r="BA87" s="36" t="s">
        <v>139</v>
      </c>
      <c r="BB87" s="36" t="s">
        <v>139</v>
      </c>
      <c r="BC87" s="36" t="s">
        <v>139</v>
      </c>
      <c r="BD87" s="36" t="s">
        <v>139</v>
      </c>
      <c r="BE87" s="36" t="s">
        <v>139</v>
      </c>
      <c r="BF87" s="36" t="s">
        <v>139</v>
      </c>
      <c r="BG87" s="36" t="s">
        <v>139</v>
      </c>
      <c r="BH87" s="36" t="s">
        <v>139</v>
      </c>
      <c r="BI87" s="36" t="s">
        <v>139</v>
      </c>
      <c r="BJ87" s="36" t="s">
        <v>139</v>
      </c>
      <c r="BK87" s="36" t="s">
        <v>139</v>
      </c>
      <c r="BL87" s="36" t="s">
        <v>139</v>
      </c>
      <c r="BM87" s="36" t="s">
        <v>139</v>
      </c>
      <c r="BN87" s="36" t="s">
        <v>139</v>
      </c>
      <c r="BO87" s="36" t="s">
        <v>139</v>
      </c>
      <c r="BP87" s="36" t="s">
        <v>139</v>
      </c>
      <c r="BQ87" s="36" t="s">
        <v>139</v>
      </c>
      <c r="BR87" s="36" t="s">
        <v>139</v>
      </c>
      <c r="BS87" s="36" t="s">
        <v>139</v>
      </c>
      <c r="BT87" s="36" t="s">
        <v>139</v>
      </c>
      <c r="BU87" s="36" t="s">
        <v>139</v>
      </c>
      <c r="BV87" s="36" t="s">
        <v>139</v>
      </c>
      <c r="BW87" s="36" t="s">
        <v>139</v>
      </c>
      <c r="BX87" s="36" t="s">
        <v>139</v>
      </c>
      <c r="BY87" s="36" t="s">
        <v>139</v>
      </c>
      <c r="BZ87" s="36" t="s">
        <v>139</v>
      </c>
      <c r="CA87" s="36" t="s">
        <v>139</v>
      </c>
      <c r="CB87" s="36" t="s">
        <v>139</v>
      </c>
      <c r="CC87" s="36" t="s">
        <v>139</v>
      </c>
      <c r="CD87" s="36" t="s">
        <v>139</v>
      </c>
      <c r="CE87" s="36" t="s">
        <v>139</v>
      </c>
      <c r="CF87" s="36" t="s">
        <v>139</v>
      </c>
      <c r="CG87" s="36" t="s">
        <v>139</v>
      </c>
      <c r="CH87" s="36" t="s">
        <v>139</v>
      </c>
      <c r="CI87" s="36" t="s">
        <v>139</v>
      </c>
      <c r="CJ87" s="36" t="s">
        <v>139</v>
      </c>
      <c r="CK87" s="36" t="s">
        <v>139</v>
      </c>
      <c r="CL87" s="36" t="s">
        <v>139</v>
      </c>
      <c r="CM87" s="36" t="s">
        <v>139</v>
      </c>
      <c r="CN87" s="36" t="s">
        <v>139</v>
      </c>
      <c r="CO87" s="36" t="s">
        <v>139</v>
      </c>
      <c r="CP87" s="36" t="s">
        <v>139</v>
      </c>
      <c r="CQ87" s="36" t="s">
        <v>139</v>
      </c>
      <c r="CR87" s="36" t="s">
        <v>139</v>
      </c>
      <c r="CS87" s="36" t="s">
        <v>139</v>
      </c>
      <c r="CT87" s="36" t="s">
        <v>139</v>
      </c>
      <c r="CU87" s="36" t="s">
        <v>139</v>
      </c>
      <c r="CV87" s="36" t="s">
        <v>139</v>
      </c>
      <c r="CW87" s="36" t="s">
        <v>139</v>
      </c>
      <c r="CX87" s="36" t="s">
        <v>139</v>
      </c>
      <c r="CY87" s="36" t="s">
        <v>139</v>
      </c>
      <c r="CZ87" s="36" t="s">
        <v>139</v>
      </c>
      <c r="DA87" s="36" t="s">
        <v>139</v>
      </c>
      <c r="DB87" s="36" t="s">
        <v>139</v>
      </c>
      <c r="DC87" s="36" t="s">
        <v>139</v>
      </c>
      <c r="DD87" s="36" t="s">
        <v>139</v>
      </c>
      <c r="DE87" s="36" t="s">
        <v>139</v>
      </c>
      <c r="DF87" s="36" t="s">
        <v>139</v>
      </c>
      <c r="DG87" s="36" t="s">
        <v>139</v>
      </c>
      <c r="DH87" s="36" t="s">
        <v>139</v>
      </c>
      <c r="DI87" s="36" t="s">
        <v>139</v>
      </c>
      <c r="DJ87" s="36" t="s">
        <v>139</v>
      </c>
      <c r="DK87" s="36" t="s">
        <v>139</v>
      </c>
      <c r="DL87" s="36" t="s">
        <v>139</v>
      </c>
      <c r="DM87" s="36" t="s">
        <v>139</v>
      </c>
      <c r="DN87" s="36" t="s">
        <v>139</v>
      </c>
      <c r="DO87" s="36" t="s">
        <v>139</v>
      </c>
      <c r="DP87" s="36" t="s">
        <v>139</v>
      </c>
      <c r="DQ87" s="36" t="s">
        <v>139</v>
      </c>
      <c r="DR87" s="36" t="s">
        <v>139</v>
      </c>
      <c r="DS87" s="36" t="s">
        <v>139</v>
      </c>
      <c r="DT87" s="36" t="s">
        <v>139</v>
      </c>
      <c r="DU87" s="36" t="s">
        <v>139</v>
      </c>
      <c r="DV87" s="36" t="s">
        <v>139</v>
      </c>
      <c r="DW87" s="36" t="s">
        <v>139</v>
      </c>
      <c r="DX87" s="36" t="s">
        <v>139</v>
      </c>
      <c r="DY87" s="36" t="s">
        <v>139</v>
      </c>
      <c r="DZ87" s="36" t="s">
        <v>139</v>
      </c>
      <c r="EA87" s="36" t="s">
        <v>139</v>
      </c>
      <c r="EB87" s="36" t="s">
        <v>139</v>
      </c>
      <c r="EC87" s="36" t="s">
        <v>139</v>
      </c>
      <c r="ED87" s="36" t="s">
        <v>139</v>
      </c>
      <c r="EE87" s="36" t="s">
        <v>139</v>
      </c>
      <c r="EF87" s="36" t="s">
        <v>139</v>
      </c>
      <c r="EG87" s="36" t="s">
        <v>139</v>
      </c>
      <c r="EH87" s="36" t="s">
        <v>139</v>
      </c>
      <c r="EI87" s="36" t="s">
        <v>139</v>
      </c>
      <c r="EJ87" s="36" t="s">
        <v>139</v>
      </c>
      <c r="EK87" s="36" t="s">
        <v>139</v>
      </c>
      <c r="EL87" s="36" t="s">
        <v>139</v>
      </c>
      <c r="EM87" s="36" t="s">
        <v>139</v>
      </c>
      <c r="EN87" s="36" t="s">
        <v>139</v>
      </c>
      <c r="EO87" s="36" t="s">
        <v>139</v>
      </c>
      <c r="EP87" s="36" t="s">
        <v>139</v>
      </c>
      <c r="EQ87" s="36" t="s">
        <v>139</v>
      </c>
      <c r="ER87" s="36" t="s">
        <v>139</v>
      </c>
      <c r="ES87" s="36" t="s">
        <v>139</v>
      </c>
      <c r="ET87" s="36" t="s">
        <v>139</v>
      </c>
      <c r="EU87" s="36" t="s">
        <v>139</v>
      </c>
      <c r="EV87" s="36" t="s">
        <v>139</v>
      </c>
      <c r="EW87" s="36" t="s">
        <v>139</v>
      </c>
      <c r="EX87" s="36" t="s">
        <v>139</v>
      </c>
      <c r="EY87" s="36" t="s">
        <v>139</v>
      </c>
      <c r="EZ87" s="36" t="s">
        <v>139</v>
      </c>
      <c r="FA87" s="36" t="s">
        <v>139</v>
      </c>
      <c r="FB87" s="36" t="s">
        <v>139</v>
      </c>
      <c r="FC87" s="36" t="s">
        <v>139</v>
      </c>
      <c r="FD87" s="36" t="s">
        <v>139</v>
      </c>
      <c r="FE87" s="36" t="s">
        <v>139</v>
      </c>
      <c r="FF87" s="36" t="s">
        <v>139</v>
      </c>
      <c r="FG87" s="36" t="s">
        <v>139</v>
      </c>
      <c r="FH87" s="36" t="s">
        <v>139</v>
      </c>
      <c r="FI87" s="36" t="s">
        <v>139</v>
      </c>
      <c r="FJ87" s="36" t="s">
        <v>139</v>
      </c>
      <c r="FK87" s="36" t="s">
        <v>139</v>
      </c>
      <c r="FL87" s="36" t="s">
        <v>139</v>
      </c>
      <c r="FM87" s="36" t="s">
        <v>139</v>
      </c>
      <c r="FN87" s="36" t="s">
        <v>139</v>
      </c>
      <c r="FO87" s="36" t="s">
        <v>139</v>
      </c>
      <c r="FP87" s="36" t="s">
        <v>139</v>
      </c>
      <c r="FQ87" s="36" t="s">
        <v>139</v>
      </c>
      <c r="FR87" s="36" t="s">
        <v>139</v>
      </c>
      <c r="FS87" s="36" t="s">
        <v>139</v>
      </c>
      <c r="FT87" s="36" t="s">
        <v>139</v>
      </c>
      <c r="FU87" s="36" t="s">
        <v>139</v>
      </c>
      <c r="FV87" s="36" t="s">
        <v>139</v>
      </c>
      <c r="FW87" s="36" t="s">
        <v>139</v>
      </c>
      <c r="FX87" s="36" t="s">
        <v>139</v>
      </c>
      <c r="FY87" s="36" t="s">
        <v>139</v>
      </c>
      <c r="FZ87" s="36" t="s">
        <v>139</v>
      </c>
      <c r="GA87" s="36" t="s">
        <v>139</v>
      </c>
      <c r="GB87" s="36" t="s">
        <v>139</v>
      </c>
      <c r="GC87" s="36" t="s">
        <v>139</v>
      </c>
      <c r="GD87" s="36" t="s">
        <v>139</v>
      </c>
      <c r="GE87" s="36" t="s">
        <v>139</v>
      </c>
      <c r="GF87" s="36" t="s">
        <v>139</v>
      </c>
      <c r="GG87" s="36" t="s">
        <v>139</v>
      </c>
      <c r="GH87" s="36" t="s">
        <v>139</v>
      </c>
      <c r="GI87" s="36" t="s">
        <v>139</v>
      </c>
      <c r="GJ87" s="36" t="s">
        <v>139</v>
      </c>
      <c r="GK87" s="36" t="s">
        <v>139</v>
      </c>
      <c r="GL87" s="36" t="s">
        <v>139</v>
      </c>
      <c r="GM87" s="36" t="s">
        <v>139</v>
      </c>
      <c r="GN87" s="36" t="s">
        <v>139</v>
      </c>
      <c r="GO87" s="36" t="s">
        <v>139</v>
      </c>
      <c r="GP87" s="36" t="s">
        <v>139</v>
      </c>
      <c r="GQ87" s="36" t="s">
        <v>139</v>
      </c>
      <c r="GR87" s="36" t="s">
        <v>139</v>
      </c>
      <c r="GS87" s="36" t="s">
        <v>139</v>
      </c>
      <c r="GT87" s="36" t="s">
        <v>139</v>
      </c>
      <c r="GU87" s="36" t="s">
        <v>139</v>
      </c>
      <c r="GV87" s="36" t="s">
        <v>139</v>
      </c>
      <c r="GW87" s="36" t="s">
        <v>139</v>
      </c>
      <c r="GX87" s="36" t="s">
        <v>139</v>
      </c>
      <c r="GY87" s="36" t="s">
        <v>139</v>
      </c>
      <c r="GZ87" s="36" t="s">
        <v>139</v>
      </c>
      <c r="HA87" s="36" t="s">
        <v>139</v>
      </c>
      <c r="HB87" s="36" t="s">
        <v>139</v>
      </c>
      <c r="HC87" s="36" t="s">
        <v>139</v>
      </c>
      <c r="HD87" s="36" t="s">
        <v>139</v>
      </c>
      <c r="HE87" s="36" t="s">
        <v>139</v>
      </c>
      <c r="HF87" s="36" t="s">
        <v>139</v>
      </c>
      <c r="HG87" s="36" t="s">
        <v>139</v>
      </c>
      <c r="HH87" s="36" t="s">
        <v>139</v>
      </c>
      <c r="HI87" s="36" t="s">
        <v>139</v>
      </c>
      <c r="HJ87" s="36" t="s">
        <v>139</v>
      </c>
      <c r="HK87" s="36" t="s">
        <v>139</v>
      </c>
      <c r="HL87" s="36" t="s">
        <v>139</v>
      </c>
      <c r="HM87" s="36" t="s">
        <v>139</v>
      </c>
      <c r="HN87" s="36" t="s">
        <v>139</v>
      </c>
      <c r="HO87" s="36" t="s">
        <v>139</v>
      </c>
      <c r="HP87" s="36" t="s">
        <v>139</v>
      </c>
      <c r="HQ87" s="36" t="s">
        <v>139</v>
      </c>
      <c r="HR87" s="36" t="s">
        <v>139</v>
      </c>
      <c r="HS87" s="36" t="s">
        <v>139</v>
      </c>
      <c r="HT87" s="36" t="s">
        <v>139</v>
      </c>
      <c r="HU87" s="36" t="s">
        <v>139</v>
      </c>
      <c r="HV87" s="36" t="s">
        <v>139</v>
      </c>
      <c r="HW87" s="36" t="s">
        <v>139</v>
      </c>
      <c r="HX87" s="36" t="s">
        <v>139</v>
      </c>
      <c r="HY87" s="36" t="s">
        <v>139</v>
      </c>
      <c r="HZ87" s="36" t="s">
        <v>139</v>
      </c>
      <c r="IA87" s="36" t="s">
        <v>139</v>
      </c>
      <c r="IB87" s="36" t="s">
        <v>139</v>
      </c>
      <c r="IC87" s="36" t="s">
        <v>139</v>
      </c>
      <c r="ID87" s="36" t="s">
        <v>139</v>
      </c>
      <c r="IE87" s="36" t="s">
        <v>139</v>
      </c>
      <c r="IF87" s="36" t="s">
        <v>139</v>
      </c>
      <c r="IG87" s="36" t="s">
        <v>139</v>
      </c>
      <c r="IH87" s="36" t="s">
        <v>139</v>
      </c>
      <c r="II87" s="36" t="s">
        <v>139</v>
      </c>
      <c r="IJ87" s="36" t="s">
        <v>139</v>
      </c>
      <c r="IK87" s="36" t="s">
        <v>139</v>
      </c>
      <c r="IL87" s="36" t="s">
        <v>139</v>
      </c>
      <c r="IM87" s="36" t="s">
        <v>139</v>
      </c>
      <c r="IN87" s="36" t="s">
        <v>139</v>
      </c>
      <c r="IO87" s="36" t="s">
        <v>139</v>
      </c>
      <c r="IP87" s="36" t="s">
        <v>139</v>
      </c>
      <c r="IQ87" s="36" t="s">
        <v>139</v>
      </c>
      <c r="IR87" s="36" t="s">
        <v>139</v>
      </c>
      <c r="IS87" s="36" t="s">
        <v>139</v>
      </c>
      <c r="IT87" s="36" t="s">
        <v>139</v>
      </c>
      <c r="IU87" s="36" t="s">
        <v>139</v>
      </c>
      <c r="IV87" s="36" t="s">
        <v>139</v>
      </c>
      <c r="IW87" s="36" t="s">
        <v>139</v>
      </c>
      <c r="IX87" s="36" t="s">
        <v>139</v>
      </c>
      <c r="IY87" s="36" t="s">
        <v>139</v>
      </c>
      <c r="IZ87" s="36" t="s">
        <v>139</v>
      </c>
      <c r="JA87" s="36" t="s">
        <v>139</v>
      </c>
      <c r="JB87" s="36" t="s">
        <v>139</v>
      </c>
      <c r="JC87" s="36" t="s">
        <v>139</v>
      </c>
      <c r="JD87" s="36" t="s">
        <v>139</v>
      </c>
      <c r="JE87" s="36" t="s">
        <v>139</v>
      </c>
      <c r="JF87" s="36" t="s">
        <v>139</v>
      </c>
      <c r="JG87" s="36" t="s">
        <v>139</v>
      </c>
      <c r="JH87" s="36" t="s">
        <v>139</v>
      </c>
      <c r="JI87" s="36" t="s">
        <v>139</v>
      </c>
      <c r="JJ87" s="36" t="s">
        <v>139</v>
      </c>
      <c r="JK87" s="36" t="s">
        <v>139</v>
      </c>
      <c r="JL87" s="36" t="s">
        <v>139</v>
      </c>
      <c r="JM87" s="36" t="s">
        <v>139</v>
      </c>
      <c r="JN87" s="36" t="s">
        <v>139</v>
      </c>
      <c r="JO87" s="36" t="s">
        <v>139</v>
      </c>
      <c r="JP87" s="36" t="s">
        <v>139</v>
      </c>
      <c r="JQ87" s="36" t="s">
        <v>139</v>
      </c>
      <c r="JR87" s="36" t="s">
        <v>139</v>
      </c>
      <c r="JS87" s="36" t="s">
        <v>139</v>
      </c>
      <c r="JT87" s="36" t="s">
        <v>139</v>
      </c>
      <c r="JU87" s="36" t="s">
        <v>139</v>
      </c>
      <c r="JV87" s="36" t="s">
        <v>139</v>
      </c>
      <c r="JW87" s="36" t="s">
        <v>139</v>
      </c>
      <c r="JX87" s="36" t="s">
        <v>139</v>
      </c>
      <c r="JY87" s="36" t="s">
        <v>139</v>
      </c>
      <c r="JZ87" s="36" t="s">
        <v>139</v>
      </c>
      <c r="KA87" s="36" t="s">
        <v>139</v>
      </c>
      <c r="KB87" s="36" t="s">
        <v>139</v>
      </c>
      <c r="KC87" s="36" t="s">
        <v>139</v>
      </c>
      <c r="KD87" s="36" t="s">
        <v>139</v>
      </c>
      <c r="KE87" s="36" t="s">
        <v>139</v>
      </c>
      <c r="KF87" s="36" t="s">
        <v>139</v>
      </c>
      <c r="KG87" s="36" t="s">
        <v>139</v>
      </c>
      <c r="KH87" s="36" t="s">
        <v>139</v>
      </c>
      <c r="KI87" s="36" t="s">
        <v>139</v>
      </c>
      <c r="KJ87" s="36" t="s">
        <v>139</v>
      </c>
      <c r="KK87" s="36" t="s">
        <v>139</v>
      </c>
      <c r="KL87" s="36" t="s">
        <v>139</v>
      </c>
      <c r="KM87" s="36" t="s">
        <v>139</v>
      </c>
      <c r="KN87" s="36" t="s">
        <v>139</v>
      </c>
      <c r="KO87" s="36" t="s">
        <v>139</v>
      </c>
      <c r="KP87" s="36" t="s">
        <v>139</v>
      </c>
      <c r="KQ87" s="36" t="s">
        <v>139</v>
      </c>
      <c r="KR87" s="36" t="s">
        <v>139</v>
      </c>
      <c r="KS87" s="36" t="s">
        <v>139</v>
      </c>
      <c r="KT87" s="36" t="s">
        <v>139</v>
      </c>
      <c r="KU87" s="36" t="s">
        <v>139</v>
      </c>
      <c r="KV87" s="36" t="s">
        <v>139</v>
      </c>
      <c r="KW87" s="36" t="s">
        <v>139</v>
      </c>
      <c r="KX87" s="36" t="s">
        <v>139</v>
      </c>
      <c r="KY87" s="36" t="s">
        <v>139</v>
      </c>
      <c r="KZ87" s="36" t="s">
        <v>139</v>
      </c>
      <c r="LA87" s="36" t="s">
        <v>139</v>
      </c>
      <c r="LB87" s="36" t="s">
        <v>139</v>
      </c>
      <c r="LC87" s="36" t="s">
        <v>139</v>
      </c>
      <c r="LD87" s="36" t="s">
        <v>139</v>
      </c>
      <c r="LE87" s="36" t="s">
        <v>139</v>
      </c>
      <c r="LF87" s="36" t="s">
        <v>139</v>
      </c>
      <c r="LG87" s="36" t="s">
        <v>139</v>
      </c>
      <c r="LH87" s="36" t="s">
        <v>139</v>
      </c>
      <c r="LI87" s="36" t="s">
        <v>139</v>
      </c>
      <c r="LJ87" s="36" t="s">
        <v>139</v>
      </c>
      <c r="LK87" s="36" t="s">
        <v>139</v>
      </c>
      <c r="LL87" s="36" t="s">
        <v>139</v>
      </c>
      <c r="LM87" s="36" t="s">
        <v>139</v>
      </c>
      <c r="LN87" s="36" t="s">
        <v>139</v>
      </c>
      <c r="LO87" s="36" t="s">
        <v>139</v>
      </c>
      <c r="LP87" s="36" t="s">
        <v>139</v>
      </c>
      <c r="LQ87" s="36" t="s">
        <v>139</v>
      </c>
      <c r="LR87" s="36" t="s">
        <v>139</v>
      </c>
      <c r="LS87" s="36" t="s">
        <v>139</v>
      </c>
      <c r="LT87" s="36" t="s">
        <v>139</v>
      </c>
      <c r="LU87" s="36" t="s">
        <v>139</v>
      </c>
      <c r="LV87" s="36" t="s">
        <v>139</v>
      </c>
      <c r="LW87" s="36" t="s">
        <v>139</v>
      </c>
      <c r="LX87" s="36" t="s">
        <v>139</v>
      </c>
      <c r="LY87" s="36" t="s">
        <v>139</v>
      </c>
      <c r="LZ87" s="36" t="s">
        <v>139</v>
      </c>
      <c r="MA87" s="36" t="s">
        <v>139</v>
      </c>
      <c r="MB87" s="36" t="s">
        <v>139</v>
      </c>
      <c r="MC87" s="36" t="s">
        <v>139</v>
      </c>
      <c r="MD87" s="36" t="s">
        <v>139</v>
      </c>
      <c r="ME87" s="36" t="s">
        <v>139</v>
      </c>
      <c r="MF87" s="36" t="s">
        <v>139</v>
      </c>
      <c r="MG87" s="36" t="s">
        <v>139</v>
      </c>
      <c r="MH87" s="36" t="s">
        <v>139</v>
      </c>
      <c r="MI87" s="36" t="s">
        <v>139</v>
      </c>
      <c r="MJ87" s="36" t="s">
        <v>139</v>
      </c>
      <c r="MK87" s="36" t="s">
        <v>139</v>
      </c>
      <c r="ML87" s="36" t="s">
        <v>139</v>
      </c>
      <c r="MM87" s="36" t="s">
        <v>139</v>
      </c>
      <c r="MN87" s="36" t="s">
        <v>139</v>
      </c>
      <c r="MO87" s="36" t="s">
        <v>139</v>
      </c>
      <c r="MP87" s="36" t="s">
        <v>139</v>
      </c>
      <c r="MQ87" s="36" t="s">
        <v>139</v>
      </c>
      <c r="MR87" s="36" t="s">
        <v>139</v>
      </c>
      <c r="MS87" s="36" t="s">
        <v>139</v>
      </c>
      <c r="MT87" s="36" t="s">
        <v>139</v>
      </c>
      <c r="MU87" s="36" t="s">
        <v>139</v>
      </c>
      <c r="MV87" s="36" t="s">
        <v>139</v>
      </c>
      <c r="MW87" s="36" t="s">
        <v>139</v>
      </c>
      <c r="MX87" s="36" t="s">
        <v>139</v>
      </c>
      <c r="MY87" s="36" t="s">
        <v>139</v>
      </c>
      <c r="MZ87" s="36" t="s">
        <v>139</v>
      </c>
      <c r="NA87" s="36" t="s">
        <v>139</v>
      </c>
      <c r="NB87" s="36" t="s">
        <v>139</v>
      </c>
      <c r="NC87" s="36" t="s">
        <v>139</v>
      </c>
      <c r="ND87" s="36" t="s">
        <v>139</v>
      </c>
      <c r="NE87" s="36" t="s">
        <v>139</v>
      </c>
      <c r="NF87" s="36" t="s">
        <v>139</v>
      </c>
      <c r="NG87" s="36" t="s">
        <v>139</v>
      </c>
      <c r="NH87" s="36" t="s">
        <v>139</v>
      </c>
      <c r="NI87" s="36" t="s">
        <v>139</v>
      </c>
      <c r="NJ87" s="36" t="s">
        <v>139</v>
      </c>
      <c r="NK87" s="36" t="s">
        <v>139</v>
      </c>
      <c r="NL87" s="36" t="s">
        <v>139</v>
      </c>
      <c r="NM87" s="36" t="s">
        <v>139</v>
      </c>
      <c r="NN87" s="36" t="s">
        <v>139</v>
      </c>
      <c r="NO87" s="36" t="s">
        <v>139</v>
      </c>
      <c r="NP87" s="36" t="s">
        <v>139</v>
      </c>
      <c r="NQ87" s="36" t="s">
        <v>139</v>
      </c>
      <c r="NR87" s="36" t="s">
        <v>139</v>
      </c>
      <c r="NS87" s="36" t="s">
        <v>139</v>
      </c>
      <c r="NT87" s="36" t="s">
        <v>139</v>
      </c>
      <c r="NU87" s="36" t="s">
        <v>139</v>
      </c>
      <c r="NV87" s="36" t="s">
        <v>139</v>
      </c>
      <c r="NW87" s="36" t="s">
        <v>139</v>
      </c>
      <c r="NX87" s="36" t="s">
        <v>139</v>
      </c>
      <c r="NY87" s="36" t="s">
        <v>139</v>
      </c>
      <c r="NZ87" s="36" t="s">
        <v>139</v>
      </c>
      <c r="OA87" s="36" t="s">
        <v>139</v>
      </c>
      <c r="OB87" s="36" t="s">
        <v>139</v>
      </c>
      <c r="OC87" s="36" t="s">
        <v>139</v>
      </c>
      <c r="OD87" s="36" t="s">
        <v>139</v>
      </c>
      <c r="OE87" s="36" t="s">
        <v>139</v>
      </c>
      <c r="OF87" s="36" t="s">
        <v>139</v>
      </c>
      <c r="OG87" s="36" t="s">
        <v>139</v>
      </c>
      <c r="OH87" s="36" t="s">
        <v>139</v>
      </c>
      <c r="OI87" s="36" t="s">
        <v>139</v>
      </c>
      <c r="OJ87" s="36" t="s">
        <v>139</v>
      </c>
      <c r="OK87" s="36" t="s">
        <v>139</v>
      </c>
      <c r="OL87" s="36" t="s">
        <v>139</v>
      </c>
      <c r="OM87" s="36" t="s">
        <v>139</v>
      </c>
      <c r="ON87" s="36" t="s">
        <v>139</v>
      </c>
      <c r="OO87" s="36" t="s">
        <v>139</v>
      </c>
      <c r="OP87" s="36" t="s">
        <v>139</v>
      </c>
      <c r="OQ87" s="36" t="s">
        <v>139</v>
      </c>
      <c r="OR87" s="36" t="s">
        <v>139</v>
      </c>
      <c r="OS87" s="36" t="s">
        <v>139</v>
      </c>
      <c r="OT87" s="36" t="s">
        <v>139</v>
      </c>
      <c r="OU87" s="36" t="s">
        <v>139</v>
      </c>
      <c r="OV87" s="36" t="s">
        <v>139</v>
      </c>
      <c r="OW87" s="36" t="s">
        <v>139</v>
      </c>
      <c r="OX87" s="36" t="s">
        <v>139</v>
      </c>
      <c r="OY87" s="36" t="s">
        <v>139</v>
      </c>
      <c r="OZ87" s="36" t="s">
        <v>139</v>
      </c>
      <c r="PA87" s="36" t="s">
        <v>139</v>
      </c>
      <c r="PB87" s="36" t="s">
        <v>139</v>
      </c>
      <c r="PC87" s="36" t="s">
        <v>139</v>
      </c>
      <c r="PD87" s="36" t="s">
        <v>139</v>
      </c>
      <c r="PE87" s="36" t="s">
        <v>139</v>
      </c>
      <c r="PF87" s="36" t="s">
        <v>139</v>
      </c>
      <c r="PG87" s="36" t="s">
        <v>139</v>
      </c>
      <c r="PH87" s="36" t="s">
        <v>139</v>
      </c>
      <c r="PI87" s="36" t="s">
        <v>139</v>
      </c>
      <c r="PJ87" s="36" t="s">
        <v>139</v>
      </c>
      <c r="PK87" s="36" t="s">
        <v>139</v>
      </c>
      <c r="PL87" s="36" t="s">
        <v>139</v>
      </c>
      <c r="PM87" s="36" t="s">
        <v>139</v>
      </c>
      <c r="PN87" s="36" t="s">
        <v>139</v>
      </c>
      <c r="PO87" s="74">
        <f>COUNTIFS($C$27:$PN$27,("&lt;"&amp;$B$3),$C$27:$PN$27,("&gt;="&amp;$B$2),$C87:$PN87,TabAsistencias[[#Headers],[1]])</f>
        <v>30</v>
      </c>
      <c r="PP87" s="74">
        <f>COUNTIFS($C$27:$PN$27,("&lt;"&amp;$B$3),$C$27:$PN$27,("&gt;="&amp;$B$2),$C87:$PN87,TabAsistencias[[#Headers],[E]])</f>
        <v>0</v>
      </c>
      <c r="PQ87" s="74">
        <f>COUNTIFS($C$27:$PN$27,("&lt;"&amp;$B$3),$C$27:$PN$27,("&gt;="&amp;$B$2),$C87:$PN87,TabAsistencias[[#Headers],[DE]])</f>
        <v>0</v>
      </c>
      <c r="PR87" s="74">
        <f>COUNTIFS($C$27:$PN$27,("&lt;"&amp;$B$3),$C$27:$PN$27,("&gt;="&amp;$B$2),$C87:$PN87,TabAsistencias[[#Headers],[V]])</f>
        <v>0</v>
      </c>
      <c r="PS87" s="74">
        <f>COUNTIFS($C$27:$PN$27,("&lt;"&amp;$B$3),$C$27:$PN$27,("&gt;="&amp;$B$2),$C87:$PN87,TabAsistencias[[#Headers],[DO]])</f>
        <v>0</v>
      </c>
      <c r="PT87" s="74">
        <f>COUNTIFS($C$27:$PN$27,("&lt;"&amp;$B$3),$C$27:$PN$27,("&gt;="&amp;$B$2),$C87:$PN87,TabAsistencias[[#Headers],[P]])</f>
        <v>0</v>
      </c>
      <c r="PU87" s="74">
        <f>COUNTIFS($C$27:$PN$27,("&lt;"&amp;$B$3),$C$27:$PN$27,("&gt;="&amp;$B$2),$C87:$PN87,TabAsistencias[[#Headers],[F]])</f>
        <v>0</v>
      </c>
      <c r="PV87" s="74">
        <f>COUNTIFS($C$27:$PN$27,("&lt;"&amp;$B$3),$C$27:$PN$27,("&gt;="&amp;$B$2),$C87:$PN87,TabAsistencias[[#Headers],[R]])</f>
        <v>0</v>
      </c>
      <c r="PW87" s="74">
        <f>COUNTIFS($C$27:$PN$27,("&lt;"&amp;$B$3),$C$27:$PN$27,("&gt;="&amp;$B$2),$C87:$PN87,TabAsistencias[[#Headers],[PP]])</f>
        <v>0</v>
      </c>
      <c r="PX87" s="74">
        <f>COUNTIFS($C$27:$PN$27,("&lt;"&amp;$B$3),$C$27:$PN$27,("&gt;="&amp;$B$2),$C87:$PN87,TabAsistencias[[#Headers],[0]])</f>
        <v>0</v>
      </c>
      <c r="PY87" s="74">
        <f>COUNTIFS($C$27:$PN$27,("&lt;"&amp;$B$3),$C$27:$PN$27,("&gt;="&amp;$B$2),$C87:$PN87,TabAsistencias[[#Headers],[IG]])</f>
        <v>0</v>
      </c>
      <c r="PZ87" s="74">
        <f>COUNTIFS($C$27:$PN$27,("&lt;"&amp;$B$3),$C$27:$PN$27,("&gt;="&amp;$B$2),$C87:$PN87,TabAsistencias[[#Headers],[NA]])</f>
        <v>0</v>
      </c>
      <c r="QA87" s="74">
        <f>COUNTIFS($C$27:$PN$27,("&lt;"&amp;$B$3),$C$27:$PN$27,("&gt;="&amp;$B$2),$C87:$PN87,TabAsistencias[[#Headers],[DF]])</f>
        <v>0</v>
      </c>
      <c r="QB87" s="74">
        <f>COUNTIFS($C$27:$PN$27,("&lt;"&amp;$B$3),$C$27:$PN$27,("&gt;="&amp;$B$2),$C87:$PN87,TabAsistencias[[#Headers],[3]])</f>
        <v>0</v>
      </c>
      <c r="QC87" s="74">
        <f>COUNTIFS($C$27:$PN$27,("&lt;"&amp;$B$3),$C$27:$PN$27,("&gt;="&amp;$B$2),$C87:$PN87,TabAsistencias[[#Headers],[CP]])</f>
        <v>0</v>
      </c>
      <c r="QD87" s="74">
        <f>COUNTIFS($C$27:$PN$27,("&lt;"&amp;$B$3),$C$27:$PN$27,("&gt;="&amp;$B$2),$C87:$PN87,TabAsistencias[[#Headers],[I]])</f>
        <v>0</v>
      </c>
      <c r="QE87" s="74">
        <f>COUNTIFS($C$27:$PN$27,("&lt;"&amp;$B$3),$C$27:$PN$27,("&gt;="&amp;$B$2),$C87:$PN87,TabAsistencias[[#Headers],[T/2]])</f>
        <v>0</v>
      </c>
      <c r="QF87" s="74">
        <f>COUNTIFS($C$27:$PN$27,("&lt;"&amp;$B$3),$C$27:$PN$27,("&gt;="&amp;$B$2),$C87:$PN87,TabAsistencias[[#Headers],[ME]])</f>
        <v>0</v>
      </c>
      <c r="QG87" s="74">
        <f>COUNTIFS($C$27:$PN$27,("&lt;"&amp;$B$3),$C$27:$PN$27,("&gt;="&amp;$B$2),$C87:$PN87,TabAsistencias[[#Headers],[DP]])</f>
        <v>0</v>
      </c>
      <c r="QH87" s="74">
        <f>COUNTIFS($C$27:$PN$27,("&lt;"&amp;$B$3),$C$27:$PN$27,("&gt;="&amp;$B$2),$C87:$PN87,TabAsistencias[[#Headers],[B]])</f>
        <v>0</v>
      </c>
      <c r="QI87" s="74">
        <f>(TabAsistencias[[#This Row],[1]]*'Tablas de informacion'!$C$124)+(TabAsistencias[[#This Row],[E]]*'Tablas de informacion'!$C$125)+(TabAsistencias[[#This Row],[DE]]*'Tablas de informacion'!C$126)+(TabAsistencias[[#This Row],[V]]*'Tablas de informacion'!C$127)+(TabAsistencias[[#This Row],[DO]]*'Tablas de informacion'!C$128)+(TabAsistencias[[#This Row],[P]]*'Tablas de informacion'!C$129)+(TabAsistencias[[#This Row],[F]]*'Tablas de informacion'!C$130)+(TabAsistencias[[#This Row],[R]]*'Tablas de informacion'!C$131)+(TabAsistencias[[#This Row],[PP]]*'Tablas de informacion'!C$132)+(TabAsistencias[[#This Row],[0]]*'Tablas de informacion'!C$133)+(TabAsistencias[[#This Row],[IG]]*'Tablas de informacion'!C$134)+(TabAsistencias[[#This Row],[NA]]*'Tablas de informacion'!C$135)+(TabAsistencias[[#This Row],[DF]]*'Tablas de informacion'!C$136)+(TabAsistencias[[#This Row],[3]]*'Tablas de informacion'!C$137)+(TabAsistencias[[#This Row],[CP]]*'Tablas de informacion'!C$138)+(TabAsistencias[[#This Row],[I]]*'Tablas de informacion'!C$139)+(TabAsistencias[[#This Row],[T/2]]*'Tablas de informacion'!C$140)+(TabAsistencias[[#This Row],[ME]]*'Tablas de informacion'!C$141)+(TabAsistencias[[#This Row],[DP]]*'Tablas de informacion'!C$142)+(TabAsistencias[[#This Row],[B]]*'Tablas de informacion'!C$143)-INT(TabAsistencias[[#This Row],[R]]/3)</f>
        <v>30</v>
      </c>
      <c r="QJ87" s="74">
        <f>COUNTIFS($C$27:$PN$27,("&lt;"&amp;$B$3),$C$27:$PN$27,("&gt;="&amp;$B$2),$C$28:$PN$28,1,$C87:$PN87,TabAsistencias[[#Headers],[1]])+
COUNTIFS($C$27:$PN$27,("&lt;"&amp;$B$3),$C$27:$PN$27,("&gt;="&amp;$B$2),$C$28:$PN$28,1,$C87:$PN87,TabAsistencias[[#Headers],[DO]])+
COUNTIFS($C$27:$PN$27,("&lt;"&amp;$B$3),$C$27:$PN$27,("&gt;="&amp;$B$2),$C$28:$PN$28,1,$C87:$PN87,TabAsistencias[[#Headers],[R]])+
COUNTIFS($C$27:$PN$27,("&lt;"&amp;$B$3),$C$27:$PN$27,("&gt;="&amp;$B$2),$C$28:$PN$28,1,$C87:$PN87,TabAsistencias[[#Headers],[NA]])+
COUNTIFS($C$27:$PN$27,("&lt;"&amp;$B$3),$C$27:$PN$27,("&gt;="&amp;$B$2),$C$28:$PN$28,1,$C87:$PN87,TabAsistencias[[#Headers],[DF]])+
COUNTIFS($C$27:$PN$27,("&lt;"&amp;$B$3),$C$27:$PN$27,("&gt;="&amp;$B$2),$C$28:$PN$28,1,$C87:$PN87,TabAsistencias[[#Headers],[3]])+
COUNTIFS($C$27:$PN$27,("&lt;"&amp;$B$3),$C$27:$PN$27,("&gt;="&amp;$B$2),$C$28:$PN$28,1,$C87:$PN87,TabAsistencias[[#Headers],[CP]])+
COUNTIFS($C$27:$PN$27,("&lt;"&amp;$B$3),$C$27:$PN$27,("&gt;="&amp;$B$2),$C$28:$PN$28,1,$C87:$PN87,TabAsistencias[[#Headers],[T/2]])</f>
        <v>4</v>
      </c>
      <c r="QK87" s="315" cm="1">
        <f t="array" ref="QK87">IFERROR(VLOOKUP(
DATEDIF((VLOOKUP(TabAsistencias[[#This Row],[ID]],TabEmpleados[],COLUMN(TabEmpleados[Fecha de ingreso]),FALSE)),Asistencias!$B$3,"Y"),
TabFactorIntegracion[],COLUMN(TabFactorIntegracion[Días vacacionales
establecidos por ley]),FALSE),0)
-
COUNTIF($AH87:$PN87,TabAsistencias[[#Headers],[V]])</f>
        <v>12</v>
      </c>
      <c r="QL87" s="319">
        <f>SUM(TabAsistencias[[#This Row],[''1]],TabAsistencias[[#This Row],[''DE]],TabAsistencias[[#This Row],[''DO]],TabAsistencias[[#This Row],[''R]],TabAsistencias[[#This Row],[''NA]],TabAsistencias[[#This Row],[''DF]],TabAsistencias[[#This Row],[''3]],TabAsistencias[[#This Row],[''CP]],TabAsistencias[[#This Row],[''T/2]],TabAsistencias[[#This Row],[''DP]])</f>
        <v>73</v>
      </c>
      <c r="QM87" s="314">
        <f>COUNTIFS($C$27:$PN$27,("&lt;"&amp;$B$5),$C$27:$PN$27,("&gt;="&amp;$B$4),$C87:$PN87,TabAsistencias[[#Headers],[1]])</f>
        <v>73</v>
      </c>
      <c r="QN87" s="314">
        <f>COUNTIFS($C$27:$PN$27,("&lt;"&amp;$B$5),$C$27:$PN$27,("&gt;="&amp;$B$4),$C87:$PN87,TabAsistencias[[#Headers],[DE]])</f>
        <v>0</v>
      </c>
      <c r="QO87" s="314">
        <f>COUNTIFS($C$27:$PN$27,("&lt;"&amp;$B$5),$C$27:$PN$27,("&gt;="&amp;$B$4),$C87:$PN87,TabAsistencias[[#Headers],[V]])</f>
        <v>0</v>
      </c>
      <c r="QP87" s="314">
        <f>COUNTIFS($C$27:$PN$27,("&lt;"&amp;$B$5),$C$27:$PN$27,("&gt;="&amp;$B$4),$C87:$PN87,TabAsistencias[[#Headers],[DO]])</f>
        <v>0</v>
      </c>
      <c r="QQ87" s="314">
        <f>COUNTIFS($C$27:$PN$27,("&lt;"&amp;$B$5),$C$27:$PN$27,("&gt;="&amp;$B$4),$C87:$PN87,TabAsistencias[[#Headers],[P]])</f>
        <v>0</v>
      </c>
      <c r="QR87" s="314">
        <f>COUNTIFS($C$27:$PN$27,("&lt;"&amp;$B$5),$C$27:$PN$27,("&gt;="&amp;$B$4),$C87:$PN87,TabAsistencias[[#Headers],[F]])</f>
        <v>0</v>
      </c>
      <c r="QS87" s="314">
        <f>COUNTIFS($C$27:$PN$27,("&lt;"&amp;$B$5),$C$27:$PN$27,("&gt;="&amp;$B$4),$C87:$PN87,TabAsistencias[[#Headers],[R]])</f>
        <v>0</v>
      </c>
      <c r="QT87" s="314">
        <f>COUNTIFS($C$27:$PN$27,("&lt;"&amp;$B$5),$C$27:$PN$27,("&gt;="&amp;$B$4),$C87:$PN87,TabAsistencias[[#Headers],[PP]])</f>
        <v>0</v>
      </c>
      <c r="QU87" s="314">
        <f>COUNTIFS($C$27:$PN$27,("&lt;"&amp;$B$5),$C$27:$PN$27,("&gt;="&amp;$B$4),$C87:$PN87,TabAsistencias[[#Headers],[0]])</f>
        <v>0</v>
      </c>
      <c r="QV87" s="314">
        <f>COUNTIFS($C$27:$PN$27,("&lt;"&amp;$B$5),$C$27:$PN$27,("&gt;="&amp;$B$4),$C87:$PN87,TabAsistencias[[#Headers],[IG]])</f>
        <v>0</v>
      </c>
      <c r="QW87" s="314">
        <f>COUNTIFS($C$27:$PN$27,("&lt;"&amp;$B$5),$C$27:$PN$27,("&gt;="&amp;$B$4),$C87:$PN87,TabAsistencias[[#Headers],[NA]])</f>
        <v>0</v>
      </c>
      <c r="QX87" s="314">
        <f>COUNTIFS($C$27:$PN$27,("&lt;"&amp;$B$5),$C$27:$PN$27,("&gt;="&amp;$B$4),$C87:$PN87,TabAsistencias[[#Headers],[DF]])</f>
        <v>0</v>
      </c>
      <c r="QY87" s="314">
        <f>COUNTIFS($C$27:$PN$27,("&lt;"&amp;$B$5),$C$27:$PN$27,("&gt;="&amp;$B$4),$C87:$PN87,TabAsistencias[[#Headers],[3]])</f>
        <v>0</v>
      </c>
      <c r="QZ87" s="314">
        <f>COUNTIFS($C$27:$PN$27,("&lt;"&amp;$B$5),$C$27:$PN$27,("&gt;="&amp;$B$4),$C87:$PN87,TabAsistencias[[#Headers],[CP]])</f>
        <v>0</v>
      </c>
      <c r="RA87" s="314">
        <f>COUNTIFS($C$27:$PN$27,("&lt;"&amp;$B$5),$C$27:$PN$27,("&gt;="&amp;$B$4),$C87:$PN87,TabAsistencias[[#Headers],[I]])</f>
        <v>0</v>
      </c>
      <c r="RB87" s="314">
        <f>COUNTIFS($C$27:$PN$27,("&lt;"&amp;$B$5),$C$27:$PN$27,("&gt;="&amp;$B$4),$C87:$PN87,TabAsistencias[[#Headers],[T/2]])</f>
        <v>0</v>
      </c>
      <c r="RC87" s="314">
        <f>COUNTIFS($C$27:$PN$27,("&lt;"&amp;$B$5),$C$27:$PN$27,("&gt;="&amp;$B$4),$C87:$PN87,TabAsistencias[[#Headers],[ME]])</f>
        <v>0</v>
      </c>
      <c r="RD87" s="314">
        <f>COUNTIFS($C$27:$PN$27,("&lt;"&amp;$B$5),$C$27:$PN$27,("&gt;="&amp;$B$4),$C87:$PN87,TabAsistencias[[#Headers],[DP]])</f>
        <v>0</v>
      </c>
      <c r="RE87" s="314">
        <f>COUNTIFS($C$27:$PN$27,("&lt;"&amp;$B$5),$C$27:$PN$27,("&gt;="&amp;$B$4),$C87:$PN87,TabAsistencias[[#Headers],[B]])</f>
        <v>0</v>
      </c>
      <c r="RF87" s="314">
        <f>COUNTIFS($C$27:$PN$27,("&lt;"&amp;$B$5),$C$27:$PN$27,("&gt;="&amp;$B$4),$C$28:$PN$28,1,$C87:$PN87,TabAsistencias[[#Headers],[1]])+
COUNTIFS($C$27:$PN$27,("&lt;"&amp;$B$5),$C$27:$PN$27,("&gt;="&amp;$B$4),$C$28:$PN$28,1,$C87:$PN87,TabAsistencias[[#Headers],[DO]])+
COUNTIFS($C$27:$PN$27,("&lt;"&amp;$B$5),$C$27:$PN$27,("&gt;="&amp;$B$4),$C$28:$PN$28,1,$C87:$PN87,TabAsistencias[[#Headers],[R]])+
COUNTIFS($C$27:$PN$27,("&lt;"&amp;$B$5),$C$27:$PN$27,("&gt;="&amp;$B$4),$C$28:$PN$28,1,$C87:$PN87,TabAsistencias[[#Headers],[NA]])+
COUNTIFS($C$27:$PN$27,("&lt;"&amp;$B$5),$C$27:$PN$27,("&gt;="&amp;$B$4),$C$28:$PN$28,1,$C87:$PN87,TabAsistencias[[#Headers],[DF]])+
COUNTIFS($C$27:$PN$27,("&lt;"&amp;$B$5),$C$27:$PN$27,("&gt;="&amp;$B$4),$C$28:$PN$28,1,$C87:$PN87,TabAsistencias[[#Headers],[3]])+
COUNTIFS($C$27:$PN$27,("&lt;"&amp;$B$5),$C$27:$PN$27,("&gt;="&amp;$B$4),$C$28:$PN$28,1,$C87:$PN87,TabAsistencias[[#Headers],[CP]])+
COUNTIFS($C$27:$PN$27,("&lt;"&amp;$B$5),$C$27:$PN$27,("&gt;="&amp;$B$4),$C$28:$PN$28,1,$C87:$PN87,TabAsistencias[[#Headers],[T/2]])</f>
        <v>11</v>
      </c>
      <c r="RG87" s="320" cm="1">
        <f t="array" ref="RG87">IFERROR(VLOOKUP(
DATEDIF((VLOOKUP(TabAsistencias[[#This Row],[ID]],TabEmpleados[],COLUMN(TabEmpleados[Fecha de alta NSS]),FALSE)),Asistencias!$B$3,"Y"),
TabFactorIntegracion[],COLUMN(TabFactorIntegracion[Días vacacionales
establecidos por ley]),FALSE),0)
-
COUNTIF($AH87:$PN87,TabAsistencias[[#Headers],[V]])</f>
        <v>12</v>
      </c>
    </row>
    <row r="88" spans="1:475" x14ac:dyDescent="0.25">
      <c r="A88" s="92">
        <f t="shared" si="434"/>
        <v>58</v>
      </c>
      <c r="B88" s="30" t="str" cm="1">
        <f t="array" ref="B88">VLOOKUP(TabAsistencias[[#This Row],[ID]],TabEmpleados[],COLUMN(TabEmpleados[Nombre]),FALSE)</f>
        <v>JUAREZ GARCIA NED</v>
      </c>
      <c r="C88" s="36" t="s">
        <v>139</v>
      </c>
      <c r="D88" s="36" t="s">
        <v>139</v>
      </c>
      <c r="E88" s="36" t="s">
        <v>139</v>
      </c>
      <c r="F88" s="36" t="s">
        <v>139</v>
      </c>
      <c r="G88" s="36" t="s">
        <v>139</v>
      </c>
      <c r="H88" s="36" t="s">
        <v>139</v>
      </c>
      <c r="I88" s="36" t="s">
        <v>139</v>
      </c>
      <c r="J88" s="36" t="s">
        <v>139</v>
      </c>
      <c r="K88" s="36" t="s">
        <v>139</v>
      </c>
      <c r="L88" s="36" t="s">
        <v>139</v>
      </c>
      <c r="M88" s="36" t="s">
        <v>139</v>
      </c>
      <c r="N88" s="36" t="s">
        <v>139</v>
      </c>
      <c r="O88" s="36" t="s">
        <v>139</v>
      </c>
      <c r="P88" s="36" t="s">
        <v>139</v>
      </c>
      <c r="Q88" s="36" t="s">
        <v>139</v>
      </c>
      <c r="R88" s="36" t="s">
        <v>139</v>
      </c>
      <c r="S88" s="36" t="s">
        <v>139</v>
      </c>
      <c r="T88" s="36" t="s">
        <v>139</v>
      </c>
      <c r="U88" s="36" t="s">
        <v>139</v>
      </c>
      <c r="V88" s="36" t="s">
        <v>139</v>
      </c>
      <c r="W88" s="36" t="s">
        <v>139</v>
      </c>
      <c r="X88" s="36" t="s">
        <v>139</v>
      </c>
      <c r="Y88" s="36" t="s">
        <v>139</v>
      </c>
      <c r="Z88" s="36" t="s">
        <v>139</v>
      </c>
      <c r="AA88" s="36" t="s">
        <v>139</v>
      </c>
      <c r="AB88" s="36" t="s">
        <v>139</v>
      </c>
      <c r="AC88" s="36" t="s">
        <v>139</v>
      </c>
      <c r="AD88" s="36" t="s">
        <v>139</v>
      </c>
      <c r="AE88" s="36" t="s">
        <v>139</v>
      </c>
      <c r="AF88" s="36" t="s">
        <v>139</v>
      </c>
      <c r="AG88" s="36" t="s">
        <v>139</v>
      </c>
      <c r="AH88" s="36" t="s">
        <v>139</v>
      </c>
      <c r="AI88" s="36" t="s">
        <v>139</v>
      </c>
      <c r="AJ88" s="36" t="s">
        <v>139</v>
      </c>
      <c r="AK88" s="36" t="s">
        <v>139</v>
      </c>
      <c r="AL88" s="36" t="s">
        <v>139</v>
      </c>
      <c r="AM88" s="36" t="s">
        <v>139</v>
      </c>
      <c r="AN88" s="36" t="s">
        <v>139</v>
      </c>
      <c r="AO88" s="36" t="s">
        <v>139</v>
      </c>
      <c r="AP88" s="36" t="s">
        <v>139</v>
      </c>
      <c r="AQ88" s="36" t="s">
        <v>139</v>
      </c>
      <c r="AR88" s="36" t="s">
        <v>139</v>
      </c>
      <c r="AS88" s="36" t="s">
        <v>139</v>
      </c>
      <c r="AT88" s="36" t="s">
        <v>139</v>
      </c>
      <c r="AU88" s="36" t="s">
        <v>139</v>
      </c>
      <c r="AV88" s="36" t="s">
        <v>139</v>
      </c>
      <c r="AW88" s="36" t="s">
        <v>139</v>
      </c>
      <c r="AX88" s="36" t="s">
        <v>139</v>
      </c>
      <c r="AY88" s="36" t="s">
        <v>139</v>
      </c>
      <c r="AZ88" s="36" t="s">
        <v>139</v>
      </c>
      <c r="BA88" s="36" t="s">
        <v>139</v>
      </c>
      <c r="BB88" s="36" t="s">
        <v>139</v>
      </c>
      <c r="BC88" s="36" t="s">
        <v>139</v>
      </c>
      <c r="BD88" s="36" t="s">
        <v>139</v>
      </c>
      <c r="BE88" s="36" t="s">
        <v>139</v>
      </c>
      <c r="BF88" s="36" t="s">
        <v>139</v>
      </c>
      <c r="BG88" s="36" t="s">
        <v>139</v>
      </c>
      <c r="BH88" s="36" t="s">
        <v>139</v>
      </c>
      <c r="BI88" s="36" t="s">
        <v>139</v>
      </c>
      <c r="BJ88" s="36" t="s">
        <v>139</v>
      </c>
      <c r="BK88" s="36" t="s">
        <v>139</v>
      </c>
      <c r="BL88" s="36" t="s">
        <v>139</v>
      </c>
      <c r="BM88" s="36" t="s">
        <v>139</v>
      </c>
      <c r="BN88" s="36" t="s">
        <v>139</v>
      </c>
      <c r="BO88" s="36" t="s">
        <v>139</v>
      </c>
      <c r="BP88" s="36" t="s">
        <v>139</v>
      </c>
      <c r="BQ88" s="36" t="s">
        <v>139</v>
      </c>
      <c r="BR88" s="36" t="s">
        <v>139</v>
      </c>
      <c r="BS88" s="36" t="s">
        <v>139</v>
      </c>
      <c r="BT88" s="36" t="s">
        <v>139</v>
      </c>
      <c r="BU88" s="36" t="s">
        <v>139</v>
      </c>
      <c r="BV88" s="36" t="s">
        <v>139</v>
      </c>
      <c r="BW88" s="36" t="s">
        <v>139</v>
      </c>
      <c r="BX88" s="36" t="s">
        <v>139</v>
      </c>
      <c r="BY88" s="36" t="s">
        <v>139</v>
      </c>
      <c r="BZ88" s="36" t="s">
        <v>139</v>
      </c>
      <c r="CA88" s="36" t="s">
        <v>139</v>
      </c>
      <c r="CB88" s="36" t="s">
        <v>139</v>
      </c>
      <c r="CC88" s="36" t="s">
        <v>139</v>
      </c>
      <c r="CD88" s="36" t="s">
        <v>139</v>
      </c>
      <c r="CE88" s="36" t="s">
        <v>139</v>
      </c>
      <c r="CF88" s="36" t="s">
        <v>139</v>
      </c>
      <c r="CG88" s="36" t="s">
        <v>139</v>
      </c>
      <c r="CH88" s="36" t="s">
        <v>139</v>
      </c>
      <c r="CI88" s="36" t="s">
        <v>139</v>
      </c>
      <c r="CJ88" s="36" t="s">
        <v>139</v>
      </c>
      <c r="CK88" s="36" t="s">
        <v>139</v>
      </c>
      <c r="CL88" s="36" t="s">
        <v>139</v>
      </c>
      <c r="CM88" s="36" t="s">
        <v>139</v>
      </c>
      <c r="CN88" s="36" t="s">
        <v>139</v>
      </c>
      <c r="CO88" s="36" t="s">
        <v>139</v>
      </c>
      <c r="CP88" s="36" t="s">
        <v>139</v>
      </c>
      <c r="CQ88" s="36" t="s">
        <v>139</v>
      </c>
      <c r="CR88" s="36" t="s">
        <v>139</v>
      </c>
      <c r="CS88" s="36" t="s">
        <v>139</v>
      </c>
      <c r="CT88" s="36" t="s">
        <v>139</v>
      </c>
      <c r="CU88" s="36" t="s">
        <v>139</v>
      </c>
      <c r="CV88" s="36" t="s">
        <v>139</v>
      </c>
      <c r="CW88" s="36" t="s">
        <v>139</v>
      </c>
      <c r="CX88" s="36" t="s">
        <v>139</v>
      </c>
      <c r="CY88" s="36" t="s">
        <v>139</v>
      </c>
      <c r="CZ88" s="36" t="s">
        <v>139</v>
      </c>
      <c r="DA88" s="36" t="s">
        <v>139</v>
      </c>
      <c r="DB88" s="36" t="s">
        <v>139</v>
      </c>
      <c r="DC88" s="36" t="s">
        <v>139</v>
      </c>
      <c r="DD88" s="36" t="s">
        <v>139</v>
      </c>
      <c r="DE88" s="36" t="s">
        <v>139</v>
      </c>
      <c r="DF88" s="36" t="s">
        <v>139</v>
      </c>
      <c r="DG88" s="36" t="s">
        <v>139</v>
      </c>
      <c r="DH88" s="36" t="s">
        <v>139</v>
      </c>
      <c r="DI88" s="36" t="s">
        <v>139</v>
      </c>
      <c r="DJ88" s="36" t="s">
        <v>139</v>
      </c>
      <c r="DK88" s="36" t="s">
        <v>139</v>
      </c>
      <c r="DL88" s="36" t="s">
        <v>139</v>
      </c>
      <c r="DM88" s="36" t="s">
        <v>139</v>
      </c>
      <c r="DN88" s="36" t="s">
        <v>139</v>
      </c>
      <c r="DO88" s="36" t="s">
        <v>139</v>
      </c>
      <c r="DP88" s="36" t="s">
        <v>139</v>
      </c>
      <c r="DQ88" s="36" t="s">
        <v>139</v>
      </c>
      <c r="DR88" s="36" t="s">
        <v>139</v>
      </c>
      <c r="DS88" s="36" t="s">
        <v>139</v>
      </c>
      <c r="DT88" s="36" t="s">
        <v>139</v>
      </c>
      <c r="DU88" s="36" t="s">
        <v>139</v>
      </c>
      <c r="DV88" s="36" t="s">
        <v>139</v>
      </c>
      <c r="DW88" s="36" t="s">
        <v>139</v>
      </c>
      <c r="DX88" s="36" t="s">
        <v>139</v>
      </c>
      <c r="DY88" s="36" t="s">
        <v>139</v>
      </c>
      <c r="DZ88" s="36" t="s">
        <v>139</v>
      </c>
      <c r="EA88" s="36" t="s">
        <v>139</v>
      </c>
      <c r="EB88" s="36" t="s">
        <v>139</v>
      </c>
      <c r="EC88" s="36" t="s">
        <v>139</v>
      </c>
      <c r="ED88" s="36" t="s">
        <v>139</v>
      </c>
      <c r="EE88" s="36" t="s">
        <v>139</v>
      </c>
      <c r="EF88" s="36" t="s">
        <v>139</v>
      </c>
      <c r="EG88" s="36" t="s">
        <v>139</v>
      </c>
      <c r="EH88" s="36" t="s">
        <v>139</v>
      </c>
      <c r="EI88" s="36" t="s">
        <v>139</v>
      </c>
      <c r="EJ88" s="36" t="s">
        <v>139</v>
      </c>
      <c r="EK88" s="36" t="s">
        <v>139</v>
      </c>
      <c r="EL88" s="36" t="s">
        <v>139</v>
      </c>
      <c r="EM88" s="36" t="s">
        <v>139</v>
      </c>
      <c r="EN88" s="36" t="s">
        <v>139</v>
      </c>
      <c r="EO88" s="36" t="s">
        <v>139</v>
      </c>
      <c r="EP88" s="36" t="s">
        <v>139</v>
      </c>
      <c r="EQ88" s="36" t="s">
        <v>139</v>
      </c>
      <c r="ER88" s="36" t="s">
        <v>139</v>
      </c>
      <c r="ES88" s="36" t="s">
        <v>139</v>
      </c>
      <c r="ET88" s="36" t="s">
        <v>139</v>
      </c>
      <c r="EU88" s="36" t="s">
        <v>139</v>
      </c>
      <c r="EV88" s="36" t="s">
        <v>139</v>
      </c>
      <c r="EW88" s="36" t="s">
        <v>139</v>
      </c>
      <c r="EX88" s="36" t="s">
        <v>139</v>
      </c>
      <c r="EY88" s="36" t="s">
        <v>139</v>
      </c>
      <c r="EZ88" s="36" t="s">
        <v>139</v>
      </c>
      <c r="FA88" s="36" t="s">
        <v>139</v>
      </c>
      <c r="FB88" s="36" t="s">
        <v>139</v>
      </c>
      <c r="FC88" s="36" t="s">
        <v>139</v>
      </c>
      <c r="FD88" s="36" t="s">
        <v>139</v>
      </c>
      <c r="FE88" s="36" t="s">
        <v>139</v>
      </c>
      <c r="FF88" s="36" t="s">
        <v>139</v>
      </c>
      <c r="FG88" s="36" t="s">
        <v>139</v>
      </c>
      <c r="FH88" s="36" t="s">
        <v>139</v>
      </c>
      <c r="FI88" s="36" t="s">
        <v>139</v>
      </c>
      <c r="FJ88" s="36" t="s">
        <v>139</v>
      </c>
      <c r="FK88" s="36" t="s">
        <v>139</v>
      </c>
      <c r="FL88" s="36" t="s">
        <v>139</v>
      </c>
      <c r="FM88" s="36" t="s">
        <v>139</v>
      </c>
      <c r="FN88" s="36" t="s">
        <v>139</v>
      </c>
      <c r="FO88" s="36" t="s">
        <v>139</v>
      </c>
      <c r="FP88" s="36" t="s">
        <v>139</v>
      </c>
      <c r="FQ88" s="36" t="s">
        <v>139</v>
      </c>
      <c r="FR88" s="36" t="s">
        <v>139</v>
      </c>
      <c r="FS88" s="36" t="s">
        <v>139</v>
      </c>
      <c r="FT88" s="36" t="s">
        <v>139</v>
      </c>
      <c r="FU88" s="36" t="s">
        <v>139</v>
      </c>
      <c r="FV88" s="36" t="s">
        <v>139</v>
      </c>
      <c r="FW88" s="36" t="s">
        <v>139</v>
      </c>
      <c r="FX88" s="36" t="s">
        <v>139</v>
      </c>
      <c r="FY88" s="36" t="s">
        <v>139</v>
      </c>
      <c r="FZ88" s="36" t="s">
        <v>139</v>
      </c>
      <c r="GA88" s="36" t="s">
        <v>139</v>
      </c>
      <c r="GB88" s="36" t="s">
        <v>139</v>
      </c>
      <c r="GC88" s="36" t="s">
        <v>139</v>
      </c>
      <c r="GD88" s="36" t="s">
        <v>139</v>
      </c>
      <c r="GE88" s="36" t="s">
        <v>139</v>
      </c>
      <c r="GF88" s="36" t="s">
        <v>139</v>
      </c>
      <c r="GG88" s="36" t="s">
        <v>139</v>
      </c>
      <c r="GH88" s="36" t="s">
        <v>139</v>
      </c>
      <c r="GI88" s="36" t="s">
        <v>139</v>
      </c>
      <c r="GJ88" s="36" t="s">
        <v>139</v>
      </c>
      <c r="GK88" s="36" t="s">
        <v>139</v>
      </c>
      <c r="GL88" s="36" t="s">
        <v>139</v>
      </c>
      <c r="GM88" s="36" t="s">
        <v>139</v>
      </c>
      <c r="GN88" s="36" t="s">
        <v>139</v>
      </c>
      <c r="GO88" s="36" t="s">
        <v>139</v>
      </c>
      <c r="GP88" s="36" t="s">
        <v>139</v>
      </c>
      <c r="GQ88" s="36" t="s">
        <v>139</v>
      </c>
      <c r="GR88" s="36" t="s">
        <v>139</v>
      </c>
      <c r="GS88" s="36" t="s">
        <v>139</v>
      </c>
      <c r="GT88" s="36" t="s">
        <v>139</v>
      </c>
      <c r="GU88" s="36" t="s">
        <v>139</v>
      </c>
      <c r="GV88" s="36" t="s">
        <v>139</v>
      </c>
      <c r="GW88" s="36" t="s">
        <v>139</v>
      </c>
      <c r="GX88" s="36" t="s">
        <v>139</v>
      </c>
      <c r="GY88" s="36" t="s">
        <v>139</v>
      </c>
      <c r="GZ88" s="36" t="s">
        <v>139</v>
      </c>
      <c r="HA88" s="36" t="s">
        <v>139</v>
      </c>
      <c r="HB88" s="36" t="s">
        <v>139</v>
      </c>
      <c r="HC88" s="36" t="s">
        <v>139</v>
      </c>
      <c r="HD88" s="36" t="s">
        <v>139</v>
      </c>
      <c r="HE88" s="36" t="s">
        <v>139</v>
      </c>
      <c r="HF88" s="36" t="s">
        <v>139</v>
      </c>
      <c r="HG88" s="36" t="s">
        <v>139</v>
      </c>
      <c r="HH88" s="36" t="s">
        <v>139</v>
      </c>
      <c r="HI88" s="36" t="s">
        <v>139</v>
      </c>
      <c r="HJ88" s="36" t="s">
        <v>139</v>
      </c>
      <c r="HK88" s="36" t="s">
        <v>139</v>
      </c>
      <c r="HL88" s="36" t="s">
        <v>139</v>
      </c>
      <c r="HM88" s="36" t="s">
        <v>139</v>
      </c>
      <c r="HN88" s="36" t="s">
        <v>139</v>
      </c>
      <c r="HO88" s="36" t="s">
        <v>139</v>
      </c>
      <c r="HP88" s="36" t="s">
        <v>139</v>
      </c>
      <c r="HQ88" s="36" t="s">
        <v>139</v>
      </c>
      <c r="HR88" s="36" t="s">
        <v>139</v>
      </c>
      <c r="HS88" s="36" t="s">
        <v>139</v>
      </c>
      <c r="HT88" s="36" t="s">
        <v>139</v>
      </c>
      <c r="HU88" s="36" t="s">
        <v>139</v>
      </c>
      <c r="HV88" s="36" t="s">
        <v>139</v>
      </c>
      <c r="HW88" s="36" t="s">
        <v>139</v>
      </c>
      <c r="HX88" s="36" t="s">
        <v>139</v>
      </c>
      <c r="HY88" s="36" t="s">
        <v>139</v>
      </c>
      <c r="HZ88" s="36" t="s">
        <v>139</v>
      </c>
      <c r="IA88" s="36" t="s">
        <v>139</v>
      </c>
      <c r="IB88" s="36" t="s">
        <v>139</v>
      </c>
      <c r="IC88" s="36" t="s">
        <v>139</v>
      </c>
      <c r="ID88" s="36" t="s">
        <v>139</v>
      </c>
      <c r="IE88" s="36" t="s">
        <v>139</v>
      </c>
      <c r="IF88" s="36" t="s">
        <v>139</v>
      </c>
      <c r="IG88" s="36" t="s">
        <v>139</v>
      </c>
      <c r="IH88" s="36" t="s">
        <v>139</v>
      </c>
      <c r="II88" s="36" t="s">
        <v>139</v>
      </c>
      <c r="IJ88" s="36" t="s">
        <v>139</v>
      </c>
      <c r="IK88" s="36" t="s">
        <v>139</v>
      </c>
      <c r="IL88" s="36" t="s">
        <v>139</v>
      </c>
      <c r="IM88" s="36" t="s">
        <v>139</v>
      </c>
      <c r="IN88" s="36" t="s">
        <v>139</v>
      </c>
      <c r="IO88" s="36" t="s">
        <v>139</v>
      </c>
      <c r="IP88" s="36" t="s">
        <v>139</v>
      </c>
      <c r="IQ88" s="36" t="s">
        <v>139</v>
      </c>
      <c r="IR88" s="36" t="s">
        <v>139</v>
      </c>
      <c r="IS88" s="36" t="s">
        <v>139</v>
      </c>
      <c r="IT88" s="36" t="s">
        <v>139</v>
      </c>
      <c r="IU88" s="36" t="s">
        <v>139</v>
      </c>
      <c r="IV88" s="36" t="s">
        <v>139</v>
      </c>
      <c r="IW88" s="36" t="s">
        <v>139</v>
      </c>
      <c r="IX88" s="36" t="s">
        <v>139</v>
      </c>
      <c r="IY88" s="36" t="s">
        <v>139</v>
      </c>
      <c r="IZ88" s="36" t="s">
        <v>139</v>
      </c>
      <c r="JA88" s="36" t="s">
        <v>139</v>
      </c>
      <c r="JB88" s="36" t="s">
        <v>139</v>
      </c>
      <c r="JC88" s="36" t="s">
        <v>139</v>
      </c>
      <c r="JD88" s="36" t="s">
        <v>139</v>
      </c>
      <c r="JE88" s="36" t="s">
        <v>139</v>
      </c>
      <c r="JF88" s="36" t="s">
        <v>139</v>
      </c>
      <c r="JG88" s="36" t="s">
        <v>139</v>
      </c>
      <c r="JH88" s="36" t="s">
        <v>139</v>
      </c>
      <c r="JI88" s="36" t="s">
        <v>139</v>
      </c>
      <c r="JJ88" s="36" t="s">
        <v>139</v>
      </c>
      <c r="JK88" s="36" t="s">
        <v>139</v>
      </c>
      <c r="JL88" s="36" t="s">
        <v>139</v>
      </c>
      <c r="JM88" s="36" t="s">
        <v>139</v>
      </c>
      <c r="JN88" s="36" t="s">
        <v>139</v>
      </c>
      <c r="JO88" s="36" t="s">
        <v>139</v>
      </c>
      <c r="JP88" s="36" t="s">
        <v>139</v>
      </c>
      <c r="JQ88" s="36" t="s">
        <v>139</v>
      </c>
      <c r="JR88" s="36" t="s">
        <v>139</v>
      </c>
      <c r="JS88" s="36" t="s">
        <v>139</v>
      </c>
      <c r="JT88" s="36" t="s">
        <v>139</v>
      </c>
      <c r="JU88" s="36" t="s">
        <v>139</v>
      </c>
      <c r="JV88" s="36" t="s">
        <v>139</v>
      </c>
      <c r="JW88" s="36" t="s">
        <v>139</v>
      </c>
      <c r="JX88" s="36" t="s">
        <v>139</v>
      </c>
      <c r="JY88" s="36" t="s">
        <v>139</v>
      </c>
      <c r="JZ88" s="36" t="s">
        <v>139</v>
      </c>
      <c r="KA88" s="36" t="s">
        <v>139</v>
      </c>
      <c r="KB88" s="36" t="s">
        <v>139</v>
      </c>
      <c r="KC88" s="36" t="s">
        <v>139</v>
      </c>
      <c r="KD88" s="36" t="s">
        <v>139</v>
      </c>
      <c r="KE88" s="36" t="s">
        <v>139</v>
      </c>
      <c r="KF88" s="36" t="s">
        <v>139</v>
      </c>
      <c r="KG88" s="36" t="s">
        <v>139</v>
      </c>
      <c r="KH88" s="36" t="s">
        <v>139</v>
      </c>
      <c r="KI88" s="36" t="s">
        <v>139</v>
      </c>
      <c r="KJ88" s="36" t="s">
        <v>139</v>
      </c>
      <c r="KK88" s="36" t="s">
        <v>139</v>
      </c>
      <c r="KL88" s="36" t="s">
        <v>139</v>
      </c>
      <c r="KM88" s="36" t="s">
        <v>139</v>
      </c>
      <c r="KN88" s="36" t="s">
        <v>139</v>
      </c>
      <c r="KO88" s="36" t="s">
        <v>139</v>
      </c>
      <c r="KP88" s="36" t="s">
        <v>139</v>
      </c>
      <c r="KQ88" s="36" t="s">
        <v>139</v>
      </c>
      <c r="KR88" s="36" t="s">
        <v>139</v>
      </c>
      <c r="KS88" s="36" t="s">
        <v>139</v>
      </c>
      <c r="KT88" s="36" t="s">
        <v>139</v>
      </c>
      <c r="KU88" s="36" t="s">
        <v>139</v>
      </c>
      <c r="KV88" s="36" t="s">
        <v>139</v>
      </c>
      <c r="KW88" s="36" t="s">
        <v>139</v>
      </c>
      <c r="KX88" s="36" t="s">
        <v>139</v>
      </c>
      <c r="KY88" s="36" t="s">
        <v>139</v>
      </c>
      <c r="KZ88" s="36" t="s">
        <v>139</v>
      </c>
      <c r="LA88" s="36" t="s">
        <v>139</v>
      </c>
      <c r="LB88" s="36" t="s">
        <v>139</v>
      </c>
      <c r="LC88" s="36" t="s">
        <v>139</v>
      </c>
      <c r="LD88" s="36" t="s">
        <v>139</v>
      </c>
      <c r="LE88" s="36" t="s">
        <v>139</v>
      </c>
      <c r="LF88" s="36" t="s">
        <v>139</v>
      </c>
      <c r="LG88" s="36" t="s">
        <v>139</v>
      </c>
      <c r="LH88" s="36" t="s">
        <v>139</v>
      </c>
      <c r="LI88" s="36" t="s">
        <v>139</v>
      </c>
      <c r="LJ88" s="36" t="s">
        <v>139</v>
      </c>
      <c r="LK88" s="36" t="s">
        <v>139</v>
      </c>
      <c r="LL88" s="36" t="s">
        <v>139</v>
      </c>
      <c r="LM88" s="36" t="s">
        <v>139</v>
      </c>
      <c r="LN88" s="36" t="s">
        <v>139</v>
      </c>
      <c r="LO88" s="36" t="s">
        <v>139</v>
      </c>
      <c r="LP88" s="36" t="s">
        <v>139</v>
      </c>
      <c r="LQ88" s="36" t="s">
        <v>139</v>
      </c>
      <c r="LR88" s="36" t="s">
        <v>139</v>
      </c>
      <c r="LS88" s="36" t="s">
        <v>139</v>
      </c>
      <c r="LT88" s="36" t="s">
        <v>139</v>
      </c>
      <c r="LU88" s="36" t="s">
        <v>139</v>
      </c>
      <c r="LV88" s="36" t="s">
        <v>139</v>
      </c>
      <c r="LW88" s="36" t="s">
        <v>139</v>
      </c>
      <c r="LX88" s="36" t="s">
        <v>139</v>
      </c>
      <c r="LY88" s="36" t="s">
        <v>139</v>
      </c>
      <c r="LZ88" s="36" t="s">
        <v>139</v>
      </c>
      <c r="MA88" s="36" t="s">
        <v>139</v>
      </c>
      <c r="MB88" s="36" t="s">
        <v>139</v>
      </c>
      <c r="MC88" s="36" t="s">
        <v>139</v>
      </c>
      <c r="MD88" s="36" t="s">
        <v>139</v>
      </c>
      <c r="ME88" s="36" t="s">
        <v>139</v>
      </c>
      <c r="MF88" s="36" t="s">
        <v>139</v>
      </c>
      <c r="MG88" s="36" t="s">
        <v>139</v>
      </c>
      <c r="MH88" s="36" t="s">
        <v>139</v>
      </c>
      <c r="MI88" s="36" t="s">
        <v>139</v>
      </c>
      <c r="MJ88" s="36" t="s">
        <v>139</v>
      </c>
      <c r="MK88" s="36" t="s">
        <v>139</v>
      </c>
      <c r="ML88" s="36" t="s">
        <v>139</v>
      </c>
      <c r="MM88" s="36" t="s">
        <v>139</v>
      </c>
      <c r="MN88" s="36" t="s">
        <v>139</v>
      </c>
      <c r="MO88" s="36" t="s">
        <v>139</v>
      </c>
      <c r="MP88" s="36" t="s">
        <v>139</v>
      </c>
      <c r="MQ88" s="36" t="s">
        <v>139</v>
      </c>
      <c r="MR88" s="36" t="s">
        <v>139</v>
      </c>
      <c r="MS88" s="36" t="s">
        <v>139</v>
      </c>
      <c r="MT88" s="36" t="s">
        <v>139</v>
      </c>
      <c r="MU88" s="36" t="s">
        <v>139</v>
      </c>
      <c r="MV88" s="36" t="s">
        <v>139</v>
      </c>
      <c r="MW88" s="36" t="s">
        <v>139</v>
      </c>
      <c r="MX88" s="36" t="s">
        <v>139</v>
      </c>
      <c r="MY88" s="36" t="s">
        <v>139</v>
      </c>
      <c r="MZ88" s="36" t="s">
        <v>139</v>
      </c>
      <c r="NA88" s="36" t="s">
        <v>139</v>
      </c>
      <c r="NB88" s="36" t="s">
        <v>139</v>
      </c>
      <c r="NC88" s="36" t="s">
        <v>139</v>
      </c>
      <c r="ND88" s="36" t="s">
        <v>139</v>
      </c>
      <c r="NE88" s="36" t="s">
        <v>139</v>
      </c>
      <c r="NF88" s="36" t="s">
        <v>139</v>
      </c>
      <c r="NG88" s="36" t="s">
        <v>139</v>
      </c>
      <c r="NH88" s="36" t="s">
        <v>139</v>
      </c>
      <c r="NI88" s="36" t="s">
        <v>139</v>
      </c>
      <c r="NJ88" s="36" t="s">
        <v>139</v>
      </c>
      <c r="NK88" s="36" t="s">
        <v>139</v>
      </c>
      <c r="NL88" s="36" t="s">
        <v>139</v>
      </c>
      <c r="NM88" s="36" t="s">
        <v>139</v>
      </c>
      <c r="NN88" s="36" t="s">
        <v>139</v>
      </c>
      <c r="NO88" s="36" t="s">
        <v>139</v>
      </c>
      <c r="NP88" s="36" t="s">
        <v>139</v>
      </c>
      <c r="NQ88" s="36" t="s">
        <v>139</v>
      </c>
      <c r="NR88" s="36" t="s">
        <v>139</v>
      </c>
      <c r="NS88" s="36" t="s">
        <v>139</v>
      </c>
      <c r="NT88" s="36" t="s">
        <v>139</v>
      </c>
      <c r="NU88" s="36" t="s">
        <v>139</v>
      </c>
      <c r="NV88" s="36" t="s">
        <v>139</v>
      </c>
      <c r="NW88" s="36" t="s">
        <v>139</v>
      </c>
      <c r="NX88" s="36" t="s">
        <v>139</v>
      </c>
      <c r="NY88" s="36" t="s">
        <v>139</v>
      </c>
      <c r="NZ88" s="36" t="s">
        <v>139</v>
      </c>
      <c r="OA88" s="36" t="s">
        <v>139</v>
      </c>
      <c r="OB88" s="36" t="s">
        <v>139</v>
      </c>
      <c r="OC88" s="36" t="s">
        <v>139</v>
      </c>
      <c r="OD88" s="36" t="s">
        <v>139</v>
      </c>
      <c r="OE88" s="36" t="s">
        <v>139</v>
      </c>
      <c r="OF88" s="36" t="s">
        <v>139</v>
      </c>
      <c r="OG88" s="36" t="s">
        <v>139</v>
      </c>
      <c r="OH88" s="36" t="s">
        <v>139</v>
      </c>
      <c r="OI88" s="36" t="s">
        <v>139</v>
      </c>
      <c r="OJ88" s="36" t="s">
        <v>139</v>
      </c>
      <c r="OK88" s="36" t="s">
        <v>139</v>
      </c>
      <c r="OL88" s="36" t="s">
        <v>139</v>
      </c>
      <c r="OM88" s="36" t="s">
        <v>139</v>
      </c>
      <c r="ON88" s="36" t="s">
        <v>139</v>
      </c>
      <c r="OO88" s="36" t="s">
        <v>139</v>
      </c>
      <c r="OP88" s="36" t="s">
        <v>139</v>
      </c>
      <c r="OQ88" s="36" t="s">
        <v>139</v>
      </c>
      <c r="OR88" s="36" t="s">
        <v>139</v>
      </c>
      <c r="OS88" s="36" t="s">
        <v>139</v>
      </c>
      <c r="OT88" s="36" t="s">
        <v>139</v>
      </c>
      <c r="OU88" s="36" t="s">
        <v>139</v>
      </c>
      <c r="OV88" s="36" t="s">
        <v>139</v>
      </c>
      <c r="OW88" s="36" t="s">
        <v>139</v>
      </c>
      <c r="OX88" s="36" t="s">
        <v>139</v>
      </c>
      <c r="OY88" s="36" t="s">
        <v>139</v>
      </c>
      <c r="OZ88" s="36" t="s">
        <v>139</v>
      </c>
      <c r="PA88" s="36" t="s">
        <v>139</v>
      </c>
      <c r="PB88" s="36" t="s">
        <v>139</v>
      </c>
      <c r="PC88" s="36" t="s">
        <v>139</v>
      </c>
      <c r="PD88" s="36" t="s">
        <v>139</v>
      </c>
      <c r="PE88" s="36" t="s">
        <v>139</v>
      </c>
      <c r="PF88" s="36" t="s">
        <v>139</v>
      </c>
      <c r="PG88" s="36" t="s">
        <v>139</v>
      </c>
      <c r="PH88" s="36" t="s">
        <v>139</v>
      </c>
      <c r="PI88" s="36" t="s">
        <v>139</v>
      </c>
      <c r="PJ88" s="36" t="s">
        <v>139</v>
      </c>
      <c r="PK88" s="36" t="s">
        <v>139</v>
      </c>
      <c r="PL88" s="36" t="s">
        <v>139</v>
      </c>
      <c r="PM88" s="36" t="s">
        <v>139</v>
      </c>
      <c r="PN88" s="36" t="s">
        <v>139</v>
      </c>
      <c r="PO88" s="74">
        <f>COUNTIFS($C$27:$PN$27,("&lt;"&amp;$B$3),$C$27:$PN$27,("&gt;="&amp;$B$2),$C88:$PN88,TabAsistencias[[#Headers],[1]])</f>
        <v>30</v>
      </c>
      <c r="PP88" s="74">
        <f>COUNTIFS($C$27:$PN$27,("&lt;"&amp;$B$3),$C$27:$PN$27,("&gt;="&amp;$B$2),$C88:$PN88,TabAsistencias[[#Headers],[E]])</f>
        <v>0</v>
      </c>
      <c r="PQ88" s="74">
        <f>COUNTIFS($C$27:$PN$27,("&lt;"&amp;$B$3),$C$27:$PN$27,("&gt;="&amp;$B$2),$C88:$PN88,TabAsistencias[[#Headers],[DE]])</f>
        <v>0</v>
      </c>
      <c r="PR88" s="74">
        <f>COUNTIFS($C$27:$PN$27,("&lt;"&amp;$B$3),$C$27:$PN$27,("&gt;="&amp;$B$2),$C88:$PN88,TabAsistencias[[#Headers],[V]])</f>
        <v>0</v>
      </c>
      <c r="PS88" s="74">
        <f>COUNTIFS($C$27:$PN$27,("&lt;"&amp;$B$3),$C$27:$PN$27,("&gt;="&amp;$B$2),$C88:$PN88,TabAsistencias[[#Headers],[DO]])</f>
        <v>0</v>
      </c>
      <c r="PT88" s="74">
        <f>COUNTIFS($C$27:$PN$27,("&lt;"&amp;$B$3),$C$27:$PN$27,("&gt;="&amp;$B$2),$C88:$PN88,TabAsistencias[[#Headers],[P]])</f>
        <v>0</v>
      </c>
      <c r="PU88" s="74">
        <f>COUNTIFS($C$27:$PN$27,("&lt;"&amp;$B$3),$C$27:$PN$27,("&gt;="&amp;$B$2),$C88:$PN88,TabAsistencias[[#Headers],[F]])</f>
        <v>0</v>
      </c>
      <c r="PV88" s="74">
        <f>COUNTIFS($C$27:$PN$27,("&lt;"&amp;$B$3),$C$27:$PN$27,("&gt;="&amp;$B$2),$C88:$PN88,TabAsistencias[[#Headers],[R]])</f>
        <v>0</v>
      </c>
      <c r="PW88" s="74">
        <f>COUNTIFS($C$27:$PN$27,("&lt;"&amp;$B$3),$C$27:$PN$27,("&gt;="&amp;$B$2),$C88:$PN88,TabAsistencias[[#Headers],[PP]])</f>
        <v>0</v>
      </c>
      <c r="PX88" s="74">
        <f>COUNTIFS($C$27:$PN$27,("&lt;"&amp;$B$3),$C$27:$PN$27,("&gt;="&amp;$B$2),$C88:$PN88,TabAsistencias[[#Headers],[0]])</f>
        <v>0</v>
      </c>
      <c r="PY88" s="74">
        <f>COUNTIFS($C$27:$PN$27,("&lt;"&amp;$B$3),$C$27:$PN$27,("&gt;="&amp;$B$2),$C88:$PN88,TabAsistencias[[#Headers],[IG]])</f>
        <v>0</v>
      </c>
      <c r="PZ88" s="74">
        <f>COUNTIFS($C$27:$PN$27,("&lt;"&amp;$B$3),$C$27:$PN$27,("&gt;="&amp;$B$2),$C88:$PN88,TabAsistencias[[#Headers],[NA]])</f>
        <v>0</v>
      </c>
      <c r="QA88" s="74">
        <f>COUNTIFS($C$27:$PN$27,("&lt;"&amp;$B$3),$C$27:$PN$27,("&gt;="&amp;$B$2),$C88:$PN88,TabAsistencias[[#Headers],[DF]])</f>
        <v>0</v>
      </c>
      <c r="QB88" s="74">
        <f>COUNTIFS($C$27:$PN$27,("&lt;"&amp;$B$3),$C$27:$PN$27,("&gt;="&amp;$B$2),$C88:$PN88,TabAsistencias[[#Headers],[3]])</f>
        <v>0</v>
      </c>
      <c r="QC88" s="74">
        <f>COUNTIFS($C$27:$PN$27,("&lt;"&amp;$B$3),$C$27:$PN$27,("&gt;="&amp;$B$2),$C88:$PN88,TabAsistencias[[#Headers],[CP]])</f>
        <v>0</v>
      </c>
      <c r="QD88" s="74">
        <f>COUNTIFS($C$27:$PN$27,("&lt;"&amp;$B$3),$C$27:$PN$27,("&gt;="&amp;$B$2),$C88:$PN88,TabAsistencias[[#Headers],[I]])</f>
        <v>0</v>
      </c>
      <c r="QE88" s="74">
        <f>COUNTIFS($C$27:$PN$27,("&lt;"&amp;$B$3),$C$27:$PN$27,("&gt;="&amp;$B$2),$C88:$PN88,TabAsistencias[[#Headers],[T/2]])</f>
        <v>0</v>
      </c>
      <c r="QF88" s="74">
        <f>COUNTIFS($C$27:$PN$27,("&lt;"&amp;$B$3),$C$27:$PN$27,("&gt;="&amp;$B$2),$C88:$PN88,TabAsistencias[[#Headers],[ME]])</f>
        <v>0</v>
      </c>
      <c r="QG88" s="74">
        <f>COUNTIFS($C$27:$PN$27,("&lt;"&amp;$B$3),$C$27:$PN$27,("&gt;="&amp;$B$2),$C88:$PN88,TabAsistencias[[#Headers],[DP]])</f>
        <v>0</v>
      </c>
      <c r="QH88" s="74">
        <f>COUNTIFS($C$27:$PN$27,("&lt;"&amp;$B$3),$C$27:$PN$27,("&gt;="&amp;$B$2),$C88:$PN88,TabAsistencias[[#Headers],[B]])</f>
        <v>0</v>
      </c>
      <c r="QI88" s="74">
        <f>(TabAsistencias[[#This Row],[1]]*'Tablas de informacion'!$C$124)+(TabAsistencias[[#This Row],[E]]*'Tablas de informacion'!$C$125)+(TabAsistencias[[#This Row],[DE]]*'Tablas de informacion'!C$126)+(TabAsistencias[[#This Row],[V]]*'Tablas de informacion'!C$127)+(TabAsistencias[[#This Row],[DO]]*'Tablas de informacion'!C$128)+(TabAsistencias[[#This Row],[P]]*'Tablas de informacion'!C$129)+(TabAsistencias[[#This Row],[F]]*'Tablas de informacion'!C$130)+(TabAsistencias[[#This Row],[R]]*'Tablas de informacion'!C$131)+(TabAsistencias[[#This Row],[PP]]*'Tablas de informacion'!C$132)+(TabAsistencias[[#This Row],[0]]*'Tablas de informacion'!C$133)+(TabAsistencias[[#This Row],[IG]]*'Tablas de informacion'!C$134)+(TabAsistencias[[#This Row],[NA]]*'Tablas de informacion'!C$135)+(TabAsistencias[[#This Row],[DF]]*'Tablas de informacion'!C$136)+(TabAsistencias[[#This Row],[3]]*'Tablas de informacion'!C$137)+(TabAsistencias[[#This Row],[CP]]*'Tablas de informacion'!C$138)+(TabAsistencias[[#This Row],[I]]*'Tablas de informacion'!C$139)+(TabAsistencias[[#This Row],[T/2]]*'Tablas de informacion'!C$140)+(TabAsistencias[[#This Row],[ME]]*'Tablas de informacion'!C$141)+(TabAsistencias[[#This Row],[DP]]*'Tablas de informacion'!C$142)+(TabAsistencias[[#This Row],[B]]*'Tablas de informacion'!C$143)-INT(TabAsistencias[[#This Row],[R]]/3)</f>
        <v>30</v>
      </c>
      <c r="QJ88" s="74">
        <f>COUNTIFS($C$27:$PN$27,("&lt;"&amp;$B$3),$C$27:$PN$27,("&gt;="&amp;$B$2),$C$28:$PN$28,1,$C88:$PN88,TabAsistencias[[#Headers],[1]])+
COUNTIFS($C$27:$PN$27,("&lt;"&amp;$B$3),$C$27:$PN$27,("&gt;="&amp;$B$2),$C$28:$PN$28,1,$C88:$PN88,TabAsistencias[[#Headers],[DO]])+
COUNTIFS($C$27:$PN$27,("&lt;"&amp;$B$3),$C$27:$PN$27,("&gt;="&amp;$B$2),$C$28:$PN$28,1,$C88:$PN88,TabAsistencias[[#Headers],[R]])+
COUNTIFS($C$27:$PN$27,("&lt;"&amp;$B$3),$C$27:$PN$27,("&gt;="&amp;$B$2),$C$28:$PN$28,1,$C88:$PN88,TabAsistencias[[#Headers],[NA]])+
COUNTIFS($C$27:$PN$27,("&lt;"&amp;$B$3),$C$27:$PN$27,("&gt;="&amp;$B$2),$C$28:$PN$28,1,$C88:$PN88,TabAsistencias[[#Headers],[DF]])+
COUNTIFS($C$27:$PN$27,("&lt;"&amp;$B$3),$C$27:$PN$27,("&gt;="&amp;$B$2),$C$28:$PN$28,1,$C88:$PN88,TabAsistencias[[#Headers],[3]])+
COUNTIFS($C$27:$PN$27,("&lt;"&amp;$B$3),$C$27:$PN$27,("&gt;="&amp;$B$2),$C$28:$PN$28,1,$C88:$PN88,TabAsistencias[[#Headers],[CP]])+
COUNTIFS($C$27:$PN$27,("&lt;"&amp;$B$3),$C$27:$PN$27,("&gt;="&amp;$B$2),$C$28:$PN$28,1,$C88:$PN88,TabAsistencias[[#Headers],[T/2]])</f>
        <v>4</v>
      </c>
      <c r="QK88" s="315" cm="1">
        <f t="array" ref="QK88">IFERROR(VLOOKUP(
DATEDIF((VLOOKUP(TabAsistencias[[#This Row],[ID]],TabEmpleados[],COLUMN(TabEmpleados[Fecha de ingreso]),FALSE)),Asistencias!$B$3,"Y"),
TabFactorIntegracion[],COLUMN(TabFactorIntegracion[Días vacacionales
establecidos por ley]),FALSE),0)
-
COUNTIF($AH88:$PN88,TabAsistencias[[#Headers],[V]])</f>
        <v>12</v>
      </c>
      <c r="QL88" s="319">
        <f>SUM(TabAsistencias[[#This Row],[''1]],TabAsistencias[[#This Row],[''DE]],TabAsistencias[[#This Row],[''DO]],TabAsistencias[[#This Row],[''R]],TabAsistencias[[#This Row],[''NA]],TabAsistencias[[#This Row],[''DF]],TabAsistencias[[#This Row],[''3]],TabAsistencias[[#This Row],[''CP]],TabAsistencias[[#This Row],[''T/2]],TabAsistencias[[#This Row],[''DP]])</f>
        <v>73</v>
      </c>
      <c r="QM88" s="314">
        <f>COUNTIFS($C$27:$PN$27,("&lt;"&amp;$B$5),$C$27:$PN$27,("&gt;="&amp;$B$4),$C88:$PN88,TabAsistencias[[#Headers],[1]])</f>
        <v>73</v>
      </c>
      <c r="QN88" s="314">
        <f>COUNTIFS($C$27:$PN$27,("&lt;"&amp;$B$5),$C$27:$PN$27,("&gt;="&amp;$B$4),$C88:$PN88,TabAsistencias[[#Headers],[DE]])</f>
        <v>0</v>
      </c>
      <c r="QO88" s="314">
        <f>COUNTIFS($C$27:$PN$27,("&lt;"&amp;$B$5),$C$27:$PN$27,("&gt;="&amp;$B$4),$C88:$PN88,TabAsistencias[[#Headers],[V]])</f>
        <v>0</v>
      </c>
      <c r="QP88" s="314">
        <f>COUNTIFS($C$27:$PN$27,("&lt;"&amp;$B$5),$C$27:$PN$27,("&gt;="&amp;$B$4),$C88:$PN88,TabAsistencias[[#Headers],[DO]])</f>
        <v>0</v>
      </c>
      <c r="QQ88" s="314">
        <f>COUNTIFS($C$27:$PN$27,("&lt;"&amp;$B$5),$C$27:$PN$27,("&gt;="&amp;$B$4),$C88:$PN88,TabAsistencias[[#Headers],[P]])</f>
        <v>0</v>
      </c>
      <c r="QR88" s="314">
        <f>COUNTIFS($C$27:$PN$27,("&lt;"&amp;$B$5),$C$27:$PN$27,("&gt;="&amp;$B$4),$C88:$PN88,TabAsistencias[[#Headers],[F]])</f>
        <v>0</v>
      </c>
      <c r="QS88" s="314">
        <f>COUNTIFS($C$27:$PN$27,("&lt;"&amp;$B$5),$C$27:$PN$27,("&gt;="&amp;$B$4),$C88:$PN88,TabAsistencias[[#Headers],[R]])</f>
        <v>0</v>
      </c>
      <c r="QT88" s="314">
        <f>COUNTIFS($C$27:$PN$27,("&lt;"&amp;$B$5),$C$27:$PN$27,("&gt;="&amp;$B$4),$C88:$PN88,TabAsistencias[[#Headers],[PP]])</f>
        <v>0</v>
      </c>
      <c r="QU88" s="314">
        <f>COUNTIFS($C$27:$PN$27,("&lt;"&amp;$B$5),$C$27:$PN$27,("&gt;="&amp;$B$4),$C88:$PN88,TabAsistencias[[#Headers],[0]])</f>
        <v>0</v>
      </c>
      <c r="QV88" s="314">
        <f>COUNTIFS($C$27:$PN$27,("&lt;"&amp;$B$5),$C$27:$PN$27,("&gt;="&amp;$B$4),$C88:$PN88,TabAsistencias[[#Headers],[IG]])</f>
        <v>0</v>
      </c>
      <c r="QW88" s="314">
        <f>COUNTIFS($C$27:$PN$27,("&lt;"&amp;$B$5),$C$27:$PN$27,("&gt;="&amp;$B$4),$C88:$PN88,TabAsistencias[[#Headers],[NA]])</f>
        <v>0</v>
      </c>
      <c r="QX88" s="314">
        <f>COUNTIFS($C$27:$PN$27,("&lt;"&amp;$B$5),$C$27:$PN$27,("&gt;="&amp;$B$4),$C88:$PN88,TabAsistencias[[#Headers],[DF]])</f>
        <v>0</v>
      </c>
      <c r="QY88" s="314">
        <f>COUNTIFS($C$27:$PN$27,("&lt;"&amp;$B$5),$C$27:$PN$27,("&gt;="&amp;$B$4),$C88:$PN88,TabAsistencias[[#Headers],[3]])</f>
        <v>0</v>
      </c>
      <c r="QZ88" s="314">
        <f>COUNTIFS($C$27:$PN$27,("&lt;"&amp;$B$5),$C$27:$PN$27,("&gt;="&amp;$B$4),$C88:$PN88,TabAsistencias[[#Headers],[CP]])</f>
        <v>0</v>
      </c>
      <c r="RA88" s="314">
        <f>COUNTIFS($C$27:$PN$27,("&lt;"&amp;$B$5),$C$27:$PN$27,("&gt;="&amp;$B$4),$C88:$PN88,TabAsistencias[[#Headers],[I]])</f>
        <v>0</v>
      </c>
      <c r="RB88" s="314">
        <f>COUNTIFS($C$27:$PN$27,("&lt;"&amp;$B$5),$C$27:$PN$27,("&gt;="&amp;$B$4),$C88:$PN88,TabAsistencias[[#Headers],[T/2]])</f>
        <v>0</v>
      </c>
      <c r="RC88" s="314">
        <f>COUNTIFS($C$27:$PN$27,("&lt;"&amp;$B$5),$C$27:$PN$27,("&gt;="&amp;$B$4),$C88:$PN88,TabAsistencias[[#Headers],[ME]])</f>
        <v>0</v>
      </c>
      <c r="RD88" s="314">
        <f>COUNTIFS($C$27:$PN$27,("&lt;"&amp;$B$5),$C$27:$PN$27,("&gt;="&amp;$B$4),$C88:$PN88,TabAsistencias[[#Headers],[DP]])</f>
        <v>0</v>
      </c>
      <c r="RE88" s="314">
        <f>COUNTIFS($C$27:$PN$27,("&lt;"&amp;$B$5),$C$27:$PN$27,("&gt;="&amp;$B$4),$C88:$PN88,TabAsistencias[[#Headers],[B]])</f>
        <v>0</v>
      </c>
      <c r="RF88" s="314">
        <f>COUNTIFS($C$27:$PN$27,("&lt;"&amp;$B$5),$C$27:$PN$27,("&gt;="&amp;$B$4),$C$28:$PN$28,1,$C88:$PN88,TabAsistencias[[#Headers],[1]])+
COUNTIFS($C$27:$PN$27,("&lt;"&amp;$B$5),$C$27:$PN$27,("&gt;="&amp;$B$4),$C$28:$PN$28,1,$C88:$PN88,TabAsistencias[[#Headers],[DO]])+
COUNTIFS($C$27:$PN$27,("&lt;"&amp;$B$5),$C$27:$PN$27,("&gt;="&amp;$B$4),$C$28:$PN$28,1,$C88:$PN88,TabAsistencias[[#Headers],[R]])+
COUNTIFS($C$27:$PN$27,("&lt;"&amp;$B$5),$C$27:$PN$27,("&gt;="&amp;$B$4),$C$28:$PN$28,1,$C88:$PN88,TabAsistencias[[#Headers],[NA]])+
COUNTIFS($C$27:$PN$27,("&lt;"&amp;$B$5),$C$27:$PN$27,("&gt;="&amp;$B$4),$C$28:$PN$28,1,$C88:$PN88,TabAsistencias[[#Headers],[DF]])+
COUNTIFS($C$27:$PN$27,("&lt;"&amp;$B$5),$C$27:$PN$27,("&gt;="&amp;$B$4),$C$28:$PN$28,1,$C88:$PN88,TabAsistencias[[#Headers],[3]])+
COUNTIFS($C$27:$PN$27,("&lt;"&amp;$B$5),$C$27:$PN$27,("&gt;="&amp;$B$4),$C$28:$PN$28,1,$C88:$PN88,TabAsistencias[[#Headers],[CP]])+
COUNTIFS($C$27:$PN$27,("&lt;"&amp;$B$5),$C$27:$PN$27,("&gt;="&amp;$B$4),$C$28:$PN$28,1,$C88:$PN88,TabAsistencias[[#Headers],[T/2]])</f>
        <v>11</v>
      </c>
      <c r="RG88" s="320" cm="1">
        <f t="array" ref="RG88">IFERROR(VLOOKUP(
DATEDIF((VLOOKUP(TabAsistencias[[#This Row],[ID]],TabEmpleados[],COLUMN(TabEmpleados[Fecha de alta NSS]),FALSE)),Asistencias!$B$3,"Y"),
TabFactorIntegracion[],COLUMN(TabFactorIntegracion[Días vacacionales
establecidos por ley]),FALSE),0)
-
COUNTIF($AH88:$PN88,TabAsistencias[[#Headers],[V]])</f>
        <v>12</v>
      </c>
    </row>
    <row r="89" spans="1:475" x14ac:dyDescent="0.25">
      <c r="A89" s="92">
        <f t="shared" si="434"/>
        <v>59</v>
      </c>
      <c r="B89" s="30" t="str" cm="1">
        <f t="array" ref="B89">VLOOKUP(TabAsistencias[[#This Row],[ID]],TabEmpleados[],COLUMN(TabEmpleados[Nombre]),FALSE)</f>
        <v>SOLIS HERNANDEZ JAVIER</v>
      </c>
      <c r="C89" s="36" t="s">
        <v>139</v>
      </c>
      <c r="D89" s="36" t="s">
        <v>139</v>
      </c>
      <c r="E89" s="36" t="s">
        <v>139</v>
      </c>
      <c r="F89" s="36" t="s">
        <v>139</v>
      </c>
      <c r="G89" s="36" t="s">
        <v>139</v>
      </c>
      <c r="H89" s="36" t="s">
        <v>139</v>
      </c>
      <c r="I89" s="36" t="s">
        <v>139</v>
      </c>
      <c r="J89" s="36" t="s">
        <v>139</v>
      </c>
      <c r="K89" s="36" t="s">
        <v>139</v>
      </c>
      <c r="L89" s="36" t="s">
        <v>139</v>
      </c>
      <c r="M89" s="36" t="s">
        <v>139</v>
      </c>
      <c r="N89" s="36" t="s">
        <v>139</v>
      </c>
      <c r="O89" s="36" t="s">
        <v>139</v>
      </c>
      <c r="P89" s="36" t="s">
        <v>139</v>
      </c>
      <c r="Q89" s="36" t="s">
        <v>139</v>
      </c>
      <c r="R89" s="36" t="s">
        <v>139</v>
      </c>
      <c r="S89" s="36" t="s">
        <v>139</v>
      </c>
      <c r="T89" s="36" t="s">
        <v>139</v>
      </c>
      <c r="U89" s="36" t="s">
        <v>139</v>
      </c>
      <c r="V89" s="36" t="s">
        <v>139</v>
      </c>
      <c r="W89" s="36" t="s">
        <v>139</v>
      </c>
      <c r="X89" s="36" t="s">
        <v>139</v>
      </c>
      <c r="Y89" s="36" t="s">
        <v>139</v>
      </c>
      <c r="Z89" s="36" t="s">
        <v>139</v>
      </c>
      <c r="AA89" s="36" t="s">
        <v>139</v>
      </c>
      <c r="AB89" s="36" t="s">
        <v>139</v>
      </c>
      <c r="AC89" s="36" t="s">
        <v>139</v>
      </c>
      <c r="AD89" s="36" t="s">
        <v>139</v>
      </c>
      <c r="AE89" s="36" t="s">
        <v>139</v>
      </c>
      <c r="AF89" s="36" t="s">
        <v>139</v>
      </c>
      <c r="AG89" s="36" t="s">
        <v>139</v>
      </c>
      <c r="AH89" s="36" t="s">
        <v>139</v>
      </c>
      <c r="AI89" s="36" t="s">
        <v>139</v>
      </c>
      <c r="AJ89" s="36" t="s">
        <v>139</v>
      </c>
      <c r="AK89" s="36" t="s">
        <v>139</v>
      </c>
      <c r="AL89" s="36" t="s">
        <v>139</v>
      </c>
      <c r="AM89" s="36" t="s">
        <v>139</v>
      </c>
      <c r="AN89" s="36" t="s">
        <v>139</v>
      </c>
      <c r="AO89" s="36" t="s">
        <v>139</v>
      </c>
      <c r="AP89" s="36" t="s">
        <v>139</v>
      </c>
      <c r="AQ89" s="36" t="s">
        <v>139</v>
      </c>
      <c r="AR89" s="36" t="s">
        <v>139</v>
      </c>
      <c r="AS89" s="36" t="s">
        <v>139</v>
      </c>
      <c r="AT89" s="36" t="s">
        <v>139</v>
      </c>
      <c r="AU89" s="36" t="s">
        <v>139</v>
      </c>
      <c r="AV89" s="36" t="s">
        <v>139</v>
      </c>
      <c r="AW89" s="36" t="s">
        <v>139</v>
      </c>
      <c r="AX89" s="36" t="s">
        <v>139</v>
      </c>
      <c r="AY89" s="36" t="s">
        <v>139</v>
      </c>
      <c r="AZ89" s="36" t="s">
        <v>139</v>
      </c>
      <c r="BA89" s="36" t="s">
        <v>139</v>
      </c>
      <c r="BB89" s="36" t="s">
        <v>139</v>
      </c>
      <c r="BC89" s="36" t="s">
        <v>139</v>
      </c>
      <c r="BD89" s="36" t="s">
        <v>139</v>
      </c>
      <c r="BE89" s="36" t="s">
        <v>139</v>
      </c>
      <c r="BF89" s="36" t="s">
        <v>139</v>
      </c>
      <c r="BG89" s="36" t="s">
        <v>139</v>
      </c>
      <c r="BH89" s="36" t="s">
        <v>139</v>
      </c>
      <c r="BI89" s="36" t="s">
        <v>139</v>
      </c>
      <c r="BJ89" s="36" t="s">
        <v>139</v>
      </c>
      <c r="BK89" s="36" t="s">
        <v>139</v>
      </c>
      <c r="BL89" s="36" t="s">
        <v>139</v>
      </c>
      <c r="BM89" s="36" t="s">
        <v>139</v>
      </c>
      <c r="BN89" s="36" t="s">
        <v>139</v>
      </c>
      <c r="BO89" s="36" t="s">
        <v>139</v>
      </c>
      <c r="BP89" s="36" t="s">
        <v>139</v>
      </c>
      <c r="BQ89" s="36" t="s">
        <v>139</v>
      </c>
      <c r="BR89" s="36" t="s">
        <v>139</v>
      </c>
      <c r="BS89" s="36" t="s">
        <v>139</v>
      </c>
      <c r="BT89" s="36" t="s">
        <v>139</v>
      </c>
      <c r="BU89" s="36" t="s">
        <v>139</v>
      </c>
      <c r="BV89" s="36" t="s">
        <v>139</v>
      </c>
      <c r="BW89" s="36" t="s">
        <v>139</v>
      </c>
      <c r="BX89" s="36" t="s">
        <v>139</v>
      </c>
      <c r="BY89" s="36" t="s">
        <v>139</v>
      </c>
      <c r="BZ89" s="36" t="s">
        <v>139</v>
      </c>
      <c r="CA89" s="36" t="s">
        <v>139</v>
      </c>
      <c r="CB89" s="36" t="s">
        <v>139</v>
      </c>
      <c r="CC89" s="36" t="s">
        <v>139</v>
      </c>
      <c r="CD89" s="36" t="s">
        <v>139</v>
      </c>
      <c r="CE89" s="36" t="s">
        <v>139</v>
      </c>
      <c r="CF89" s="36" t="s">
        <v>139</v>
      </c>
      <c r="CG89" s="36" t="s">
        <v>139</v>
      </c>
      <c r="CH89" s="36" t="s">
        <v>139</v>
      </c>
      <c r="CI89" s="36" t="s">
        <v>139</v>
      </c>
      <c r="CJ89" s="36" t="s">
        <v>139</v>
      </c>
      <c r="CK89" s="36" t="s">
        <v>139</v>
      </c>
      <c r="CL89" s="36" t="s">
        <v>139</v>
      </c>
      <c r="CM89" s="36" t="s">
        <v>139</v>
      </c>
      <c r="CN89" s="36" t="s">
        <v>139</v>
      </c>
      <c r="CO89" s="36" t="s">
        <v>139</v>
      </c>
      <c r="CP89" s="36" t="s">
        <v>139</v>
      </c>
      <c r="CQ89" s="36" t="s">
        <v>139</v>
      </c>
      <c r="CR89" s="36" t="s">
        <v>139</v>
      </c>
      <c r="CS89" s="36" t="s">
        <v>139</v>
      </c>
      <c r="CT89" s="36" t="s">
        <v>139</v>
      </c>
      <c r="CU89" s="36" t="s">
        <v>139</v>
      </c>
      <c r="CV89" s="36" t="s">
        <v>139</v>
      </c>
      <c r="CW89" s="36" t="s">
        <v>139</v>
      </c>
      <c r="CX89" s="36" t="s">
        <v>139</v>
      </c>
      <c r="CY89" s="36" t="s">
        <v>139</v>
      </c>
      <c r="CZ89" s="36" t="s">
        <v>139</v>
      </c>
      <c r="DA89" s="36" t="s">
        <v>139</v>
      </c>
      <c r="DB89" s="36" t="s">
        <v>139</v>
      </c>
      <c r="DC89" s="36" t="s">
        <v>139</v>
      </c>
      <c r="DD89" s="36" t="s">
        <v>139</v>
      </c>
      <c r="DE89" s="36" t="s">
        <v>139</v>
      </c>
      <c r="DF89" s="36" t="s">
        <v>139</v>
      </c>
      <c r="DG89" s="36" t="s">
        <v>139</v>
      </c>
      <c r="DH89" s="36" t="s">
        <v>139</v>
      </c>
      <c r="DI89" s="36" t="s">
        <v>139</v>
      </c>
      <c r="DJ89" s="36" t="s">
        <v>139</v>
      </c>
      <c r="DK89" s="36" t="s">
        <v>139</v>
      </c>
      <c r="DL89" s="36" t="s">
        <v>139</v>
      </c>
      <c r="DM89" s="36" t="s">
        <v>139</v>
      </c>
      <c r="DN89" s="36" t="s">
        <v>139</v>
      </c>
      <c r="DO89" s="36" t="s">
        <v>139</v>
      </c>
      <c r="DP89" s="36" t="s">
        <v>139</v>
      </c>
      <c r="DQ89" s="36" t="s">
        <v>139</v>
      </c>
      <c r="DR89" s="36" t="s">
        <v>139</v>
      </c>
      <c r="DS89" s="36" t="s">
        <v>139</v>
      </c>
      <c r="DT89" s="36" t="s">
        <v>139</v>
      </c>
      <c r="DU89" s="36" t="s">
        <v>139</v>
      </c>
      <c r="DV89" s="36" t="s">
        <v>139</v>
      </c>
      <c r="DW89" s="36" t="s">
        <v>139</v>
      </c>
      <c r="DX89" s="36" t="s">
        <v>139</v>
      </c>
      <c r="DY89" s="36" t="s">
        <v>139</v>
      </c>
      <c r="DZ89" s="36" t="s">
        <v>139</v>
      </c>
      <c r="EA89" s="36" t="s">
        <v>139</v>
      </c>
      <c r="EB89" s="36" t="s">
        <v>139</v>
      </c>
      <c r="EC89" s="36" t="s">
        <v>139</v>
      </c>
      <c r="ED89" s="36" t="s">
        <v>139</v>
      </c>
      <c r="EE89" s="36" t="s">
        <v>139</v>
      </c>
      <c r="EF89" s="36" t="s">
        <v>139</v>
      </c>
      <c r="EG89" s="36" t="s">
        <v>139</v>
      </c>
      <c r="EH89" s="36" t="s">
        <v>139</v>
      </c>
      <c r="EI89" s="36" t="s">
        <v>139</v>
      </c>
      <c r="EJ89" s="36" t="s">
        <v>139</v>
      </c>
      <c r="EK89" s="36" t="s">
        <v>139</v>
      </c>
      <c r="EL89" s="36" t="s">
        <v>139</v>
      </c>
      <c r="EM89" s="36" t="s">
        <v>139</v>
      </c>
      <c r="EN89" s="36" t="s">
        <v>139</v>
      </c>
      <c r="EO89" s="36" t="s">
        <v>139</v>
      </c>
      <c r="EP89" s="36" t="s">
        <v>139</v>
      </c>
      <c r="EQ89" s="36" t="s">
        <v>139</v>
      </c>
      <c r="ER89" s="36" t="s">
        <v>139</v>
      </c>
      <c r="ES89" s="36" t="s">
        <v>139</v>
      </c>
      <c r="ET89" s="36" t="s">
        <v>139</v>
      </c>
      <c r="EU89" s="36" t="s">
        <v>139</v>
      </c>
      <c r="EV89" s="36" t="s">
        <v>139</v>
      </c>
      <c r="EW89" s="36" t="s">
        <v>139</v>
      </c>
      <c r="EX89" s="36" t="s">
        <v>139</v>
      </c>
      <c r="EY89" s="36" t="s">
        <v>139</v>
      </c>
      <c r="EZ89" s="36" t="s">
        <v>139</v>
      </c>
      <c r="FA89" s="36" t="s">
        <v>139</v>
      </c>
      <c r="FB89" s="36" t="s">
        <v>139</v>
      </c>
      <c r="FC89" s="36" t="s">
        <v>139</v>
      </c>
      <c r="FD89" s="36" t="s">
        <v>139</v>
      </c>
      <c r="FE89" s="36" t="s">
        <v>139</v>
      </c>
      <c r="FF89" s="36" t="s">
        <v>139</v>
      </c>
      <c r="FG89" s="36" t="s">
        <v>139</v>
      </c>
      <c r="FH89" s="36" t="s">
        <v>139</v>
      </c>
      <c r="FI89" s="36" t="s">
        <v>139</v>
      </c>
      <c r="FJ89" s="36" t="s">
        <v>139</v>
      </c>
      <c r="FK89" s="36" t="s">
        <v>139</v>
      </c>
      <c r="FL89" s="36" t="s">
        <v>139</v>
      </c>
      <c r="FM89" s="36" t="s">
        <v>139</v>
      </c>
      <c r="FN89" s="36" t="s">
        <v>139</v>
      </c>
      <c r="FO89" s="36" t="s">
        <v>139</v>
      </c>
      <c r="FP89" s="36" t="s">
        <v>139</v>
      </c>
      <c r="FQ89" s="36" t="s">
        <v>139</v>
      </c>
      <c r="FR89" s="36" t="s">
        <v>139</v>
      </c>
      <c r="FS89" s="36" t="s">
        <v>139</v>
      </c>
      <c r="FT89" s="36" t="s">
        <v>139</v>
      </c>
      <c r="FU89" s="36" t="s">
        <v>139</v>
      </c>
      <c r="FV89" s="36" t="s">
        <v>139</v>
      </c>
      <c r="FW89" s="36" t="s">
        <v>139</v>
      </c>
      <c r="FX89" s="36" t="s">
        <v>139</v>
      </c>
      <c r="FY89" s="36" t="s">
        <v>139</v>
      </c>
      <c r="FZ89" s="36" t="s">
        <v>139</v>
      </c>
      <c r="GA89" s="36" t="s">
        <v>139</v>
      </c>
      <c r="GB89" s="36" t="s">
        <v>139</v>
      </c>
      <c r="GC89" s="36" t="s">
        <v>139</v>
      </c>
      <c r="GD89" s="36" t="s">
        <v>139</v>
      </c>
      <c r="GE89" s="36" t="s">
        <v>139</v>
      </c>
      <c r="GF89" s="36" t="s">
        <v>139</v>
      </c>
      <c r="GG89" s="36" t="s">
        <v>139</v>
      </c>
      <c r="GH89" s="36" t="s">
        <v>139</v>
      </c>
      <c r="GI89" s="36" t="s">
        <v>139</v>
      </c>
      <c r="GJ89" s="36" t="s">
        <v>139</v>
      </c>
      <c r="GK89" s="36" t="s">
        <v>139</v>
      </c>
      <c r="GL89" s="36" t="s">
        <v>139</v>
      </c>
      <c r="GM89" s="36" t="s">
        <v>139</v>
      </c>
      <c r="GN89" s="36" t="s">
        <v>139</v>
      </c>
      <c r="GO89" s="36" t="s">
        <v>139</v>
      </c>
      <c r="GP89" s="36" t="s">
        <v>139</v>
      </c>
      <c r="GQ89" s="36" t="s">
        <v>139</v>
      </c>
      <c r="GR89" s="36" t="s">
        <v>139</v>
      </c>
      <c r="GS89" s="36" t="s">
        <v>139</v>
      </c>
      <c r="GT89" s="36" t="s">
        <v>139</v>
      </c>
      <c r="GU89" s="36" t="s">
        <v>139</v>
      </c>
      <c r="GV89" s="36" t="s">
        <v>139</v>
      </c>
      <c r="GW89" s="36" t="s">
        <v>139</v>
      </c>
      <c r="GX89" s="36" t="s">
        <v>139</v>
      </c>
      <c r="GY89" s="36" t="s">
        <v>139</v>
      </c>
      <c r="GZ89" s="36" t="s">
        <v>139</v>
      </c>
      <c r="HA89" s="36" t="s">
        <v>139</v>
      </c>
      <c r="HB89" s="36" t="s">
        <v>139</v>
      </c>
      <c r="HC89" s="36" t="s">
        <v>139</v>
      </c>
      <c r="HD89" s="36" t="s">
        <v>139</v>
      </c>
      <c r="HE89" s="36" t="s">
        <v>139</v>
      </c>
      <c r="HF89" s="36" t="s">
        <v>139</v>
      </c>
      <c r="HG89" s="36" t="s">
        <v>139</v>
      </c>
      <c r="HH89" s="36" t="s">
        <v>139</v>
      </c>
      <c r="HI89" s="36" t="s">
        <v>139</v>
      </c>
      <c r="HJ89" s="36" t="s">
        <v>139</v>
      </c>
      <c r="HK89" s="36" t="s">
        <v>139</v>
      </c>
      <c r="HL89" s="36" t="s">
        <v>139</v>
      </c>
      <c r="HM89" s="36" t="s">
        <v>139</v>
      </c>
      <c r="HN89" s="36" t="s">
        <v>139</v>
      </c>
      <c r="HO89" s="36" t="s">
        <v>139</v>
      </c>
      <c r="HP89" s="36" t="s">
        <v>139</v>
      </c>
      <c r="HQ89" s="36" t="s">
        <v>139</v>
      </c>
      <c r="HR89" s="36" t="s">
        <v>139</v>
      </c>
      <c r="HS89" s="36" t="s">
        <v>139</v>
      </c>
      <c r="HT89" s="36" t="s">
        <v>139</v>
      </c>
      <c r="HU89" s="36" t="s">
        <v>139</v>
      </c>
      <c r="HV89" s="36" t="s">
        <v>139</v>
      </c>
      <c r="HW89" s="36" t="s">
        <v>139</v>
      </c>
      <c r="HX89" s="36" t="s">
        <v>139</v>
      </c>
      <c r="HY89" s="36" t="s">
        <v>139</v>
      </c>
      <c r="HZ89" s="36" t="s">
        <v>139</v>
      </c>
      <c r="IA89" s="36" t="s">
        <v>139</v>
      </c>
      <c r="IB89" s="36" t="s">
        <v>139</v>
      </c>
      <c r="IC89" s="36" t="s">
        <v>139</v>
      </c>
      <c r="ID89" s="36" t="s">
        <v>139</v>
      </c>
      <c r="IE89" s="36" t="s">
        <v>139</v>
      </c>
      <c r="IF89" s="36" t="s">
        <v>139</v>
      </c>
      <c r="IG89" s="36" t="s">
        <v>139</v>
      </c>
      <c r="IH89" s="36" t="s">
        <v>139</v>
      </c>
      <c r="II89" s="36" t="s">
        <v>139</v>
      </c>
      <c r="IJ89" s="36" t="s">
        <v>139</v>
      </c>
      <c r="IK89" s="36" t="s">
        <v>139</v>
      </c>
      <c r="IL89" s="36" t="s">
        <v>139</v>
      </c>
      <c r="IM89" s="36" t="s">
        <v>139</v>
      </c>
      <c r="IN89" s="36" t="s">
        <v>139</v>
      </c>
      <c r="IO89" s="36" t="s">
        <v>139</v>
      </c>
      <c r="IP89" s="36" t="s">
        <v>139</v>
      </c>
      <c r="IQ89" s="36" t="s">
        <v>139</v>
      </c>
      <c r="IR89" s="36" t="s">
        <v>139</v>
      </c>
      <c r="IS89" s="36" t="s">
        <v>139</v>
      </c>
      <c r="IT89" s="36" t="s">
        <v>139</v>
      </c>
      <c r="IU89" s="36" t="s">
        <v>139</v>
      </c>
      <c r="IV89" s="36" t="s">
        <v>139</v>
      </c>
      <c r="IW89" s="36" t="s">
        <v>139</v>
      </c>
      <c r="IX89" s="36" t="s">
        <v>139</v>
      </c>
      <c r="IY89" s="36" t="s">
        <v>139</v>
      </c>
      <c r="IZ89" s="36" t="s">
        <v>139</v>
      </c>
      <c r="JA89" s="36" t="s">
        <v>139</v>
      </c>
      <c r="JB89" s="36" t="s">
        <v>139</v>
      </c>
      <c r="JC89" s="36" t="s">
        <v>139</v>
      </c>
      <c r="JD89" s="36" t="s">
        <v>139</v>
      </c>
      <c r="JE89" s="36" t="s">
        <v>139</v>
      </c>
      <c r="JF89" s="36" t="s">
        <v>139</v>
      </c>
      <c r="JG89" s="36" t="s">
        <v>139</v>
      </c>
      <c r="JH89" s="36" t="s">
        <v>139</v>
      </c>
      <c r="JI89" s="36" t="s">
        <v>139</v>
      </c>
      <c r="JJ89" s="36" t="s">
        <v>139</v>
      </c>
      <c r="JK89" s="36" t="s">
        <v>139</v>
      </c>
      <c r="JL89" s="36" t="s">
        <v>139</v>
      </c>
      <c r="JM89" s="36" t="s">
        <v>139</v>
      </c>
      <c r="JN89" s="36" t="s">
        <v>139</v>
      </c>
      <c r="JO89" s="36" t="s">
        <v>139</v>
      </c>
      <c r="JP89" s="36" t="s">
        <v>139</v>
      </c>
      <c r="JQ89" s="36" t="s">
        <v>139</v>
      </c>
      <c r="JR89" s="36" t="s">
        <v>139</v>
      </c>
      <c r="JS89" s="36" t="s">
        <v>139</v>
      </c>
      <c r="JT89" s="36" t="s">
        <v>139</v>
      </c>
      <c r="JU89" s="36" t="s">
        <v>139</v>
      </c>
      <c r="JV89" s="36" t="s">
        <v>139</v>
      </c>
      <c r="JW89" s="36" t="s">
        <v>139</v>
      </c>
      <c r="JX89" s="36" t="s">
        <v>139</v>
      </c>
      <c r="JY89" s="36" t="s">
        <v>139</v>
      </c>
      <c r="JZ89" s="36" t="s">
        <v>139</v>
      </c>
      <c r="KA89" s="36" t="s">
        <v>139</v>
      </c>
      <c r="KB89" s="36" t="s">
        <v>139</v>
      </c>
      <c r="KC89" s="36" t="s">
        <v>139</v>
      </c>
      <c r="KD89" s="36" t="s">
        <v>139</v>
      </c>
      <c r="KE89" s="36" t="s">
        <v>139</v>
      </c>
      <c r="KF89" s="36" t="s">
        <v>139</v>
      </c>
      <c r="KG89" s="36" t="s">
        <v>139</v>
      </c>
      <c r="KH89" s="36" t="s">
        <v>139</v>
      </c>
      <c r="KI89" s="36" t="s">
        <v>139</v>
      </c>
      <c r="KJ89" s="36" t="s">
        <v>139</v>
      </c>
      <c r="KK89" s="36" t="s">
        <v>139</v>
      </c>
      <c r="KL89" s="36" t="s">
        <v>139</v>
      </c>
      <c r="KM89" s="36" t="s">
        <v>139</v>
      </c>
      <c r="KN89" s="36" t="s">
        <v>139</v>
      </c>
      <c r="KO89" s="36" t="s">
        <v>139</v>
      </c>
      <c r="KP89" s="36" t="s">
        <v>139</v>
      </c>
      <c r="KQ89" s="36" t="s">
        <v>139</v>
      </c>
      <c r="KR89" s="36" t="s">
        <v>139</v>
      </c>
      <c r="KS89" s="36" t="s">
        <v>139</v>
      </c>
      <c r="KT89" s="36" t="s">
        <v>139</v>
      </c>
      <c r="KU89" s="36" t="s">
        <v>139</v>
      </c>
      <c r="KV89" s="36" t="s">
        <v>139</v>
      </c>
      <c r="KW89" s="36" t="s">
        <v>139</v>
      </c>
      <c r="KX89" s="36" t="s">
        <v>139</v>
      </c>
      <c r="KY89" s="36" t="s">
        <v>139</v>
      </c>
      <c r="KZ89" s="36" t="s">
        <v>139</v>
      </c>
      <c r="LA89" s="36" t="s">
        <v>139</v>
      </c>
      <c r="LB89" s="36" t="s">
        <v>139</v>
      </c>
      <c r="LC89" s="36" t="s">
        <v>139</v>
      </c>
      <c r="LD89" s="36" t="s">
        <v>139</v>
      </c>
      <c r="LE89" s="36" t="s">
        <v>139</v>
      </c>
      <c r="LF89" s="36" t="s">
        <v>139</v>
      </c>
      <c r="LG89" s="36" t="s">
        <v>139</v>
      </c>
      <c r="LH89" s="36" t="s">
        <v>139</v>
      </c>
      <c r="LI89" s="36" t="s">
        <v>139</v>
      </c>
      <c r="LJ89" s="36" t="s">
        <v>139</v>
      </c>
      <c r="LK89" s="36" t="s">
        <v>139</v>
      </c>
      <c r="LL89" s="36" t="s">
        <v>139</v>
      </c>
      <c r="LM89" s="36" t="s">
        <v>139</v>
      </c>
      <c r="LN89" s="36" t="s">
        <v>139</v>
      </c>
      <c r="LO89" s="36" t="s">
        <v>139</v>
      </c>
      <c r="LP89" s="36" t="s">
        <v>139</v>
      </c>
      <c r="LQ89" s="36" t="s">
        <v>139</v>
      </c>
      <c r="LR89" s="36" t="s">
        <v>139</v>
      </c>
      <c r="LS89" s="36" t="s">
        <v>139</v>
      </c>
      <c r="LT89" s="36" t="s">
        <v>139</v>
      </c>
      <c r="LU89" s="36" t="s">
        <v>139</v>
      </c>
      <c r="LV89" s="36" t="s">
        <v>139</v>
      </c>
      <c r="LW89" s="36" t="s">
        <v>139</v>
      </c>
      <c r="LX89" s="36" t="s">
        <v>139</v>
      </c>
      <c r="LY89" s="36" t="s">
        <v>139</v>
      </c>
      <c r="LZ89" s="36" t="s">
        <v>139</v>
      </c>
      <c r="MA89" s="36" t="s">
        <v>139</v>
      </c>
      <c r="MB89" s="36" t="s">
        <v>139</v>
      </c>
      <c r="MC89" s="36" t="s">
        <v>139</v>
      </c>
      <c r="MD89" s="36" t="s">
        <v>139</v>
      </c>
      <c r="ME89" s="36" t="s">
        <v>139</v>
      </c>
      <c r="MF89" s="36" t="s">
        <v>139</v>
      </c>
      <c r="MG89" s="36" t="s">
        <v>139</v>
      </c>
      <c r="MH89" s="36" t="s">
        <v>139</v>
      </c>
      <c r="MI89" s="36" t="s">
        <v>139</v>
      </c>
      <c r="MJ89" s="36" t="s">
        <v>139</v>
      </c>
      <c r="MK89" s="36" t="s">
        <v>139</v>
      </c>
      <c r="ML89" s="36" t="s">
        <v>139</v>
      </c>
      <c r="MM89" s="36" t="s">
        <v>139</v>
      </c>
      <c r="MN89" s="36" t="s">
        <v>139</v>
      </c>
      <c r="MO89" s="36" t="s">
        <v>139</v>
      </c>
      <c r="MP89" s="36" t="s">
        <v>139</v>
      </c>
      <c r="MQ89" s="36" t="s">
        <v>139</v>
      </c>
      <c r="MR89" s="36" t="s">
        <v>139</v>
      </c>
      <c r="MS89" s="36" t="s">
        <v>139</v>
      </c>
      <c r="MT89" s="36" t="s">
        <v>139</v>
      </c>
      <c r="MU89" s="36" t="s">
        <v>139</v>
      </c>
      <c r="MV89" s="36" t="s">
        <v>139</v>
      </c>
      <c r="MW89" s="36" t="s">
        <v>139</v>
      </c>
      <c r="MX89" s="36" t="s">
        <v>139</v>
      </c>
      <c r="MY89" s="36" t="s">
        <v>139</v>
      </c>
      <c r="MZ89" s="36" t="s">
        <v>139</v>
      </c>
      <c r="NA89" s="36" t="s">
        <v>139</v>
      </c>
      <c r="NB89" s="36" t="s">
        <v>139</v>
      </c>
      <c r="NC89" s="36" t="s">
        <v>139</v>
      </c>
      <c r="ND89" s="36" t="s">
        <v>139</v>
      </c>
      <c r="NE89" s="36" t="s">
        <v>139</v>
      </c>
      <c r="NF89" s="36" t="s">
        <v>139</v>
      </c>
      <c r="NG89" s="36" t="s">
        <v>139</v>
      </c>
      <c r="NH89" s="36" t="s">
        <v>139</v>
      </c>
      <c r="NI89" s="36" t="s">
        <v>139</v>
      </c>
      <c r="NJ89" s="36" t="s">
        <v>139</v>
      </c>
      <c r="NK89" s="36" t="s">
        <v>139</v>
      </c>
      <c r="NL89" s="36" t="s">
        <v>139</v>
      </c>
      <c r="NM89" s="36" t="s">
        <v>139</v>
      </c>
      <c r="NN89" s="36" t="s">
        <v>139</v>
      </c>
      <c r="NO89" s="36" t="s">
        <v>139</v>
      </c>
      <c r="NP89" s="36" t="s">
        <v>139</v>
      </c>
      <c r="NQ89" s="36" t="s">
        <v>139</v>
      </c>
      <c r="NR89" s="36" t="s">
        <v>139</v>
      </c>
      <c r="NS89" s="36" t="s">
        <v>139</v>
      </c>
      <c r="NT89" s="36" t="s">
        <v>139</v>
      </c>
      <c r="NU89" s="36" t="s">
        <v>139</v>
      </c>
      <c r="NV89" s="36" t="s">
        <v>139</v>
      </c>
      <c r="NW89" s="36" t="s">
        <v>139</v>
      </c>
      <c r="NX89" s="36" t="s">
        <v>139</v>
      </c>
      <c r="NY89" s="36" t="s">
        <v>139</v>
      </c>
      <c r="NZ89" s="36" t="s">
        <v>139</v>
      </c>
      <c r="OA89" s="36" t="s">
        <v>139</v>
      </c>
      <c r="OB89" s="36" t="s">
        <v>139</v>
      </c>
      <c r="OC89" s="36" t="s">
        <v>139</v>
      </c>
      <c r="OD89" s="36" t="s">
        <v>139</v>
      </c>
      <c r="OE89" s="36" t="s">
        <v>139</v>
      </c>
      <c r="OF89" s="36" t="s">
        <v>139</v>
      </c>
      <c r="OG89" s="36" t="s">
        <v>139</v>
      </c>
      <c r="OH89" s="36" t="s">
        <v>139</v>
      </c>
      <c r="OI89" s="36" t="s">
        <v>139</v>
      </c>
      <c r="OJ89" s="36" t="s">
        <v>139</v>
      </c>
      <c r="OK89" s="36" t="s">
        <v>139</v>
      </c>
      <c r="OL89" s="36" t="s">
        <v>139</v>
      </c>
      <c r="OM89" s="36" t="s">
        <v>139</v>
      </c>
      <c r="ON89" s="36" t="s">
        <v>139</v>
      </c>
      <c r="OO89" s="36" t="s">
        <v>139</v>
      </c>
      <c r="OP89" s="36" t="s">
        <v>139</v>
      </c>
      <c r="OQ89" s="36" t="s">
        <v>139</v>
      </c>
      <c r="OR89" s="36" t="s">
        <v>139</v>
      </c>
      <c r="OS89" s="36" t="s">
        <v>139</v>
      </c>
      <c r="OT89" s="36" t="s">
        <v>139</v>
      </c>
      <c r="OU89" s="36" t="s">
        <v>139</v>
      </c>
      <c r="OV89" s="36" t="s">
        <v>139</v>
      </c>
      <c r="OW89" s="36" t="s">
        <v>139</v>
      </c>
      <c r="OX89" s="36" t="s">
        <v>139</v>
      </c>
      <c r="OY89" s="36" t="s">
        <v>139</v>
      </c>
      <c r="OZ89" s="36" t="s">
        <v>139</v>
      </c>
      <c r="PA89" s="36" t="s">
        <v>139</v>
      </c>
      <c r="PB89" s="36" t="s">
        <v>139</v>
      </c>
      <c r="PC89" s="36" t="s">
        <v>139</v>
      </c>
      <c r="PD89" s="36" t="s">
        <v>139</v>
      </c>
      <c r="PE89" s="36" t="s">
        <v>139</v>
      </c>
      <c r="PF89" s="36" t="s">
        <v>139</v>
      </c>
      <c r="PG89" s="36" t="s">
        <v>139</v>
      </c>
      <c r="PH89" s="36" t="s">
        <v>139</v>
      </c>
      <c r="PI89" s="36" t="s">
        <v>139</v>
      </c>
      <c r="PJ89" s="36" t="s">
        <v>139</v>
      </c>
      <c r="PK89" s="36" t="s">
        <v>139</v>
      </c>
      <c r="PL89" s="36" t="s">
        <v>139</v>
      </c>
      <c r="PM89" s="36" t="s">
        <v>139</v>
      </c>
      <c r="PN89" s="36" t="s">
        <v>139</v>
      </c>
      <c r="PO89" s="74">
        <f>COUNTIFS($C$27:$PN$27,("&lt;"&amp;$B$3),$C$27:$PN$27,("&gt;="&amp;$B$2),$C89:$PN89,TabAsistencias[[#Headers],[1]])</f>
        <v>30</v>
      </c>
      <c r="PP89" s="74">
        <f>COUNTIFS($C$27:$PN$27,("&lt;"&amp;$B$3),$C$27:$PN$27,("&gt;="&amp;$B$2),$C89:$PN89,TabAsistencias[[#Headers],[E]])</f>
        <v>0</v>
      </c>
      <c r="PQ89" s="74">
        <f>COUNTIFS($C$27:$PN$27,("&lt;"&amp;$B$3),$C$27:$PN$27,("&gt;="&amp;$B$2),$C89:$PN89,TabAsistencias[[#Headers],[DE]])</f>
        <v>0</v>
      </c>
      <c r="PR89" s="74">
        <f>COUNTIFS($C$27:$PN$27,("&lt;"&amp;$B$3),$C$27:$PN$27,("&gt;="&amp;$B$2),$C89:$PN89,TabAsistencias[[#Headers],[V]])</f>
        <v>0</v>
      </c>
      <c r="PS89" s="74">
        <f>COUNTIFS($C$27:$PN$27,("&lt;"&amp;$B$3),$C$27:$PN$27,("&gt;="&amp;$B$2),$C89:$PN89,TabAsistencias[[#Headers],[DO]])</f>
        <v>0</v>
      </c>
      <c r="PT89" s="74">
        <f>COUNTIFS($C$27:$PN$27,("&lt;"&amp;$B$3),$C$27:$PN$27,("&gt;="&amp;$B$2),$C89:$PN89,TabAsistencias[[#Headers],[P]])</f>
        <v>0</v>
      </c>
      <c r="PU89" s="74">
        <f>COUNTIFS($C$27:$PN$27,("&lt;"&amp;$B$3),$C$27:$PN$27,("&gt;="&amp;$B$2),$C89:$PN89,TabAsistencias[[#Headers],[F]])</f>
        <v>0</v>
      </c>
      <c r="PV89" s="74">
        <f>COUNTIFS($C$27:$PN$27,("&lt;"&amp;$B$3),$C$27:$PN$27,("&gt;="&amp;$B$2),$C89:$PN89,TabAsistencias[[#Headers],[R]])</f>
        <v>0</v>
      </c>
      <c r="PW89" s="74">
        <f>COUNTIFS($C$27:$PN$27,("&lt;"&amp;$B$3),$C$27:$PN$27,("&gt;="&amp;$B$2),$C89:$PN89,TabAsistencias[[#Headers],[PP]])</f>
        <v>0</v>
      </c>
      <c r="PX89" s="74">
        <f>COUNTIFS($C$27:$PN$27,("&lt;"&amp;$B$3),$C$27:$PN$27,("&gt;="&amp;$B$2),$C89:$PN89,TabAsistencias[[#Headers],[0]])</f>
        <v>0</v>
      </c>
      <c r="PY89" s="74">
        <f>COUNTIFS($C$27:$PN$27,("&lt;"&amp;$B$3),$C$27:$PN$27,("&gt;="&amp;$B$2),$C89:$PN89,TabAsistencias[[#Headers],[IG]])</f>
        <v>0</v>
      </c>
      <c r="PZ89" s="74">
        <f>COUNTIFS($C$27:$PN$27,("&lt;"&amp;$B$3),$C$27:$PN$27,("&gt;="&amp;$B$2),$C89:$PN89,TabAsistencias[[#Headers],[NA]])</f>
        <v>0</v>
      </c>
      <c r="QA89" s="74">
        <f>COUNTIFS($C$27:$PN$27,("&lt;"&amp;$B$3),$C$27:$PN$27,("&gt;="&amp;$B$2),$C89:$PN89,TabAsistencias[[#Headers],[DF]])</f>
        <v>0</v>
      </c>
      <c r="QB89" s="74">
        <f>COUNTIFS($C$27:$PN$27,("&lt;"&amp;$B$3),$C$27:$PN$27,("&gt;="&amp;$B$2),$C89:$PN89,TabAsistencias[[#Headers],[3]])</f>
        <v>0</v>
      </c>
      <c r="QC89" s="74">
        <f>COUNTIFS($C$27:$PN$27,("&lt;"&amp;$B$3),$C$27:$PN$27,("&gt;="&amp;$B$2),$C89:$PN89,TabAsistencias[[#Headers],[CP]])</f>
        <v>0</v>
      </c>
      <c r="QD89" s="74">
        <f>COUNTIFS($C$27:$PN$27,("&lt;"&amp;$B$3),$C$27:$PN$27,("&gt;="&amp;$B$2),$C89:$PN89,TabAsistencias[[#Headers],[I]])</f>
        <v>0</v>
      </c>
      <c r="QE89" s="74">
        <f>COUNTIFS($C$27:$PN$27,("&lt;"&amp;$B$3),$C$27:$PN$27,("&gt;="&amp;$B$2),$C89:$PN89,TabAsistencias[[#Headers],[T/2]])</f>
        <v>0</v>
      </c>
      <c r="QF89" s="74">
        <f>COUNTIFS($C$27:$PN$27,("&lt;"&amp;$B$3),$C$27:$PN$27,("&gt;="&amp;$B$2),$C89:$PN89,TabAsistencias[[#Headers],[ME]])</f>
        <v>0</v>
      </c>
      <c r="QG89" s="74">
        <f>COUNTIFS($C$27:$PN$27,("&lt;"&amp;$B$3),$C$27:$PN$27,("&gt;="&amp;$B$2),$C89:$PN89,TabAsistencias[[#Headers],[DP]])</f>
        <v>0</v>
      </c>
      <c r="QH89" s="74">
        <f>COUNTIFS($C$27:$PN$27,("&lt;"&amp;$B$3),$C$27:$PN$27,("&gt;="&amp;$B$2),$C89:$PN89,TabAsistencias[[#Headers],[B]])</f>
        <v>0</v>
      </c>
      <c r="QI89" s="74">
        <f>(TabAsistencias[[#This Row],[1]]*'Tablas de informacion'!$C$124)+(TabAsistencias[[#This Row],[E]]*'Tablas de informacion'!$C$125)+(TabAsistencias[[#This Row],[DE]]*'Tablas de informacion'!C$126)+(TabAsistencias[[#This Row],[V]]*'Tablas de informacion'!C$127)+(TabAsistencias[[#This Row],[DO]]*'Tablas de informacion'!C$128)+(TabAsistencias[[#This Row],[P]]*'Tablas de informacion'!C$129)+(TabAsistencias[[#This Row],[F]]*'Tablas de informacion'!C$130)+(TabAsistencias[[#This Row],[R]]*'Tablas de informacion'!C$131)+(TabAsistencias[[#This Row],[PP]]*'Tablas de informacion'!C$132)+(TabAsistencias[[#This Row],[0]]*'Tablas de informacion'!C$133)+(TabAsistencias[[#This Row],[IG]]*'Tablas de informacion'!C$134)+(TabAsistencias[[#This Row],[NA]]*'Tablas de informacion'!C$135)+(TabAsistencias[[#This Row],[DF]]*'Tablas de informacion'!C$136)+(TabAsistencias[[#This Row],[3]]*'Tablas de informacion'!C$137)+(TabAsistencias[[#This Row],[CP]]*'Tablas de informacion'!C$138)+(TabAsistencias[[#This Row],[I]]*'Tablas de informacion'!C$139)+(TabAsistencias[[#This Row],[T/2]]*'Tablas de informacion'!C$140)+(TabAsistencias[[#This Row],[ME]]*'Tablas de informacion'!C$141)+(TabAsistencias[[#This Row],[DP]]*'Tablas de informacion'!C$142)+(TabAsistencias[[#This Row],[B]]*'Tablas de informacion'!C$143)-INT(TabAsistencias[[#This Row],[R]]/3)</f>
        <v>30</v>
      </c>
      <c r="QJ89" s="74">
        <f>COUNTIFS($C$27:$PN$27,("&lt;"&amp;$B$3),$C$27:$PN$27,("&gt;="&amp;$B$2),$C$28:$PN$28,1,$C89:$PN89,TabAsistencias[[#Headers],[1]])+
COUNTIFS($C$27:$PN$27,("&lt;"&amp;$B$3),$C$27:$PN$27,("&gt;="&amp;$B$2),$C$28:$PN$28,1,$C89:$PN89,TabAsistencias[[#Headers],[DO]])+
COUNTIFS($C$27:$PN$27,("&lt;"&amp;$B$3),$C$27:$PN$27,("&gt;="&amp;$B$2),$C$28:$PN$28,1,$C89:$PN89,TabAsistencias[[#Headers],[R]])+
COUNTIFS($C$27:$PN$27,("&lt;"&amp;$B$3),$C$27:$PN$27,("&gt;="&amp;$B$2),$C$28:$PN$28,1,$C89:$PN89,TabAsistencias[[#Headers],[NA]])+
COUNTIFS($C$27:$PN$27,("&lt;"&amp;$B$3),$C$27:$PN$27,("&gt;="&amp;$B$2),$C$28:$PN$28,1,$C89:$PN89,TabAsistencias[[#Headers],[DF]])+
COUNTIFS($C$27:$PN$27,("&lt;"&amp;$B$3),$C$27:$PN$27,("&gt;="&amp;$B$2),$C$28:$PN$28,1,$C89:$PN89,TabAsistencias[[#Headers],[3]])+
COUNTIFS($C$27:$PN$27,("&lt;"&amp;$B$3),$C$27:$PN$27,("&gt;="&amp;$B$2),$C$28:$PN$28,1,$C89:$PN89,TabAsistencias[[#Headers],[CP]])+
COUNTIFS($C$27:$PN$27,("&lt;"&amp;$B$3),$C$27:$PN$27,("&gt;="&amp;$B$2),$C$28:$PN$28,1,$C89:$PN89,TabAsistencias[[#Headers],[T/2]])</f>
        <v>4</v>
      </c>
      <c r="QK89" s="315" cm="1">
        <f t="array" ref="QK89">IFERROR(VLOOKUP(
DATEDIF((VLOOKUP(TabAsistencias[[#This Row],[ID]],TabEmpleados[],COLUMN(TabEmpleados[Fecha de ingreso]),FALSE)),Asistencias!$B$3,"Y"),
TabFactorIntegracion[],COLUMN(TabFactorIntegracion[Días vacacionales
establecidos por ley]),FALSE),0)
-
COUNTIF($AH89:$PN89,TabAsistencias[[#Headers],[V]])</f>
        <v>12</v>
      </c>
      <c r="QL89" s="319">
        <f>SUM(TabAsistencias[[#This Row],[''1]],TabAsistencias[[#This Row],[''DE]],TabAsistencias[[#This Row],[''DO]],TabAsistencias[[#This Row],[''R]],TabAsistencias[[#This Row],[''NA]],TabAsistencias[[#This Row],[''DF]],TabAsistencias[[#This Row],[''3]],TabAsistencias[[#This Row],[''CP]],TabAsistencias[[#This Row],[''T/2]],TabAsistencias[[#This Row],[''DP]])</f>
        <v>73</v>
      </c>
      <c r="QM89" s="314">
        <f>COUNTIFS($C$27:$PN$27,("&lt;"&amp;$B$5),$C$27:$PN$27,("&gt;="&amp;$B$4),$C89:$PN89,TabAsistencias[[#Headers],[1]])</f>
        <v>73</v>
      </c>
      <c r="QN89" s="314">
        <f>COUNTIFS($C$27:$PN$27,("&lt;"&amp;$B$5),$C$27:$PN$27,("&gt;="&amp;$B$4),$C89:$PN89,TabAsistencias[[#Headers],[DE]])</f>
        <v>0</v>
      </c>
      <c r="QO89" s="314">
        <f>COUNTIFS($C$27:$PN$27,("&lt;"&amp;$B$5),$C$27:$PN$27,("&gt;="&amp;$B$4),$C89:$PN89,TabAsistencias[[#Headers],[V]])</f>
        <v>0</v>
      </c>
      <c r="QP89" s="314">
        <f>COUNTIFS($C$27:$PN$27,("&lt;"&amp;$B$5),$C$27:$PN$27,("&gt;="&amp;$B$4),$C89:$PN89,TabAsistencias[[#Headers],[DO]])</f>
        <v>0</v>
      </c>
      <c r="QQ89" s="314">
        <f>COUNTIFS($C$27:$PN$27,("&lt;"&amp;$B$5),$C$27:$PN$27,("&gt;="&amp;$B$4),$C89:$PN89,TabAsistencias[[#Headers],[P]])</f>
        <v>0</v>
      </c>
      <c r="QR89" s="314">
        <f>COUNTIFS($C$27:$PN$27,("&lt;"&amp;$B$5),$C$27:$PN$27,("&gt;="&amp;$B$4),$C89:$PN89,TabAsistencias[[#Headers],[F]])</f>
        <v>0</v>
      </c>
      <c r="QS89" s="314">
        <f>COUNTIFS($C$27:$PN$27,("&lt;"&amp;$B$5),$C$27:$PN$27,("&gt;="&amp;$B$4),$C89:$PN89,TabAsistencias[[#Headers],[R]])</f>
        <v>0</v>
      </c>
      <c r="QT89" s="314">
        <f>COUNTIFS($C$27:$PN$27,("&lt;"&amp;$B$5),$C$27:$PN$27,("&gt;="&amp;$B$4),$C89:$PN89,TabAsistencias[[#Headers],[PP]])</f>
        <v>0</v>
      </c>
      <c r="QU89" s="314">
        <f>COUNTIFS($C$27:$PN$27,("&lt;"&amp;$B$5),$C$27:$PN$27,("&gt;="&amp;$B$4),$C89:$PN89,TabAsistencias[[#Headers],[0]])</f>
        <v>0</v>
      </c>
      <c r="QV89" s="314">
        <f>COUNTIFS($C$27:$PN$27,("&lt;"&amp;$B$5),$C$27:$PN$27,("&gt;="&amp;$B$4),$C89:$PN89,TabAsistencias[[#Headers],[IG]])</f>
        <v>0</v>
      </c>
      <c r="QW89" s="314">
        <f>COUNTIFS($C$27:$PN$27,("&lt;"&amp;$B$5),$C$27:$PN$27,("&gt;="&amp;$B$4),$C89:$PN89,TabAsistencias[[#Headers],[NA]])</f>
        <v>0</v>
      </c>
      <c r="QX89" s="314">
        <f>COUNTIFS($C$27:$PN$27,("&lt;"&amp;$B$5),$C$27:$PN$27,("&gt;="&amp;$B$4),$C89:$PN89,TabAsistencias[[#Headers],[DF]])</f>
        <v>0</v>
      </c>
      <c r="QY89" s="314">
        <f>COUNTIFS($C$27:$PN$27,("&lt;"&amp;$B$5),$C$27:$PN$27,("&gt;="&amp;$B$4),$C89:$PN89,TabAsistencias[[#Headers],[3]])</f>
        <v>0</v>
      </c>
      <c r="QZ89" s="314">
        <f>COUNTIFS($C$27:$PN$27,("&lt;"&amp;$B$5),$C$27:$PN$27,("&gt;="&amp;$B$4),$C89:$PN89,TabAsistencias[[#Headers],[CP]])</f>
        <v>0</v>
      </c>
      <c r="RA89" s="314">
        <f>COUNTIFS($C$27:$PN$27,("&lt;"&amp;$B$5),$C$27:$PN$27,("&gt;="&amp;$B$4),$C89:$PN89,TabAsistencias[[#Headers],[I]])</f>
        <v>0</v>
      </c>
      <c r="RB89" s="314">
        <f>COUNTIFS($C$27:$PN$27,("&lt;"&amp;$B$5),$C$27:$PN$27,("&gt;="&amp;$B$4),$C89:$PN89,TabAsistencias[[#Headers],[T/2]])</f>
        <v>0</v>
      </c>
      <c r="RC89" s="314">
        <f>COUNTIFS($C$27:$PN$27,("&lt;"&amp;$B$5),$C$27:$PN$27,("&gt;="&amp;$B$4),$C89:$PN89,TabAsistencias[[#Headers],[ME]])</f>
        <v>0</v>
      </c>
      <c r="RD89" s="314">
        <f>COUNTIFS($C$27:$PN$27,("&lt;"&amp;$B$5),$C$27:$PN$27,("&gt;="&amp;$B$4),$C89:$PN89,TabAsistencias[[#Headers],[DP]])</f>
        <v>0</v>
      </c>
      <c r="RE89" s="314">
        <f>COUNTIFS($C$27:$PN$27,("&lt;"&amp;$B$5),$C$27:$PN$27,("&gt;="&amp;$B$4),$C89:$PN89,TabAsistencias[[#Headers],[B]])</f>
        <v>0</v>
      </c>
      <c r="RF89" s="314">
        <f>COUNTIFS($C$27:$PN$27,("&lt;"&amp;$B$5),$C$27:$PN$27,("&gt;="&amp;$B$4),$C$28:$PN$28,1,$C89:$PN89,TabAsistencias[[#Headers],[1]])+
COUNTIFS($C$27:$PN$27,("&lt;"&amp;$B$5),$C$27:$PN$27,("&gt;="&amp;$B$4),$C$28:$PN$28,1,$C89:$PN89,TabAsistencias[[#Headers],[DO]])+
COUNTIFS($C$27:$PN$27,("&lt;"&amp;$B$5),$C$27:$PN$27,("&gt;="&amp;$B$4),$C$28:$PN$28,1,$C89:$PN89,TabAsistencias[[#Headers],[R]])+
COUNTIFS($C$27:$PN$27,("&lt;"&amp;$B$5),$C$27:$PN$27,("&gt;="&amp;$B$4),$C$28:$PN$28,1,$C89:$PN89,TabAsistencias[[#Headers],[NA]])+
COUNTIFS($C$27:$PN$27,("&lt;"&amp;$B$5),$C$27:$PN$27,("&gt;="&amp;$B$4),$C$28:$PN$28,1,$C89:$PN89,TabAsistencias[[#Headers],[DF]])+
COUNTIFS($C$27:$PN$27,("&lt;"&amp;$B$5),$C$27:$PN$27,("&gt;="&amp;$B$4),$C$28:$PN$28,1,$C89:$PN89,TabAsistencias[[#Headers],[3]])+
COUNTIFS($C$27:$PN$27,("&lt;"&amp;$B$5),$C$27:$PN$27,("&gt;="&amp;$B$4),$C$28:$PN$28,1,$C89:$PN89,TabAsistencias[[#Headers],[CP]])+
COUNTIFS($C$27:$PN$27,("&lt;"&amp;$B$5),$C$27:$PN$27,("&gt;="&amp;$B$4),$C$28:$PN$28,1,$C89:$PN89,TabAsistencias[[#Headers],[T/2]])</f>
        <v>11</v>
      </c>
      <c r="RG89" s="320" cm="1">
        <f t="array" ref="RG89">IFERROR(VLOOKUP(
DATEDIF((VLOOKUP(TabAsistencias[[#This Row],[ID]],TabEmpleados[],COLUMN(TabEmpleados[Fecha de alta NSS]),FALSE)),Asistencias!$B$3,"Y"),
TabFactorIntegracion[],COLUMN(TabFactorIntegracion[Días vacacionales
establecidos por ley]),FALSE),0)
-
COUNTIF($AH89:$PN89,TabAsistencias[[#Headers],[V]])</f>
        <v>12</v>
      </c>
    </row>
    <row r="90" spans="1:475" x14ac:dyDescent="0.25">
      <c r="A90" s="92">
        <f t="shared" si="434"/>
        <v>60</v>
      </c>
      <c r="B90" s="30" t="str" cm="1">
        <f t="array" ref="B90">VLOOKUP(TabAsistencias[[#This Row],[ID]],TabEmpleados[],COLUMN(TabEmpleados[Nombre]),FALSE)</f>
        <v xml:space="preserve">LUIS MARTINEZ CESAR URIEL </v>
      </c>
      <c r="C90" s="36" t="s">
        <v>139</v>
      </c>
      <c r="D90" s="36" t="s">
        <v>139</v>
      </c>
      <c r="E90" s="36" t="s">
        <v>139</v>
      </c>
      <c r="F90" s="36" t="s">
        <v>139</v>
      </c>
      <c r="G90" s="36" t="s">
        <v>139</v>
      </c>
      <c r="H90" s="36" t="s">
        <v>139</v>
      </c>
      <c r="I90" s="36" t="s">
        <v>139</v>
      </c>
      <c r="J90" s="36" t="s">
        <v>139</v>
      </c>
      <c r="K90" s="36" t="s">
        <v>139</v>
      </c>
      <c r="L90" s="36" t="s">
        <v>139</v>
      </c>
      <c r="M90" s="36" t="s">
        <v>139</v>
      </c>
      <c r="N90" s="36" t="s">
        <v>139</v>
      </c>
      <c r="O90" s="36" t="s">
        <v>139</v>
      </c>
      <c r="P90" s="36" t="s">
        <v>139</v>
      </c>
      <c r="Q90" s="36" t="s">
        <v>139</v>
      </c>
      <c r="R90" s="36" t="s">
        <v>139</v>
      </c>
      <c r="S90" s="36" t="s">
        <v>139</v>
      </c>
      <c r="T90" s="36" t="s">
        <v>139</v>
      </c>
      <c r="U90" s="36" t="s">
        <v>139</v>
      </c>
      <c r="V90" s="36" t="s">
        <v>139</v>
      </c>
      <c r="W90" s="36" t="s">
        <v>139</v>
      </c>
      <c r="X90" s="36" t="s">
        <v>139</v>
      </c>
      <c r="Y90" s="36" t="s">
        <v>139</v>
      </c>
      <c r="Z90" s="36" t="s">
        <v>139</v>
      </c>
      <c r="AA90" s="36" t="s">
        <v>139</v>
      </c>
      <c r="AB90" s="36" t="s">
        <v>139</v>
      </c>
      <c r="AC90" s="36" t="s">
        <v>139</v>
      </c>
      <c r="AD90" s="36" t="s">
        <v>139</v>
      </c>
      <c r="AE90" s="36" t="s">
        <v>139</v>
      </c>
      <c r="AF90" s="36" t="s">
        <v>139</v>
      </c>
      <c r="AG90" s="36" t="s">
        <v>139</v>
      </c>
      <c r="AH90" s="36" t="s">
        <v>139</v>
      </c>
      <c r="AI90" s="36" t="s">
        <v>139</v>
      </c>
      <c r="AJ90" s="36" t="s">
        <v>139</v>
      </c>
      <c r="AK90" s="36" t="s">
        <v>139</v>
      </c>
      <c r="AL90" s="36" t="s">
        <v>139</v>
      </c>
      <c r="AM90" s="36" t="s">
        <v>139</v>
      </c>
      <c r="AN90" s="36" t="s">
        <v>139</v>
      </c>
      <c r="AO90" s="36" t="s">
        <v>139</v>
      </c>
      <c r="AP90" s="36" t="s">
        <v>139</v>
      </c>
      <c r="AQ90" s="36" t="s">
        <v>139</v>
      </c>
      <c r="AR90" s="36" t="s">
        <v>139</v>
      </c>
      <c r="AS90" s="36" t="s">
        <v>139</v>
      </c>
      <c r="AT90" s="36" t="s">
        <v>139</v>
      </c>
      <c r="AU90" s="36" t="s">
        <v>139</v>
      </c>
      <c r="AV90" s="36" t="s">
        <v>139</v>
      </c>
      <c r="AW90" s="36" t="s">
        <v>139</v>
      </c>
      <c r="AX90" s="36" t="s">
        <v>139</v>
      </c>
      <c r="AY90" s="36" t="s">
        <v>139</v>
      </c>
      <c r="AZ90" s="36" t="s">
        <v>139</v>
      </c>
      <c r="BA90" s="36" t="s">
        <v>139</v>
      </c>
      <c r="BB90" s="36" t="s">
        <v>139</v>
      </c>
      <c r="BC90" s="36" t="s">
        <v>139</v>
      </c>
      <c r="BD90" s="36" t="s">
        <v>139</v>
      </c>
      <c r="BE90" s="36" t="s">
        <v>139</v>
      </c>
      <c r="BF90" s="36" t="s">
        <v>139</v>
      </c>
      <c r="BG90" s="36" t="s">
        <v>139</v>
      </c>
      <c r="BH90" s="36" t="s">
        <v>139</v>
      </c>
      <c r="BI90" s="36" t="s">
        <v>139</v>
      </c>
      <c r="BJ90" s="36" t="s">
        <v>139</v>
      </c>
      <c r="BK90" s="36" t="s">
        <v>139</v>
      </c>
      <c r="BL90" s="36" t="s">
        <v>139</v>
      </c>
      <c r="BM90" s="36" t="s">
        <v>139</v>
      </c>
      <c r="BN90" s="36" t="s">
        <v>139</v>
      </c>
      <c r="BO90" s="36" t="s">
        <v>139</v>
      </c>
      <c r="BP90" s="36" t="s">
        <v>139</v>
      </c>
      <c r="BQ90" s="36" t="s">
        <v>139</v>
      </c>
      <c r="BR90" s="36" t="s">
        <v>139</v>
      </c>
      <c r="BS90" s="36" t="s">
        <v>139</v>
      </c>
      <c r="BT90" s="36" t="s">
        <v>139</v>
      </c>
      <c r="BU90" s="36" t="s">
        <v>139</v>
      </c>
      <c r="BV90" s="36" t="s">
        <v>139</v>
      </c>
      <c r="BW90" s="36" t="s">
        <v>139</v>
      </c>
      <c r="BX90" s="36" t="s">
        <v>139</v>
      </c>
      <c r="BY90" s="36" t="s">
        <v>139</v>
      </c>
      <c r="BZ90" s="36" t="s">
        <v>139</v>
      </c>
      <c r="CA90" s="36" t="s">
        <v>139</v>
      </c>
      <c r="CB90" s="36" t="s">
        <v>139</v>
      </c>
      <c r="CC90" s="36" t="s">
        <v>139</v>
      </c>
      <c r="CD90" s="36" t="s">
        <v>139</v>
      </c>
      <c r="CE90" s="36" t="s">
        <v>139</v>
      </c>
      <c r="CF90" s="36" t="s">
        <v>139</v>
      </c>
      <c r="CG90" s="36" t="s">
        <v>139</v>
      </c>
      <c r="CH90" s="36" t="s">
        <v>139</v>
      </c>
      <c r="CI90" s="36" t="s">
        <v>139</v>
      </c>
      <c r="CJ90" s="36" t="s">
        <v>139</v>
      </c>
      <c r="CK90" s="36" t="s">
        <v>139</v>
      </c>
      <c r="CL90" s="36" t="s">
        <v>139</v>
      </c>
      <c r="CM90" s="36" t="s">
        <v>139</v>
      </c>
      <c r="CN90" s="36" t="s">
        <v>139</v>
      </c>
      <c r="CO90" s="36" t="s">
        <v>139</v>
      </c>
      <c r="CP90" s="36" t="s">
        <v>139</v>
      </c>
      <c r="CQ90" s="36" t="s">
        <v>139</v>
      </c>
      <c r="CR90" s="36" t="s">
        <v>139</v>
      </c>
      <c r="CS90" s="36" t="s">
        <v>139</v>
      </c>
      <c r="CT90" s="36" t="s">
        <v>139</v>
      </c>
      <c r="CU90" s="36" t="s">
        <v>139</v>
      </c>
      <c r="CV90" s="36" t="s">
        <v>139</v>
      </c>
      <c r="CW90" s="36" t="s">
        <v>139</v>
      </c>
      <c r="CX90" s="36" t="s">
        <v>139</v>
      </c>
      <c r="CY90" s="36" t="s">
        <v>139</v>
      </c>
      <c r="CZ90" s="36" t="s">
        <v>139</v>
      </c>
      <c r="DA90" s="36" t="s">
        <v>139</v>
      </c>
      <c r="DB90" s="36" t="s">
        <v>139</v>
      </c>
      <c r="DC90" s="36" t="s">
        <v>139</v>
      </c>
      <c r="DD90" s="36" t="s">
        <v>139</v>
      </c>
      <c r="DE90" s="36" t="s">
        <v>139</v>
      </c>
      <c r="DF90" s="36" t="s">
        <v>139</v>
      </c>
      <c r="DG90" s="36" t="s">
        <v>139</v>
      </c>
      <c r="DH90" s="36" t="s">
        <v>139</v>
      </c>
      <c r="DI90" s="36" t="s">
        <v>139</v>
      </c>
      <c r="DJ90" s="36" t="s">
        <v>139</v>
      </c>
      <c r="DK90" s="36" t="s">
        <v>139</v>
      </c>
      <c r="DL90" s="36" t="s">
        <v>139</v>
      </c>
      <c r="DM90" s="36" t="s">
        <v>139</v>
      </c>
      <c r="DN90" s="36" t="s">
        <v>139</v>
      </c>
      <c r="DO90" s="36" t="s">
        <v>139</v>
      </c>
      <c r="DP90" s="36" t="s">
        <v>139</v>
      </c>
      <c r="DQ90" s="36" t="s">
        <v>139</v>
      </c>
      <c r="DR90" s="36" t="s">
        <v>139</v>
      </c>
      <c r="DS90" s="36" t="s">
        <v>139</v>
      </c>
      <c r="DT90" s="36" t="s">
        <v>139</v>
      </c>
      <c r="DU90" s="36" t="s">
        <v>139</v>
      </c>
      <c r="DV90" s="36" t="s">
        <v>139</v>
      </c>
      <c r="DW90" s="36" t="s">
        <v>139</v>
      </c>
      <c r="DX90" s="36" t="s">
        <v>139</v>
      </c>
      <c r="DY90" s="36" t="s">
        <v>139</v>
      </c>
      <c r="DZ90" s="36" t="s">
        <v>139</v>
      </c>
      <c r="EA90" s="36" t="s">
        <v>139</v>
      </c>
      <c r="EB90" s="36" t="s">
        <v>139</v>
      </c>
      <c r="EC90" s="36" t="s">
        <v>139</v>
      </c>
      <c r="ED90" s="36" t="s">
        <v>139</v>
      </c>
      <c r="EE90" s="36" t="s">
        <v>139</v>
      </c>
      <c r="EF90" s="36" t="s">
        <v>139</v>
      </c>
      <c r="EG90" s="36" t="s">
        <v>139</v>
      </c>
      <c r="EH90" s="36" t="s">
        <v>139</v>
      </c>
      <c r="EI90" s="36" t="s">
        <v>139</v>
      </c>
      <c r="EJ90" s="36" t="s">
        <v>139</v>
      </c>
      <c r="EK90" s="36" t="s">
        <v>139</v>
      </c>
      <c r="EL90" s="36" t="s">
        <v>139</v>
      </c>
      <c r="EM90" s="36" t="s">
        <v>139</v>
      </c>
      <c r="EN90" s="36" t="s">
        <v>139</v>
      </c>
      <c r="EO90" s="36" t="s">
        <v>139</v>
      </c>
      <c r="EP90" s="36" t="s">
        <v>139</v>
      </c>
      <c r="EQ90" s="36" t="s">
        <v>139</v>
      </c>
      <c r="ER90" s="36" t="s">
        <v>139</v>
      </c>
      <c r="ES90" s="36" t="s">
        <v>139</v>
      </c>
      <c r="ET90" s="36" t="s">
        <v>139</v>
      </c>
      <c r="EU90" s="36" t="s">
        <v>139</v>
      </c>
      <c r="EV90" s="36" t="s">
        <v>139</v>
      </c>
      <c r="EW90" s="36" t="s">
        <v>139</v>
      </c>
      <c r="EX90" s="36" t="s">
        <v>139</v>
      </c>
      <c r="EY90" s="36" t="s">
        <v>139</v>
      </c>
      <c r="EZ90" s="36" t="s">
        <v>139</v>
      </c>
      <c r="FA90" s="36" t="s">
        <v>139</v>
      </c>
      <c r="FB90" s="36" t="s">
        <v>139</v>
      </c>
      <c r="FC90" s="36" t="s">
        <v>139</v>
      </c>
      <c r="FD90" s="36" t="s">
        <v>139</v>
      </c>
      <c r="FE90" s="36" t="s">
        <v>139</v>
      </c>
      <c r="FF90" s="36" t="s">
        <v>139</v>
      </c>
      <c r="FG90" s="36" t="s">
        <v>139</v>
      </c>
      <c r="FH90" s="36" t="s">
        <v>139</v>
      </c>
      <c r="FI90" s="36" t="s">
        <v>139</v>
      </c>
      <c r="FJ90" s="36" t="s">
        <v>139</v>
      </c>
      <c r="FK90" s="36" t="s">
        <v>139</v>
      </c>
      <c r="FL90" s="36" t="s">
        <v>139</v>
      </c>
      <c r="FM90" s="36" t="s">
        <v>139</v>
      </c>
      <c r="FN90" s="36" t="s">
        <v>139</v>
      </c>
      <c r="FO90" s="36" t="s">
        <v>139</v>
      </c>
      <c r="FP90" s="36" t="s">
        <v>139</v>
      </c>
      <c r="FQ90" s="36" t="s">
        <v>139</v>
      </c>
      <c r="FR90" s="36" t="s">
        <v>139</v>
      </c>
      <c r="FS90" s="36" t="s">
        <v>139</v>
      </c>
      <c r="FT90" s="36" t="s">
        <v>139</v>
      </c>
      <c r="FU90" s="36" t="s">
        <v>139</v>
      </c>
      <c r="FV90" s="36" t="s">
        <v>139</v>
      </c>
      <c r="FW90" s="36" t="s">
        <v>139</v>
      </c>
      <c r="FX90" s="36" t="s">
        <v>139</v>
      </c>
      <c r="FY90" s="36" t="s">
        <v>139</v>
      </c>
      <c r="FZ90" s="36" t="s">
        <v>139</v>
      </c>
      <c r="GA90" s="36" t="s">
        <v>139</v>
      </c>
      <c r="GB90" s="36" t="s">
        <v>139</v>
      </c>
      <c r="GC90" s="36" t="s">
        <v>139</v>
      </c>
      <c r="GD90" s="36" t="s">
        <v>139</v>
      </c>
      <c r="GE90" s="36" t="s">
        <v>139</v>
      </c>
      <c r="GF90" s="36" t="s">
        <v>139</v>
      </c>
      <c r="GG90" s="36" t="s">
        <v>139</v>
      </c>
      <c r="GH90" s="36" t="s">
        <v>139</v>
      </c>
      <c r="GI90" s="36" t="s">
        <v>139</v>
      </c>
      <c r="GJ90" s="36" t="s">
        <v>139</v>
      </c>
      <c r="GK90" s="36" t="s">
        <v>139</v>
      </c>
      <c r="GL90" s="36" t="s">
        <v>139</v>
      </c>
      <c r="GM90" s="36" t="s">
        <v>139</v>
      </c>
      <c r="GN90" s="36" t="s">
        <v>139</v>
      </c>
      <c r="GO90" s="36" t="s">
        <v>139</v>
      </c>
      <c r="GP90" s="36" t="s">
        <v>139</v>
      </c>
      <c r="GQ90" s="36" t="s">
        <v>139</v>
      </c>
      <c r="GR90" s="36" t="s">
        <v>139</v>
      </c>
      <c r="GS90" s="36" t="s">
        <v>139</v>
      </c>
      <c r="GT90" s="36" t="s">
        <v>139</v>
      </c>
      <c r="GU90" s="36" t="s">
        <v>139</v>
      </c>
      <c r="GV90" s="36" t="s">
        <v>139</v>
      </c>
      <c r="GW90" s="36" t="s">
        <v>139</v>
      </c>
      <c r="GX90" s="36" t="s">
        <v>139</v>
      </c>
      <c r="GY90" s="36" t="s">
        <v>139</v>
      </c>
      <c r="GZ90" s="36" t="s">
        <v>139</v>
      </c>
      <c r="HA90" s="36" t="s">
        <v>139</v>
      </c>
      <c r="HB90" s="36" t="s">
        <v>139</v>
      </c>
      <c r="HC90" s="36" t="s">
        <v>139</v>
      </c>
      <c r="HD90" s="36" t="s">
        <v>139</v>
      </c>
      <c r="HE90" s="36" t="s">
        <v>139</v>
      </c>
      <c r="HF90" s="36" t="s">
        <v>139</v>
      </c>
      <c r="HG90" s="36" t="s">
        <v>139</v>
      </c>
      <c r="HH90" s="36" t="s">
        <v>139</v>
      </c>
      <c r="HI90" s="36" t="s">
        <v>139</v>
      </c>
      <c r="HJ90" s="36" t="s">
        <v>139</v>
      </c>
      <c r="HK90" s="36" t="s">
        <v>139</v>
      </c>
      <c r="HL90" s="36" t="s">
        <v>139</v>
      </c>
      <c r="HM90" s="36" t="s">
        <v>139</v>
      </c>
      <c r="HN90" s="36" t="s">
        <v>139</v>
      </c>
      <c r="HO90" s="36" t="s">
        <v>139</v>
      </c>
      <c r="HP90" s="36" t="s">
        <v>139</v>
      </c>
      <c r="HQ90" s="36" t="s">
        <v>139</v>
      </c>
      <c r="HR90" s="36" t="s">
        <v>139</v>
      </c>
      <c r="HS90" s="36" t="s">
        <v>139</v>
      </c>
      <c r="HT90" s="36" t="s">
        <v>139</v>
      </c>
      <c r="HU90" s="36" t="s">
        <v>139</v>
      </c>
      <c r="HV90" s="36" t="s">
        <v>139</v>
      </c>
      <c r="HW90" s="36" t="s">
        <v>139</v>
      </c>
      <c r="HX90" s="36" t="s">
        <v>139</v>
      </c>
      <c r="HY90" s="36" t="s">
        <v>139</v>
      </c>
      <c r="HZ90" s="36" t="s">
        <v>139</v>
      </c>
      <c r="IA90" s="36" t="s">
        <v>139</v>
      </c>
      <c r="IB90" s="36" t="s">
        <v>139</v>
      </c>
      <c r="IC90" s="36" t="s">
        <v>139</v>
      </c>
      <c r="ID90" s="36" t="s">
        <v>139</v>
      </c>
      <c r="IE90" s="36" t="s">
        <v>139</v>
      </c>
      <c r="IF90" s="36" t="s">
        <v>139</v>
      </c>
      <c r="IG90" s="36" t="s">
        <v>139</v>
      </c>
      <c r="IH90" s="36" t="s">
        <v>139</v>
      </c>
      <c r="II90" s="36" t="s">
        <v>139</v>
      </c>
      <c r="IJ90" s="36" t="s">
        <v>139</v>
      </c>
      <c r="IK90" s="36" t="s">
        <v>139</v>
      </c>
      <c r="IL90" s="36" t="s">
        <v>139</v>
      </c>
      <c r="IM90" s="36" t="s">
        <v>139</v>
      </c>
      <c r="IN90" s="36" t="s">
        <v>139</v>
      </c>
      <c r="IO90" s="36" t="s">
        <v>139</v>
      </c>
      <c r="IP90" s="36" t="s">
        <v>139</v>
      </c>
      <c r="IQ90" s="36" t="s">
        <v>139</v>
      </c>
      <c r="IR90" s="36" t="s">
        <v>139</v>
      </c>
      <c r="IS90" s="36" t="s">
        <v>139</v>
      </c>
      <c r="IT90" s="36" t="s">
        <v>139</v>
      </c>
      <c r="IU90" s="36" t="s">
        <v>139</v>
      </c>
      <c r="IV90" s="36" t="s">
        <v>139</v>
      </c>
      <c r="IW90" s="36" t="s">
        <v>139</v>
      </c>
      <c r="IX90" s="36" t="s">
        <v>139</v>
      </c>
      <c r="IY90" s="36" t="s">
        <v>139</v>
      </c>
      <c r="IZ90" s="36" t="s">
        <v>139</v>
      </c>
      <c r="JA90" s="36" t="s">
        <v>139</v>
      </c>
      <c r="JB90" s="36" t="s">
        <v>139</v>
      </c>
      <c r="JC90" s="36" t="s">
        <v>139</v>
      </c>
      <c r="JD90" s="36" t="s">
        <v>139</v>
      </c>
      <c r="JE90" s="36" t="s">
        <v>139</v>
      </c>
      <c r="JF90" s="36" t="s">
        <v>139</v>
      </c>
      <c r="JG90" s="36" t="s">
        <v>139</v>
      </c>
      <c r="JH90" s="36" t="s">
        <v>139</v>
      </c>
      <c r="JI90" s="36" t="s">
        <v>139</v>
      </c>
      <c r="JJ90" s="36" t="s">
        <v>139</v>
      </c>
      <c r="JK90" s="36" t="s">
        <v>139</v>
      </c>
      <c r="JL90" s="36" t="s">
        <v>139</v>
      </c>
      <c r="JM90" s="36" t="s">
        <v>139</v>
      </c>
      <c r="JN90" s="36" t="s">
        <v>139</v>
      </c>
      <c r="JO90" s="36" t="s">
        <v>139</v>
      </c>
      <c r="JP90" s="36" t="s">
        <v>139</v>
      </c>
      <c r="JQ90" s="36" t="s">
        <v>139</v>
      </c>
      <c r="JR90" s="36" t="s">
        <v>139</v>
      </c>
      <c r="JS90" s="36" t="s">
        <v>139</v>
      </c>
      <c r="JT90" s="36" t="s">
        <v>139</v>
      </c>
      <c r="JU90" s="36" t="s">
        <v>139</v>
      </c>
      <c r="JV90" s="36" t="s">
        <v>139</v>
      </c>
      <c r="JW90" s="36" t="s">
        <v>139</v>
      </c>
      <c r="JX90" s="36" t="s">
        <v>139</v>
      </c>
      <c r="JY90" s="36" t="s">
        <v>139</v>
      </c>
      <c r="JZ90" s="36" t="s">
        <v>139</v>
      </c>
      <c r="KA90" s="36" t="s">
        <v>139</v>
      </c>
      <c r="KB90" s="36" t="s">
        <v>139</v>
      </c>
      <c r="KC90" s="36" t="s">
        <v>139</v>
      </c>
      <c r="KD90" s="36" t="s">
        <v>139</v>
      </c>
      <c r="KE90" s="36" t="s">
        <v>139</v>
      </c>
      <c r="KF90" s="36" t="s">
        <v>139</v>
      </c>
      <c r="KG90" s="36" t="s">
        <v>139</v>
      </c>
      <c r="KH90" s="36" t="s">
        <v>139</v>
      </c>
      <c r="KI90" s="36" t="s">
        <v>139</v>
      </c>
      <c r="KJ90" s="36" t="s">
        <v>139</v>
      </c>
      <c r="KK90" s="36" t="s">
        <v>139</v>
      </c>
      <c r="KL90" s="36" t="s">
        <v>139</v>
      </c>
      <c r="KM90" s="36" t="s">
        <v>139</v>
      </c>
      <c r="KN90" s="36" t="s">
        <v>139</v>
      </c>
      <c r="KO90" s="36" t="s">
        <v>139</v>
      </c>
      <c r="KP90" s="36" t="s">
        <v>139</v>
      </c>
      <c r="KQ90" s="36" t="s">
        <v>139</v>
      </c>
      <c r="KR90" s="36" t="s">
        <v>139</v>
      </c>
      <c r="KS90" s="36" t="s">
        <v>139</v>
      </c>
      <c r="KT90" s="36" t="s">
        <v>139</v>
      </c>
      <c r="KU90" s="36" t="s">
        <v>139</v>
      </c>
      <c r="KV90" s="36" t="s">
        <v>139</v>
      </c>
      <c r="KW90" s="36" t="s">
        <v>139</v>
      </c>
      <c r="KX90" s="36" t="s">
        <v>139</v>
      </c>
      <c r="KY90" s="36" t="s">
        <v>139</v>
      </c>
      <c r="KZ90" s="36" t="s">
        <v>139</v>
      </c>
      <c r="LA90" s="36" t="s">
        <v>139</v>
      </c>
      <c r="LB90" s="36" t="s">
        <v>139</v>
      </c>
      <c r="LC90" s="36" t="s">
        <v>139</v>
      </c>
      <c r="LD90" s="36" t="s">
        <v>139</v>
      </c>
      <c r="LE90" s="36" t="s">
        <v>139</v>
      </c>
      <c r="LF90" s="36" t="s">
        <v>139</v>
      </c>
      <c r="LG90" s="36" t="s">
        <v>139</v>
      </c>
      <c r="LH90" s="36" t="s">
        <v>139</v>
      </c>
      <c r="LI90" s="36" t="s">
        <v>139</v>
      </c>
      <c r="LJ90" s="36" t="s">
        <v>139</v>
      </c>
      <c r="LK90" s="36" t="s">
        <v>139</v>
      </c>
      <c r="LL90" s="36" t="s">
        <v>139</v>
      </c>
      <c r="LM90" s="36" t="s">
        <v>139</v>
      </c>
      <c r="LN90" s="36" t="s">
        <v>139</v>
      </c>
      <c r="LO90" s="36" t="s">
        <v>139</v>
      </c>
      <c r="LP90" s="36" t="s">
        <v>139</v>
      </c>
      <c r="LQ90" s="36" t="s">
        <v>139</v>
      </c>
      <c r="LR90" s="36" t="s">
        <v>139</v>
      </c>
      <c r="LS90" s="36" t="s">
        <v>139</v>
      </c>
      <c r="LT90" s="36" t="s">
        <v>139</v>
      </c>
      <c r="LU90" s="36" t="s">
        <v>139</v>
      </c>
      <c r="LV90" s="36" t="s">
        <v>139</v>
      </c>
      <c r="LW90" s="36" t="s">
        <v>139</v>
      </c>
      <c r="LX90" s="36" t="s">
        <v>139</v>
      </c>
      <c r="LY90" s="36" t="s">
        <v>139</v>
      </c>
      <c r="LZ90" s="36" t="s">
        <v>139</v>
      </c>
      <c r="MA90" s="36" t="s">
        <v>139</v>
      </c>
      <c r="MB90" s="36" t="s">
        <v>139</v>
      </c>
      <c r="MC90" s="36" t="s">
        <v>139</v>
      </c>
      <c r="MD90" s="36" t="s">
        <v>139</v>
      </c>
      <c r="ME90" s="36" t="s">
        <v>139</v>
      </c>
      <c r="MF90" s="36" t="s">
        <v>139</v>
      </c>
      <c r="MG90" s="36" t="s">
        <v>139</v>
      </c>
      <c r="MH90" s="36" t="s">
        <v>139</v>
      </c>
      <c r="MI90" s="36" t="s">
        <v>139</v>
      </c>
      <c r="MJ90" s="36" t="s">
        <v>139</v>
      </c>
      <c r="MK90" s="36" t="s">
        <v>139</v>
      </c>
      <c r="ML90" s="36" t="s">
        <v>139</v>
      </c>
      <c r="MM90" s="36" t="s">
        <v>139</v>
      </c>
      <c r="MN90" s="36" t="s">
        <v>139</v>
      </c>
      <c r="MO90" s="36" t="s">
        <v>139</v>
      </c>
      <c r="MP90" s="36" t="s">
        <v>139</v>
      </c>
      <c r="MQ90" s="36" t="s">
        <v>139</v>
      </c>
      <c r="MR90" s="36" t="s">
        <v>139</v>
      </c>
      <c r="MS90" s="36" t="s">
        <v>139</v>
      </c>
      <c r="MT90" s="36" t="s">
        <v>139</v>
      </c>
      <c r="MU90" s="36" t="s">
        <v>139</v>
      </c>
      <c r="MV90" s="36" t="s">
        <v>139</v>
      </c>
      <c r="MW90" s="36" t="s">
        <v>139</v>
      </c>
      <c r="MX90" s="36" t="s">
        <v>139</v>
      </c>
      <c r="MY90" s="36" t="s">
        <v>139</v>
      </c>
      <c r="MZ90" s="36" t="s">
        <v>139</v>
      </c>
      <c r="NA90" s="36" t="s">
        <v>139</v>
      </c>
      <c r="NB90" s="36" t="s">
        <v>139</v>
      </c>
      <c r="NC90" s="36" t="s">
        <v>139</v>
      </c>
      <c r="ND90" s="36" t="s">
        <v>139</v>
      </c>
      <c r="NE90" s="36" t="s">
        <v>139</v>
      </c>
      <c r="NF90" s="36" t="s">
        <v>139</v>
      </c>
      <c r="NG90" s="36" t="s">
        <v>139</v>
      </c>
      <c r="NH90" s="36" t="s">
        <v>139</v>
      </c>
      <c r="NI90" s="36" t="s">
        <v>139</v>
      </c>
      <c r="NJ90" s="36" t="s">
        <v>139</v>
      </c>
      <c r="NK90" s="36" t="s">
        <v>139</v>
      </c>
      <c r="NL90" s="36" t="s">
        <v>139</v>
      </c>
      <c r="NM90" s="36" t="s">
        <v>139</v>
      </c>
      <c r="NN90" s="36" t="s">
        <v>139</v>
      </c>
      <c r="NO90" s="36" t="s">
        <v>139</v>
      </c>
      <c r="NP90" s="36" t="s">
        <v>139</v>
      </c>
      <c r="NQ90" s="36" t="s">
        <v>139</v>
      </c>
      <c r="NR90" s="36" t="s">
        <v>139</v>
      </c>
      <c r="NS90" s="36" t="s">
        <v>139</v>
      </c>
      <c r="NT90" s="36" t="s">
        <v>139</v>
      </c>
      <c r="NU90" s="36" t="s">
        <v>139</v>
      </c>
      <c r="NV90" s="36" t="s">
        <v>139</v>
      </c>
      <c r="NW90" s="36" t="s">
        <v>139</v>
      </c>
      <c r="NX90" s="36" t="s">
        <v>139</v>
      </c>
      <c r="NY90" s="36" t="s">
        <v>139</v>
      </c>
      <c r="NZ90" s="36" t="s">
        <v>139</v>
      </c>
      <c r="OA90" s="36" t="s">
        <v>139</v>
      </c>
      <c r="OB90" s="36" t="s">
        <v>139</v>
      </c>
      <c r="OC90" s="36" t="s">
        <v>139</v>
      </c>
      <c r="OD90" s="36" t="s">
        <v>139</v>
      </c>
      <c r="OE90" s="36" t="s">
        <v>139</v>
      </c>
      <c r="OF90" s="36" t="s">
        <v>139</v>
      </c>
      <c r="OG90" s="36" t="s">
        <v>139</v>
      </c>
      <c r="OH90" s="36" t="s">
        <v>139</v>
      </c>
      <c r="OI90" s="36" t="s">
        <v>139</v>
      </c>
      <c r="OJ90" s="36" t="s">
        <v>139</v>
      </c>
      <c r="OK90" s="36" t="s">
        <v>139</v>
      </c>
      <c r="OL90" s="36" t="s">
        <v>139</v>
      </c>
      <c r="OM90" s="36" t="s">
        <v>139</v>
      </c>
      <c r="ON90" s="36" t="s">
        <v>139</v>
      </c>
      <c r="OO90" s="36" t="s">
        <v>139</v>
      </c>
      <c r="OP90" s="36" t="s">
        <v>139</v>
      </c>
      <c r="OQ90" s="36" t="s">
        <v>139</v>
      </c>
      <c r="OR90" s="36" t="s">
        <v>139</v>
      </c>
      <c r="OS90" s="36" t="s">
        <v>139</v>
      </c>
      <c r="OT90" s="36" t="s">
        <v>139</v>
      </c>
      <c r="OU90" s="36" t="s">
        <v>139</v>
      </c>
      <c r="OV90" s="36" t="s">
        <v>139</v>
      </c>
      <c r="OW90" s="36" t="s">
        <v>139</v>
      </c>
      <c r="OX90" s="36" t="s">
        <v>139</v>
      </c>
      <c r="OY90" s="36" t="s">
        <v>139</v>
      </c>
      <c r="OZ90" s="36" t="s">
        <v>139</v>
      </c>
      <c r="PA90" s="36" t="s">
        <v>139</v>
      </c>
      <c r="PB90" s="36" t="s">
        <v>139</v>
      </c>
      <c r="PC90" s="36" t="s">
        <v>139</v>
      </c>
      <c r="PD90" s="36" t="s">
        <v>139</v>
      </c>
      <c r="PE90" s="36" t="s">
        <v>139</v>
      </c>
      <c r="PF90" s="36" t="s">
        <v>139</v>
      </c>
      <c r="PG90" s="36" t="s">
        <v>139</v>
      </c>
      <c r="PH90" s="36" t="s">
        <v>139</v>
      </c>
      <c r="PI90" s="36" t="s">
        <v>139</v>
      </c>
      <c r="PJ90" s="36" t="s">
        <v>139</v>
      </c>
      <c r="PK90" s="36" t="s">
        <v>139</v>
      </c>
      <c r="PL90" s="36" t="s">
        <v>139</v>
      </c>
      <c r="PM90" s="36" t="s">
        <v>139</v>
      </c>
      <c r="PN90" s="36" t="s">
        <v>139</v>
      </c>
      <c r="PO90" s="74">
        <f>COUNTIFS($C$27:$PN$27,("&lt;"&amp;$B$3),$C$27:$PN$27,("&gt;="&amp;$B$2),$C90:$PN90,TabAsistencias[[#Headers],[1]])</f>
        <v>30</v>
      </c>
      <c r="PP90" s="74">
        <f>COUNTIFS($C$27:$PN$27,("&lt;"&amp;$B$3),$C$27:$PN$27,("&gt;="&amp;$B$2),$C90:$PN90,TabAsistencias[[#Headers],[E]])</f>
        <v>0</v>
      </c>
      <c r="PQ90" s="74">
        <f>COUNTIFS($C$27:$PN$27,("&lt;"&amp;$B$3),$C$27:$PN$27,("&gt;="&amp;$B$2),$C90:$PN90,TabAsistencias[[#Headers],[DE]])</f>
        <v>0</v>
      </c>
      <c r="PR90" s="74">
        <f>COUNTIFS($C$27:$PN$27,("&lt;"&amp;$B$3),$C$27:$PN$27,("&gt;="&amp;$B$2),$C90:$PN90,TabAsistencias[[#Headers],[V]])</f>
        <v>0</v>
      </c>
      <c r="PS90" s="74">
        <f>COUNTIFS($C$27:$PN$27,("&lt;"&amp;$B$3),$C$27:$PN$27,("&gt;="&amp;$B$2),$C90:$PN90,TabAsistencias[[#Headers],[DO]])</f>
        <v>0</v>
      </c>
      <c r="PT90" s="74">
        <f>COUNTIFS($C$27:$PN$27,("&lt;"&amp;$B$3),$C$27:$PN$27,("&gt;="&amp;$B$2),$C90:$PN90,TabAsistencias[[#Headers],[P]])</f>
        <v>0</v>
      </c>
      <c r="PU90" s="74">
        <f>COUNTIFS($C$27:$PN$27,("&lt;"&amp;$B$3),$C$27:$PN$27,("&gt;="&amp;$B$2),$C90:$PN90,TabAsistencias[[#Headers],[F]])</f>
        <v>0</v>
      </c>
      <c r="PV90" s="74">
        <f>COUNTIFS($C$27:$PN$27,("&lt;"&amp;$B$3),$C$27:$PN$27,("&gt;="&amp;$B$2),$C90:$PN90,TabAsistencias[[#Headers],[R]])</f>
        <v>0</v>
      </c>
      <c r="PW90" s="74">
        <f>COUNTIFS($C$27:$PN$27,("&lt;"&amp;$B$3),$C$27:$PN$27,("&gt;="&amp;$B$2),$C90:$PN90,TabAsistencias[[#Headers],[PP]])</f>
        <v>0</v>
      </c>
      <c r="PX90" s="74">
        <f>COUNTIFS($C$27:$PN$27,("&lt;"&amp;$B$3),$C$27:$PN$27,("&gt;="&amp;$B$2),$C90:$PN90,TabAsistencias[[#Headers],[0]])</f>
        <v>0</v>
      </c>
      <c r="PY90" s="74">
        <f>COUNTIFS($C$27:$PN$27,("&lt;"&amp;$B$3),$C$27:$PN$27,("&gt;="&amp;$B$2),$C90:$PN90,TabAsistencias[[#Headers],[IG]])</f>
        <v>0</v>
      </c>
      <c r="PZ90" s="74">
        <f>COUNTIFS($C$27:$PN$27,("&lt;"&amp;$B$3),$C$27:$PN$27,("&gt;="&amp;$B$2),$C90:$PN90,TabAsistencias[[#Headers],[NA]])</f>
        <v>0</v>
      </c>
      <c r="QA90" s="74">
        <f>COUNTIFS($C$27:$PN$27,("&lt;"&amp;$B$3),$C$27:$PN$27,("&gt;="&amp;$B$2),$C90:$PN90,TabAsistencias[[#Headers],[DF]])</f>
        <v>0</v>
      </c>
      <c r="QB90" s="74">
        <f>COUNTIFS($C$27:$PN$27,("&lt;"&amp;$B$3),$C$27:$PN$27,("&gt;="&amp;$B$2),$C90:$PN90,TabAsistencias[[#Headers],[3]])</f>
        <v>0</v>
      </c>
      <c r="QC90" s="74">
        <f>COUNTIFS($C$27:$PN$27,("&lt;"&amp;$B$3),$C$27:$PN$27,("&gt;="&amp;$B$2),$C90:$PN90,TabAsistencias[[#Headers],[CP]])</f>
        <v>0</v>
      </c>
      <c r="QD90" s="74">
        <f>COUNTIFS($C$27:$PN$27,("&lt;"&amp;$B$3),$C$27:$PN$27,("&gt;="&amp;$B$2),$C90:$PN90,TabAsistencias[[#Headers],[I]])</f>
        <v>0</v>
      </c>
      <c r="QE90" s="74">
        <f>COUNTIFS($C$27:$PN$27,("&lt;"&amp;$B$3),$C$27:$PN$27,("&gt;="&amp;$B$2),$C90:$PN90,TabAsistencias[[#Headers],[T/2]])</f>
        <v>0</v>
      </c>
      <c r="QF90" s="74">
        <f>COUNTIFS($C$27:$PN$27,("&lt;"&amp;$B$3),$C$27:$PN$27,("&gt;="&amp;$B$2),$C90:$PN90,TabAsistencias[[#Headers],[ME]])</f>
        <v>0</v>
      </c>
      <c r="QG90" s="74">
        <f>COUNTIFS($C$27:$PN$27,("&lt;"&amp;$B$3),$C$27:$PN$27,("&gt;="&amp;$B$2),$C90:$PN90,TabAsistencias[[#Headers],[DP]])</f>
        <v>0</v>
      </c>
      <c r="QH90" s="74">
        <f>COUNTIFS($C$27:$PN$27,("&lt;"&amp;$B$3),$C$27:$PN$27,("&gt;="&amp;$B$2),$C90:$PN90,TabAsistencias[[#Headers],[B]])</f>
        <v>0</v>
      </c>
      <c r="QI90" s="74">
        <f>(TabAsistencias[[#This Row],[1]]*'Tablas de informacion'!$C$124)+(TabAsistencias[[#This Row],[E]]*'Tablas de informacion'!$C$125)+(TabAsistencias[[#This Row],[DE]]*'Tablas de informacion'!C$126)+(TabAsistencias[[#This Row],[V]]*'Tablas de informacion'!C$127)+(TabAsistencias[[#This Row],[DO]]*'Tablas de informacion'!C$128)+(TabAsistencias[[#This Row],[P]]*'Tablas de informacion'!C$129)+(TabAsistencias[[#This Row],[F]]*'Tablas de informacion'!C$130)+(TabAsistencias[[#This Row],[R]]*'Tablas de informacion'!C$131)+(TabAsistencias[[#This Row],[PP]]*'Tablas de informacion'!C$132)+(TabAsistencias[[#This Row],[0]]*'Tablas de informacion'!C$133)+(TabAsistencias[[#This Row],[IG]]*'Tablas de informacion'!C$134)+(TabAsistencias[[#This Row],[NA]]*'Tablas de informacion'!C$135)+(TabAsistencias[[#This Row],[DF]]*'Tablas de informacion'!C$136)+(TabAsistencias[[#This Row],[3]]*'Tablas de informacion'!C$137)+(TabAsistencias[[#This Row],[CP]]*'Tablas de informacion'!C$138)+(TabAsistencias[[#This Row],[I]]*'Tablas de informacion'!C$139)+(TabAsistencias[[#This Row],[T/2]]*'Tablas de informacion'!C$140)+(TabAsistencias[[#This Row],[ME]]*'Tablas de informacion'!C$141)+(TabAsistencias[[#This Row],[DP]]*'Tablas de informacion'!C$142)+(TabAsistencias[[#This Row],[B]]*'Tablas de informacion'!C$143)-INT(TabAsistencias[[#This Row],[R]]/3)</f>
        <v>30</v>
      </c>
      <c r="QJ90" s="74">
        <f>COUNTIFS($C$27:$PN$27,("&lt;"&amp;$B$3),$C$27:$PN$27,("&gt;="&amp;$B$2),$C$28:$PN$28,1,$C90:$PN90,TabAsistencias[[#Headers],[1]])+
COUNTIFS($C$27:$PN$27,("&lt;"&amp;$B$3),$C$27:$PN$27,("&gt;="&amp;$B$2),$C$28:$PN$28,1,$C90:$PN90,TabAsistencias[[#Headers],[DO]])+
COUNTIFS($C$27:$PN$27,("&lt;"&amp;$B$3),$C$27:$PN$27,("&gt;="&amp;$B$2),$C$28:$PN$28,1,$C90:$PN90,TabAsistencias[[#Headers],[R]])+
COUNTIFS($C$27:$PN$27,("&lt;"&amp;$B$3),$C$27:$PN$27,("&gt;="&amp;$B$2),$C$28:$PN$28,1,$C90:$PN90,TabAsistencias[[#Headers],[NA]])+
COUNTIFS($C$27:$PN$27,("&lt;"&amp;$B$3),$C$27:$PN$27,("&gt;="&amp;$B$2),$C$28:$PN$28,1,$C90:$PN90,TabAsistencias[[#Headers],[DF]])+
COUNTIFS($C$27:$PN$27,("&lt;"&amp;$B$3),$C$27:$PN$27,("&gt;="&amp;$B$2),$C$28:$PN$28,1,$C90:$PN90,TabAsistencias[[#Headers],[3]])+
COUNTIFS($C$27:$PN$27,("&lt;"&amp;$B$3),$C$27:$PN$27,("&gt;="&amp;$B$2),$C$28:$PN$28,1,$C90:$PN90,TabAsistencias[[#Headers],[CP]])+
COUNTIFS($C$27:$PN$27,("&lt;"&amp;$B$3),$C$27:$PN$27,("&gt;="&amp;$B$2),$C$28:$PN$28,1,$C90:$PN90,TabAsistencias[[#Headers],[T/2]])</f>
        <v>4</v>
      </c>
      <c r="QK90" s="315" cm="1">
        <f t="array" ref="QK90">IFERROR(VLOOKUP(
DATEDIF((VLOOKUP(TabAsistencias[[#This Row],[ID]],TabEmpleados[],COLUMN(TabEmpleados[Fecha de ingreso]),FALSE)),Asistencias!$B$3,"Y"),
TabFactorIntegracion[],COLUMN(TabFactorIntegracion[Días vacacionales
establecidos por ley]),FALSE),0)
-
COUNTIF($AH90:$PN90,TabAsistencias[[#Headers],[V]])</f>
        <v>12</v>
      </c>
      <c r="QL90" s="319">
        <f>SUM(TabAsistencias[[#This Row],[''1]],TabAsistencias[[#This Row],[''DE]],TabAsistencias[[#This Row],[''DO]],TabAsistencias[[#This Row],[''R]],TabAsistencias[[#This Row],[''NA]],TabAsistencias[[#This Row],[''DF]],TabAsistencias[[#This Row],[''3]],TabAsistencias[[#This Row],[''CP]],TabAsistencias[[#This Row],[''T/2]],TabAsistencias[[#This Row],[''DP]])</f>
        <v>73</v>
      </c>
      <c r="QM90" s="314">
        <f>COUNTIFS($C$27:$PN$27,("&lt;"&amp;$B$5),$C$27:$PN$27,("&gt;="&amp;$B$4),$C90:$PN90,TabAsistencias[[#Headers],[1]])</f>
        <v>73</v>
      </c>
      <c r="QN90" s="314">
        <f>COUNTIFS($C$27:$PN$27,("&lt;"&amp;$B$5),$C$27:$PN$27,("&gt;="&amp;$B$4),$C90:$PN90,TabAsistencias[[#Headers],[DE]])</f>
        <v>0</v>
      </c>
      <c r="QO90" s="314">
        <f>COUNTIFS($C$27:$PN$27,("&lt;"&amp;$B$5),$C$27:$PN$27,("&gt;="&amp;$B$4),$C90:$PN90,TabAsistencias[[#Headers],[V]])</f>
        <v>0</v>
      </c>
      <c r="QP90" s="314">
        <f>COUNTIFS($C$27:$PN$27,("&lt;"&amp;$B$5),$C$27:$PN$27,("&gt;="&amp;$B$4),$C90:$PN90,TabAsistencias[[#Headers],[DO]])</f>
        <v>0</v>
      </c>
      <c r="QQ90" s="314">
        <f>COUNTIFS($C$27:$PN$27,("&lt;"&amp;$B$5),$C$27:$PN$27,("&gt;="&amp;$B$4),$C90:$PN90,TabAsistencias[[#Headers],[P]])</f>
        <v>0</v>
      </c>
      <c r="QR90" s="314">
        <f>COUNTIFS($C$27:$PN$27,("&lt;"&amp;$B$5),$C$27:$PN$27,("&gt;="&amp;$B$4),$C90:$PN90,TabAsistencias[[#Headers],[F]])</f>
        <v>0</v>
      </c>
      <c r="QS90" s="314">
        <f>COUNTIFS($C$27:$PN$27,("&lt;"&amp;$B$5),$C$27:$PN$27,("&gt;="&amp;$B$4),$C90:$PN90,TabAsistencias[[#Headers],[R]])</f>
        <v>0</v>
      </c>
      <c r="QT90" s="314">
        <f>COUNTIFS($C$27:$PN$27,("&lt;"&amp;$B$5),$C$27:$PN$27,("&gt;="&amp;$B$4),$C90:$PN90,TabAsistencias[[#Headers],[PP]])</f>
        <v>0</v>
      </c>
      <c r="QU90" s="314">
        <f>COUNTIFS($C$27:$PN$27,("&lt;"&amp;$B$5),$C$27:$PN$27,("&gt;="&amp;$B$4),$C90:$PN90,TabAsistencias[[#Headers],[0]])</f>
        <v>0</v>
      </c>
      <c r="QV90" s="314">
        <f>COUNTIFS($C$27:$PN$27,("&lt;"&amp;$B$5),$C$27:$PN$27,("&gt;="&amp;$B$4),$C90:$PN90,TabAsistencias[[#Headers],[IG]])</f>
        <v>0</v>
      </c>
      <c r="QW90" s="314">
        <f>COUNTIFS($C$27:$PN$27,("&lt;"&amp;$B$5),$C$27:$PN$27,("&gt;="&amp;$B$4),$C90:$PN90,TabAsistencias[[#Headers],[NA]])</f>
        <v>0</v>
      </c>
      <c r="QX90" s="314">
        <f>COUNTIFS($C$27:$PN$27,("&lt;"&amp;$B$5),$C$27:$PN$27,("&gt;="&amp;$B$4),$C90:$PN90,TabAsistencias[[#Headers],[DF]])</f>
        <v>0</v>
      </c>
      <c r="QY90" s="314">
        <f>COUNTIFS($C$27:$PN$27,("&lt;"&amp;$B$5),$C$27:$PN$27,("&gt;="&amp;$B$4),$C90:$PN90,TabAsistencias[[#Headers],[3]])</f>
        <v>0</v>
      </c>
      <c r="QZ90" s="314">
        <f>COUNTIFS($C$27:$PN$27,("&lt;"&amp;$B$5),$C$27:$PN$27,("&gt;="&amp;$B$4),$C90:$PN90,TabAsistencias[[#Headers],[CP]])</f>
        <v>0</v>
      </c>
      <c r="RA90" s="314">
        <f>COUNTIFS($C$27:$PN$27,("&lt;"&amp;$B$5),$C$27:$PN$27,("&gt;="&amp;$B$4),$C90:$PN90,TabAsistencias[[#Headers],[I]])</f>
        <v>0</v>
      </c>
      <c r="RB90" s="314">
        <f>COUNTIFS($C$27:$PN$27,("&lt;"&amp;$B$5),$C$27:$PN$27,("&gt;="&amp;$B$4),$C90:$PN90,TabAsistencias[[#Headers],[T/2]])</f>
        <v>0</v>
      </c>
      <c r="RC90" s="314">
        <f>COUNTIFS($C$27:$PN$27,("&lt;"&amp;$B$5),$C$27:$PN$27,("&gt;="&amp;$B$4),$C90:$PN90,TabAsistencias[[#Headers],[ME]])</f>
        <v>0</v>
      </c>
      <c r="RD90" s="314">
        <f>COUNTIFS($C$27:$PN$27,("&lt;"&amp;$B$5),$C$27:$PN$27,("&gt;="&amp;$B$4),$C90:$PN90,TabAsistencias[[#Headers],[DP]])</f>
        <v>0</v>
      </c>
      <c r="RE90" s="314">
        <f>COUNTIFS($C$27:$PN$27,("&lt;"&amp;$B$5),$C$27:$PN$27,("&gt;="&amp;$B$4),$C90:$PN90,TabAsistencias[[#Headers],[B]])</f>
        <v>0</v>
      </c>
      <c r="RF90" s="314">
        <f>COUNTIFS($C$27:$PN$27,("&lt;"&amp;$B$5),$C$27:$PN$27,("&gt;="&amp;$B$4),$C$28:$PN$28,1,$C90:$PN90,TabAsistencias[[#Headers],[1]])+
COUNTIFS($C$27:$PN$27,("&lt;"&amp;$B$5),$C$27:$PN$27,("&gt;="&amp;$B$4),$C$28:$PN$28,1,$C90:$PN90,TabAsistencias[[#Headers],[DO]])+
COUNTIFS($C$27:$PN$27,("&lt;"&amp;$B$5),$C$27:$PN$27,("&gt;="&amp;$B$4),$C$28:$PN$28,1,$C90:$PN90,TabAsistencias[[#Headers],[R]])+
COUNTIFS($C$27:$PN$27,("&lt;"&amp;$B$5),$C$27:$PN$27,("&gt;="&amp;$B$4),$C$28:$PN$28,1,$C90:$PN90,TabAsistencias[[#Headers],[NA]])+
COUNTIFS($C$27:$PN$27,("&lt;"&amp;$B$5),$C$27:$PN$27,("&gt;="&amp;$B$4),$C$28:$PN$28,1,$C90:$PN90,TabAsistencias[[#Headers],[DF]])+
COUNTIFS($C$27:$PN$27,("&lt;"&amp;$B$5),$C$27:$PN$27,("&gt;="&amp;$B$4),$C$28:$PN$28,1,$C90:$PN90,TabAsistencias[[#Headers],[3]])+
COUNTIFS($C$27:$PN$27,("&lt;"&amp;$B$5),$C$27:$PN$27,("&gt;="&amp;$B$4),$C$28:$PN$28,1,$C90:$PN90,TabAsistencias[[#Headers],[CP]])+
COUNTIFS($C$27:$PN$27,("&lt;"&amp;$B$5),$C$27:$PN$27,("&gt;="&amp;$B$4),$C$28:$PN$28,1,$C90:$PN90,TabAsistencias[[#Headers],[T/2]])</f>
        <v>11</v>
      </c>
      <c r="RG90" s="320" cm="1">
        <f t="array" ref="RG90">IFERROR(VLOOKUP(
DATEDIF((VLOOKUP(TabAsistencias[[#This Row],[ID]],TabEmpleados[],COLUMN(TabEmpleados[Fecha de alta NSS]),FALSE)),Asistencias!$B$3,"Y"),
TabFactorIntegracion[],COLUMN(TabFactorIntegracion[Días vacacionales
establecidos por ley]),FALSE),0)
-
COUNTIF($AH90:$PN90,TabAsistencias[[#Headers],[V]])</f>
        <v>12</v>
      </c>
    </row>
    <row r="91" spans="1:475" x14ac:dyDescent="0.25">
      <c r="A91" s="92">
        <f t="shared" si="434"/>
        <v>61</v>
      </c>
      <c r="B91" s="30" t="str" cm="1">
        <f t="array" ref="B91">VLOOKUP(TabAsistencias[[#This Row],[ID]],TabEmpleados[],COLUMN(TabEmpleados[Nombre]),FALSE)</f>
        <v xml:space="preserve">SOSA GONZALEZ ALEJANDRO </v>
      </c>
      <c r="C91" s="36" t="s">
        <v>139</v>
      </c>
      <c r="D91" s="36" t="s">
        <v>139</v>
      </c>
      <c r="E91" s="36" t="s">
        <v>139</v>
      </c>
      <c r="F91" s="36" t="s">
        <v>139</v>
      </c>
      <c r="G91" s="36" t="s">
        <v>139</v>
      </c>
      <c r="H91" s="36" t="s">
        <v>139</v>
      </c>
      <c r="I91" s="36" t="s">
        <v>139</v>
      </c>
      <c r="J91" s="36" t="s">
        <v>139</v>
      </c>
      <c r="K91" s="36" t="s">
        <v>139</v>
      </c>
      <c r="L91" s="36" t="s">
        <v>139</v>
      </c>
      <c r="M91" s="36" t="s">
        <v>139</v>
      </c>
      <c r="N91" s="36" t="s">
        <v>139</v>
      </c>
      <c r="O91" s="36" t="s">
        <v>139</v>
      </c>
      <c r="P91" s="36" t="s">
        <v>139</v>
      </c>
      <c r="Q91" s="36" t="s">
        <v>139</v>
      </c>
      <c r="R91" s="36" t="s">
        <v>139</v>
      </c>
      <c r="S91" s="36" t="s">
        <v>139</v>
      </c>
      <c r="T91" s="36" t="s">
        <v>139</v>
      </c>
      <c r="U91" s="36" t="s">
        <v>139</v>
      </c>
      <c r="V91" s="36" t="s">
        <v>139</v>
      </c>
      <c r="W91" s="36" t="s">
        <v>139</v>
      </c>
      <c r="X91" s="36" t="s">
        <v>139</v>
      </c>
      <c r="Y91" s="36" t="s">
        <v>139</v>
      </c>
      <c r="Z91" s="36" t="s">
        <v>139</v>
      </c>
      <c r="AA91" s="36" t="s">
        <v>139</v>
      </c>
      <c r="AB91" s="36" t="s">
        <v>139</v>
      </c>
      <c r="AC91" s="36" t="s">
        <v>139</v>
      </c>
      <c r="AD91" s="36" t="s">
        <v>139</v>
      </c>
      <c r="AE91" s="36" t="s">
        <v>139</v>
      </c>
      <c r="AF91" s="36" t="s">
        <v>139</v>
      </c>
      <c r="AG91" s="36" t="s">
        <v>139</v>
      </c>
      <c r="AH91" s="36" t="s">
        <v>139</v>
      </c>
      <c r="AI91" s="36" t="s">
        <v>139</v>
      </c>
      <c r="AJ91" s="36" t="s">
        <v>139</v>
      </c>
      <c r="AK91" s="36" t="s">
        <v>139</v>
      </c>
      <c r="AL91" s="36" t="s">
        <v>139</v>
      </c>
      <c r="AM91" s="36" t="s">
        <v>139</v>
      </c>
      <c r="AN91" s="36" t="s">
        <v>139</v>
      </c>
      <c r="AO91" s="36" t="s">
        <v>139</v>
      </c>
      <c r="AP91" s="36" t="s">
        <v>139</v>
      </c>
      <c r="AQ91" s="36" t="s">
        <v>139</v>
      </c>
      <c r="AR91" s="36" t="s">
        <v>139</v>
      </c>
      <c r="AS91" s="36" t="s">
        <v>139</v>
      </c>
      <c r="AT91" s="36" t="s">
        <v>139</v>
      </c>
      <c r="AU91" s="36" t="s">
        <v>139</v>
      </c>
      <c r="AV91" s="36" t="s">
        <v>139</v>
      </c>
      <c r="AW91" s="36" t="s">
        <v>139</v>
      </c>
      <c r="AX91" s="36" t="s">
        <v>139</v>
      </c>
      <c r="AY91" s="36" t="s">
        <v>139</v>
      </c>
      <c r="AZ91" s="36" t="s">
        <v>139</v>
      </c>
      <c r="BA91" s="36" t="s">
        <v>139</v>
      </c>
      <c r="BB91" s="36" t="s">
        <v>139</v>
      </c>
      <c r="BC91" s="36" t="s">
        <v>139</v>
      </c>
      <c r="BD91" s="36" t="s">
        <v>139</v>
      </c>
      <c r="BE91" s="36" t="s">
        <v>139</v>
      </c>
      <c r="BF91" s="36" t="s">
        <v>139</v>
      </c>
      <c r="BG91" s="36" t="s">
        <v>139</v>
      </c>
      <c r="BH91" s="36" t="s">
        <v>139</v>
      </c>
      <c r="BI91" s="36" t="s">
        <v>139</v>
      </c>
      <c r="BJ91" s="36" t="s">
        <v>139</v>
      </c>
      <c r="BK91" s="36" t="s">
        <v>139</v>
      </c>
      <c r="BL91" s="36" t="s">
        <v>139</v>
      </c>
      <c r="BM91" s="36" t="s">
        <v>139</v>
      </c>
      <c r="BN91" s="36" t="s">
        <v>139</v>
      </c>
      <c r="BO91" s="36" t="s">
        <v>139</v>
      </c>
      <c r="BP91" s="36" t="s">
        <v>139</v>
      </c>
      <c r="BQ91" s="36" t="s">
        <v>139</v>
      </c>
      <c r="BR91" s="36" t="s">
        <v>139</v>
      </c>
      <c r="BS91" s="36" t="s">
        <v>139</v>
      </c>
      <c r="BT91" s="36" t="s">
        <v>139</v>
      </c>
      <c r="BU91" s="36" t="s">
        <v>139</v>
      </c>
      <c r="BV91" s="36" t="s">
        <v>139</v>
      </c>
      <c r="BW91" s="36" t="s">
        <v>139</v>
      </c>
      <c r="BX91" s="36" t="s">
        <v>139</v>
      </c>
      <c r="BY91" s="36" t="s">
        <v>139</v>
      </c>
      <c r="BZ91" s="36" t="s">
        <v>139</v>
      </c>
      <c r="CA91" s="36" t="s">
        <v>139</v>
      </c>
      <c r="CB91" s="36" t="s">
        <v>139</v>
      </c>
      <c r="CC91" s="36" t="s">
        <v>139</v>
      </c>
      <c r="CD91" s="36" t="s">
        <v>139</v>
      </c>
      <c r="CE91" s="36" t="s">
        <v>139</v>
      </c>
      <c r="CF91" s="36" t="s">
        <v>139</v>
      </c>
      <c r="CG91" s="36" t="s">
        <v>139</v>
      </c>
      <c r="CH91" s="36" t="s">
        <v>139</v>
      </c>
      <c r="CI91" s="36" t="s">
        <v>139</v>
      </c>
      <c r="CJ91" s="36" t="s">
        <v>139</v>
      </c>
      <c r="CK91" s="36" t="s">
        <v>139</v>
      </c>
      <c r="CL91" s="36" t="s">
        <v>139</v>
      </c>
      <c r="CM91" s="36" t="s">
        <v>139</v>
      </c>
      <c r="CN91" s="36" t="s">
        <v>139</v>
      </c>
      <c r="CO91" s="36" t="s">
        <v>139</v>
      </c>
      <c r="CP91" s="36" t="s">
        <v>139</v>
      </c>
      <c r="CQ91" s="36" t="s">
        <v>139</v>
      </c>
      <c r="CR91" s="36" t="s">
        <v>139</v>
      </c>
      <c r="CS91" s="36" t="s">
        <v>139</v>
      </c>
      <c r="CT91" s="36" t="s">
        <v>139</v>
      </c>
      <c r="CU91" s="36" t="s">
        <v>139</v>
      </c>
      <c r="CV91" s="36" t="s">
        <v>139</v>
      </c>
      <c r="CW91" s="36" t="s">
        <v>139</v>
      </c>
      <c r="CX91" s="36" t="s">
        <v>139</v>
      </c>
      <c r="CY91" s="36" t="s">
        <v>139</v>
      </c>
      <c r="CZ91" s="36" t="s">
        <v>139</v>
      </c>
      <c r="DA91" s="36" t="s">
        <v>139</v>
      </c>
      <c r="DB91" s="36" t="s">
        <v>139</v>
      </c>
      <c r="DC91" s="36" t="s">
        <v>139</v>
      </c>
      <c r="DD91" s="36" t="s">
        <v>139</v>
      </c>
      <c r="DE91" s="36" t="s">
        <v>139</v>
      </c>
      <c r="DF91" s="36" t="s">
        <v>139</v>
      </c>
      <c r="DG91" s="36" t="s">
        <v>139</v>
      </c>
      <c r="DH91" s="36" t="s">
        <v>139</v>
      </c>
      <c r="DI91" s="36" t="s">
        <v>139</v>
      </c>
      <c r="DJ91" s="36" t="s">
        <v>139</v>
      </c>
      <c r="DK91" s="36" t="s">
        <v>139</v>
      </c>
      <c r="DL91" s="36" t="s">
        <v>139</v>
      </c>
      <c r="DM91" s="36" t="s">
        <v>139</v>
      </c>
      <c r="DN91" s="36" t="s">
        <v>139</v>
      </c>
      <c r="DO91" s="36" t="s">
        <v>139</v>
      </c>
      <c r="DP91" s="36" t="s">
        <v>139</v>
      </c>
      <c r="DQ91" s="36" t="s">
        <v>139</v>
      </c>
      <c r="DR91" s="36" t="s">
        <v>139</v>
      </c>
      <c r="DS91" s="36" t="s">
        <v>139</v>
      </c>
      <c r="DT91" s="36" t="s">
        <v>139</v>
      </c>
      <c r="DU91" s="36" t="s">
        <v>139</v>
      </c>
      <c r="DV91" s="36" t="s">
        <v>139</v>
      </c>
      <c r="DW91" s="36" t="s">
        <v>139</v>
      </c>
      <c r="DX91" s="36" t="s">
        <v>139</v>
      </c>
      <c r="DY91" s="36" t="s">
        <v>139</v>
      </c>
      <c r="DZ91" s="36" t="s">
        <v>139</v>
      </c>
      <c r="EA91" s="36" t="s">
        <v>139</v>
      </c>
      <c r="EB91" s="36" t="s">
        <v>139</v>
      </c>
      <c r="EC91" s="36" t="s">
        <v>139</v>
      </c>
      <c r="ED91" s="36" t="s">
        <v>139</v>
      </c>
      <c r="EE91" s="36" t="s">
        <v>139</v>
      </c>
      <c r="EF91" s="36" t="s">
        <v>139</v>
      </c>
      <c r="EG91" s="36" t="s">
        <v>139</v>
      </c>
      <c r="EH91" s="36" t="s">
        <v>139</v>
      </c>
      <c r="EI91" s="36" t="s">
        <v>139</v>
      </c>
      <c r="EJ91" s="36" t="s">
        <v>139</v>
      </c>
      <c r="EK91" s="36" t="s">
        <v>139</v>
      </c>
      <c r="EL91" s="36" t="s">
        <v>139</v>
      </c>
      <c r="EM91" s="36" t="s">
        <v>139</v>
      </c>
      <c r="EN91" s="36" t="s">
        <v>139</v>
      </c>
      <c r="EO91" s="36" t="s">
        <v>139</v>
      </c>
      <c r="EP91" s="36" t="s">
        <v>139</v>
      </c>
      <c r="EQ91" s="36" t="s">
        <v>139</v>
      </c>
      <c r="ER91" s="36" t="s">
        <v>139</v>
      </c>
      <c r="ES91" s="36" t="s">
        <v>139</v>
      </c>
      <c r="ET91" s="36" t="s">
        <v>139</v>
      </c>
      <c r="EU91" s="36" t="s">
        <v>139</v>
      </c>
      <c r="EV91" s="36" t="s">
        <v>139</v>
      </c>
      <c r="EW91" s="36" t="s">
        <v>139</v>
      </c>
      <c r="EX91" s="36" t="s">
        <v>139</v>
      </c>
      <c r="EY91" s="36" t="s">
        <v>139</v>
      </c>
      <c r="EZ91" s="36" t="s">
        <v>139</v>
      </c>
      <c r="FA91" s="36" t="s">
        <v>139</v>
      </c>
      <c r="FB91" s="36" t="s">
        <v>139</v>
      </c>
      <c r="FC91" s="36" t="s">
        <v>139</v>
      </c>
      <c r="FD91" s="36" t="s">
        <v>139</v>
      </c>
      <c r="FE91" s="36" t="s">
        <v>139</v>
      </c>
      <c r="FF91" s="36" t="s">
        <v>139</v>
      </c>
      <c r="FG91" s="36" t="s">
        <v>139</v>
      </c>
      <c r="FH91" s="36" t="s">
        <v>139</v>
      </c>
      <c r="FI91" s="36" t="s">
        <v>139</v>
      </c>
      <c r="FJ91" s="36" t="s">
        <v>139</v>
      </c>
      <c r="FK91" s="36" t="s">
        <v>139</v>
      </c>
      <c r="FL91" s="36" t="s">
        <v>139</v>
      </c>
      <c r="FM91" s="36" t="s">
        <v>139</v>
      </c>
      <c r="FN91" s="36" t="s">
        <v>139</v>
      </c>
      <c r="FO91" s="36" t="s">
        <v>139</v>
      </c>
      <c r="FP91" s="36" t="s">
        <v>139</v>
      </c>
      <c r="FQ91" s="36" t="s">
        <v>139</v>
      </c>
      <c r="FR91" s="36" t="s">
        <v>139</v>
      </c>
      <c r="FS91" s="36" t="s">
        <v>139</v>
      </c>
      <c r="FT91" s="36" t="s">
        <v>139</v>
      </c>
      <c r="FU91" s="36" t="s">
        <v>139</v>
      </c>
      <c r="FV91" s="36" t="s">
        <v>139</v>
      </c>
      <c r="FW91" s="36" t="s">
        <v>139</v>
      </c>
      <c r="FX91" s="36" t="s">
        <v>139</v>
      </c>
      <c r="FY91" s="36" t="s">
        <v>139</v>
      </c>
      <c r="FZ91" s="36" t="s">
        <v>139</v>
      </c>
      <c r="GA91" s="36" t="s">
        <v>139</v>
      </c>
      <c r="GB91" s="36" t="s">
        <v>139</v>
      </c>
      <c r="GC91" s="36" t="s">
        <v>139</v>
      </c>
      <c r="GD91" s="36" t="s">
        <v>139</v>
      </c>
      <c r="GE91" s="36" t="s">
        <v>139</v>
      </c>
      <c r="GF91" s="36" t="s">
        <v>139</v>
      </c>
      <c r="GG91" s="36" t="s">
        <v>139</v>
      </c>
      <c r="GH91" s="36" t="s">
        <v>139</v>
      </c>
      <c r="GI91" s="36" t="s">
        <v>139</v>
      </c>
      <c r="GJ91" s="36" t="s">
        <v>139</v>
      </c>
      <c r="GK91" s="36" t="s">
        <v>139</v>
      </c>
      <c r="GL91" s="36" t="s">
        <v>139</v>
      </c>
      <c r="GM91" s="36" t="s">
        <v>139</v>
      </c>
      <c r="GN91" s="36" t="s">
        <v>139</v>
      </c>
      <c r="GO91" s="36" t="s">
        <v>139</v>
      </c>
      <c r="GP91" s="36" t="s">
        <v>139</v>
      </c>
      <c r="GQ91" s="36" t="s">
        <v>139</v>
      </c>
      <c r="GR91" s="36" t="s">
        <v>139</v>
      </c>
      <c r="GS91" s="36" t="s">
        <v>139</v>
      </c>
      <c r="GT91" s="36" t="s">
        <v>139</v>
      </c>
      <c r="GU91" s="36" t="s">
        <v>139</v>
      </c>
      <c r="GV91" s="36" t="s">
        <v>139</v>
      </c>
      <c r="GW91" s="36" t="s">
        <v>139</v>
      </c>
      <c r="GX91" s="36" t="s">
        <v>139</v>
      </c>
      <c r="GY91" s="36" t="s">
        <v>139</v>
      </c>
      <c r="GZ91" s="36" t="s">
        <v>139</v>
      </c>
      <c r="HA91" s="36" t="s">
        <v>139</v>
      </c>
      <c r="HB91" s="36" t="s">
        <v>139</v>
      </c>
      <c r="HC91" s="36" t="s">
        <v>139</v>
      </c>
      <c r="HD91" s="36" t="s">
        <v>139</v>
      </c>
      <c r="HE91" s="36" t="s">
        <v>139</v>
      </c>
      <c r="HF91" s="36" t="s">
        <v>139</v>
      </c>
      <c r="HG91" s="36" t="s">
        <v>139</v>
      </c>
      <c r="HH91" s="36" t="s">
        <v>139</v>
      </c>
      <c r="HI91" s="36" t="s">
        <v>139</v>
      </c>
      <c r="HJ91" s="36" t="s">
        <v>139</v>
      </c>
      <c r="HK91" s="36" t="s">
        <v>139</v>
      </c>
      <c r="HL91" s="36" t="s">
        <v>139</v>
      </c>
      <c r="HM91" s="36" t="s">
        <v>139</v>
      </c>
      <c r="HN91" s="36" t="s">
        <v>139</v>
      </c>
      <c r="HO91" s="36" t="s">
        <v>139</v>
      </c>
      <c r="HP91" s="36" t="s">
        <v>139</v>
      </c>
      <c r="HQ91" s="36" t="s">
        <v>139</v>
      </c>
      <c r="HR91" s="36" t="s">
        <v>139</v>
      </c>
      <c r="HS91" s="36" t="s">
        <v>139</v>
      </c>
      <c r="HT91" s="36" t="s">
        <v>139</v>
      </c>
      <c r="HU91" s="36" t="s">
        <v>139</v>
      </c>
      <c r="HV91" s="36" t="s">
        <v>139</v>
      </c>
      <c r="HW91" s="36" t="s">
        <v>139</v>
      </c>
      <c r="HX91" s="36" t="s">
        <v>139</v>
      </c>
      <c r="HY91" s="36" t="s">
        <v>139</v>
      </c>
      <c r="HZ91" s="36" t="s">
        <v>139</v>
      </c>
      <c r="IA91" s="36" t="s">
        <v>139</v>
      </c>
      <c r="IB91" s="36" t="s">
        <v>139</v>
      </c>
      <c r="IC91" s="36" t="s">
        <v>139</v>
      </c>
      <c r="ID91" s="36" t="s">
        <v>139</v>
      </c>
      <c r="IE91" s="36" t="s">
        <v>139</v>
      </c>
      <c r="IF91" s="36" t="s">
        <v>139</v>
      </c>
      <c r="IG91" s="36" t="s">
        <v>139</v>
      </c>
      <c r="IH91" s="36" t="s">
        <v>139</v>
      </c>
      <c r="II91" s="36" t="s">
        <v>139</v>
      </c>
      <c r="IJ91" s="36" t="s">
        <v>139</v>
      </c>
      <c r="IK91" s="36" t="s">
        <v>139</v>
      </c>
      <c r="IL91" s="36" t="s">
        <v>139</v>
      </c>
      <c r="IM91" s="36" t="s">
        <v>139</v>
      </c>
      <c r="IN91" s="36" t="s">
        <v>139</v>
      </c>
      <c r="IO91" s="36" t="s">
        <v>139</v>
      </c>
      <c r="IP91" s="36" t="s">
        <v>139</v>
      </c>
      <c r="IQ91" s="36" t="s">
        <v>139</v>
      </c>
      <c r="IR91" s="36" t="s">
        <v>139</v>
      </c>
      <c r="IS91" s="36" t="s">
        <v>139</v>
      </c>
      <c r="IT91" s="36" t="s">
        <v>139</v>
      </c>
      <c r="IU91" s="36" t="s">
        <v>139</v>
      </c>
      <c r="IV91" s="36" t="s">
        <v>139</v>
      </c>
      <c r="IW91" s="36" t="s">
        <v>139</v>
      </c>
      <c r="IX91" s="36" t="s">
        <v>139</v>
      </c>
      <c r="IY91" s="36" t="s">
        <v>139</v>
      </c>
      <c r="IZ91" s="36" t="s">
        <v>139</v>
      </c>
      <c r="JA91" s="36" t="s">
        <v>139</v>
      </c>
      <c r="JB91" s="36" t="s">
        <v>139</v>
      </c>
      <c r="JC91" s="36" t="s">
        <v>139</v>
      </c>
      <c r="JD91" s="36" t="s">
        <v>139</v>
      </c>
      <c r="JE91" s="36" t="s">
        <v>139</v>
      </c>
      <c r="JF91" s="36" t="s">
        <v>139</v>
      </c>
      <c r="JG91" s="36" t="s">
        <v>139</v>
      </c>
      <c r="JH91" s="36" t="s">
        <v>139</v>
      </c>
      <c r="JI91" s="36" t="s">
        <v>139</v>
      </c>
      <c r="JJ91" s="36" t="s">
        <v>139</v>
      </c>
      <c r="JK91" s="36" t="s">
        <v>139</v>
      </c>
      <c r="JL91" s="36" t="s">
        <v>139</v>
      </c>
      <c r="JM91" s="36" t="s">
        <v>139</v>
      </c>
      <c r="JN91" s="36" t="s">
        <v>139</v>
      </c>
      <c r="JO91" s="36" t="s">
        <v>139</v>
      </c>
      <c r="JP91" s="36" t="s">
        <v>139</v>
      </c>
      <c r="JQ91" s="36" t="s">
        <v>139</v>
      </c>
      <c r="JR91" s="36" t="s">
        <v>139</v>
      </c>
      <c r="JS91" s="36" t="s">
        <v>139</v>
      </c>
      <c r="JT91" s="36" t="s">
        <v>139</v>
      </c>
      <c r="JU91" s="36" t="s">
        <v>139</v>
      </c>
      <c r="JV91" s="36" t="s">
        <v>139</v>
      </c>
      <c r="JW91" s="36" t="s">
        <v>139</v>
      </c>
      <c r="JX91" s="36" t="s">
        <v>139</v>
      </c>
      <c r="JY91" s="36" t="s">
        <v>139</v>
      </c>
      <c r="JZ91" s="36" t="s">
        <v>139</v>
      </c>
      <c r="KA91" s="36" t="s">
        <v>139</v>
      </c>
      <c r="KB91" s="36" t="s">
        <v>139</v>
      </c>
      <c r="KC91" s="36" t="s">
        <v>139</v>
      </c>
      <c r="KD91" s="36" t="s">
        <v>139</v>
      </c>
      <c r="KE91" s="36" t="s">
        <v>139</v>
      </c>
      <c r="KF91" s="36" t="s">
        <v>139</v>
      </c>
      <c r="KG91" s="36" t="s">
        <v>139</v>
      </c>
      <c r="KH91" s="36" t="s">
        <v>139</v>
      </c>
      <c r="KI91" s="36" t="s">
        <v>139</v>
      </c>
      <c r="KJ91" s="36" t="s">
        <v>139</v>
      </c>
      <c r="KK91" s="36" t="s">
        <v>139</v>
      </c>
      <c r="KL91" s="36" t="s">
        <v>139</v>
      </c>
      <c r="KM91" s="36" t="s">
        <v>139</v>
      </c>
      <c r="KN91" s="36" t="s">
        <v>139</v>
      </c>
      <c r="KO91" s="36" t="s">
        <v>139</v>
      </c>
      <c r="KP91" s="36" t="s">
        <v>139</v>
      </c>
      <c r="KQ91" s="36" t="s">
        <v>139</v>
      </c>
      <c r="KR91" s="36" t="s">
        <v>139</v>
      </c>
      <c r="KS91" s="36" t="s">
        <v>139</v>
      </c>
      <c r="KT91" s="36" t="s">
        <v>139</v>
      </c>
      <c r="KU91" s="36" t="s">
        <v>139</v>
      </c>
      <c r="KV91" s="36" t="s">
        <v>139</v>
      </c>
      <c r="KW91" s="36" t="s">
        <v>139</v>
      </c>
      <c r="KX91" s="36" t="s">
        <v>139</v>
      </c>
      <c r="KY91" s="36" t="s">
        <v>139</v>
      </c>
      <c r="KZ91" s="36" t="s">
        <v>139</v>
      </c>
      <c r="LA91" s="36" t="s">
        <v>139</v>
      </c>
      <c r="LB91" s="36" t="s">
        <v>139</v>
      </c>
      <c r="LC91" s="36" t="s">
        <v>139</v>
      </c>
      <c r="LD91" s="36" t="s">
        <v>139</v>
      </c>
      <c r="LE91" s="36" t="s">
        <v>139</v>
      </c>
      <c r="LF91" s="36" t="s">
        <v>139</v>
      </c>
      <c r="LG91" s="36" t="s">
        <v>139</v>
      </c>
      <c r="LH91" s="36" t="s">
        <v>139</v>
      </c>
      <c r="LI91" s="36" t="s">
        <v>139</v>
      </c>
      <c r="LJ91" s="36" t="s">
        <v>139</v>
      </c>
      <c r="LK91" s="36" t="s">
        <v>139</v>
      </c>
      <c r="LL91" s="36" t="s">
        <v>139</v>
      </c>
      <c r="LM91" s="36" t="s">
        <v>139</v>
      </c>
      <c r="LN91" s="36" t="s">
        <v>139</v>
      </c>
      <c r="LO91" s="36" t="s">
        <v>139</v>
      </c>
      <c r="LP91" s="36" t="s">
        <v>139</v>
      </c>
      <c r="LQ91" s="36" t="s">
        <v>139</v>
      </c>
      <c r="LR91" s="36" t="s">
        <v>139</v>
      </c>
      <c r="LS91" s="36" t="s">
        <v>139</v>
      </c>
      <c r="LT91" s="36" t="s">
        <v>139</v>
      </c>
      <c r="LU91" s="36" t="s">
        <v>139</v>
      </c>
      <c r="LV91" s="36" t="s">
        <v>139</v>
      </c>
      <c r="LW91" s="36" t="s">
        <v>139</v>
      </c>
      <c r="LX91" s="36" t="s">
        <v>139</v>
      </c>
      <c r="LY91" s="36" t="s">
        <v>139</v>
      </c>
      <c r="LZ91" s="36" t="s">
        <v>139</v>
      </c>
      <c r="MA91" s="36" t="s">
        <v>139</v>
      </c>
      <c r="MB91" s="36" t="s">
        <v>139</v>
      </c>
      <c r="MC91" s="36" t="s">
        <v>139</v>
      </c>
      <c r="MD91" s="36" t="s">
        <v>139</v>
      </c>
      <c r="ME91" s="36" t="s">
        <v>139</v>
      </c>
      <c r="MF91" s="36" t="s">
        <v>139</v>
      </c>
      <c r="MG91" s="36" t="s">
        <v>139</v>
      </c>
      <c r="MH91" s="36" t="s">
        <v>139</v>
      </c>
      <c r="MI91" s="36" t="s">
        <v>139</v>
      </c>
      <c r="MJ91" s="36" t="s">
        <v>139</v>
      </c>
      <c r="MK91" s="36" t="s">
        <v>139</v>
      </c>
      <c r="ML91" s="36" t="s">
        <v>139</v>
      </c>
      <c r="MM91" s="36" t="s">
        <v>139</v>
      </c>
      <c r="MN91" s="36" t="s">
        <v>139</v>
      </c>
      <c r="MO91" s="36" t="s">
        <v>139</v>
      </c>
      <c r="MP91" s="36" t="s">
        <v>139</v>
      </c>
      <c r="MQ91" s="36" t="s">
        <v>139</v>
      </c>
      <c r="MR91" s="36" t="s">
        <v>139</v>
      </c>
      <c r="MS91" s="36" t="s">
        <v>139</v>
      </c>
      <c r="MT91" s="36" t="s">
        <v>139</v>
      </c>
      <c r="MU91" s="36" t="s">
        <v>139</v>
      </c>
      <c r="MV91" s="36" t="s">
        <v>139</v>
      </c>
      <c r="MW91" s="36" t="s">
        <v>139</v>
      </c>
      <c r="MX91" s="36" t="s">
        <v>139</v>
      </c>
      <c r="MY91" s="36" t="s">
        <v>139</v>
      </c>
      <c r="MZ91" s="36" t="s">
        <v>139</v>
      </c>
      <c r="NA91" s="36" t="s">
        <v>139</v>
      </c>
      <c r="NB91" s="36" t="s">
        <v>139</v>
      </c>
      <c r="NC91" s="36" t="s">
        <v>139</v>
      </c>
      <c r="ND91" s="36" t="s">
        <v>139</v>
      </c>
      <c r="NE91" s="36" t="s">
        <v>139</v>
      </c>
      <c r="NF91" s="36" t="s">
        <v>139</v>
      </c>
      <c r="NG91" s="36" t="s">
        <v>139</v>
      </c>
      <c r="NH91" s="36" t="s">
        <v>139</v>
      </c>
      <c r="NI91" s="36" t="s">
        <v>139</v>
      </c>
      <c r="NJ91" s="36" t="s">
        <v>139</v>
      </c>
      <c r="NK91" s="36" t="s">
        <v>139</v>
      </c>
      <c r="NL91" s="36" t="s">
        <v>139</v>
      </c>
      <c r="NM91" s="36" t="s">
        <v>139</v>
      </c>
      <c r="NN91" s="36" t="s">
        <v>139</v>
      </c>
      <c r="NO91" s="36" t="s">
        <v>139</v>
      </c>
      <c r="NP91" s="36" t="s">
        <v>139</v>
      </c>
      <c r="NQ91" s="36" t="s">
        <v>139</v>
      </c>
      <c r="NR91" s="36" t="s">
        <v>139</v>
      </c>
      <c r="NS91" s="36" t="s">
        <v>139</v>
      </c>
      <c r="NT91" s="36" t="s">
        <v>139</v>
      </c>
      <c r="NU91" s="36" t="s">
        <v>139</v>
      </c>
      <c r="NV91" s="36" t="s">
        <v>139</v>
      </c>
      <c r="NW91" s="36" t="s">
        <v>139</v>
      </c>
      <c r="NX91" s="36" t="s">
        <v>139</v>
      </c>
      <c r="NY91" s="36" t="s">
        <v>139</v>
      </c>
      <c r="NZ91" s="36" t="s">
        <v>139</v>
      </c>
      <c r="OA91" s="36" t="s">
        <v>139</v>
      </c>
      <c r="OB91" s="36" t="s">
        <v>139</v>
      </c>
      <c r="OC91" s="36" t="s">
        <v>139</v>
      </c>
      <c r="OD91" s="36" t="s">
        <v>139</v>
      </c>
      <c r="OE91" s="36" t="s">
        <v>139</v>
      </c>
      <c r="OF91" s="36" t="s">
        <v>139</v>
      </c>
      <c r="OG91" s="36" t="s">
        <v>139</v>
      </c>
      <c r="OH91" s="36" t="s">
        <v>139</v>
      </c>
      <c r="OI91" s="36" t="s">
        <v>139</v>
      </c>
      <c r="OJ91" s="36" t="s">
        <v>139</v>
      </c>
      <c r="OK91" s="36" t="s">
        <v>139</v>
      </c>
      <c r="OL91" s="36" t="s">
        <v>139</v>
      </c>
      <c r="OM91" s="36" t="s">
        <v>139</v>
      </c>
      <c r="ON91" s="36" t="s">
        <v>139</v>
      </c>
      <c r="OO91" s="36" t="s">
        <v>139</v>
      </c>
      <c r="OP91" s="36" t="s">
        <v>139</v>
      </c>
      <c r="OQ91" s="36" t="s">
        <v>139</v>
      </c>
      <c r="OR91" s="36" t="s">
        <v>139</v>
      </c>
      <c r="OS91" s="36" t="s">
        <v>139</v>
      </c>
      <c r="OT91" s="36" t="s">
        <v>139</v>
      </c>
      <c r="OU91" s="36" t="s">
        <v>139</v>
      </c>
      <c r="OV91" s="36" t="s">
        <v>139</v>
      </c>
      <c r="OW91" s="36" t="s">
        <v>139</v>
      </c>
      <c r="OX91" s="36" t="s">
        <v>139</v>
      </c>
      <c r="OY91" s="36" t="s">
        <v>139</v>
      </c>
      <c r="OZ91" s="36" t="s">
        <v>139</v>
      </c>
      <c r="PA91" s="36" t="s">
        <v>139</v>
      </c>
      <c r="PB91" s="36" t="s">
        <v>139</v>
      </c>
      <c r="PC91" s="36" t="s">
        <v>139</v>
      </c>
      <c r="PD91" s="36" t="s">
        <v>139</v>
      </c>
      <c r="PE91" s="36" t="s">
        <v>139</v>
      </c>
      <c r="PF91" s="36" t="s">
        <v>139</v>
      </c>
      <c r="PG91" s="36" t="s">
        <v>139</v>
      </c>
      <c r="PH91" s="36" t="s">
        <v>139</v>
      </c>
      <c r="PI91" s="36" t="s">
        <v>139</v>
      </c>
      <c r="PJ91" s="36" t="s">
        <v>139</v>
      </c>
      <c r="PK91" s="36" t="s">
        <v>139</v>
      </c>
      <c r="PL91" s="36" t="s">
        <v>139</v>
      </c>
      <c r="PM91" s="36" t="s">
        <v>139</v>
      </c>
      <c r="PN91" s="36" t="s">
        <v>139</v>
      </c>
      <c r="PO91" s="74">
        <f>COUNTIFS($C$27:$PN$27,("&lt;"&amp;$B$3),$C$27:$PN$27,("&gt;="&amp;$B$2),$C91:$PN91,TabAsistencias[[#Headers],[1]])</f>
        <v>30</v>
      </c>
      <c r="PP91" s="74">
        <f>COUNTIFS($C$27:$PN$27,("&lt;"&amp;$B$3),$C$27:$PN$27,("&gt;="&amp;$B$2),$C91:$PN91,TabAsistencias[[#Headers],[E]])</f>
        <v>0</v>
      </c>
      <c r="PQ91" s="74">
        <f>COUNTIFS($C$27:$PN$27,("&lt;"&amp;$B$3),$C$27:$PN$27,("&gt;="&amp;$B$2),$C91:$PN91,TabAsistencias[[#Headers],[DE]])</f>
        <v>0</v>
      </c>
      <c r="PR91" s="74">
        <f>COUNTIFS($C$27:$PN$27,("&lt;"&amp;$B$3),$C$27:$PN$27,("&gt;="&amp;$B$2),$C91:$PN91,TabAsistencias[[#Headers],[V]])</f>
        <v>0</v>
      </c>
      <c r="PS91" s="74">
        <f>COUNTIFS($C$27:$PN$27,("&lt;"&amp;$B$3),$C$27:$PN$27,("&gt;="&amp;$B$2),$C91:$PN91,TabAsistencias[[#Headers],[DO]])</f>
        <v>0</v>
      </c>
      <c r="PT91" s="74">
        <f>COUNTIFS($C$27:$PN$27,("&lt;"&amp;$B$3),$C$27:$PN$27,("&gt;="&amp;$B$2),$C91:$PN91,TabAsistencias[[#Headers],[P]])</f>
        <v>0</v>
      </c>
      <c r="PU91" s="74">
        <f>COUNTIFS($C$27:$PN$27,("&lt;"&amp;$B$3),$C$27:$PN$27,("&gt;="&amp;$B$2),$C91:$PN91,TabAsistencias[[#Headers],[F]])</f>
        <v>0</v>
      </c>
      <c r="PV91" s="74">
        <f>COUNTIFS($C$27:$PN$27,("&lt;"&amp;$B$3),$C$27:$PN$27,("&gt;="&amp;$B$2),$C91:$PN91,TabAsistencias[[#Headers],[R]])</f>
        <v>0</v>
      </c>
      <c r="PW91" s="74">
        <f>COUNTIFS($C$27:$PN$27,("&lt;"&amp;$B$3),$C$27:$PN$27,("&gt;="&amp;$B$2),$C91:$PN91,TabAsistencias[[#Headers],[PP]])</f>
        <v>0</v>
      </c>
      <c r="PX91" s="74">
        <f>COUNTIFS($C$27:$PN$27,("&lt;"&amp;$B$3),$C$27:$PN$27,("&gt;="&amp;$B$2),$C91:$PN91,TabAsistencias[[#Headers],[0]])</f>
        <v>0</v>
      </c>
      <c r="PY91" s="74">
        <f>COUNTIFS($C$27:$PN$27,("&lt;"&amp;$B$3),$C$27:$PN$27,("&gt;="&amp;$B$2),$C91:$PN91,TabAsistencias[[#Headers],[IG]])</f>
        <v>0</v>
      </c>
      <c r="PZ91" s="74">
        <f>COUNTIFS($C$27:$PN$27,("&lt;"&amp;$B$3),$C$27:$PN$27,("&gt;="&amp;$B$2),$C91:$PN91,TabAsistencias[[#Headers],[NA]])</f>
        <v>0</v>
      </c>
      <c r="QA91" s="74">
        <f>COUNTIFS($C$27:$PN$27,("&lt;"&amp;$B$3),$C$27:$PN$27,("&gt;="&amp;$B$2),$C91:$PN91,TabAsistencias[[#Headers],[DF]])</f>
        <v>0</v>
      </c>
      <c r="QB91" s="74">
        <f>COUNTIFS($C$27:$PN$27,("&lt;"&amp;$B$3),$C$27:$PN$27,("&gt;="&amp;$B$2),$C91:$PN91,TabAsistencias[[#Headers],[3]])</f>
        <v>0</v>
      </c>
      <c r="QC91" s="74">
        <f>COUNTIFS($C$27:$PN$27,("&lt;"&amp;$B$3),$C$27:$PN$27,("&gt;="&amp;$B$2),$C91:$PN91,TabAsistencias[[#Headers],[CP]])</f>
        <v>0</v>
      </c>
      <c r="QD91" s="74">
        <f>COUNTIFS($C$27:$PN$27,("&lt;"&amp;$B$3),$C$27:$PN$27,("&gt;="&amp;$B$2),$C91:$PN91,TabAsistencias[[#Headers],[I]])</f>
        <v>0</v>
      </c>
      <c r="QE91" s="74">
        <f>COUNTIFS($C$27:$PN$27,("&lt;"&amp;$B$3),$C$27:$PN$27,("&gt;="&amp;$B$2),$C91:$PN91,TabAsistencias[[#Headers],[T/2]])</f>
        <v>0</v>
      </c>
      <c r="QF91" s="74">
        <f>COUNTIFS($C$27:$PN$27,("&lt;"&amp;$B$3),$C$27:$PN$27,("&gt;="&amp;$B$2),$C91:$PN91,TabAsistencias[[#Headers],[ME]])</f>
        <v>0</v>
      </c>
      <c r="QG91" s="74">
        <f>COUNTIFS($C$27:$PN$27,("&lt;"&amp;$B$3),$C$27:$PN$27,("&gt;="&amp;$B$2),$C91:$PN91,TabAsistencias[[#Headers],[DP]])</f>
        <v>0</v>
      </c>
      <c r="QH91" s="74">
        <f>COUNTIFS($C$27:$PN$27,("&lt;"&amp;$B$3),$C$27:$PN$27,("&gt;="&amp;$B$2),$C91:$PN91,TabAsistencias[[#Headers],[B]])</f>
        <v>0</v>
      </c>
      <c r="QI91" s="74">
        <f>(TabAsistencias[[#This Row],[1]]*'Tablas de informacion'!$C$124)+(TabAsistencias[[#This Row],[E]]*'Tablas de informacion'!$C$125)+(TabAsistencias[[#This Row],[DE]]*'Tablas de informacion'!C$126)+(TabAsistencias[[#This Row],[V]]*'Tablas de informacion'!C$127)+(TabAsistencias[[#This Row],[DO]]*'Tablas de informacion'!C$128)+(TabAsistencias[[#This Row],[P]]*'Tablas de informacion'!C$129)+(TabAsistencias[[#This Row],[F]]*'Tablas de informacion'!C$130)+(TabAsistencias[[#This Row],[R]]*'Tablas de informacion'!C$131)+(TabAsistencias[[#This Row],[PP]]*'Tablas de informacion'!C$132)+(TabAsistencias[[#This Row],[0]]*'Tablas de informacion'!C$133)+(TabAsistencias[[#This Row],[IG]]*'Tablas de informacion'!C$134)+(TabAsistencias[[#This Row],[NA]]*'Tablas de informacion'!C$135)+(TabAsistencias[[#This Row],[DF]]*'Tablas de informacion'!C$136)+(TabAsistencias[[#This Row],[3]]*'Tablas de informacion'!C$137)+(TabAsistencias[[#This Row],[CP]]*'Tablas de informacion'!C$138)+(TabAsistencias[[#This Row],[I]]*'Tablas de informacion'!C$139)+(TabAsistencias[[#This Row],[T/2]]*'Tablas de informacion'!C$140)+(TabAsistencias[[#This Row],[ME]]*'Tablas de informacion'!C$141)+(TabAsistencias[[#This Row],[DP]]*'Tablas de informacion'!C$142)+(TabAsistencias[[#This Row],[B]]*'Tablas de informacion'!C$143)-INT(TabAsistencias[[#This Row],[R]]/3)</f>
        <v>30</v>
      </c>
      <c r="QJ91" s="74">
        <f>COUNTIFS($C$27:$PN$27,("&lt;"&amp;$B$3),$C$27:$PN$27,("&gt;="&amp;$B$2),$C$28:$PN$28,1,$C91:$PN91,TabAsistencias[[#Headers],[1]])+
COUNTIFS($C$27:$PN$27,("&lt;"&amp;$B$3),$C$27:$PN$27,("&gt;="&amp;$B$2),$C$28:$PN$28,1,$C91:$PN91,TabAsistencias[[#Headers],[DO]])+
COUNTIFS($C$27:$PN$27,("&lt;"&amp;$B$3),$C$27:$PN$27,("&gt;="&amp;$B$2),$C$28:$PN$28,1,$C91:$PN91,TabAsistencias[[#Headers],[R]])+
COUNTIFS($C$27:$PN$27,("&lt;"&amp;$B$3),$C$27:$PN$27,("&gt;="&amp;$B$2),$C$28:$PN$28,1,$C91:$PN91,TabAsistencias[[#Headers],[NA]])+
COUNTIFS($C$27:$PN$27,("&lt;"&amp;$B$3),$C$27:$PN$27,("&gt;="&amp;$B$2),$C$28:$PN$28,1,$C91:$PN91,TabAsistencias[[#Headers],[DF]])+
COUNTIFS($C$27:$PN$27,("&lt;"&amp;$B$3),$C$27:$PN$27,("&gt;="&amp;$B$2),$C$28:$PN$28,1,$C91:$PN91,TabAsistencias[[#Headers],[3]])+
COUNTIFS($C$27:$PN$27,("&lt;"&amp;$B$3),$C$27:$PN$27,("&gt;="&amp;$B$2),$C$28:$PN$28,1,$C91:$PN91,TabAsistencias[[#Headers],[CP]])+
COUNTIFS($C$27:$PN$27,("&lt;"&amp;$B$3),$C$27:$PN$27,("&gt;="&amp;$B$2),$C$28:$PN$28,1,$C91:$PN91,TabAsistencias[[#Headers],[T/2]])</f>
        <v>4</v>
      </c>
      <c r="QK91" s="315" cm="1">
        <f t="array" ref="QK91">IFERROR(VLOOKUP(
DATEDIF((VLOOKUP(TabAsistencias[[#This Row],[ID]],TabEmpleados[],COLUMN(TabEmpleados[Fecha de ingreso]),FALSE)),Asistencias!$B$3,"Y"),
TabFactorIntegracion[],COLUMN(TabFactorIntegracion[Días vacacionales
establecidos por ley]),FALSE),0)
-
COUNTIF($AH91:$PN91,TabAsistencias[[#Headers],[V]])</f>
        <v>12</v>
      </c>
      <c r="QL91" s="319">
        <f>SUM(TabAsistencias[[#This Row],[''1]],TabAsistencias[[#This Row],[''DE]],TabAsistencias[[#This Row],[''DO]],TabAsistencias[[#This Row],[''R]],TabAsistencias[[#This Row],[''NA]],TabAsistencias[[#This Row],[''DF]],TabAsistencias[[#This Row],[''3]],TabAsistencias[[#This Row],[''CP]],TabAsistencias[[#This Row],[''T/2]],TabAsistencias[[#This Row],[''DP]])</f>
        <v>73</v>
      </c>
      <c r="QM91" s="314">
        <f>COUNTIFS($C$27:$PN$27,("&lt;"&amp;$B$5),$C$27:$PN$27,("&gt;="&amp;$B$4),$C91:$PN91,TabAsistencias[[#Headers],[1]])</f>
        <v>73</v>
      </c>
      <c r="QN91" s="314">
        <f>COUNTIFS($C$27:$PN$27,("&lt;"&amp;$B$5),$C$27:$PN$27,("&gt;="&amp;$B$4),$C91:$PN91,TabAsistencias[[#Headers],[DE]])</f>
        <v>0</v>
      </c>
      <c r="QO91" s="314">
        <f>COUNTIFS($C$27:$PN$27,("&lt;"&amp;$B$5),$C$27:$PN$27,("&gt;="&amp;$B$4),$C91:$PN91,TabAsistencias[[#Headers],[V]])</f>
        <v>0</v>
      </c>
      <c r="QP91" s="314">
        <f>COUNTIFS($C$27:$PN$27,("&lt;"&amp;$B$5),$C$27:$PN$27,("&gt;="&amp;$B$4),$C91:$PN91,TabAsistencias[[#Headers],[DO]])</f>
        <v>0</v>
      </c>
      <c r="QQ91" s="314">
        <f>COUNTIFS($C$27:$PN$27,("&lt;"&amp;$B$5),$C$27:$PN$27,("&gt;="&amp;$B$4),$C91:$PN91,TabAsistencias[[#Headers],[P]])</f>
        <v>0</v>
      </c>
      <c r="QR91" s="314">
        <f>COUNTIFS($C$27:$PN$27,("&lt;"&amp;$B$5),$C$27:$PN$27,("&gt;="&amp;$B$4),$C91:$PN91,TabAsistencias[[#Headers],[F]])</f>
        <v>0</v>
      </c>
      <c r="QS91" s="314">
        <f>COUNTIFS($C$27:$PN$27,("&lt;"&amp;$B$5),$C$27:$PN$27,("&gt;="&amp;$B$4),$C91:$PN91,TabAsistencias[[#Headers],[R]])</f>
        <v>0</v>
      </c>
      <c r="QT91" s="314">
        <f>COUNTIFS($C$27:$PN$27,("&lt;"&amp;$B$5),$C$27:$PN$27,("&gt;="&amp;$B$4),$C91:$PN91,TabAsistencias[[#Headers],[PP]])</f>
        <v>0</v>
      </c>
      <c r="QU91" s="314">
        <f>COUNTIFS($C$27:$PN$27,("&lt;"&amp;$B$5),$C$27:$PN$27,("&gt;="&amp;$B$4),$C91:$PN91,TabAsistencias[[#Headers],[0]])</f>
        <v>0</v>
      </c>
      <c r="QV91" s="314">
        <f>COUNTIFS($C$27:$PN$27,("&lt;"&amp;$B$5),$C$27:$PN$27,("&gt;="&amp;$B$4),$C91:$PN91,TabAsistencias[[#Headers],[IG]])</f>
        <v>0</v>
      </c>
      <c r="QW91" s="314">
        <f>COUNTIFS($C$27:$PN$27,("&lt;"&amp;$B$5),$C$27:$PN$27,("&gt;="&amp;$B$4),$C91:$PN91,TabAsistencias[[#Headers],[NA]])</f>
        <v>0</v>
      </c>
      <c r="QX91" s="314">
        <f>COUNTIFS($C$27:$PN$27,("&lt;"&amp;$B$5),$C$27:$PN$27,("&gt;="&amp;$B$4),$C91:$PN91,TabAsistencias[[#Headers],[DF]])</f>
        <v>0</v>
      </c>
      <c r="QY91" s="314">
        <f>COUNTIFS($C$27:$PN$27,("&lt;"&amp;$B$5),$C$27:$PN$27,("&gt;="&amp;$B$4),$C91:$PN91,TabAsistencias[[#Headers],[3]])</f>
        <v>0</v>
      </c>
      <c r="QZ91" s="314">
        <f>COUNTIFS($C$27:$PN$27,("&lt;"&amp;$B$5),$C$27:$PN$27,("&gt;="&amp;$B$4),$C91:$PN91,TabAsistencias[[#Headers],[CP]])</f>
        <v>0</v>
      </c>
      <c r="RA91" s="314">
        <f>COUNTIFS($C$27:$PN$27,("&lt;"&amp;$B$5),$C$27:$PN$27,("&gt;="&amp;$B$4),$C91:$PN91,TabAsistencias[[#Headers],[I]])</f>
        <v>0</v>
      </c>
      <c r="RB91" s="314">
        <f>COUNTIFS($C$27:$PN$27,("&lt;"&amp;$B$5),$C$27:$PN$27,("&gt;="&amp;$B$4),$C91:$PN91,TabAsistencias[[#Headers],[T/2]])</f>
        <v>0</v>
      </c>
      <c r="RC91" s="314">
        <f>COUNTIFS($C$27:$PN$27,("&lt;"&amp;$B$5),$C$27:$PN$27,("&gt;="&amp;$B$4),$C91:$PN91,TabAsistencias[[#Headers],[ME]])</f>
        <v>0</v>
      </c>
      <c r="RD91" s="314">
        <f>COUNTIFS($C$27:$PN$27,("&lt;"&amp;$B$5),$C$27:$PN$27,("&gt;="&amp;$B$4),$C91:$PN91,TabAsistencias[[#Headers],[DP]])</f>
        <v>0</v>
      </c>
      <c r="RE91" s="314">
        <f>COUNTIFS($C$27:$PN$27,("&lt;"&amp;$B$5),$C$27:$PN$27,("&gt;="&amp;$B$4),$C91:$PN91,TabAsistencias[[#Headers],[B]])</f>
        <v>0</v>
      </c>
      <c r="RF91" s="314">
        <f>COUNTIFS($C$27:$PN$27,("&lt;"&amp;$B$5),$C$27:$PN$27,("&gt;="&amp;$B$4),$C$28:$PN$28,1,$C91:$PN91,TabAsistencias[[#Headers],[1]])+
COUNTIFS($C$27:$PN$27,("&lt;"&amp;$B$5),$C$27:$PN$27,("&gt;="&amp;$B$4),$C$28:$PN$28,1,$C91:$PN91,TabAsistencias[[#Headers],[DO]])+
COUNTIFS($C$27:$PN$27,("&lt;"&amp;$B$5),$C$27:$PN$27,("&gt;="&amp;$B$4),$C$28:$PN$28,1,$C91:$PN91,TabAsistencias[[#Headers],[R]])+
COUNTIFS($C$27:$PN$27,("&lt;"&amp;$B$5),$C$27:$PN$27,("&gt;="&amp;$B$4),$C$28:$PN$28,1,$C91:$PN91,TabAsistencias[[#Headers],[NA]])+
COUNTIFS($C$27:$PN$27,("&lt;"&amp;$B$5),$C$27:$PN$27,("&gt;="&amp;$B$4),$C$28:$PN$28,1,$C91:$PN91,TabAsistencias[[#Headers],[DF]])+
COUNTIFS($C$27:$PN$27,("&lt;"&amp;$B$5),$C$27:$PN$27,("&gt;="&amp;$B$4),$C$28:$PN$28,1,$C91:$PN91,TabAsistencias[[#Headers],[3]])+
COUNTIFS($C$27:$PN$27,("&lt;"&amp;$B$5),$C$27:$PN$27,("&gt;="&amp;$B$4),$C$28:$PN$28,1,$C91:$PN91,TabAsistencias[[#Headers],[CP]])+
COUNTIFS($C$27:$PN$27,("&lt;"&amp;$B$5),$C$27:$PN$27,("&gt;="&amp;$B$4),$C$28:$PN$28,1,$C91:$PN91,TabAsistencias[[#Headers],[T/2]])</f>
        <v>11</v>
      </c>
      <c r="RG91" s="320" cm="1">
        <f t="array" ref="RG91">IFERROR(VLOOKUP(
DATEDIF((VLOOKUP(TabAsistencias[[#This Row],[ID]],TabEmpleados[],COLUMN(TabEmpleados[Fecha de alta NSS]),FALSE)),Asistencias!$B$3,"Y"),
TabFactorIntegracion[],COLUMN(TabFactorIntegracion[Días vacacionales
establecidos por ley]),FALSE),0)
-
COUNTIF($AH91:$PN91,TabAsistencias[[#Headers],[V]])</f>
        <v>12</v>
      </c>
    </row>
    <row r="92" spans="1:475" x14ac:dyDescent="0.25">
      <c r="A92" s="92">
        <f t="shared" si="434"/>
        <v>62</v>
      </c>
      <c r="B92" s="30" t="str" cm="1">
        <f t="array" ref="B92">VLOOKUP(TabAsistencias[[#This Row],[ID]],TabEmpleados[],COLUMN(TabEmpleados[Nombre]),FALSE)</f>
        <v>GONZALEZ ARAGON ALEJANDRO FEDERICO</v>
      </c>
      <c r="C92" s="36" t="s">
        <v>139</v>
      </c>
      <c r="D92" s="36" t="s">
        <v>139</v>
      </c>
      <c r="E92" s="36" t="s">
        <v>139</v>
      </c>
      <c r="F92" s="36" t="s">
        <v>139</v>
      </c>
      <c r="G92" s="36" t="s">
        <v>139</v>
      </c>
      <c r="H92" s="36" t="s">
        <v>139</v>
      </c>
      <c r="I92" s="36" t="s">
        <v>139</v>
      </c>
      <c r="J92" s="36" t="s">
        <v>139</v>
      </c>
      <c r="K92" s="36" t="s">
        <v>139</v>
      </c>
      <c r="L92" s="36" t="s">
        <v>139</v>
      </c>
      <c r="M92" s="36" t="s">
        <v>139</v>
      </c>
      <c r="N92" s="36" t="s">
        <v>139</v>
      </c>
      <c r="O92" s="36" t="s">
        <v>139</v>
      </c>
      <c r="P92" s="36" t="s">
        <v>139</v>
      </c>
      <c r="Q92" s="36" t="s">
        <v>139</v>
      </c>
      <c r="R92" s="36" t="s">
        <v>139</v>
      </c>
      <c r="S92" s="36" t="s">
        <v>139</v>
      </c>
      <c r="T92" s="36" t="s">
        <v>139</v>
      </c>
      <c r="U92" s="36" t="s">
        <v>139</v>
      </c>
      <c r="V92" s="36" t="s">
        <v>139</v>
      </c>
      <c r="W92" s="36" t="s">
        <v>139</v>
      </c>
      <c r="X92" s="36" t="s">
        <v>139</v>
      </c>
      <c r="Y92" s="36" t="s">
        <v>139</v>
      </c>
      <c r="Z92" s="36" t="s">
        <v>139</v>
      </c>
      <c r="AA92" s="36" t="s">
        <v>139</v>
      </c>
      <c r="AB92" s="36" t="s">
        <v>139</v>
      </c>
      <c r="AC92" s="36" t="s">
        <v>139</v>
      </c>
      <c r="AD92" s="36" t="s">
        <v>139</v>
      </c>
      <c r="AE92" s="36" t="s">
        <v>139</v>
      </c>
      <c r="AF92" s="36" t="s">
        <v>139</v>
      </c>
      <c r="AG92" s="36" t="s">
        <v>139</v>
      </c>
      <c r="AH92" s="36" t="s">
        <v>139</v>
      </c>
      <c r="AI92" s="36" t="s">
        <v>139</v>
      </c>
      <c r="AJ92" s="36" t="s">
        <v>139</v>
      </c>
      <c r="AK92" s="36" t="s">
        <v>139</v>
      </c>
      <c r="AL92" s="36" t="s">
        <v>139</v>
      </c>
      <c r="AM92" s="36" t="s">
        <v>139</v>
      </c>
      <c r="AN92" s="36" t="s">
        <v>139</v>
      </c>
      <c r="AO92" s="36" t="s">
        <v>139</v>
      </c>
      <c r="AP92" s="36" t="s">
        <v>139</v>
      </c>
      <c r="AQ92" s="36" t="s">
        <v>139</v>
      </c>
      <c r="AR92" s="36" t="s">
        <v>139</v>
      </c>
      <c r="AS92" s="36" t="s">
        <v>139</v>
      </c>
      <c r="AT92" s="36" t="s">
        <v>139</v>
      </c>
      <c r="AU92" s="36" t="s">
        <v>139</v>
      </c>
      <c r="AV92" s="36" t="s">
        <v>139</v>
      </c>
      <c r="AW92" s="36" t="s">
        <v>139</v>
      </c>
      <c r="AX92" s="36" t="s">
        <v>139</v>
      </c>
      <c r="AY92" s="36" t="s">
        <v>139</v>
      </c>
      <c r="AZ92" s="36" t="s">
        <v>139</v>
      </c>
      <c r="BA92" s="36" t="s">
        <v>139</v>
      </c>
      <c r="BB92" s="36" t="s">
        <v>139</v>
      </c>
      <c r="BC92" s="36" t="s">
        <v>139</v>
      </c>
      <c r="BD92" s="36" t="s">
        <v>139</v>
      </c>
      <c r="BE92" s="36" t="s">
        <v>139</v>
      </c>
      <c r="BF92" s="36" t="s">
        <v>139</v>
      </c>
      <c r="BG92" s="36" t="s">
        <v>139</v>
      </c>
      <c r="BH92" s="36" t="s">
        <v>139</v>
      </c>
      <c r="BI92" s="36" t="s">
        <v>139</v>
      </c>
      <c r="BJ92" s="36" t="s">
        <v>139</v>
      </c>
      <c r="BK92" s="36" t="s">
        <v>139</v>
      </c>
      <c r="BL92" s="36" t="s">
        <v>139</v>
      </c>
      <c r="BM92" s="36" t="s">
        <v>139</v>
      </c>
      <c r="BN92" s="36" t="s">
        <v>139</v>
      </c>
      <c r="BO92" s="36" t="s">
        <v>139</v>
      </c>
      <c r="BP92" s="36" t="s">
        <v>139</v>
      </c>
      <c r="BQ92" s="36" t="s">
        <v>139</v>
      </c>
      <c r="BR92" s="36" t="s">
        <v>139</v>
      </c>
      <c r="BS92" s="36" t="s">
        <v>139</v>
      </c>
      <c r="BT92" s="36" t="s">
        <v>139</v>
      </c>
      <c r="BU92" s="36" t="s">
        <v>139</v>
      </c>
      <c r="BV92" s="36" t="s">
        <v>139</v>
      </c>
      <c r="BW92" s="36" t="s">
        <v>139</v>
      </c>
      <c r="BX92" s="36" t="s">
        <v>139</v>
      </c>
      <c r="BY92" s="36" t="s">
        <v>139</v>
      </c>
      <c r="BZ92" s="36" t="s">
        <v>139</v>
      </c>
      <c r="CA92" s="36" t="s">
        <v>139</v>
      </c>
      <c r="CB92" s="36" t="s">
        <v>139</v>
      </c>
      <c r="CC92" s="36" t="s">
        <v>139</v>
      </c>
      <c r="CD92" s="36" t="s">
        <v>139</v>
      </c>
      <c r="CE92" s="36" t="s">
        <v>139</v>
      </c>
      <c r="CF92" s="36" t="s">
        <v>139</v>
      </c>
      <c r="CG92" s="36" t="s">
        <v>139</v>
      </c>
      <c r="CH92" s="36" t="s">
        <v>139</v>
      </c>
      <c r="CI92" s="36" t="s">
        <v>139</v>
      </c>
      <c r="CJ92" s="36" t="s">
        <v>139</v>
      </c>
      <c r="CK92" s="36" t="s">
        <v>139</v>
      </c>
      <c r="CL92" s="36" t="s">
        <v>139</v>
      </c>
      <c r="CM92" s="36" t="s">
        <v>139</v>
      </c>
      <c r="CN92" s="36" t="s">
        <v>139</v>
      </c>
      <c r="CO92" s="36" t="s">
        <v>139</v>
      </c>
      <c r="CP92" s="36" t="s">
        <v>139</v>
      </c>
      <c r="CQ92" s="36" t="s">
        <v>139</v>
      </c>
      <c r="CR92" s="36" t="s">
        <v>139</v>
      </c>
      <c r="CS92" s="36" t="s">
        <v>139</v>
      </c>
      <c r="CT92" s="36" t="s">
        <v>139</v>
      </c>
      <c r="CU92" s="36" t="s">
        <v>139</v>
      </c>
      <c r="CV92" s="36" t="s">
        <v>139</v>
      </c>
      <c r="CW92" s="36" t="s">
        <v>139</v>
      </c>
      <c r="CX92" s="36" t="s">
        <v>139</v>
      </c>
      <c r="CY92" s="36" t="s">
        <v>139</v>
      </c>
      <c r="CZ92" s="36" t="s">
        <v>139</v>
      </c>
      <c r="DA92" s="36" t="s">
        <v>139</v>
      </c>
      <c r="DB92" s="36" t="s">
        <v>139</v>
      </c>
      <c r="DC92" s="36" t="s">
        <v>139</v>
      </c>
      <c r="DD92" s="36" t="s">
        <v>139</v>
      </c>
      <c r="DE92" s="36" t="s">
        <v>139</v>
      </c>
      <c r="DF92" s="36" t="s">
        <v>139</v>
      </c>
      <c r="DG92" s="36" t="s">
        <v>139</v>
      </c>
      <c r="DH92" s="36" t="s">
        <v>139</v>
      </c>
      <c r="DI92" s="36" t="s">
        <v>139</v>
      </c>
      <c r="DJ92" s="36" t="s">
        <v>139</v>
      </c>
      <c r="DK92" s="36" t="s">
        <v>139</v>
      </c>
      <c r="DL92" s="36" t="s">
        <v>139</v>
      </c>
      <c r="DM92" s="36" t="s">
        <v>139</v>
      </c>
      <c r="DN92" s="36" t="s">
        <v>139</v>
      </c>
      <c r="DO92" s="36" t="s">
        <v>139</v>
      </c>
      <c r="DP92" s="36" t="s">
        <v>139</v>
      </c>
      <c r="DQ92" s="36" t="s">
        <v>139</v>
      </c>
      <c r="DR92" s="36" t="s">
        <v>139</v>
      </c>
      <c r="DS92" s="36" t="s">
        <v>139</v>
      </c>
      <c r="DT92" s="36" t="s">
        <v>139</v>
      </c>
      <c r="DU92" s="36" t="s">
        <v>139</v>
      </c>
      <c r="DV92" s="36" t="s">
        <v>139</v>
      </c>
      <c r="DW92" s="36" t="s">
        <v>139</v>
      </c>
      <c r="DX92" s="36" t="s">
        <v>139</v>
      </c>
      <c r="DY92" s="36" t="s">
        <v>139</v>
      </c>
      <c r="DZ92" s="36" t="s">
        <v>139</v>
      </c>
      <c r="EA92" s="36" t="s">
        <v>139</v>
      </c>
      <c r="EB92" s="36" t="s">
        <v>139</v>
      </c>
      <c r="EC92" s="36" t="s">
        <v>139</v>
      </c>
      <c r="ED92" s="36" t="s">
        <v>139</v>
      </c>
      <c r="EE92" s="36" t="s">
        <v>139</v>
      </c>
      <c r="EF92" s="36" t="s">
        <v>139</v>
      </c>
      <c r="EG92" s="36" t="s">
        <v>139</v>
      </c>
      <c r="EH92" s="36" t="s">
        <v>139</v>
      </c>
      <c r="EI92" s="36" t="s">
        <v>139</v>
      </c>
      <c r="EJ92" s="36" t="s">
        <v>139</v>
      </c>
      <c r="EK92" s="36" t="s">
        <v>139</v>
      </c>
      <c r="EL92" s="36" t="s">
        <v>139</v>
      </c>
      <c r="EM92" s="36" t="s">
        <v>139</v>
      </c>
      <c r="EN92" s="36" t="s">
        <v>139</v>
      </c>
      <c r="EO92" s="36" t="s">
        <v>139</v>
      </c>
      <c r="EP92" s="36" t="s">
        <v>139</v>
      </c>
      <c r="EQ92" s="36" t="s">
        <v>139</v>
      </c>
      <c r="ER92" s="36" t="s">
        <v>139</v>
      </c>
      <c r="ES92" s="36" t="s">
        <v>139</v>
      </c>
      <c r="ET92" s="36" t="s">
        <v>139</v>
      </c>
      <c r="EU92" s="36" t="s">
        <v>139</v>
      </c>
      <c r="EV92" s="36" t="s">
        <v>139</v>
      </c>
      <c r="EW92" s="36" t="s">
        <v>139</v>
      </c>
      <c r="EX92" s="36" t="s">
        <v>139</v>
      </c>
      <c r="EY92" s="36" t="s">
        <v>139</v>
      </c>
      <c r="EZ92" s="36" t="s">
        <v>139</v>
      </c>
      <c r="FA92" s="36" t="s">
        <v>139</v>
      </c>
      <c r="FB92" s="36" t="s">
        <v>139</v>
      </c>
      <c r="FC92" s="36" t="s">
        <v>139</v>
      </c>
      <c r="FD92" s="36" t="s">
        <v>139</v>
      </c>
      <c r="FE92" s="36" t="s">
        <v>139</v>
      </c>
      <c r="FF92" s="36" t="s">
        <v>139</v>
      </c>
      <c r="FG92" s="36" t="s">
        <v>139</v>
      </c>
      <c r="FH92" s="36" t="s">
        <v>139</v>
      </c>
      <c r="FI92" s="36" t="s">
        <v>139</v>
      </c>
      <c r="FJ92" s="36" t="s">
        <v>139</v>
      </c>
      <c r="FK92" s="36" t="s">
        <v>139</v>
      </c>
      <c r="FL92" s="36" t="s">
        <v>139</v>
      </c>
      <c r="FM92" s="36" t="s">
        <v>139</v>
      </c>
      <c r="FN92" s="36" t="s">
        <v>139</v>
      </c>
      <c r="FO92" s="36" t="s">
        <v>139</v>
      </c>
      <c r="FP92" s="36" t="s">
        <v>139</v>
      </c>
      <c r="FQ92" s="36" t="s">
        <v>139</v>
      </c>
      <c r="FR92" s="36" t="s">
        <v>139</v>
      </c>
      <c r="FS92" s="36" t="s">
        <v>139</v>
      </c>
      <c r="FT92" s="36" t="s">
        <v>139</v>
      </c>
      <c r="FU92" s="36" t="s">
        <v>139</v>
      </c>
      <c r="FV92" s="36" t="s">
        <v>139</v>
      </c>
      <c r="FW92" s="36" t="s">
        <v>139</v>
      </c>
      <c r="FX92" s="36" t="s">
        <v>139</v>
      </c>
      <c r="FY92" s="36" t="s">
        <v>139</v>
      </c>
      <c r="FZ92" s="36" t="s">
        <v>139</v>
      </c>
      <c r="GA92" s="36" t="s">
        <v>139</v>
      </c>
      <c r="GB92" s="36" t="s">
        <v>139</v>
      </c>
      <c r="GC92" s="36" t="s">
        <v>139</v>
      </c>
      <c r="GD92" s="36" t="s">
        <v>139</v>
      </c>
      <c r="GE92" s="36" t="s">
        <v>139</v>
      </c>
      <c r="GF92" s="36" t="s">
        <v>139</v>
      </c>
      <c r="GG92" s="36" t="s">
        <v>139</v>
      </c>
      <c r="GH92" s="36" t="s">
        <v>139</v>
      </c>
      <c r="GI92" s="36" t="s">
        <v>139</v>
      </c>
      <c r="GJ92" s="36" t="s">
        <v>139</v>
      </c>
      <c r="GK92" s="36" t="s">
        <v>139</v>
      </c>
      <c r="GL92" s="36" t="s">
        <v>139</v>
      </c>
      <c r="GM92" s="36" t="s">
        <v>139</v>
      </c>
      <c r="GN92" s="36" t="s">
        <v>139</v>
      </c>
      <c r="GO92" s="36" t="s">
        <v>139</v>
      </c>
      <c r="GP92" s="36" t="s">
        <v>139</v>
      </c>
      <c r="GQ92" s="36" t="s">
        <v>139</v>
      </c>
      <c r="GR92" s="36" t="s">
        <v>139</v>
      </c>
      <c r="GS92" s="36" t="s">
        <v>139</v>
      </c>
      <c r="GT92" s="36" t="s">
        <v>139</v>
      </c>
      <c r="GU92" s="36" t="s">
        <v>139</v>
      </c>
      <c r="GV92" s="36" t="s">
        <v>139</v>
      </c>
      <c r="GW92" s="36" t="s">
        <v>139</v>
      </c>
      <c r="GX92" s="36" t="s">
        <v>139</v>
      </c>
      <c r="GY92" s="36" t="s">
        <v>139</v>
      </c>
      <c r="GZ92" s="36" t="s">
        <v>139</v>
      </c>
      <c r="HA92" s="36" t="s">
        <v>139</v>
      </c>
      <c r="HB92" s="36" t="s">
        <v>139</v>
      </c>
      <c r="HC92" s="36" t="s">
        <v>139</v>
      </c>
      <c r="HD92" s="36" t="s">
        <v>139</v>
      </c>
      <c r="HE92" s="36" t="s">
        <v>139</v>
      </c>
      <c r="HF92" s="36" t="s">
        <v>139</v>
      </c>
      <c r="HG92" s="36" t="s">
        <v>139</v>
      </c>
      <c r="HH92" s="36" t="s">
        <v>139</v>
      </c>
      <c r="HI92" s="36" t="s">
        <v>139</v>
      </c>
      <c r="HJ92" s="36" t="s">
        <v>139</v>
      </c>
      <c r="HK92" s="36" t="s">
        <v>139</v>
      </c>
      <c r="HL92" s="36" t="s">
        <v>139</v>
      </c>
      <c r="HM92" s="36" t="s">
        <v>139</v>
      </c>
      <c r="HN92" s="36" t="s">
        <v>139</v>
      </c>
      <c r="HO92" s="36" t="s">
        <v>139</v>
      </c>
      <c r="HP92" s="36" t="s">
        <v>139</v>
      </c>
      <c r="HQ92" s="36" t="s">
        <v>139</v>
      </c>
      <c r="HR92" s="36" t="s">
        <v>139</v>
      </c>
      <c r="HS92" s="36" t="s">
        <v>139</v>
      </c>
      <c r="HT92" s="36" t="s">
        <v>139</v>
      </c>
      <c r="HU92" s="36" t="s">
        <v>139</v>
      </c>
      <c r="HV92" s="36" t="s">
        <v>139</v>
      </c>
      <c r="HW92" s="36" t="s">
        <v>139</v>
      </c>
      <c r="HX92" s="36" t="s">
        <v>139</v>
      </c>
      <c r="HY92" s="36" t="s">
        <v>139</v>
      </c>
      <c r="HZ92" s="36" t="s">
        <v>139</v>
      </c>
      <c r="IA92" s="36" t="s">
        <v>139</v>
      </c>
      <c r="IB92" s="36" t="s">
        <v>139</v>
      </c>
      <c r="IC92" s="36" t="s">
        <v>139</v>
      </c>
      <c r="ID92" s="36" t="s">
        <v>139</v>
      </c>
      <c r="IE92" s="36" t="s">
        <v>139</v>
      </c>
      <c r="IF92" s="36" t="s">
        <v>139</v>
      </c>
      <c r="IG92" s="36" t="s">
        <v>139</v>
      </c>
      <c r="IH92" s="36" t="s">
        <v>139</v>
      </c>
      <c r="II92" s="36" t="s">
        <v>139</v>
      </c>
      <c r="IJ92" s="36" t="s">
        <v>139</v>
      </c>
      <c r="IK92" s="36" t="s">
        <v>139</v>
      </c>
      <c r="IL92" s="36" t="s">
        <v>139</v>
      </c>
      <c r="IM92" s="36" t="s">
        <v>139</v>
      </c>
      <c r="IN92" s="36" t="s">
        <v>139</v>
      </c>
      <c r="IO92" s="36" t="s">
        <v>139</v>
      </c>
      <c r="IP92" s="36" t="s">
        <v>139</v>
      </c>
      <c r="IQ92" s="36" t="s">
        <v>139</v>
      </c>
      <c r="IR92" s="36" t="s">
        <v>139</v>
      </c>
      <c r="IS92" s="36" t="s">
        <v>139</v>
      </c>
      <c r="IT92" s="36" t="s">
        <v>139</v>
      </c>
      <c r="IU92" s="36" t="s">
        <v>139</v>
      </c>
      <c r="IV92" s="36" t="s">
        <v>139</v>
      </c>
      <c r="IW92" s="36" t="s">
        <v>139</v>
      </c>
      <c r="IX92" s="36" t="s">
        <v>139</v>
      </c>
      <c r="IY92" s="36" t="s">
        <v>139</v>
      </c>
      <c r="IZ92" s="36" t="s">
        <v>139</v>
      </c>
      <c r="JA92" s="36" t="s">
        <v>139</v>
      </c>
      <c r="JB92" s="36" t="s">
        <v>139</v>
      </c>
      <c r="JC92" s="36" t="s">
        <v>139</v>
      </c>
      <c r="JD92" s="36" t="s">
        <v>139</v>
      </c>
      <c r="JE92" s="36" t="s">
        <v>139</v>
      </c>
      <c r="JF92" s="36" t="s">
        <v>139</v>
      </c>
      <c r="JG92" s="36" t="s">
        <v>139</v>
      </c>
      <c r="JH92" s="36" t="s">
        <v>139</v>
      </c>
      <c r="JI92" s="36" t="s">
        <v>139</v>
      </c>
      <c r="JJ92" s="36" t="s">
        <v>139</v>
      </c>
      <c r="JK92" s="36" t="s">
        <v>139</v>
      </c>
      <c r="JL92" s="36" t="s">
        <v>139</v>
      </c>
      <c r="JM92" s="36" t="s">
        <v>139</v>
      </c>
      <c r="JN92" s="36" t="s">
        <v>139</v>
      </c>
      <c r="JO92" s="36" t="s">
        <v>139</v>
      </c>
      <c r="JP92" s="36" t="s">
        <v>139</v>
      </c>
      <c r="JQ92" s="36" t="s">
        <v>139</v>
      </c>
      <c r="JR92" s="36" t="s">
        <v>139</v>
      </c>
      <c r="JS92" s="36" t="s">
        <v>139</v>
      </c>
      <c r="JT92" s="36" t="s">
        <v>139</v>
      </c>
      <c r="JU92" s="36" t="s">
        <v>139</v>
      </c>
      <c r="JV92" s="36" t="s">
        <v>139</v>
      </c>
      <c r="JW92" s="36" t="s">
        <v>139</v>
      </c>
      <c r="JX92" s="36" t="s">
        <v>139</v>
      </c>
      <c r="JY92" s="36" t="s">
        <v>139</v>
      </c>
      <c r="JZ92" s="36" t="s">
        <v>139</v>
      </c>
      <c r="KA92" s="36" t="s">
        <v>139</v>
      </c>
      <c r="KB92" s="36" t="s">
        <v>139</v>
      </c>
      <c r="KC92" s="36" t="s">
        <v>139</v>
      </c>
      <c r="KD92" s="36" t="s">
        <v>139</v>
      </c>
      <c r="KE92" s="36" t="s">
        <v>139</v>
      </c>
      <c r="KF92" s="36" t="s">
        <v>139</v>
      </c>
      <c r="KG92" s="36" t="s">
        <v>139</v>
      </c>
      <c r="KH92" s="36" t="s">
        <v>139</v>
      </c>
      <c r="KI92" s="36" t="s">
        <v>139</v>
      </c>
      <c r="KJ92" s="36" t="s">
        <v>139</v>
      </c>
      <c r="KK92" s="36" t="s">
        <v>139</v>
      </c>
      <c r="KL92" s="36" t="s">
        <v>139</v>
      </c>
      <c r="KM92" s="36" t="s">
        <v>139</v>
      </c>
      <c r="KN92" s="36" t="s">
        <v>139</v>
      </c>
      <c r="KO92" s="36" t="s">
        <v>139</v>
      </c>
      <c r="KP92" s="36" t="s">
        <v>139</v>
      </c>
      <c r="KQ92" s="36" t="s">
        <v>139</v>
      </c>
      <c r="KR92" s="36" t="s">
        <v>139</v>
      </c>
      <c r="KS92" s="36" t="s">
        <v>139</v>
      </c>
      <c r="KT92" s="36" t="s">
        <v>139</v>
      </c>
      <c r="KU92" s="36" t="s">
        <v>139</v>
      </c>
      <c r="KV92" s="36" t="s">
        <v>139</v>
      </c>
      <c r="KW92" s="36" t="s">
        <v>139</v>
      </c>
      <c r="KX92" s="36" t="s">
        <v>139</v>
      </c>
      <c r="KY92" s="36" t="s">
        <v>139</v>
      </c>
      <c r="KZ92" s="36" t="s">
        <v>139</v>
      </c>
      <c r="LA92" s="36" t="s">
        <v>139</v>
      </c>
      <c r="LB92" s="36" t="s">
        <v>139</v>
      </c>
      <c r="LC92" s="36" t="s">
        <v>139</v>
      </c>
      <c r="LD92" s="36" t="s">
        <v>139</v>
      </c>
      <c r="LE92" s="36" t="s">
        <v>139</v>
      </c>
      <c r="LF92" s="36" t="s">
        <v>139</v>
      </c>
      <c r="LG92" s="36" t="s">
        <v>139</v>
      </c>
      <c r="LH92" s="36" t="s">
        <v>139</v>
      </c>
      <c r="LI92" s="36" t="s">
        <v>139</v>
      </c>
      <c r="LJ92" s="36" t="s">
        <v>139</v>
      </c>
      <c r="LK92" s="36" t="s">
        <v>139</v>
      </c>
      <c r="LL92" s="36" t="s">
        <v>139</v>
      </c>
      <c r="LM92" s="36" t="s">
        <v>139</v>
      </c>
      <c r="LN92" s="36" t="s">
        <v>139</v>
      </c>
      <c r="LO92" s="36" t="s">
        <v>139</v>
      </c>
      <c r="LP92" s="36" t="s">
        <v>139</v>
      </c>
      <c r="LQ92" s="36" t="s">
        <v>139</v>
      </c>
      <c r="LR92" s="36" t="s">
        <v>139</v>
      </c>
      <c r="LS92" s="36" t="s">
        <v>139</v>
      </c>
      <c r="LT92" s="36" t="s">
        <v>139</v>
      </c>
      <c r="LU92" s="36" t="s">
        <v>139</v>
      </c>
      <c r="LV92" s="36" t="s">
        <v>139</v>
      </c>
      <c r="LW92" s="36" t="s">
        <v>139</v>
      </c>
      <c r="LX92" s="36" t="s">
        <v>139</v>
      </c>
      <c r="LY92" s="36" t="s">
        <v>139</v>
      </c>
      <c r="LZ92" s="36" t="s">
        <v>139</v>
      </c>
      <c r="MA92" s="36" t="s">
        <v>139</v>
      </c>
      <c r="MB92" s="36" t="s">
        <v>139</v>
      </c>
      <c r="MC92" s="36" t="s">
        <v>139</v>
      </c>
      <c r="MD92" s="36" t="s">
        <v>139</v>
      </c>
      <c r="ME92" s="36" t="s">
        <v>139</v>
      </c>
      <c r="MF92" s="36" t="s">
        <v>139</v>
      </c>
      <c r="MG92" s="36" t="s">
        <v>139</v>
      </c>
      <c r="MH92" s="36" t="s">
        <v>139</v>
      </c>
      <c r="MI92" s="36" t="s">
        <v>139</v>
      </c>
      <c r="MJ92" s="36" t="s">
        <v>139</v>
      </c>
      <c r="MK92" s="36" t="s">
        <v>139</v>
      </c>
      <c r="ML92" s="36" t="s">
        <v>139</v>
      </c>
      <c r="MM92" s="36" t="s">
        <v>139</v>
      </c>
      <c r="MN92" s="36" t="s">
        <v>139</v>
      </c>
      <c r="MO92" s="36" t="s">
        <v>139</v>
      </c>
      <c r="MP92" s="36" t="s">
        <v>139</v>
      </c>
      <c r="MQ92" s="36" t="s">
        <v>139</v>
      </c>
      <c r="MR92" s="36" t="s">
        <v>139</v>
      </c>
      <c r="MS92" s="36" t="s">
        <v>139</v>
      </c>
      <c r="MT92" s="36" t="s">
        <v>139</v>
      </c>
      <c r="MU92" s="36" t="s">
        <v>139</v>
      </c>
      <c r="MV92" s="36" t="s">
        <v>139</v>
      </c>
      <c r="MW92" s="36" t="s">
        <v>139</v>
      </c>
      <c r="MX92" s="36" t="s">
        <v>139</v>
      </c>
      <c r="MY92" s="36" t="s">
        <v>139</v>
      </c>
      <c r="MZ92" s="36" t="s">
        <v>139</v>
      </c>
      <c r="NA92" s="36" t="s">
        <v>139</v>
      </c>
      <c r="NB92" s="36" t="s">
        <v>139</v>
      </c>
      <c r="NC92" s="36" t="s">
        <v>139</v>
      </c>
      <c r="ND92" s="36" t="s">
        <v>139</v>
      </c>
      <c r="NE92" s="36" t="s">
        <v>139</v>
      </c>
      <c r="NF92" s="36" t="s">
        <v>139</v>
      </c>
      <c r="NG92" s="36" t="s">
        <v>139</v>
      </c>
      <c r="NH92" s="36" t="s">
        <v>139</v>
      </c>
      <c r="NI92" s="36" t="s">
        <v>139</v>
      </c>
      <c r="NJ92" s="36" t="s">
        <v>139</v>
      </c>
      <c r="NK92" s="36" t="s">
        <v>139</v>
      </c>
      <c r="NL92" s="36" t="s">
        <v>139</v>
      </c>
      <c r="NM92" s="36" t="s">
        <v>139</v>
      </c>
      <c r="NN92" s="36" t="s">
        <v>139</v>
      </c>
      <c r="NO92" s="36" t="s">
        <v>139</v>
      </c>
      <c r="NP92" s="36" t="s">
        <v>139</v>
      </c>
      <c r="NQ92" s="36" t="s">
        <v>139</v>
      </c>
      <c r="NR92" s="36" t="s">
        <v>139</v>
      </c>
      <c r="NS92" s="36" t="s">
        <v>139</v>
      </c>
      <c r="NT92" s="36" t="s">
        <v>139</v>
      </c>
      <c r="NU92" s="36" t="s">
        <v>139</v>
      </c>
      <c r="NV92" s="36" t="s">
        <v>139</v>
      </c>
      <c r="NW92" s="36" t="s">
        <v>139</v>
      </c>
      <c r="NX92" s="36" t="s">
        <v>139</v>
      </c>
      <c r="NY92" s="36" t="s">
        <v>139</v>
      </c>
      <c r="NZ92" s="36" t="s">
        <v>139</v>
      </c>
      <c r="OA92" s="36" t="s">
        <v>139</v>
      </c>
      <c r="OB92" s="36" t="s">
        <v>139</v>
      </c>
      <c r="OC92" s="36" t="s">
        <v>139</v>
      </c>
      <c r="OD92" s="36" t="s">
        <v>139</v>
      </c>
      <c r="OE92" s="36" t="s">
        <v>139</v>
      </c>
      <c r="OF92" s="36" t="s">
        <v>139</v>
      </c>
      <c r="OG92" s="36" t="s">
        <v>139</v>
      </c>
      <c r="OH92" s="36" t="s">
        <v>139</v>
      </c>
      <c r="OI92" s="36" t="s">
        <v>139</v>
      </c>
      <c r="OJ92" s="36" t="s">
        <v>139</v>
      </c>
      <c r="OK92" s="36" t="s">
        <v>139</v>
      </c>
      <c r="OL92" s="36" t="s">
        <v>139</v>
      </c>
      <c r="OM92" s="36" t="s">
        <v>139</v>
      </c>
      <c r="ON92" s="36" t="s">
        <v>139</v>
      </c>
      <c r="OO92" s="36" t="s">
        <v>139</v>
      </c>
      <c r="OP92" s="36" t="s">
        <v>139</v>
      </c>
      <c r="OQ92" s="36" t="s">
        <v>139</v>
      </c>
      <c r="OR92" s="36" t="s">
        <v>139</v>
      </c>
      <c r="OS92" s="36" t="s">
        <v>139</v>
      </c>
      <c r="OT92" s="36" t="s">
        <v>139</v>
      </c>
      <c r="OU92" s="36" t="s">
        <v>139</v>
      </c>
      <c r="OV92" s="36" t="s">
        <v>139</v>
      </c>
      <c r="OW92" s="36" t="s">
        <v>139</v>
      </c>
      <c r="OX92" s="36" t="s">
        <v>139</v>
      </c>
      <c r="OY92" s="36" t="s">
        <v>139</v>
      </c>
      <c r="OZ92" s="36" t="s">
        <v>139</v>
      </c>
      <c r="PA92" s="36" t="s">
        <v>139</v>
      </c>
      <c r="PB92" s="36" t="s">
        <v>139</v>
      </c>
      <c r="PC92" s="36" t="s">
        <v>139</v>
      </c>
      <c r="PD92" s="36" t="s">
        <v>139</v>
      </c>
      <c r="PE92" s="36" t="s">
        <v>139</v>
      </c>
      <c r="PF92" s="36" t="s">
        <v>139</v>
      </c>
      <c r="PG92" s="36" t="s">
        <v>139</v>
      </c>
      <c r="PH92" s="36" t="s">
        <v>139</v>
      </c>
      <c r="PI92" s="36" t="s">
        <v>139</v>
      </c>
      <c r="PJ92" s="36" t="s">
        <v>139</v>
      </c>
      <c r="PK92" s="36" t="s">
        <v>139</v>
      </c>
      <c r="PL92" s="36" t="s">
        <v>139</v>
      </c>
      <c r="PM92" s="36" t="s">
        <v>139</v>
      </c>
      <c r="PN92" s="36" t="s">
        <v>139</v>
      </c>
      <c r="PO92" s="74">
        <f>COUNTIFS($C$27:$PN$27,("&lt;"&amp;$B$3),$C$27:$PN$27,("&gt;="&amp;$B$2),$C92:$PN92,TabAsistencias[[#Headers],[1]])</f>
        <v>30</v>
      </c>
      <c r="PP92" s="74">
        <f>COUNTIFS($C$27:$PN$27,("&lt;"&amp;$B$3),$C$27:$PN$27,("&gt;="&amp;$B$2),$C92:$PN92,TabAsistencias[[#Headers],[E]])</f>
        <v>0</v>
      </c>
      <c r="PQ92" s="74">
        <f>COUNTIFS($C$27:$PN$27,("&lt;"&amp;$B$3),$C$27:$PN$27,("&gt;="&amp;$B$2),$C92:$PN92,TabAsistencias[[#Headers],[DE]])</f>
        <v>0</v>
      </c>
      <c r="PR92" s="74">
        <f>COUNTIFS($C$27:$PN$27,("&lt;"&amp;$B$3),$C$27:$PN$27,("&gt;="&amp;$B$2),$C92:$PN92,TabAsistencias[[#Headers],[V]])</f>
        <v>0</v>
      </c>
      <c r="PS92" s="74">
        <f>COUNTIFS($C$27:$PN$27,("&lt;"&amp;$B$3),$C$27:$PN$27,("&gt;="&amp;$B$2),$C92:$PN92,TabAsistencias[[#Headers],[DO]])</f>
        <v>0</v>
      </c>
      <c r="PT92" s="74">
        <f>COUNTIFS($C$27:$PN$27,("&lt;"&amp;$B$3),$C$27:$PN$27,("&gt;="&amp;$B$2),$C92:$PN92,TabAsistencias[[#Headers],[P]])</f>
        <v>0</v>
      </c>
      <c r="PU92" s="74">
        <f>COUNTIFS($C$27:$PN$27,("&lt;"&amp;$B$3),$C$27:$PN$27,("&gt;="&amp;$B$2),$C92:$PN92,TabAsistencias[[#Headers],[F]])</f>
        <v>0</v>
      </c>
      <c r="PV92" s="74">
        <f>COUNTIFS($C$27:$PN$27,("&lt;"&amp;$B$3),$C$27:$PN$27,("&gt;="&amp;$B$2),$C92:$PN92,TabAsistencias[[#Headers],[R]])</f>
        <v>0</v>
      </c>
      <c r="PW92" s="74">
        <f>COUNTIFS($C$27:$PN$27,("&lt;"&amp;$B$3),$C$27:$PN$27,("&gt;="&amp;$B$2),$C92:$PN92,TabAsistencias[[#Headers],[PP]])</f>
        <v>0</v>
      </c>
      <c r="PX92" s="74">
        <f>COUNTIFS($C$27:$PN$27,("&lt;"&amp;$B$3),$C$27:$PN$27,("&gt;="&amp;$B$2),$C92:$PN92,TabAsistencias[[#Headers],[0]])</f>
        <v>0</v>
      </c>
      <c r="PY92" s="74">
        <f>COUNTIFS($C$27:$PN$27,("&lt;"&amp;$B$3),$C$27:$PN$27,("&gt;="&amp;$B$2),$C92:$PN92,TabAsistencias[[#Headers],[IG]])</f>
        <v>0</v>
      </c>
      <c r="PZ92" s="74">
        <f>COUNTIFS($C$27:$PN$27,("&lt;"&amp;$B$3),$C$27:$PN$27,("&gt;="&amp;$B$2),$C92:$PN92,TabAsistencias[[#Headers],[NA]])</f>
        <v>0</v>
      </c>
      <c r="QA92" s="74">
        <f>COUNTIFS($C$27:$PN$27,("&lt;"&amp;$B$3),$C$27:$PN$27,("&gt;="&amp;$B$2),$C92:$PN92,TabAsistencias[[#Headers],[DF]])</f>
        <v>0</v>
      </c>
      <c r="QB92" s="74">
        <f>COUNTIFS($C$27:$PN$27,("&lt;"&amp;$B$3),$C$27:$PN$27,("&gt;="&amp;$B$2),$C92:$PN92,TabAsistencias[[#Headers],[3]])</f>
        <v>0</v>
      </c>
      <c r="QC92" s="74">
        <f>COUNTIFS($C$27:$PN$27,("&lt;"&amp;$B$3),$C$27:$PN$27,("&gt;="&amp;$B$2),$C92:$PN92,TabAsistencias[[#Headers],[CP]])</f>
        <v>0</v>
      </c>
      <c r="QD92" s="74">
        <f>COUNTIFS($C$27:$PN$27,("&lt;"&amp;$B$3),$C$27:$PN$27,("&gt;="&amp;$B$2),$C92:$PN92,TabAsistencias[[#Headers],[I]])</f>
        <v>0</v>
      </c>
      <c r="QE92" s="74">
        <f>COUNTIFS($C$27:$PN$27,("&lt;"&amp;$B$3),$C$27:$PN$27,("&gt;="&amp;$B$2),$C92:$PN92,TabAsistencias[[#Headers],[T/2]])</f>
        <v>0</v>
      </c>
      <c r="QF92" s="74">
        <f>COUNTIFS($C$27:$PN$27,("&lt;"&amp;$B$3),$C$27:$PN$27,("&gt;="&amp;$B$2),$C92:$PN92,TabAsistencias[[#Headers],[ME]])</f>
        <v>0</v>
      </c>
      <c r="QG92" s="74">
        <f>COUNTIFS($C$27:$PN$27,("&lt;"&amp;$B$3),$C$27:$PN$27,("&gt;="&amp;$B$2),$C92:$PN92,TabAsistencias[[#Headers],[DP]])</f>
        <v>0</v>
      </c>
      <c r="QH92" s="74">
        <f>COUNTIFS($C$27:$PN$27,("&lt;"&amp;$B$3),$C$27:$PN$27,("&gt;="&amp;$B$2),$C92:$PN92,TabAsistencias[[#Headers],[B]])</f>
        <v>0</v>
      </c>
      <c r="QI92" s="74">
        <f>(TabAsistencias[[#This Row],[1]]*'Tablas de informacion'!$C$124)+(TabAsistencias[[#This Row],[E]]*'Tablas de informacion'!$C$125)+(TabAsistencias[[#This Row],[DE]]*'Tablas de informacion'!C$126)+(TabAsistencias[[#This Row],[V]]*'Tablas de informacion'!C$127)+(TabAsistencias[[#This Row],[DO]]*'Tablas de informacion'!C$128)+(TabAsistencias[[#This Row],[P]]*'Tablas de informacion'!C$129)+(TabAsistencias[[#This Row],[F]]*'Tablas de informacion'!C$130)+(TabAsistencias[[#This Row],[R]]*'Tablas de informacion'!C$131)+(TabAsistencias[[#This Row],[PP]]*'Tablas de informacion'!C$132)+(TabAsistencias[[#This Row],[0]]*'Tablas de informacion'!C$133)+(TabAsistencias[[#This Row],[IG]]*'Tablas de informacion'!C$134)+(TabAsistencias[[#This Row],[NA]]*'Tablas de informacion'!C$135)+(TabAsistencias[[#This Row],[DF]]*'Tablas de informacion'!C$136)+(TabAsistencias[[#This Row],[3]]*'Tablas de informacion'!C$137)+(TabAsistencias[[#This Row],[CP]]*'Tablas de informacion'!C$138)+(TabAsistencias[[#This Row],[I]]*'Tablas de informacion'!C$139)+(TabAsistencias[[#This Row],[T/2]]*'Tablas de informacion'!C$140)+(TabAsistencias[[#This Row],[ME]]*'Tablas de informacion'!C$141)+(TabAsistencias[[#This Row],[DP]]*'Tablas de informacion'!C$142)+(TabAsistencias[[#This Row],[B]]*'Tablas de informacion'!C$143)-INT(TabAsistencias[[#This Row],[R]]/3)</f>
        <v>30</v>
      </c>
      <c r="QJ92" s="74">
        <f>COUNTIFS($C$27:$PN$27,("&lt;"&amp;$B$3),$C$27:$PN$27,("&gt;="&amp;$B$2),$C$28:$PN$28,1,$C92:$PN92,TabAsistencias[[#Headers],[1]])+
COUNTIFS($C$27:$PN$27,("&lt;"&amp;$B$3),$C$27:$PN$27,("&gt;="&amp;$B$2),$C$28:$PN$28,1,$C92:$PN92,TabAsistencias[[#Headers],[DO]])+
COUNTIFS($C$27:$PN$27,("&lt;"&amp;$B$3),$C$27:$PN$27,("&gt;="&amp;$B$2),$C$28:$PN$28,1,$C92:$PN92,TabAsistencias[[#Headers],[R]])+
COUNTIFS($C$27:$PN$27,("&lt;"&amp;$B$3),$C$27:$PN$27,("&gt;="&amp;$B$2),$C$28:$PN$28,1,$C92:$PN92,TabAsistencias[[#Headers],[NA]])+
COUNTIFS($C$27:$PN$27,("&lt;"&amp;$B$3),$C$27:$PN$27,("&gt;="&amp;$B$2),$C$28:$PN$28,1,$C92:$PN92,TabAsistencias[[#Headers],[DF]])+
COUNTIFS($C$27:$PN$27,("&lt;"&amp;$B$3),$C$27:$PN$27,("&gt;="&amp;$B$2),$C$28:$PN$28,1,$C92:$PN92,TabAsistencias[[#Headers],[3]])+
COUNTIFS($C$27:$PN$27,("&lt;"&amp;$B$3),$C$27:$PN$27,("&gt;="&amp;$B$2),$C$28:$PN$28,1,$C92:$PN92,TabAsistencias[[#Headers],[CP]])+
COUNTIFS($C$27:$PN$27,("&lt;"&amp;$B$3),$C$27:$PN$27,("&gt;="&amp;$B$2),$C$28:$PN$28,1,$C92:$PN92,TabAsistencias[[#Headers],[T/2]])</f>
        <v>4</v>
      </c>
      <c r="QK92" s="315" cm="1">
        <f t="array" ref="QK92">IFERROR(VLOOKUP(
DATEDIF((VLOOKUP(TabAsistencias[[#This Row],[ID]],TabEmpleados[],COLUMN(TabEmpleados[Fecha de ingreso]),FALSE)),Asistencias!$B$3,"Y"),
TabFactorIntegracion[],COLUMN(TabFactorIntegracion[Días vacacionales
establecidos por ley]),FALSE),0)
-
COUNTIF($AH92:$PN92,TabAsistencias[[#Headers],[V]])</f>
        <v>12</v>
      </c>
      <c r="QL92" s="319">
        <f>SUM(TabAsistencias[[#This Row],[''1]],TabAsistencias[[#This Row],[''DE]],TabAsistencias[[#This Row],[''DO]],TabAsistencias[[#This Row],[''R]],TabAsistencias[[#This Row],[''NA]],TabAsistencias[[#This Row],[''DF]],TabAsistencias[[#This Row],[''3]],TabAsistencias[[#This Row],[''CP]],TabAsistencias[[#This Row],[''T/2]],TabAsistencias[[#This Row],[''DP]])</f>
        <v>73</v>
      </c>
      <c r="QM92" s="314">
        <f>COUNTIFS($C$27:$PN$27,("&lt;"&amp;$B$5),$C$27:$PN$27,("&gt;="&amp;$B$4),$C92:$PN92,TabAsistencias[[#Headers],[1]])</f>
        <v>73</v>
      </c>
      <c r="QN92" s="314">
        <f>COUNTIFS($C$27:$PN$27,("&lt;"&amp;$B$5),$C$27:$PN$27,("&gt;="&amp;$B$4),$C92:$PN92,TabAsistencias[[#Headers],[DE]])</f>
        <v>0</v>
      </c>
      <c r="QO92" s="314">
        <f>COUNTIFS($C$27:$PN$27,("&lt;"&amp;$B$5),$C$27:$PN$27,("&gt;="&amp;$B$4),$C92:$PN92,TabAsistencias[[#Headers],[V]])</f>
        <v>0</v>
      </c>
      <c r="QP92" s="314">
        <f>COUNTIFS($C$27:$PN$27,("&lt;"&amp;$B$5),$C$27:$PN$27,("&gt;="&amp;$B$4),$C92:$PN92,TabAsistencias[[#Headers],[DO]])</f>
        <v>0</v>
      </c>
      <c r="QQ92" s="314">
        <f>COUNTIFS($C$27:$PN$27,("&lt;"&amp;$B$5),$C$27:$PN$27,("&gt;="&amp;$B$4),$C92:$PN92,TabAsistencias[[#Headers],[P]])</f>
        <v>0</v>
      </c>
      <c r="QR92" s="314">
        <f>COUNTIFS($C$27:$PN$27,("&lt;"&amp;$B$5),$C$27:$PN$27,("&gt;="&amp;$B$4),$C92:$PN92,TabAsistencias[[#Headers],[F]])</f>
        <v>0</v>
      </c>
      <c r="QS92" s="314">
        <f>COUNTIFS($C$27:$PN$27,("&lt;"&amp;$B$5),$C$27:$PN$27,("&gt;="&amp;$B$4),$C92:$PN92,TabAsistencias[[#Headers],[R]])</f>
        <v>0</v>
      </c>
      <c r="QT92" s="314">
        <f>COUNTIFS($C$27:$PN$27,("&lt;"&amp;$B$5),$C$27:$PN$27,("&gt;="&amp;$B$4),$C92:$PN92,TabAsistencias[[#Headers],[PP]])</f>
        <v>0</v>
      </c>
      <c r="QU92" s="314">
        <f>COUNTIFS($C$27:$PN$27,("&lt;"&amp;$B$5),$C$27:$PN$27,("&gt;="&amp;$B$4),$C92:$PN92,TabAsistencias[[#Headers],[0]])</f>
        <v>0</v>
      </c>
      <c r="QV92" s="314">
        <f>COUNTIFS($C$27:$PN$27,("&lt;"&amp;$B$5),$C$27:$PN$27,("&gt;="&amp;$B$4),$C92:$PN92,TabAsistencias[[#Headers],[IG]])</f>
        <v>0</v>
      </c>
      <c r="QW92" s="314">
        <f>COUNTIFS($C$27:$PN$27,("&lt;"&amp;$B$5),$C$27:$PN$27,("&gt;="&amp;$B$4),$C92:$PN92,TabAsistencias[[#Headers],[NA]])</f>
        <v>0</v>
      </c>
      <c r="QX92" s="314">
        <f>COUNTIFS($C$27:$PN$27,("&lt;"&amp;$B$5),$C$27:$PN$27,("&gt;="&amp;$B$4),$C92:$PN92,TabAsistencias[[#Headers],[DF]])</f>
        <v>0</v>
      </c>
      <c r="QY92" s="314">
        <f>COUNTIFS($C$27:$PN$27,("&lt;"&amp;$B$5),$C$27:$PN$27,("&gt;="&amp;$B$4),$C92:$PN92,TabAsistencias[[#Headers],[3]])</f>
        <v>0</v>
      </c>
      <c r="QZ92" s="314">
        <f>COUNTIFS($C$27:$PN$27,("&lt;"&amp;$B$5),$C$27:$PN$27,("&gt;="&amp;$B$4),$C92:$PN92,TabAsistencias[[#Headers],[CP]])</f>
        <v>0</v>
      </c>
      <c r="RA92" s="314">
        <f>COUNTIFS($C$27:$PN$27,("&lt;"&amp;$B$5),$C$27:$PN$27,("&gt;="&amp;$B$4),$C92:$PN92,TabAsistencias[[#Headers],[I]])</f>
        <v>0</v>
      </c>
      <c r="RB92" s="314">
        <f>COUNTIFS($C$27:$PN$27,("&lt;"&amp;$B$5),$C$27:$PN$27,("&gt;="&amp;$B$4),$C92:$PN92,TabAsistencias[[#Headers],[T/2]])</f>
        <v>0</v>
      </c>
      <c r="RC92" s="314">
        <f>COUNTIFS($C$27:$PN$27,("&lt;"&amp;$B$5),$C$27:$PN$27,("&gt;="&amp;$B$4),$C92:$PN92,TabAsistencias[[#Headers],[ME]])</f>
        <v>0</v>
      </c>
      <c r="RD92" s="314">
        <f>COUNTIFS($C$27:$PN$27,("&lt;"&amp;$B$5),$C$27:$PN$27,("&gt;="&amp;$B$4),$C92:$PN92,TabAsistencias[[#Headers],[DP]])</f>
        <v>0</v>
      </c>
      <c r="RE92" s="314">
        <f>COUNTIFS($C$27:$PN$27,("&lt;"&amp;$B$5),$C$27:$PN$27,("&gt;="&amp;$B$4),$C92:$PN92,TabAsistencias[[#Headers],[B]])</f>
        <v>0</v>
      </c>
      <c r="RF92" s="314">
        <f>COUNTIFS($C$27:$PN$27,("&lt;"&amp;$B$5),$C$27:$PN$27,("&gt;="&amp;$B$4),$C$28:$PN$28,1,$C92:$PN92,TabAsistencias[[#Headers],[1]])+
COUNTIFS($C$27:$PN$27,("&lt;"&amp;$B$5),$C$27:$PN$27,("&gt;="&amp;$B$4),$C$28:$PN$28,1,$C92:$PN92,TabAsistencias[[#Headers],[DO]])+
COUNTIFS($C$27:$PN$27,("&lt;"&amp;$B$5),$C$27:$PN$27,("&gt;="&amp;$B$4),$C$28:$PN$28,1,$C92:$PN92,TabAsistencias[[#Headers],[R]])+
COUNTIFS($C$27:$PN$27,("&lt;"&amp;$B$5),$C$27:$PN$27,("&gt;="&amp;$B$4),$C$28:$PN$28,1,$C92:$PN92,TabAsistencias[[#Headers],[NA]])+
COUNTIFS($C$27:$PN$27,("&lt;"&amp;$B$5),$C$27:$PN$27,("&gt;="&amp;$B$4),$C$28:$PN$28,1,$C92:$PN92,TabAsistencias[[#Headers],[DF]])+
COUNTIFS($C$27:$PN$27,("&lt;"&amp;$B$5),$C$27:$PN$27,("&gt;="&amp;$B$4),$C$28:$PN$28,1,$C92:$PN92,TabAsistencias[[#Headers],[3]])+
COUNTIFS($C$27:$PN$27,("&lt;"&amp;$B$5),$C$27:$PN$27,("&gt;="&amp;$B$4),$C$28:$PN$28,1,$C92:$PN92,TabAsistencias[[#Headers],[CP]])+
COUNTIFS($C$27:$PN$27,("&lt;"&amp;$B$5),$C$27:$PN$27,("&gt;="&amp;$B$4),$C$28:$PN$28,1,$C92:$PN92,TabAsistencias[[#Headers],[T/2]])</f>
        <v>11</v>
      </c>
      <c r="RG92" s="320" cm="1">
        <f t="array" ref="RG92">IFERROR(VLOOKUP(
DATEDIF((VLOOKUP(TabAsistencias[[#This Row],[ID]],TabEmpleados[],COLUMN(TabEmpleados[Fecha de alta NSS]),FALSE)),Asistencias!$B$3,"Y"),
TabFactorIntegracion[],COLUMN(TabFactorIntegracion[Días vacacionales
establecidos por ley]),FALSE),0)
-
COUNTIF($AH92:$PN92,TabAsistencias[[#Headers],[V]])</f>
        <v>12</v>
      </c>
    </row>
    <row r="93" spans="1:475" x14ac:dyDescent="0.25">
      <c r="A93" s="92">
        <f t="shared" si="434"/>
        <v>63</v>
      </c>
      <c r="B93" s="30" t="str" cm="1">
        <f t="array" ref="B93">VLOOKUP(TabAsistencias[[#This Row],[ID]],TabEmpleados[],COLUMN(TabEmpleados[Nombre]),FALSE)</f>
        <v>SANCHEZ RUIZ INGRID VIVIANA</v>
      </c>
      <c r="C93" s="36" t="s">
        <v>139</v>
      </c>
      <c r="D93" s="36" t="s">
        <v>139</v>
      </c>
      <c r="E93" s="36" t="s">
        <v>139</v>
      </c>
      <c r="F93" s="36" t="s">
        <v>139</v>
      </c>
      <c r="G93" s="36" t="s">
        <v>139</v>
      </c>
      <c r="H93" s="36" t="s">
        <v>139</v>
      </c>
      <c r="I93" s="36" t="s">
        <v>139</v>
      </c>
      <c r="J93" s="36" t="s">
        <v>139</v>
      </c>
      <c r="K93" s="36" t="s">
        <v>139</v>
      </c>
      <c r="L93" s="36" t="s">
        <v>139</v>
      </c>
      <c r="M93" s="36" t="s">
        <v>139</v>
      </c>
      <c r="N93" s="36" t="s">
        <v>139</v>
      </c>
      <c r="O93" s="36" t="s">
        <v>139</v>
      </c>
      <c r="P93" s="36" t="s">
        <v>139</v>
      </c>
      <c r="Q93" s="36" t="s">
        <v>139</v>
      </c>
      <c r="R93" s="36" t="s">
        <v>139</v>
      </c>
      <c r="S93" s="36" t="s">
        <v>139</v>
      </c>
      <c r="T93" s="36" t="s">
        <v>139</v>
      </c>
      <c r="U93" s="36" t="s">
        <v>139</v>
      </c>
      <c r="V93" s="36" t="s">
        <v>139</v>
      </c>
      <c r="W93" s="36" t="s">
        <v>139</v>
      </c>
      <c r="X93" s="36" t="s">
        <v>139</v>
      </c>
      <c r="Y93" s="36" t="s">
        <v>139</v>
      </c>
      <c r="Z93" s="36" t="s">
        <v>139</v>
      </c>
      <c r="AA93" s="36" t="s">
        <v>139</v>
      </c>
      <c r="AB93" s="36" t="s">
        <v>139</v>
      </c>
      <c r="AC93" s="36" t="s">
        <v>139</v>
      </c>
      <c r="AD93" s="36" t="s">
        <v>139</v>
      </c>
      <c r="AE93" s="36" t="s">
        <v>139</v>
      </c>
      <c r="AF93" s="36" t="s">
        <v>139</v>
      </c>
      <c r="AG93" s="36" t="s">
        <v>139</v>
      </c>
      <c r="AH93" s="36" t="s">
        <v>139</v>
      </c>
      <c r="AI93" s="36" t="s">
        <v>139</v>
      </c>
      <c r="AJ93" s="36" t="s">
        <v>139</v>
      </c>
      <c r="AK93" s="36" t="s">
        <v>139</v>
      </c>
      <c r="AL93" s="36" t="s">
        <v>139</v>
      </c>
      <c r="AM93" s="36" t="s">
        <v>139</v>
      </c>
      <c r="AN93" s="36" t="s">
        <v>139</v>
      </c>
      <c r="AO93" s="36" t="s">
        <v>139</v>
      </c>
      <c r="AP93" s="36" t="s">
        <v>139</v>
      </c>
      <c r="AQ93" s="36" t="s">
        <v>139</v>
      </c>
      <c r="AR93" s="36" t="s">
        <v>139</v>
      </c>
      <c r="AS93" s="36" t="s">
        <v>139</v>
      </c>
      <c r="AT93" s="36" t="s">
        <v>139</v>
      </c>
      <c r="AU93" s="36" t="s">
        <v>139</v>
      </c>
      <c r="AV93" s="36" t="s">
        <v>139</v>
      </c>
      <c r="AW93" s="36" t="s">
        <v>139</v>
      </c>
      <c r="AX93" s="36" t="s">
        <v>139</v>
      </c>
      <c r="AY93" s="36" t="s">
        <v>139</v>
      </c>
      <c r="AZ93" s="36" t="s">
        <v>139</v>
      </c>
      <c r="BA93" s="36" t="s">
        <v>139</v>
      </c>
      <c r="BB93" s="36" t="s">
        <v>139</v>
      </c>
      <c r="BC93" s="36" t="s">
        <v>139</v>
      </c>
      <c r="BD93" s="36" t="s">
        <v>139</v>
      </c>
      <c r="BE93" s="36" t="s">
        <v>139</v>
      </c>
      <c r="BF93" s="36" t="s">
        <v>139</v>
      </c>
      <c r="BG93" s="36" t="s">
        <v>139</v>
      </c>
      <c r="BH93" s="36" t="s">
        <v>139</v>
      </c>
      <c r="BI93" s="36" t="s">
        <v>139</v>
      </c>
      <c r="BJ93" s="36" t="s">
        <v>139</v>
      </c>
      <c r="BK93" s="36" t="s">
        <v>139</v>
      </c>
      <c r="BL93" s="36" t="s">
        <v>139</v>
      </c>
      <c r="BM93" s="36" t="s">
        <v>139</v>
      </c>
      <c r="BN93" s="36" t="s">
        <v>139</v>
      </c>
      <c r="BO93" s="36" t="s">
        <v>139</v>
      </c>
      <c r="BP93" s="36" t="s">
        <v>139</v>
      </c>
      <c r="BQ93" s="36" t="s">
        <v>139</v>
      </c>
      <c r="BR93" s="36" t="s">
        <v>139</v>
      </c>
      <c r="BS93" s="36" t="s">
        <v>139</v>
      </c>
      <c r="BT93" s="36" t="s">
        <v>139</v>
      </c>
      <c r="BU93" s="36" t="s">
        <v>139</v>
      </c>
      <c r="BV93" s="36" t="s">
        <v>139</v>
      </c>
      <c r="BW93" s="36" t="s">
        <v>139</v>
      </c>
      <c r="BX93" s="36" t="s">
        <v>139</v>
      </c>
      <c r="BY93" s="36" t="s">
        <v>139</v>
      </c>
      <c r="BZ93" s="36" t="s">
        <v>139</v>
      </c>
      <c r="CA93" s="36" t="s">
        <v>139</v>
      </c>
      <c r="CB93" s="36" t="s">
        <v>139</v>
      </c>
      <c r="CC93" s="36" t="s">
        <v>139</v>
      </c>
      <c r="CD93" s="36" t="s">
        <v>139</v>
      </c>
      <c r="CE93" s="36" t="s">
        <v>139</v>
      </c>
      <c r="CF93" s="36" t="s">
        <v>139</v>
      </c>
      <c r="CG93" s="36" t="s">
        <v>139</v>
      </c>
      <c r="CH93" s="36" t="s">
        <v>139</v>
      </c>
      <c r="CI93" s="36" t="s">
        <v>139</v>
      </c>
      <c r="CJ93" s="36" t="s">
        <v>139</v>
      </c>
      <c r="CK93" s="36" t="s">
        <v>139</v>
      </c>
      <c r="CL93" s="36" t="s">
        <v>139</v>
      </c>
      <c r="CM93" s="36" t="s">
        <v>139</v>
      </c>
      <c r="CN93" s="36" t="s">
        <v>139</v>
      </c>
      <c r="CO93" s="36" t="s">
        <v>139</v>
      </c>
      <c r="CP93" s="36" t="s">
        <v>139</v>
      </c>
      <c r="CQ93" s="36" t="s">
        <v>139</v>
      </c>
      <c r="CR93" s="36" t="s">
        <v>139</v>
      </c>
      <c r="CS93" s="36" t="s">
        <v>139</v>
      </c>
      <c r="CT93" s="36" t="s">
        <v>139</v>
      </c>
      <c r="CU93" s="36" t="s">
        <v>139</v>
      </c>
      <c r="CV93" s="36" t="s">
        <v>139</v>
      </c>
      <c r="CW93" s="36" t="s">
        <v>139</v>
      </c>
      <c r="CX93" s="36" t="s">
        <v>139</v>
      </c>
      <c r="CY93" s="36" t="s">
        <v>139</v>
      </c>
      <c r="CZ93" s="36" t="s">
        <v>139</v>
      </c>
      <c r="DA93" s="36" t="s">
        <v>139</v>
      </c>
      <c r="DB93" s="36" t="s">
        <v>139</v>
      </c>
      <c r="DC93" s="36" t="s">
        <v>139</v>
      </c>
      <c r="DD93" s="36" t="s">
        <v>139</v>
      </c>
      <c r="DE93" s="36" t="s">
        <v>139</v>
      </c>
      <c r="DF93" s="36" t="s">
        <v>139</v>
      </c>
      <c r="DG93" s="36" t="s">
        <v>139</v>
      </c>
      <c r="DH93" s="36" t="s">
        <v>139</v>
      </c>
      <c r="DI93" s="36" t="s">
        <v>139</v>
      </c>
      <c r="DJ93" s="36" t="s">
        <v>139</v>
      </c>
      <c r="DK93" s="36" t="s">
        <v>139</v>
      </c>
      <c r="DL93" s="36" t="s">
        <v>139</v>
      </c>
      <c r="DM93" s="36" t="s">
        <v>139</v>
      </c>
      <c r="DN93" s="36" t="s">
        <v>139</v>
      </c>
      <c r="DO93" s="36" t="s">
        <v>139</v>
      </c>
      <c r="DP93" s="36" t="s">
        <v>139</v>
      </c>
      <c r="DQ93" s="36" t="s">
        <v>139</v>
      </c>
      <c r="DR93" s="36" t="s">
        <v>139</v>
      </c>
      <c r="DS93" s="36" t="s">
        <v>139</v>
      </c>
      <c r="DT93" s="36" t="s">
        <v>139</v>
      </c>
      <c r="DU93" s="36" t="s">
        <v>139</v>
      </c>
      <c r="DV93" s="36" t="s">
        <v>139</v>
      </c>
      <c r="DW93" s="36" t="s">
        <v>139</v>
      </c>
      <c r="DX93" s="36" t="s">
        <v>139</v>
      </c>
      <c r="DY93" s="36" t="s">
        <v>139</v>
      </c>
      <c r="DZ93" s="36" t="s">
        <v>139</v>
      </c>
      <c r="EA93" s="36" t="s">
        <v>139</v>
      </c>
      <c r="EB93" s="36" t="s">
        <v>139</v>
      </c>
      <c r="EC93" s="36" t="s">
        <v>139</v>
      </c>
      <c r="ED93" s="36" t="s">
        <v>139</v>
      </c>
      <c r="EE93" s="36" t="s">
        <v>139</v>
      </c>
      <c r="EF93" s="36" t="s">
        <v>139</v>
      </c>
      <c r="EG93" s="36" t="s">
        <v>139</v>
      </c>
      <c r="EH93" s="36" t="s">
        <v>139</v>
      </c>
      <c r="EI93" s="36" t="s">
        <v>139</v>
      </c>
      <c r="EJ93" s="36" t="s">
        <v>139</v>
      </c>
      <c r="EK93" s="36" t="s">
        <v>139</v>
      </c>
      <c r="EL93" s="36" t="s">
        <v>139</v>
      </c>
      <c r="EM93" s="36" t="s">
        <v>139</v>
      </c>
      <c r="EN93" s="36" t="s">
        <v>139</v>
      </c>
      <c r="EO93" s="36" t="s">
        <v>139</v>
      </c>
      <c r="EP93" s="36" t="s">
        <v>139</v>
      </c>
      <c r="EQ93" s="36" t="s">
        <v>139</v>
      </c>
      <c r="ER93" s="36" t="s">
        <v>139</v>
      </c>
      <c r="ES93" s="36" t="s">
        <v>139</v>
      </c>
      <c r="ET93" s="36" t="s">
        <v>139</v>
      </c>
      <c r="EU93" s="36" t="s">
        <v>139</v>
      </c>
      <c r="EV93" s="36" t="s">
        <v>139</v>
      </c>
      <c r="EW93" s="36" t="s">
        <v>139</v>
      </c>
      <c r="EX93" s="36" t="s">
        <v>139</v>
      </c>
      <c r="EY93" s="36" t="s">
        <v>139</v>
      </c>
      <c r="EZ93" s="36" t="s">
        <v>139</v>
      </c>
      <c r="FA93" s="36" t="s">
        <v>139</v>
      </c>
      <c r="FB93" s="36" t="s">
        <v>139</v>
      </c>
      <c r="FC93" s="36" t="s">
        <v>139</v>
      </c>
      <c r="FD93" s="36" t="s">
        <v>139</v>
      </c>
      <c r="FE93" s="36" t="s">
        <v>139</v>
      </c>
      <c r="FF93" s="36" t="s">
        <v>139</v>
      </c>
      <c r="FG93" s="36" t="s">
        <v>139</v>
      </c>
      <c r="FH93" s="36" t="s">
        <v>139</v>
      </c>
      <c r="FI93" s="36" t="s">
        <v>139</v>
      </c>
      <c r="FJ93" s="36" t="s">
        <v>139</v>
      </c>
      <c r="FK93" s="36" t="s">
        <v>139</v>
      </c>
      <c r="FL93" s="36" t="s">
        <v>139</v>
      </c>
      <c r="FM93" s="36" t="s">
        <v>139</v>
      </c>
      <c r="FN93" s="36" t="s">
        <v>139</v>
      </c>
      <c r="FO93" s="36" t="s">
        <v>139</v>
      </c>
      <c r="FP93" s="36" t="s">
        <v>139</v>
      </c>
      <c r="FQ93" s="36" t="s">
        <v>139</v>
      </c>
      <c r="FR93" s="36" t="s">
        <v>139</v>
      </c>
      <c r="FS93" s="36" t="s">
        <v>139</v>
      </c>
      <c r="FT93" s="36" t="s">
        <v>139</v>
      </c>
      <c r="FU93" s="36" t="s">
        <v>139</v>
      </c>
      <c r="FV93" s="36" t="s">
        <v>139</v>
      </c>
      <c r="FW93" s="36" t="s">
        <v>139</v>
      </c>
      <c r="FX93" s="36" t="s">
        <v>139</v>
      </c>
      <c r="FY93" s="36" t="s">
        <v>139</v>
      </c>
      <c r="FZ93" s="36" t="s">
        <v>139</v>
      </c>
      <c r="GA93" s="36" t="s">
        <v>139</v>
      </c>
      <c r="GB93" s="36" t="s">
        <v>139</v>
      </c>
      <c r="GC93" s="36" t="s">
        <v>139</v>
      </c>
      <c r="GD93" s="36" t="s">
        <v>139</v>
      </c>
      <c r="GE93" s="36" t="s">
        <v>139</v>
      </c>
      <c r="GF93" s="36" t="s">
        <v>139</v>
      </c>
      <c r="GG93" s="36" t="s">
        <v>139</v>
      </c>
      <c r="GH93" s="36" t="s">
        <v>139</v>
      </c>
      <c r="GI93" s="36" t="s">
        <v>139</v>
      </c>
      <c r="GJ93" s="36" t="s">
        <v>139</v>
      </c>
      <c r="GK93" s="36" t="s">
        <v>139</v>
      </c>
      <c r="GL93" s="36" t="s">
        <v>139</v>
      </c>
      <c r="GM93" s="36" t="s">
        <v>139</v>
      </c>
      <c r="GN93" s="36" t="s">
        <v>139</v>
      </c>
      <c r="GO93" s="36" t="s">
        <v>139</v>
      </c>
      <c r="GP93" s="36" t="s">
        <v>139</v>
      </c>
      <c r="GQ93" s="36" t="s">
        <v>139</v>
      </c>
      <c r="GR93" s="36" t="s">
        <v>139</v>
      </c>
      <c r="GS93" s="36" t="s">
        <v>139</v>
      </c>
      <c r="GT93" s="36" t="s">
        <v>139</v>
      </c>
      <c r="GU93" s="36" t="s">
        <v>139</v>
      </c>
      <c r="GV93" s="36" t="s">
        <v>139</v>
      </c>
      <c r="GW93" s="36" t="s">
        <v>139</v>
      </c>
      <c r="GX93" s="36" t="s">
        <v>139</v>
      </c>
      <c r="GY93" s="36" t="s">
        <v>139</v>
      </c>
      <c r="GZ93" s="36" t="s">
        <v>139</v>
      </c>
      <c r="HA93" s="36" t="s">
        <v>139</v>
      </c>
      <c r="HB93" s="36" t="s">
        <v>139</v>
      </c>
      <c r="HC93" s="36" t="s">
        <v>139</v>
      </c>
      <c r="HD93" s="36" t="s">
        <v>139</v>
      </c>
      <c r="HE93" s="36" t="s">
        <v>139</v>
      </c>
      <c r="HF93" s="36" t="s">
        <v>139</v>
      </c>
      <c r="HG93" s="36" t="s">
        <v>139</v>
      </c>
      <c r="HH93" s="36" t="s">
        <v>139</v>
      </c>
      <c r="HI93" s="36" t="s">
        <v>139</v>
      </c>
      <c r="HJ93" s="36" t="s">
        <v>139</v>
      </c>
      <c r="HK93" s="36" t="s">
        <v>139</v>
      </c>
      <c r="HL93" s="36" t="s">
        <v>139</v>
      </c>
      <c r="HM93" s="36" t="s">
        <v>139</v>
      </c>
      <c r="HN93" s="36" t="s">
        <v>139</v>
      </c>
      <c r="HO93" s="36" t="s">
        <v>139</v>
      </c>
      <c r="HP93" s="36" t="s">
        <v>139</v>
      </c>
      <c r="HQ93" s="36" t="s">
        <v>139</v>
      </c>
      <c r="HR93" s="36" t="s">
        <v>139</v>
      </c>
      <c r="HS93" s="36" t="s">
        <v>139</v>
      </c>
      <c r="HT93" s="36" t="s">
        <v>139</v>
      </c>
      <c r="HU93" s="36" t="s">
        <v>139</v>
      </c>
      <c r="HV93" s="36" t="s">
        <v>139</v>
      </c>
      <c r="HW93" s="36" t="s">
        <v>139</v>
      </c>
      <c r="HX93" s="36" t="s">
        <v>139</v>
      </c>
      <c r="HY93" s="36" t="s">
        <v>139</v>
      </c>
      <c r="HZ93" s="36" t="s">
        <v>139</v>
      </c>
      <c r="IA93" s="36" t="s">
        <v>139</v>
      </c>
      <c r="IB93" s="36" t="s">
        <v>139</v>
      </c>
      <c r="IC93" s="36" t="s">
        <v>139</v>
      </c>
      <c r="ID93" s="36" t="s">
        <v>139</v>
      </c>
      <c r="IE93" s="36" t="s">
        <v>139</v>
      </c>
      <c r="IF93" s="36" t="s">
        <v>139</v>
      </c>
      <c r="IG93" s="36" t="s">
        <v>139</v>
      </c>
      <c r="IH93" s="36" t="s">
        <v>139</v>
      </c>
      <c r="II93" s="36" t="s">
        <v>139</v>
      </c>
      <c r="IJ93" s="36" t="s">
        <v>139</v>
      </c>
      <c r="IK93" s="36" t="s">
        <v>139</v>
      </c>
      <c r="IL93" s="36" t="s">
        <v>139</v>
      </c>
      <c r="IM93" s="36" t="s">
        <v>139</v>
      </c>
      <c r="IN93" s="36" t="s">
        <v>139</v>
      </c>
      <c r="IO93" s="36" t="s">
        <v>139</v>
      </c>
      <c r="IP93" s="36" t="s">
        <v>139</v>
      </c>
      <c r="IQ93" s="36" t="s">
        <v>139</v>
      </c>
      <c r="IR93" s="36" t="s">
        <v>139</v>
      </c>
      <c r="IS93" s="36" t="s">
        <v>139</v>
      </c>
      <c r="IT93" s="36" t="s">
        <v>139</v>
      </c>
      <c r="IU93" s="36" t="s">
        <v>139</v>
      </c>
      <c r="IV93" s="36" t="s">
        <v>139</v>
      </c>
      <c r="IW93" s="36" t="s">
        <v>139</v>
      </c>
      <c r="IX93" s="36" t="s">
        <v>139</v>
      </c>
      <c r="IY93" s="36" t="s">
        <v>139</v>
      </c>
      <c r="IZ93" s="36" t="s">
        <v>139</v>
      </c>
      <c r="JA93" s="36" t="s">
        <v>139</v>
      </c>
      <c r="JB93" s="36" t="s">
        <v>139</v>
      </c>
      <c r="JC93" s="36" t="s">
        <v>139</v>
      </c>
      <c r="JD93" s="36" t="s">
        <v>139</v>
      </c>
      <c r="JE93" s="36" t="s">
        <v>139</v>
      </c>
      <c r="JF93" s="36" t="s">
        <v>139</v>
      </c>
      <c r="JG93" s="36" t="s">
        <v>139</v>
      </c>
      <c r="JH93" s="36" t="s">
        <v>139</v>
      </c>
      <c r="JI93" s="36" t="s">
        <v>139</v>
      </c>
      <c r="JJ93" s="36" t="s">
        <v>139</v>
      </c>
      <c r="JK93" s="36" t="s">
        <v>139</v>
      </c>
      <c r="JL93" s="36" t="s">
        <v>139</v>
      </c>
      <c r="JM93" s="36" t="s">
        <v>139</v>
      </c>
      <c r="JN93" s="36" t="s">
        <v>139</v>
      </c>
      <c r="JO93" s="36" t="s">
        <v>139</v>
      </c>
      <c r="JP93" s="36" t="s">
        <v>139</v>
      </c>
      <c r="JQ93" s="36" t="s">
        <v>139</v>
      </c>
      <c r="JR93" s="36" t="s">
        <v>139</v>
      </c>
      <c r="JS93" s="36" t="s">
        <v>139</v>
      </c>
      <c r="JT93" s="36" t="s">
        <v>139</v>
      </c>
      <c r="JU93" s="36" t="s">
        <v>139</v>
      </c>
      <c r="JV93" s="36" t="s">
        <v>139</v>
      </c>
      <c r="JW93" s="36" t="s">
        <v>139</v>
      </c>
      <c r="JX93" s="36" t="s">
        <v>139</v>
      </c>
      <c r="JY93" s="36" t="s">
        <v>139</v>
      </c>
      <c r="JZ93" s="36" t="s">
        <v>139</v>
      </c>
      <c r="KA93" s="36" t="s">
        <v>139</v>
      </c>
      <c r="KB93" s="36" t="s">
        <v>139</v>
      </c>
      <c r="KC93" s="36" t="s">
        <v>139</v>
      </c>
      <c r="KD93" s="36" t="s">
        <v>139</v>
      </c>
      <c r="KE93" s="36" t="s">
        <v>139</v>
      </c>
      <c r="KF93" s="36" t="s">
        <v>139</v>
      </c>
      <c r="KG93" s="36" t="s">
        <v>139</v>
      </c>
      <c r="KH93" s="36" t="s">
        <v>139</v>
      </c>
      <c r="KI93" s="36" t="s">
        <v>139</v>
      </c>
      <c r="KJ93" s="36" t="s">
        <v>139</v>
      </c>
      <c r="KK93" s="36" t="s">
        <v>139</v>
      </c>
      <c r="KL93" s="36" t="s">
        <v>139</v>
      </c>
      <c r="KM93" s="36" t="s">
        <v>139</v>
      </c>
      <c r="KN93" s="36" t="s">
        <v>139</v>
      </c>
      <c r="KO93" s="36" t="s">
        <v>139</v>
      </c>
      <c r="KP93" s="36" t="s">
        <v>139</v>
      </c>
      <c r="KQ93" s="36" t="s">
        <v>139</v>
      </c>
      <c r="KR93" s="36" t="s">
        <v>139</v>
      </c>
      <c r="KS93" s="36" t="s">
        <v>139</v>
      </c>
      <c r="KT93" s="36" t="s">
        <v>139</v>
      </c>
      <c r="KU93" s="36" t="s">
        <v>139</v>
      </c>
      <c r="KV93" s="36" t="s">
        <v>139</v>
      </c>
      <c r="KW93" s="36" t="s">
        <v>139</v>
      </c>
      <c r="KX93" s="36" t="s">
        <v>139</v>
      </c>
      <c r="KY93" s="36" t="s">
        <v>139</v>
      </c>
      <c r="KZ93" s="36" t="s">
        <v>139</v>
      </c>
      <c r="LA93" s="36" t="s">
        <v>139</v>
      </c>
      <c r="LB93" s="36" t="s">
        <v>139</v>
      </c>
      <c r="LC93" s="36" t="s">
        <v>139</v>
      </c>
      <c r="LD93" s="36" t="s">
        <v>139</v>
      </c>
      <c r="LE93" s="36" t="s">
        <v>139</v>
      </c>
      <c r="LF93" s="36" t="s">
        <v>139</v>
      </c>
      <c r="LG93" s="36" t="s">
        <v>139</v>
      </c>
      <c r="LH93" s="36" t="s">
        <v>139</v>
      </c>
      <c r="LI93" s="36" t="s">
        <v>139</v>
      </c>
      <c r="LJ93" s="36" t="s">
        <v>139</v>
      </c>
      <c r="LK93" s="36" t="s">
        <v>139</v>
      </c>
      <c r="LL93" s="36" t="s">
        <v>139</v>
      </c>
      <c r="LM93" s="36" t="s">
        <v>139</v>
      </c>
      <c r="LN93" s="36" t="s">
        <v>139</v>
      </c>
      <c r="LO93" s="36" t="s">
        <v>139</v>
      </c>
      <c r="LP93" s="36" t="s">
        <v>139</v>
      </c>
      <c r="LQ93" s="36" t="s">
        <v>139</v>
      </c>
      <c r="LR93" s="36" t="s">
        <v>139</v>
      </c>
      <c r="LS93" s="36" t="s">
        <v>139</v>
      </c>
      <c r="LT93" s="36" t="s">
        <v>139</v>
      </c>
      <c r="LU93" s="36" t="s">
        <v>139</v>
      </c>
      <c r="LV93" s="36" t="s">
        <v>139</v>
      </c>
      <c r="LW93" s="36" t="s">
        <v>139</v>
      </c>
      <c r="LX93" s="36" t="s">
        <v>139</v>
      </c>
      <c r="LY93" s="36" t="s">
        <v>139</v>
      </c>
      <c r="LZ93" s="36" t="s">
        <v>139</v>
      </c>
      <c r="MA93" s="36" t="s">
        <v>139</v>
      </c>
      <c r="MB93" s="36" t="s">
        <v>139</v>
      </c>
      <c r="MC93" s="36" t="s">
        <v>139</v>
      </c>
      <c r="MD93" s="36" t="s">
        <v>139</v>
      </c>
      <c r="ME93" s="36" t="s">
        <v>139</v>
      </c>
      <c r="MF93" s="36" t="s">
        <v>139</v>
      </c>
      <c r="MG93" s="36" t="s">
        <v>139</v>
      </c>
      <c r="MH93" s="36" t="s">
        <v>139</v>
      </c>
      <c r="MI93" s="36" t="s">
        <v>139</v>
      </c>
      <c r="MJ93" s="36" t="s">
        <v>139</v>
      </c>
      <c r="MK93" s="36" t="s">
        <v>139</v>
      </c>
      <c r="ML93" s="36" t="s">
        <v>139</v>
      </c>
      <c r="MM93" s="36" t="s">
        <v>139</v>
      </c>
      <c r="MN93" s="36" t="s">
        <v>139</v>
      </c>
      <c r="MO93" s="36" t="s">
        <v>139</v>
      </c>
      <c r="MP93" s="36" t="s">
        <v>139</v>
      </c>
      <c r="MQ93" s="36" t="s">
        <v>139</v>
      </c>
      <c r="MR93" s="36" t="s">
        <v>139</v>
      </c>
      <c r="MS93" s="36" t="s">
        <v>139</v>
      </c>
      <c r="MT93" s="36" t="s">
        <v>139</v>
      </c>
      <c r="MU93" s="36" t="s">
        <v>139</v>
      </c>
      <c r="MV93" s="36" t="s">
        <v>139</v>
      </c>
      <c r="MW93" s="36" t="s">
        <v>139</v>
      </c>
      <c r="MX93" s="36" t="s">
        <v>139</v>
      </c>
      <c r="MY93" s="36" t="s">
        <v>139</v>
      </c>
      <c r="MZ93" s="36" t="s">
        <v>139</v>
      </c>
      <c r="NA93" s="36" t="s">
        <v>139</v>
      </c>
      <c r="NB93" s="36" t="s">
        <v>139</v>
      </c>
      <c r="NC93" s="36" t="s">
        <v>139</v>
      </c>
      <c r="ND93" s="36" t="s">
        <v>139</v>
      </c>
      <c r="NE93" s="36" t="s">
        <v>139</v>
      </c>
      <c r="NF93" s="36" t="s">
        <v>139</v>
      </c>
      <c r="NG93" s="36" t="s">
        <v>139</v>
      </c>
      <c r="NH93" s="36" t="s">
        <v>139</v>
      </c>
      <c r="NI93" s="36" t="s">
        <v>139</v>
      </c>
      <c r="NJ93" s="36" t="s">
        <v>139</v>
      </c>
      <c r="NK93" s="36" t="s">
        <v>139</v>
      </c>
      <c r="NL93" s="36" t="s">
        <v>139</v>
      </c>
      <c r="NM93" s="36" t="s">
        <v>139</v>
      </c>
      <c r="NN93" s="36" t="s">
        <v>139</v>
      </c>
      <c r="NO93" s="36" t="s">
        <v>139</v>
      </c>
      <c r="NP93" s="36" t="s">
        <v>139</v>
      </c>
      <c r="NQ93" s="36" t="s">
        <v>139</v>
      </c>
      <c r="NR93" s="36" t="s">
        <v>139</v>
      </c>
      <c r="NS93" s="36" t="s">
        <v>139</v>
      </c>
      <c r="NT93" s="36" t="s">
        <v>139</v>
      </c>
      <c r="NU93" s="36" t="s">
        <v>139</v>
      </c>
      <c r="NV93" s="36" t="s">
        <v>139</v>
      </c>
      <c r="NW93" s="36" t="s">
        <v>139</v>
      </c>
      <c r="NX93" s="36" t="s">
        <v>139</v>
      </c>
      <c r="NY93" s="36" t="s">
        <v>139</v>
      </c>
      <c r="NZ93" s="36" t="s">
        <v>139</v>
      </c>
      <c r="OA93" s="36" t="s">
        <v>139</v>
      </c>
      <c r="OB93" s="36" t="s">
        <v>139</v>
      </c>
      <c r="OC93" s="36" t="s">
        <v>139</v>
      </c>
      <c r="OD93" s="36" t="s">
        <v>139</v>
      </c>
      <c r="OE93" s="36" t="s">
        <v>139</v>
      </c>
      <c r="OF93" s="36" t="s">
        <v>139</v>
      </c>
      <c r="OG93" s="36" t="s">
        <v>139</v>
      </c>
      <c r="OH93" s="36" t="s">
        <v>139</v>
      </c>
      <c r="OI93" s="36" t="s">
        <v>139</v>
      </c>
      <c r="OJ93" s="36" t="s">
        <v>139</v>
      </c>
      <c r="OK93" s="36" t="s">
        <v>139</v>
      </c>
      <c r="OL93" s="36" t="s">
        <v>139</v>
      </c>
      <c r="OM93" s="36" t="s">
        <v>139</v>
      </c>
      <c r="ON93" s="36" t="s">
        <v>139</v>
      </c>
      <c r="OO93" s="36" t="s">
        <v>139</v>
      </c>
      <c r="OP93" s="36" t="s">
        <v>139</v>
      </c>
      <c r="OQ93" s="36" t="s">
        <v>139</v>
      </c>
      <c r="OR93" s="36" t="s">
        <v>139</v>
      </c>
      <c r="OS93" s="36" t="s">
        <v>139</v>
      </c>
      <c r="OT93" s="36" t="s">
        <v>139</v>
      </c>
      <c r="OU93" s="36" t="s">
        <v>139</v>
      </c>
      <c r="OV93" s="36" t="s">
        <v>139</v>
      </c>
      <c r="OW93" s="36" t="s">
        <v>139</v>
      </c>
      <c r="OX93" s="36" t="s">
        <v>139</v>
      </c>
      <c r="OY93" s="36" t="s">
        <v>139</v>
      </c>
      <c r="OZ93" s="36" t="s">
        <v>139</v>
      </c>
      <c r="PA93" s="36" t="s">
        <v>139</v>
      </c>
      <c r="PB93" s="36" t="s">
        <v>139</v>
      </c>
      <c r="PC93" s="36" t="s">
        <v>139</v>
      </c>
      <c r="PD93" s="36" t="s">
        <v>139</v>
      </c>
      <c r="PE93" s="36" t="s">
        <v>139</v>
      </c>
      <c r="PF93" s="36" t="s">
        <v>139</v>
      </c>
      <c r="PG93" s="36" t="s">
        <v>139</v>
      </c>
      <c r="PH93" s="36" t="s">
        <v>139</v>
      </c>
      <c r="PI93" s="36" t="s">
        <v>139</v>
      </c>
      <c r="PJ93" s="36" t="s">
        <v>139</v>
      </c>
      <c r="PK93" s="36" t="s">
        <v>139</v>
      </c>
      <c r="PL93" s="36" t="s">
        <v>139</v>
      </c>
      <c r="PM93" s="36" t="s">
        <v>139</v>
      </c>
      <c r="PN93" s="36" t="s">
        <v>139</v>
      </c>
      <c r="PO93" s="74">
        <f>COUNTIFS($C$27:$PN$27,("&lt;"&amp;$B$3),$C$27:$PN$27,("&gt;="&amp;$B$2),$C93:$PN93,TabAsistencias[[#Headers],[1]])</f>
        <v>30</v>
      </c>
      <c r="PP93" s="74">
        <f>COUNTIFS($C$27:$PN$27,("&lt;"&amp;$B$3),$C$27:$PN$27,("&gt;="&amp;$B$2),$C93:$PN93,TabAsistencias[[#Headers],[E]])</f>
        <v>0</v>
      </c>
      <c r="PQ93" s="74">
        <f>COUNTIFS($C$27:$PN$27,("&lt;"&amp;$B$3),$C$27:$PN$27,("&gt;="&amp;$B$2),$C93:$PN93,TabAsistencias[[#Headers],[DE]])</f>
        <v>0</v>
      </c>
      <c r="PR93" s="74">
        <f>COUNTIFS($C$27:$PN$27,("&lt;"&amp;$B$3),$C$27:$PN$27,("&gt;="&amp;$B$2),$C93:$PN93,TabAsistencias[[#Headers],[V]])</f>
        <v>0</v>
      </c>
      <c r="PS93" s="74">
        <f>COUNTIFS($C$27:$PN$27,("&lt;"&amp;$B$3),$C$27:$PN$27,("&gt;="&amp;$B$2),$C93:$PN93,TabAsistencias[[#Headers],[DO]])</f>
        <v>0</v>
      </c>
      <c r="PT93" s="74">
        <f>COUNTIFS($C$27:$PN$27,("&lt;"&amp;$B$3),$C$27:$PN$27,("&gt;="&amp;$B$2),$C93:$PN93,TabAsistencias[[#Headers],[P]])</f>
        <v>0</v>
      </c>
      <c r="PU93" s="74">
        <f>COUNTIFS($C$27:$PN$27,("&lt;"&amp;$B$3),$C$27:$PN$27,("&gt;="&amp;$B$2),$C93:$PN93,TabAsistencias[[#Headers],[F]])</f>
        <v>0</v>
      </c>
      <c r="PV93" s="74">
        <f>COUNTIFS($C$27:$PN$27,("&lt;"&amp;$B$3),$C$27:$PN$27,("&gt;="&amp;$B$2),$C93:$PN93,TabAsistencias[[#Headers],[R]])</f>
        <v>0</v>
      </c>
      <c r="PW93" s="74">
        <f>COUNTIFS($C$27:$PN$27,("&lt;"&amp;$B$3),$C$27:$PN$27,("&gt;="&amp;$B$2),$C93:$PN93,TabAsistencias[[#Headers],[PP]])</f>
        <v>0</v>
      </c>
      <c r="PX93" s="74">
        <f>COUNTIFS($C$27:$PN$27,("&lt;"&amp;$B$3),$C$27:$PN$27,("&gt;="&amp;$B$2),$C93:$PN93,TabAsistencias[[#Headers],[0]])</f>
        <v>0</v>
      </c>
      <c r="PY93" s="74">
        <f>COUNTIFS($C$27:$PN$27,("&lt;"&amp;$B$3),$C$27:$PN$27,("&gt;="&amp;$B$2),$C93:$PN93,TabAsistencias[[#Headers],[IG]])</f>
        <v>0</v>
      </c>
      <c r="PZ93" s="74">
        <f>COUNTIFS($C$27:$PN$27,("&lt;"&amp;$B$3),$C$27:$PN$27,("&gt;="&amp;$B$2),$C93:$PN93,TabAsistencias[[#Headers],[NA]])</f>
        <v>0</v>
      </c>
      <c r="QA93" s="74">
        <f>COUNTIFS($C$27:$PN$27,("&lt;"&amp;$B$3),$C$27:$PN$27,("&gt;="&amp;$B$2),$C93:$PN93,TabAsistencias[[#Headers],[DF]])</f>
        <v>0</v>
      </c>
      <c r="QB93" s="74">
        <f>COUNTIFS($C$27:$PN$27,("&lt;"&amp;$B$3),$C$27:$PN$27,("&gt;="&amp;$B$2),$C93:$PN93,TabAsistencias[[#Headers],[3]])</f>
        <v>0</v>
      </c>
      <c r="QC93" s="74">
        <f>COUNTIFS($C$27:$PN$27,("&lt;"&amp;$B$3),$C$27:$PN$27,("&gt;="&amp;$B$2),$C93:$PN93,TabAsistencias[[#Headers],[CP]])</f>
        <v>0</v>
      </c>
      <c r="QD93" s="74">
        <f>COUNTIFS($C$27:$PN$27,("&lt;"&amp;$B$3),$C$27:$PN$27,("&gt;="&amp;$B$2),$C93:$PN93,TabAsistencias[[#Headers],[I]])</f>
        <v>0</v>
      </c>
      <c r="QE93" s="74">
        <f>COUNTIFS($C$27:$PN$27,("&lt;"&amp;$B$3),$C$27:$PN$27,("&gt;="&amp;$B$2),$C93:$PN93,TabAsistencias[[#Headers],[T/2]])</f>
        <v>0</v>
      </c>
      <c r="QF93" s="74">
        <f>COUNTIFS($C$27:$PN$27,("&lt;"&amp;$B$3),$C$27:$PN$27,("&gt;="&amp;$B$2),$C93:$PN93,TabAsistencias[[#Headers],[ME]])</f>
        <v>0</v>
      </c>
      <c r="QG93" s="74">
        <f>COUNTIFS($C$27:$PN$27,("&lt;"&amp;$B$3),$C$27:$PN$27,("&gt;="&amp;$B$2),$C93:$PN93,TabAsistencias[[#Headers],[DP]])</f>
        <v>0</v>
      </c>
      <c r="QH93" s="74">
        <f>COUNTIFS($C$27:$PN$27,("&lt;"&amp;$B$3),$C$27:$PN$27,("&gt;="&amp;$B$2),$C93:$PN93,TabAsistencias[[#Headers],[B]])</f>
        <v>0</v>
      </c>
      <c r="QI93" s="74">
        <f>(TabAsistencias[[#This Row],[1]]*'Tablas de informacion'!$C$124)+(TabAsistencias[[#This Row],[E]]*'Tablas de informacion'!$C$125)+(TabAsistencias[[#This Row],[DE]]*'Tablas de informacion'!C$126)+(TabAsistencias[[#This Row],[V]]*'Tablas de informacion'!C$127)+(TabAsistencias[[#This Row],[DO]]*'Tablas de informacion'!C$128)+(TabAsistencias[[#This Row],[P]]*'Tablas de informacion'!C$129)+(TabAsistencias[[#This Row],[F]]*'Tablas de informacion'!C$130)+(TabAsistencias[[#This Row],[R]]*'Tablas de informacion'!C$131)+(TabAsistencias[[#This Row],[PP]]*'Tablas de informacion'!C$132)+(TabAsistencias[[#This Row],[0]]*'Tablas de informacion'!C$133)+(TabAsistencias[[#This Row],[IG]]*'Tablas de informacion'!C$134)+(TabAsistencias[[#This Row],[NA]]*'Tablas de informacion'!C$135)+(TabAsistencias[[#This Row],[DF]]*'Tablas de informacion'!C$136)+(TabAsistencias[[#This Row],[3]]*'Tablas de informacion'!C$137)+(TabAsistencias[[#This Row],[CP]]*'Tablas de informacion'!C$138)+(TabAsistencias[[#This Row],[I]]*'Tablas de informacion'!C$139)+(TabAsistencias[[#This Row],[T/2]]*'Tablas de informacion'!C$140)+(TabAsistencias[[#This Row],[ME]]*'Tablas de informacion'!C$141)+(TabAsistencias[[#This Row],[DP]]*'Tablas de informacion'!C$142)+(TabAsistencias[[#This Row],[B]]*'Tablas de informacion'!C$143)-INT(TabAsistencias[[#This Row],[R]]/3)</f>
        <v>30</v>
      </c>
      <c r="QJ93" s="74">
        <f>COUNTIFS($C$27:$PN$27,("&lt;"&amp;$B$3),$C$27:$PN$27,("&gt;="&amp;$B$2),$C$28:$PN$28,1,$C93:$PN93,TabAsistencias[[#Headers],[1]])+
COUNTIFS($C$27:$PN$27,("&lt;"&amp;$B$3),$C$27:$PN$27,("&gt;="&amp;$B$2),$C$28:$PN$28,1,$C93:$PN93,TabAsistencias[[#Headers],[DO]])+
COUNTIFS($C$27:$PN$27,("&lt;"&amp;$B$3),$C$27:$PN$27,("&gt;="&amp;$B$2),$C$28:$PN$28,1,$C93:$PN93,TabAsistencias[[#Headers],[R]])+
COUNTIFS($C$27:$PN$27,("&lt;"&amp;$B$3),$C$27:$PN$27,("&gt;="&amp;$B$2),$C$28:$PN$28,1,$C93:$PN93,TabAsistencias[[#Headers],[NA]])+
COUNTIFS($C$27:$PN$27,("&lt;"&amp;$B$3),$C$27:$PN$27,("&gt;="&amp;$B$2),$C$28:$PN$28,1,$C93:$PN93,TabAsistencias[[#Headers],[DF]])+
COUNTIFS($C$27:$PN$27,("&lt;"&amp;$B$3),$C$27:$PN$27,("&gt;="&amp;$B$2),$C$28:$PN$28,1,$C93:$PN93,TabAsistencias[[#Headers],[3]])+
COUNTIFS($C$27:$PN$27,("&lt;"&amp;$B$3),$C$27:$PN$27,("&gt;="&amp;$B$2),$C$28:$PN$28,1,$C93:$PN93,TabAsistencias[[#Headers],[CP]])+
COUNTIFS($C$27:$PN$27,("&lt;"&amp;$B$3),$C$27:$PN$27,("&gt;="&amp;$B$2),$C$28:$PN$28,1,$C93:$PN93,TabAsistencias[[#Headers],[T/2]])</f>
        <v>4</v>
      </c>
      <c r="QK93" s="315" cm="1">
        <f t="array" ref="QK93">IFERROR(VLOOKUP(
DATEDIF((VLOOKUP(TabAsistencias[[#This Row],[ID]],TabEmpleados[],COLUMN(TabEmpleados[Fecha de ingreso]),FALSE)),Asistencias!$B$3,"Y"),
TabFactorIntegracion[],COLUMN(TabFactorIntegracion[Días vacacionales
establecidos por ley]),FALSE),0)
-
COUNTIF($AH93:$PN93,TabAsistencias[[#Headers],[V]])</f>
        <v>12</v>
      </c>
      <c r="QL93" s="319">
        <f>SUM(TabAsistencias[[#This Row],[''1]],TabAsistencias[[#This Row],[''DE]],TabAsistencias[[#This Row],[''DO]],TabAsistencias[[#This Row],[''R]],TabAsistencias[[#This Row],[''NA]],TabAsistencias[[#This Row],[''DF]],TabAsistencias[[#This Row],[''3]],TabAsistencias[[#This Row],[''CP]],TabAsistencias[[#This Row],[''T/2]],TabAsistencias[[#This Row],[''DP]])</f>
        <v>73</v>
      </c>
      <c r="QM93" s="314">
        <f>COUNTIFS($C$27:$PN$27,("&lt;"&amp;$B$5),$C$27:$PN$27,("&gt;="&amp;$B$4),$C93:$PN93,TabAsistencias[[#Headers],[1]])</f>
        <v>73</v>
      </c>
      <c r="QN93" s="314">
        <f>COUNTIFS($C$27:$PN$27,("&lt;"&amp;$B$5),$C$27:$PN$27,("&gt;="&amp;$B$4),$C93:$PN93,TabAsistencias[[#Headers],[DE]])</f>
        <v>0</v>
      </c>
      <c r="QO93" s="314">
        <f>COUNTIFS($C$27:$PN$27,("&lt;"&amp;$B$5),$C$27:$PN$27,("&gt;="&amp;$B$4),$C93:$PN93,TabAsistencias[[#Headers],[V]])</f>
        <v>0</v>
      </c>
      <c r="QP93" s="314">
        <f>COUNTIFS($C$27:$PN$27,("&lt;"&amp;$B$5),$C$27:$PN$27,("&gt;="&amp;$B$4),$C93:$PN93,TabAsistencias[[#Headers],[DO]])</f>
        <v>0</v>
      </c>
      <c r="QQ93" s="314">
        <f>COUNTIFS($C$27:$PN$27,("&lt;"&amp;$B$5),$C$27:$PN$27,("&gt;="&amp;$B$4),$C93:$PN93,TabAsistencias[[#Headers],[P]])</f>
        <v>0</v>
      </c>
      <c r="QR93" s="314">
        <f>COUNTIFS($C$27:$PN$27,("&lt;"&amp;$B$5),$C$27:$PN$27,("&gt;="&amp;$B$4),$C93:$PN93,TabAsistencias[[#Headers],[F]])</f>
        <v>0</v>
      </c>
      <c r="QS93" s="314">
        <f>COUNTIFS($C$27:$PN$27,("&lt;"&amp;$B$5),$C$27:$PN$27,("&gt;="&amp;$B$4),$C93:$PN93,TabAsistencias[[#Headers],[R]])</f>
        <v>0</v>
      </c>
      <c r="QT93" s="314">
        <f>COUNTIFS($C$27:$PN$27,("&lt;"&amp;$B$5),$C$27:$PN$27,("&gt;="&amp;$B$4),$C93:$PN93,TabAsistencias[[#Headers],[PP]])</f>
        <v>0</v>
      </c>
      <c r="QU93" s="314">
        <f>COUNTIFS($C$27:$PN$27,("&lt;"&amp;$B$5),$C$27:$PN$27,("&gt;="&amp;$B$4),$C93:$PN93,TabAsistencias[[#Headers],[0]])</f>
        <v>0</v>
      </c>
      <c r="QV93" s="314">
        <f>COUNTIFS($C$27:$PN$27,("&lt;"&amp;$B$5),$C$27:$PN$27,("&gt;="&amp;$B$4),$C93:$PN93,TabAsistencias[[#Headers],[IG]])</f>
        <v>0</v>
      </c>
      <c r="QW93" s="314">
        <f>COUNTIFS($C$27:$PN$27,("&lt;"&amp;$B$5),$C$27:$PN$27,("&gt;="&amp;$B$4),$C93:$PN93,TabAsistencias[[#Headers],[NA]])</f>
        <v>0</v>
      </c>
      <c r="QX93" s="314">
        <f>COUNTIFS($C$27:$PN$27,("&lt;"&amp;$B$5),$C$27:$PN$27,("&gt;="&amp;$B$4),$C93:$PN93,TabAsistencias[[#Headers],[DF]])</f>
        <v>0</v>
      </c>
      <c r="QY93" s="314">
        <f>COUNTIFS($C$27:$PN$27,("&lt;"&amp;$B$5),$C$27:$PN$27,("&gt;="&amp;$B$4),$C93:$PN93,TabAsistencias[[#Headers],[3]])</f>
        <v>0</v>
      </c>
      <c r="QZ93" s="314">
        <f>COUNTIFS($C$27:$PN$27,("&lt;"&amp;$B$5),$C$27:$PN$27,("&gt;="&amp;$B$4),$C93:$PN93,TabAsistencias[[#Headers],[CP]])</f>
        <v>0</v>
      </c>
      <c r="RA93" s="314">
        <f>COUNTIFS($C$27:$PN$27,("&lt;"&amp;$B$5),$C$27:$PN$27,("&gt;="&amp;$B$4),$C93:$PN93,TabAsistencias[[#Headers],[I]])</f>
        <v>0</v>
      </c>
      <c r="RB93" s="314">
        <f>COUNTIFS($C$27:$PN$27,("&lt;"&amp;$B$5),$C$27:$PN$27,("&gt;="&amp;$B$4),$C93:$PN93,TabAsistencias[[#Headers],[T/2]])</f>
        <v>0</v>
      </c>
      <c r="RC93" s="314">
        <f>COUNTIFS($C$27:$PN$27,("&lt;"&amp;$B$5),$C$27:$PN$27,("&gt;="&amp;$B$4),$C93:$PN93,TabAsistencias[[#Headers],[ME]])</f>
        <v>0</v>
      </c>
      <c r="RD93" s="314">
        <f>COUNTIFS($C$27:$PN$27,("&lt;"&amp;$B$5),$C$27:$PN$27,("&gt;="&amp;$B$4),$C93:$PN93,TabAsistencias[[#Headers],[DP]])</f>
        <v>0</v>
      </c>
      <c r="RE93" s="314">
        <f>COUNTIFS($C$27:$PN$27,("&lt;"&amp;$B$5),$C$27:$PN$27,("&gt;="&amp;$B$4),$C93:$PN93,TabAsistencias[[#Headers],[B]])</f>
        <v>0</v>
      </c>
      <c r="RF93" s="314">
        <f>COUNTIFS($C$27:$PN$27,("&lt;"&amp;$B$5),$C$27:$PN$27,("&gt;="&amp;$B$4),$C$28:$PN$28,1,$C93:$PN93,TabAsistencias[[#Headers],[1]])+
COUNTIFS($C$27:$PN$27,("&lt;"&amp;$B$5),$C$27:$PN$27,("&gt;="&amp;$B$4),$C$28:$PN$28,1,$C93:$PN93,TabAsistencias[[#Headers],[DO]])+
COUNTIFS($C$27:$PN$27,("&lt;"&amp;$B$5),$C$27:$PN$27,("&gt;="&amp;$B$4),$C$28:$PN$28,1,$C93:$PN93,TabAsistencias[[#Headers],[R]])+
COUNTIFS($C$27:$PN$27,("&lt;"&amp;$B$5),$C$27:$PN$27,("&gt;="&amp;$B$4),$C$28:$PN$28,1,$C93:$PN93,TabAsistencias[[#Headers],[NA]])+
COUNTIFS($C$27:$PN$27,("&lt;"&amp;$B$5),$C$27:$PN$27,("&gt;="&amp;$B$4),$C$28:$PN$28,1,$C93:$PN93,TabAsistencias[[#Headers],[DF]])+
COUNTIFS($C$27:$PN$27,("&lt;"&amp;$B$5),$C$27:$PN$27,("&gt;="&amp;$B$4),$C$28:$PN$28,1,$C93:$PN93,TabAsistencias[[#Headers],[3]])+
COUNTIFS($C$27:$PN$27,("&lt;"&amp;$B$5),$C$27:$PN$27,("&gt;="&amp;$B$4),$C$28:$PN$28,1,$C93:$PN93,TabAsistencias[[#Headers],[CP]])+
COUNTIFS($C$27:$PN$27,("&lt;"&amp;$B$5),$C$27:$PN$27,("&gt;="&amp;$B$4),$C$28:$PN$28,1,$C93:$PN93,TabAsistencias[[#Headers],[T/2]])</f>
        <v>11</v>
      </c>
      <c r="RG93" s="320" cm="1">
        <f t="array" ref="RG93">IFERROR(VLOOKUP(
DATEDIF((VLOOKUP(TabAsistencias[[#This Row],[ID]],TabEmpleados[],COLUMN(TabEmpleados[Fecha de alta NSS]),FALSE)),Asistencias!$B$3,"Y"),
TabFactorIntegracion[],COLUMN(TabFactorIntegracion[Días vacacionales
establecidos por ley]),FALSE),0)
-
COUNTIF($AH93:$PN93,TabAsistencias[[#Headers],[V]])</f>
        <v>12</v>
      </c>
    </row>
    <row r="94" spans="1:475" x14ac:dyDescent="0.25">
      <c r="A94" s="92">
        <f t="shared" si="434"/>
        <v>64</v>
      </c>
      <c r="B94" s="30" t="str" cm="1">
        <f t="array" ref="B94">VLOOKUP(TabAsistencias[[#This Row],[ID]],TabEmpleados[],COLUMN(TabEmpleados[Nombre]),FALSE)</f>
        <v>QUIROZ HERNANDEZ ALEJANDRA MONSERRAT</v>
      </c>
      <c r="C94" s="36" t="s">
        <v>139</v>
      </c>
      <c r="D94" s="36" t="s">
        <v>139</v>
      </c>
      <c r="E94" s="36" t="s">
        <v>139</v>
      </c>
      <c r="F94" s="36" t="s">
        <v>139</v>
      </c>
      <c r="G94" s="36" t="s">
        <v>139</v>
      </c>
      <c r="H94" s="36" t="s">
        <v>139</v>
      </c>
      <c r="I94" s="36" t="s">
        <v>139</v>
      </c>
      <c r="J94" s="36" t="s">
        <v>139</v>
      </c>
      <c r="K94" s="36" t="s">
        <v>139</v>
      </c>
      <c r="L94" s="36" t="s">
        <v>139</v>
      </c>
      <c r="M94" s="36" t="s">
        <v>139</v>
      </c>
      <c r="N94" s="36" t="s">
        <v>139</v>
      </c>
      <c r="O94" s="36" t="s">
        <v>139</v>
      </c>
      <c r="P94" s="36" t="s">
        <v>139</v>
      </c>
      <c r="Q94" s="36" t="s">
        <v>139</v>
      </c>
      <c r="R94" s="36" t="s">
        <v>139</v>
      </c>
      <c r="S94" s="36" t="s">
        <v>139</v>
      </c>
      <c r="T94" s="36" t="s">
        <v>139</v>
      </c>
      <c r="U94" s="36" t="s">
        <v>139</v>
      </c>
      <c r="V94" s="36" t="s">
        <v>139</v>
      </c>
      <c r="W94" s="36" t="s">
        <v>139</v>
      </c>
      <c r="X94" s="36" t="s">
        <v>139</v>
      </c>
      <c r="Y94" s="36" t="s">
        <v>139</v>
      </c>
      <c r="Z94" s="36" t="s">
        <v>139</v>
      </c>
      <c r="AA94" s="36" t="s">
        <v>139</v>
      </c>
      <c r="AB94" s="36" t="s">
        <v>139</v>
      </c>
      <c r="AC94" s="36" t="s">
        <v>139</v>
      </c>
      <c r="AD94" s="36" t="s">
        <v>139</v>
      </c>
      <c r="AE94" s="36" t="s">
        <v>139</v>
      </c>
      <c r="AF94" s="36" t="s">
        <v>139</v>
      </c>
      <c r="AG94" s="36" t="s">
        <v>139</v>
      </c>
      <c r="AH94" s="36" t="s">
        <v>139</v>
      </c>
      <c r="AI94" s="36" t="s">
        <v>139</v>
      </c>
      <c r="AJ94" s="36" t="s">
        <v>139</v>
      </c>
      <c r="AK94" s="36" t="s">
        <v>139</v>
      </c>
      <c r="AL94" s="36" t="s">
        <v>139</v>
      </c>
      <c r="AM94" s="36" t="s">
        <v>139</v>
      </c>
      <c r="AN94" s="36" t="s">
        <v>139</v>
      </c>
      <c r="AO94" s="36" t="s">
        <v>139</v>
      </c>
      <c r="AP94" s="36" t="s">
        <v>139</v>
      </c>
      <c r="AQ94" s="36" t="s">
        <v>139</v>
      </c>
      <c r="AR94" s="36" t="s">
        <v>139</v>
      </c>
      <c r="AS94" s="36" t="s">
        <v>139</v>
      </c>
      <c r="AT94" s="36" t="s">
        <v>139</v>
      </c>
      <c r="AU94" s="36" t="s">
        <v>139</v>
      </c>
      <c r="AV94" s="36" t="s">
        <v>139</v>
      </c>
      <c r="AW94" s="36" t="s">
        <v>139</v>
      </c>
      <c r="AX94" s="36" t="s">
        <v>139</v>
      </c>
      <c r="AY94" s="36" t="s">
        <v>139</v>
      </c>
      <c r="AZ94" s="36" t="s">
        <v>139</v>
      </c>
      <c r="BA94" s="36" t="s">
        <v>139</v>
      </c>
      <c r="BB94" s="36" t="s">
        <v>139</v>
      </c>
      <c r="BC94" s="36" t="s">
        <v>139</v>
      </c>
      <c r="BD94" s="36" t="s">
        <v>139</v>
      </c>
      <c r="BE94" s="36" t="s">
        <v>139</v>
      </c>
      <c r="BF94" s="36" t="s">
        <v>139</v>
      </c>
      <c r="BG94" s="36" t="s">
        <v>139</v>
      </c>
      <c r="BH94" s="36" t="s">
        <v>139</v>
      </c>
      <c r="BI94" s="36" t="s">
        <v>139</v>
      </c>
      <c r="BJ94" s="36" t="s">
        <v>139</v>
      </c>
      <c r="BK94" s="36" t="s">
        <v>139</v>
      </c>
      <c r="BL94" s="36" t="s">
        <v>139</v>
      </c>
      <c r="BM94" s="36" t="s">
        <v>139</v>
      </c>
      <c r="BN94" s="36" t="s">
        <v>139</v>
      </c>
      <c r="BO94" s="36" t="s">
        <v>139</v>
      </c>
      <c r="BP94" s="36" t="s">
        <v>139</v>
      </c>
      <c r="BQ94" s="36" t="s">
        <v>139</v>
      </c>
      <c r="BR94" s="36" t="s">
        <v>139</v>
      </c>
      <c r="BS94" s="36" t="s">
        <v>139</v>
      </c>
      <c r="BT94" s="36" t="s">
        <v>139</v>
      </c>
      <c r="BU94" s="36" t="s">
        <v>139</v>
      </c>
      <c r="BV94" s="36" t="s">
        <v>139</v>
      </c>
      <c r="BW94" s="36" t="s">
        <v>139</v>
      </c>
      <c r="BX94" s="36" t="s">
        <v>139</v>
      </c>
      <c r="BY94" s="36" t="s">
        <v>139</v>
      </c>
      <c r="BZ94" s="36" t="s">
        <v>139</v>
      </c>
      <c r="CA94" s="36" t="s">
        <v>139</v>
      </c>
      <c r="CB94" s="36" t="s">
        <v>139</v>
      </c>
      <c r="CC94" s="36" t="s">
        <v>139</v>
      </c>
      <c r="CD94" s="36" t="s">
        <v>139</v>
      </c>
      <c r="CE94" s="36" t="s">
        <v>139</v>
      </c>
      <c r="CF94" s="36" t="s">
        <v>139</v>
      </c>
      <c r="CG94" s="36" t="s">
        <v>139</v>
      </c>
      <c r="CH94" s="36" t="s">
        <v>139</v>
      </c>
      <c r="CI94" s="36" t="s">
        <v>139</v>
      </c>
      <c r="CJ94" s="36" t="s">
        <v>139</v>
      </c>
      <c r="CK94" s="36" t="s">
        <v>139</v>
      </c>
      <c r="CL94" s="36" t="s">
        <v>139</v>
      </c>
      <c r="CM94" s="36" t="s">
        <v>139</v>
      </c>
      <c r="CN94" s="36" t="s">
        <v>139</v>
      </c>
      <c r="CO94" s="36" t="s">
        <v>139</v>
      </c>
      <c r="CP94" s="36" t="s">
        <v>139</v>
      </c>
      <c r="CQ94" s="36" t="s">
        <v>139</v>
      </c>
      <c r="CR94" s="36" t="s">
        <v>139</v>
      </c>
      <c r="CS94" s="36" t="s">
        <v>139</v>
      </c>
      <c r="CT94" s="36" t="s">
        <v>139</v>
      </c>
      <c r="CU94" s="36" t="s">
        <v>139</v>
      </c>
      <c r="CV94" s="36" t="s">
        <v>139</v>
      </c>
      <c r="CW94" s="36" t="s">
        <v>139</v>
      </c>
      <c r="CX94" s="36" t="s">
        <v>139</v>
      </c>
      <c r="CY94" s="36" t="s">
        <v>139</v>
      </c>
      <c r="CZ94" s="36" t="s">
        <v>139</v>
      </c>
      <c r="DA94" s="36" t="s">
        <v>139</v>
      </c>
      <c r="DB94" s="36" t="s">
        <v>139</v>
      </c>
      <c r="DC94" s="36" t="s">
        <v>139</v>
      </c>
      <c r="DD94" s="36" t="s">
        <v>139</v>
      </c>
      <c r="DE94" s="36" t="s">
        <v>139</v>
      </c>
      <c r="DF94" s="36" t="s">
        <v>139</v>
      </c>
      <c r="DG94" s="36" t="s">
        <v>139</v>
      </c>
      <c r="DH94" s="36" t="s">
        <v>139</v>
      </c>
      <c r="DI94" s="36" t="s">
        <v>139</v>
      </c>
      <c r="DJ94" s="36" t="s">
        <v>139</v>
      </c>
      <c r="DK94" s="36" t="s">
        <v>139</v>
      </c>
      <c r="DL94" s="36" t="s">
        <v>139</v>
      </c>
      <c r="DM94" s="36" t="s">
        <v>139</v>
      </c>
      <c r="DN94" s="36" t="s">
        <v>139</v>
      </c>
      <c r="DO94" s="36" t="s">
        <v>139</v>
      </c>
      <c r="DP94" s="36" t="s">
        <v>139</v>
      </c>
      <c r="DQ94" s="36" t="s">
        <v>139</v>
      </c>
      <c r="DR94" s="36" t="s">
        <v>139</v>
      </c>
      <c r="DS94" s="36" t="s">
        <v>139</v>
      </c>
      <c r="DT94" s="36" t="s">
        <v>139</v>
      </c>
      <c r="DU94" s="36" t="s">
        <v>139</v>
      </c>
      <c r="DV94" s="36" t="s">
        <v>139</v>
      </c>
      <c r="DW94" s="36" t="s">
        <v>139</v>
      </c>
      <c r="DX94" s="36" t="s">
        <v>139</v>
      </c>
      <c r="DY94" s="36" t="s">
        <v>139</v>
      </c>
      <c r="DZ94" s="36" t="s">
        <v>139</v>
      </c>
      <c r="EA94" s="36" t="s">
        <v>139</v>
      </c>
      <c r="EB94" s="36" t="s">
        <v>139</v>
      </c>
      <c r="EC94" s="36" t="s">
        <v>139</v>
      </c>
      <c r="ED94" s="36" t="s">
        <v>139</v>
      </c>
      <c r="EE94" s="36" t="s">
        <v>139</v>
      </c>
      <c r="EF94" s="36" t="s">
        <v>139</v>
      </c>
      <c r="EG94" s="36" t="s">
        <v>139</v>
      </c>
      <c r="EH94" s="36" t="s">
        <v>139</v>
      </c>
      <c r="EI94" s="36" t="s">
        <v>139</v>
      </c>
      <c r="EJ94" s="36" t="s">
        <v>139</v>
      </c>
      <c r="EK94" s="36" t="s">
        <v>139</v>
      </c>
      <c r="EL94" s="36" t="s">
        <v>139</v>
      </c>
      <c r="EM94" s="36" t="s">
        <v>139</v>
      </c>
      <c r="EN94" s="36" t="s">
        <v>139</v>
      </c>
      <c r="EO94" s="36" t="s">
        <v>139</v>
      </c>
      <c r="EP94" s="36" t="s">
        <v>139</v>
      </c>
      <c r="EQ94" s="36" t="s">
        <v>139</v>
      </c>
      <c r="ER94" s="36" t="s">
        <v>139</v>
      </c>
      <c r="ES94" s="36" t="s">
        <v>139</v>
      </c>
      <c r="ET94" s="36" t="s">
        <v>139</v>
      </c>
      <c r="EU94" s="36" t="s">
        <v>139</v>
      </c>
      <c r="EV94" s="36" t="s">
        <v>139</v>
      </c>
      <c r="EW94" s="36" t="s">
        <v>139</v>
      </c>
      <c r="EX94" s="36" t="s">
        <v>139</v>
      </c>
      <c r="EY94" s="36" t="s">
        <v>139</v>
      </c>
      <c r="EZ94" s="36" t="s">
        <v>139</v>
      </c>
      <c r="FA94" s="36" t="s">
        <v>139</v>
      </c>
      <c r="FB94" s="36" t="s">
        <v>139</v>
      </c>
      <c r="FC94" s="36" t="s">
        <v>139</v>
      </c>
      <c r="FD94" s="36" t="s">
        <v>139</v>
      </c>
      <c r="FE94" s="36" t="s">
        <v>139</v>
      </c>
      <c r="FF94" s="36" t="s">
        <v>139</v>
      </c>
      <c r="FG94" s="36" t="s">
        <v>139</v>
      </c>
      <c r="FH94" s="36" t="s">
        <v>139</v>
      </c>
      <c r="FI94" s="36" t="s">
        <v>139</v>
      </c>
      <c r="FJ94" s="36" t="s">
        <v>139</v>
      </c>
      <c r="FK94" s="36" t="s">
        <v>139</v>
      </c>
      <c r="FL94" s="36" t="s">
        <v>139</v>
      </c>
      <c r="FM94" s="36" t="s">
        <v>139</v>
      </c>
      <c r="FN94" s="36" t="s">
        <v>139</v>
      </c>
      <c r="FO94" s="36" t="s">
        <v>139</v>
      </c>
      <c r="FP94" s="36" t="s">
        <v>139</v>
      </c>
      <c r="FQ94" s="36" t="s">
        <v>139</v>
      </c>
      <c r="FR94" s="36" t="s">
        <v>139</v>
      </c>
      <c r="FS94" s="36" t="s">
        <v>139</v>
      </c>
      <c r="FT94" s="36" t="s">
        <v>139</v>
      </c>
      <c r="FU94" s="36" t="s">
        <v>139</v>
      </c>
      <c r="FV94" s="36" t="s">
        <v>139</v>
      </c>
      <c r="FW94" s="36" t="s">
        <v>139</v>
      </c>
      <c r="FX94" s="36" t="s">
        <v>139</v>
      </c>
      <c r="FY94" s="36" t="s">
        <v>139</v>
      </c>
      <c r="FZ94" s="36" t="s">
        <v>139</v>
      </c>
      <c r="GA94" s="36" t="s">
        <v>139</v>
      </c>
      <c r="GB94" s="36" t="s">
        <v>139</v>
      </c>
      <c r="GC94" s="36" t="s">
        <v>139</v>
      </c>
      <c r="GD94" s="36" t="s">
        <v>139</v>
      </c>
      <c r="GE94" s="36" t="s">
        <v>139</v>
      </c>
      <c r="GF94" s="36" t="s">
        <v>139</v>
      </c>
      <c r="GG94" s="36" t="s">
        <v>139</v>
      </c>
      <c r="GH94" s="36" t="s">
        <v>139</v>
      </c>
      <c r="GI94" s="36" t="s">
        <v>139</v>
      </c>
      <c r="GJ94" s="36" t="s">
        <v>139</v>
      </c>
      <c r="GK94" s="36" t="s">
        <v>139</v>
      </c>
      <c r="GL94" s="36" t="s">
        <v>139</v>
      </c>
      <c r="GM94" s="36" t="s">
        <v>139</v>
      </c>
      <c r="GN94" s="36" t="s">
        <v>139</v>
      </c>
      <c r="GO94" s="36" t="s">
        <v>139</v>
      </c>
      <c r="GP94" s="36" t="s">
        <v>139</v>
      </c>
      <c r="GQ94" s="36" t="s">
        <v>139</v>
      </c>
      <c r="GR94" s="36" t="s">
        <v>139</v>
      </c>
      <c r="GS94" s="36" t="s">
        <v>139</v>
      </c>
      <c r="GT94" s="36" t="s">
        <v>139</v>
      </c>
      <c r="GU94" s="36" t="s">
        <v>139</v>
      </c>
      <c r="GV94" s="36" t="s">
        <v>139</v>
      </c>
      <c r="GW94" s="36" t="s">
        <v>139</v>
      </c>
      <c r="GX94" s="36" t="s">
        <v>139</v>
      </c>
      <c r="GY94" s="36" t="s">
        <v>139</v>
      </c>
      <c r="GZ94" s="36" t="s">
        <v>139</v>
      </c>
      <c r="HA94" s="36" t="s">
        <v>139</v>
      </c>
      <c r="HB94" s="36" t="s">
        <v>139</v>
      </c>
      <c r="HC94" s="36" t="s">
        <v>139</v>
      </c>
      <c r="HD94" s="36" t="s">
        <v>139</v>
      </c>
      <c r="HE94" s="36" t="s">
        <v>139</v>
      </c>
      <c r="HF94" s="36" t="s">
        <v>139</v>
      </c>
      <c r="HG94" s="36" t="s">
        <v>139</v>
      </c>
      <c r="HH94" s="36" t="s">
        <v>139</v>
      </c>
      <c r="HI94" s="36" t="s">
        <v>139</v>
      </c>
      <c r="HJ94" s="36" t="s">
        <v>139</v>
      </c>
      <c r="HK94" s="36" t="s">
        <v>139</v>
      </c>
      <c r="HL94" s="36" t="s">
        <v>139</v>
      </c>
      <c r="HM94" s="36" t="s">
        <v>139</v>
      </c>
      <c r="HN94" s="36" t="s">
        <v>139</v>
      </c>
      <c r="HO94" s="36" t="s">
        <v>139</v>
      </c>
      <c r="HP94" s="36" t="s">
        <v>139</v>
      </c>
      <c r="HQ94" s="36" t="s">
        <v>139</v>
      </c>
      <c r="HR94" s="36" t="s">
        <v>139</v>
      </c>
      <c r="HS94" s="36" t="s">
        <v>139</v>
      </c>
      <c r="HT94" s="36" t="s">
        <v>139</v>
      </c>
      <c r="HU94" s="36" t="s">
        <v>139</v>
      </c>
      <c r="HV94" s="36" t="s">
        <v>139</v>
      </c>
      <c r="HW94" s="36" t="s">
        <v>139</v>
      </c>
      <c r="HX94" s="36" t="s">
        <v>139</v>
      </c>
      <c r="HY94" s="36" t="s">
        <v>139</v>
      </c>
      <c r="HZ94" s="36" t="s">
        <v>139</v>
      </c>
      <c r="IA94" s="36" t="s">
        <v>139</v>
      </c>
      <c r="IB94" s="36" t="s">
        <v>139</v>
      </c>
      <c r="IC94" s="36" t="s">
        <v>139</v>
      </c>
      <c r="ID94" s="36" t="s">
        <v>139</v>
      </c>
      <c r="IE94" s="36" t="s">
        <v>139</v>
      </c>
      <c r="IF94" s="36" t="s">
        <v>139</v>
      </c>
      <c r="IG94" s="36" t="s">
        <v>139</v>
      </c>
      <c r="IH94" s="36" t="s">
        <v>139</v>
      </c>
      <c r="II94" s="36" t="s">
        <v>139</v>
      </c>
      <c r="IJ94" s="36" t="s">
        <v>139</v>
      </c>
      <c r="IK94" s="36" t="s">
        <v>139</v>
      </c>
      <c r="IL94" s="36" t="s">
        <v>139</v>
      </c>
      <c r="IM94" s="36" t="s">
        <v>139</v>
      </c>
      <c r="IN94" s="36" t="s">
        <v>139</v>
      </c>
      <c r="IO94" s="36" t="s">
        <v>139</v>
      </c>
      <c r="IP94" s="36" t="s">
        <v>139</v>
      </c>
      <c r="IQ94" s="36" t="s">
        <v>139</v>
      </c>
      <c r="IR94" s="36" t="s">
        <v>139</v>
      </c>
      <c r="IS94" s="36" t="s">
        <v>139</v>
      </c>
      <c r="IT94" s="36" t="s">
        <v>139</v>
      </c>
      <c r="IU94" s="36" t="s">
        <v>139</v>
      </c>
      <c r="IV94" s="36" t="s">
        <v>139</v>
      </c>
      <c r="IW94" s="36" t="s">
        <v>139</v>
      </c>
      <c r="IX94" s="36" t="s">
        <v>139</v>
      </c>
      <c r="IY94" s="36" t="s">
        <v>139</v>
      </c>
      <c r="IZ94" s="36" t="s">
        <v>139</v>
      </c>
      <c r="JA94" s="36" t="s">
        <v>139</v>
      </c>
      <c r="JB94" s="36" t="s">
        <v>139</v>
      </c>
      <c r="JC94" s="36" t="s">
        <v>139</v>
      </c>
      <c r="JD94" s="36" t="s">
        <v>139</v>
      </c>
      <c r="JE94" s="36" t="s">
        <v>139</v>
      </c>
      <c r="JF94" s="36" t="s">
        <v>139</v>
      </c>
      <c r="JG94" s="36" t="s">
        <v>139</v>
      </c>
      <c r="JH94" s="36" t="s">
        <v>139</v>
      </c>
      <c r="JI94" s="36" t="s">
        <v>139</v>
      </c>
      <c r="JJ94" s="36" t="s">
        <v>139</v>
      </c>
      <c r="JK94" s="36" t="s">
        <v>139</v>
      </c>
      <c r="JL94" s="36" t="s">
        <v>139</v>
      </c>
      <c r="JM94" s="36" t="s">
        <v>139</v>
      </c>
      <c r="JN94" s="36" t="s">
        <v>139</v>
      </c>
      <c r="JO94" s="36" t="s">
        <v>139</v>
      </c>
      <c r="JP94" s="36" t="s">
        <v>139</v>
      </c>
      <c r="JQ94" s="36" t="s">
        <v>139</v>
      </c>
      <c r="JR94" s="36" t="s">
        <v>139</v>
      </c>
      <c r="JS94" s="36" t="s">
        <v>139</v>
      </c>
      <c r="JT94" s="36" t="s">
        <v>139</v>
      </c>
      <c r="JU94" s="36" t="s">
        <v>139</v>
      </c>
      <c r="JV94" s="36" t="s">
        <v>139</v>
      </c>
      <c r="JW94" s="36" t="s">
        <v>139</v>
      </c>
      <c r="JX94" s="36" t="s">
        <v>139</v>
      </c>
      <c r="JY94" s="36" t="s">
        <v>139</v>
      </c>
      <c r="JZ94" s="36" t="s">
        <v>139</v>
      </c>
      <c r="KA94" s="36" t="s">
        <v>139</v>
      </c>
      <c r="KB94" s="36" t="s">
        <v>139</v>
      </c>
      <c r="KC94" s="36" t="s">
        <v>139</v>
      </c>
      <c r="KD94" s="36" t="s">
        <v>139</v>
      </c>
      <c r="KE94" s="36" t="s">
        <v>139</v>
      </c>
      <c r="KF94" s="36" t="s">
        <v>139</v>
      </c>
      <c r="KG94" s="36" t="s">
        <v>139</v>
      </c>
      <c r="KH94" s="36" t="s">
        <v>139</v>
      </c>
      <c r="KI94" s="36" t="s">
        <v>139</v>
      </c>
      <c r="KJ94" s="36" t="s">
        <v>139</v>
      </c>
      <c r="KK94" s="36" t="s">
        <v>139</v>
      </c>
      <c r="KL94" s="36" t="s">
        <v>139</v>
      </c>
      <c r="KM94" s="36" t="s">
        <v>139</v>
      </c>
      <c r="KN94" s="36" t="s">
        <v>139</v>
      </c>
      <c r="KO94" s="36" t="s">
        <v>139</v>
      </c>
      <c r="KP94" s="36" t="s">
        <v>139</v>
      </c>
      <c r="KQ94" s="36" t="s">
        <v>139</v>
      </c>
      <c r="KR94" s="36" t="s">
        <v>139</v>
      </c>
      <c r="KS94" s="36" t="s">
        <v>139</v>
      </c>
      <c r="KT94" s="36" t="s">
        <v>139</v>
      </c>
      <c r="KU94" s="36" t="s">
        <v>139</v>
      </c>
      <c r="KV94" s="36" t="s">
        <v>139</v>
      </c>
      <c r="KW94" s="36" t="s">
        <v>139</v>
      </c>
      <c r="KX94" s="36" t="s">
        <v>139</v>
      </c>
      <c r="KY94" s="36" t="s">
        <v>139</v>
      </c>
      <c r="KZ94" s="36" t="s">
        <v>139</v>
      </c>
      <c r="LA94" s="36" t="s">
        <v>139</v>
      </c>
      <c r="LB94" s="36" t="s">
        <v>139</v>
      </c>
      <c r="LC94" s="36" t="s">
        <v>139</v>
      </c>
      <c r="LD94" s="36" t="s">
        <v>139</v>
      </c>
      <c r="LE94" s="36" t="s">
        <v>139</v>
      </c>
      <c r="LF94" s="36" t="s">
        <v>139</v>
      </c>
      <c r="LG94" s="36" t="s">
        <v>139</v>
      </c>
      <c r="LH94" s="36" t="s">
        <v>139</v>
      </c>
      <c r="LI94" s="36" t="s">
        <v>139</v>
      </c>
      <c r="LJ94" s="36" t="s">
        <v>139</v>
      </c>
      <c r="LK94" s="36" t="s">
        <v>139</v>
      </c>
      <c r="LL94" s="36" t="s">
        <v>139</v>
      </c>
      <c r="LM94" s="36" t="s">
        <v>139</v>
      </c>
      <c r="LN94" s="36" t="s">
        <v>139</v>
      </c>
      <c r="LO94" s="36" t="s">
        <v>139</v>
      </c>
      <c r="LP94" s="36" t="s">
        <v>139</v>
      </c>
      <c r="LQ94" s="36" t="s">
        <v>139</v>
      </c>
      <c r="LR94" s="36" t="s">
        <v>139</v>
      </c>
      <c r="LS94" s="36" t="s">
        <v>139</v>
      </c>
      <c r="LT94" s="36" t="s">
        <v>139</v>
      </c>
      <c r="LU94" s="36" t="s">
        <v>139</v>
      </c>
      <c r="LV94" s="36" t="s">
        <v>139</v>
      </c>
      <c r="LW94" s="36" t="s">
        <v>139</v>
      </c>
      <c r="LX94" s="36" t="s">
        <v>139</v>
      </c>
      <c r="LY94" s="36" t="s">
        <v>139</v>
      </c>
      <c r="LZ94" s="36" t="s">
        <v>139</v>
      </c>
      <c r="MA94" s="36" t="s">
        <v>139</v>
      </c>
      <c r="MB94" s="36" t="s">
        <v>139</v>
      </c>
      <c r="MC94" s="36" t="s">
        <v>139</v>
      </c>
      <c r="MD94" s="36" t="s">
        <v>139</v>
      </c>
      <c r="ME94" s="36" t="s">
        <v>139</v>
      </c>
      <c r="MF94" s="36" t="s">
        <v>139</v>
      </c>
      <c r="MG94" s="36" t="s">
        <v>139</v>
      </c>
      <c r="MH94" s="36" t="s">
        <v>139</v>
      </c>
      <c r="MI94" s="36" t="s">
        <v>139</v>
      </c>
      <c r="MJ94" s="36" t="s">
        <v>139</v>
      </c>
      <c r="MK94" s="36" t="s">
        <v>139</v>
      </c>
      <c r="ML94" s="36" t="s">
        <v>139</v>
      </c>
      <c r="MM94" s="36" t="s">
        <v>139</v>
      </c>
      <c r="MN94" s="36" t="s">
        <v>139</v>
      </c>
      <c r="MO94" s="36" t="s">
        <v>139</v>
      </c>
      <c r="MP94" s="36" t="s">
        <v>139</v>
      </c>
      <c r="MQ94" s="36" t="s">
        <v>139</v>
      </c>
      <c r="MR94" s="36" t="s">
        <v>139</v>
      </c>
      <c r="MS94" s="36" t="s">
        <v>139</v>
      </c>
      <c r="MT94" s="36" t="s">
        <v>139</v>
      </c>
      <c r="MU94" s="36" t="s">
        <v>139</v>
      </c>
      <c r="MV94" s="36" t="s">
        <v>139</v>
      </c>
      <c r="MW94" s="36" t="s">
        <v>139</v>
      </c>
      <c r="MX94" s="36" t="s">
        <v>139</v>
      </c>
      <c r="MY94" s="36" t="s">
        <v>139</v>
      </c>
      <c r="MZ94" s="36" t="s">
        <v>139</v>
      </c>
      <c r="NA94" s="36" t="s">
        <v>139</v>
      </c>
      <c r="NB94" s="36" t="s">
        <v>139</v>
      </c>
      <c r="NC94" s="36" t="s">
        <v>139</v>
      </c>
      <c r="ND94" s="36" t="s">
        <v>139</v>
      </c>
      <c r="NE94" s="36" t="s">
        <v>139</v>
      </c>
      <c r="NF94" s="36" t="s">
        <v>139</v>
      </c>
      <c r="NG94" s="36" t="s">
        <v>139</v>
      </c>
      <c r="NH94" s="36" t="s">
        <v>139</v>
      </c>
      <c r="NI94" s="36" t="s">
        <v>139</v>
      </c>
      <c r="NJ94" s="36" t="s">
        <v>139</v>
      </c>
      <c r="NK94" s="36" t="s">
        <v>139</v>
      </c>
      <c r="NL94" s="36" t="s">
        <v>139</v>
      </c>
      <c r="NM94" s="36" t="s">
        <v>139</v>
      </c>
      <c r="NN94" s="36" t="s">
        <v>139</v>
      </c>
      <c r="NO94" s="36" t="s">
        <v>139</v>
      </c>
      <c r="NP94" s="36" t="s">
        <v>139</v>
      </c>
      <c r="NQ94" s="36" t="s">
        <v>139</v>
      </c>
      <c r="NR94" s="36" t="s">
        <v>139</v>
      </c>
      <c r="NS94" s="36" t="s">
        <v>139</v>
      </c>
      <c r="NT94" s="36" t="s">
        <v>139</v>
      </c>
      <c r="NU94" s="36" t="s">
        <v>139</v>
      </c>
      <c r="NV94" s="36" t="s">
        <v>139</v>
      </c>
      <c r="NW94" s="36" t="s">
        <v>139</v>
      </c>
      <c r="NX94" s="36" t="s">
        <v>139</v>
      </c>
      <c r="NY94" s="36" t="s">
        <v>139</v>
      </c>
      <c r="NZ94" s="36" t="s">
        <v>139</v>
      </c>
      <c r="OA94" s="36" t="s">
        <v>139</v>
      </c>
      <c r="OB94" s="36" t="s">
        <v>139</v>
      </c>
      <c r="OC94" s="36" t="s">
        <v>139</v>
      </c>
      <c r="OD94" s="36" t="s">
        <v>139</v>
      </c>
      <c r="OE94" s="36" t="s">
        <v>139</v>
      </c>
      <c r="OF94" s="36" t="s">
        <v>139</v>
      </c>
      <c r="OG94" s="36" t="s">
        <v>139</v>
      </c>
      <c r="OH94" s="36" t="s">
        <v>139</v>
      </c>
      <c r="OI94" s="36" t="s">
        <v>139</v>
      </c>
      <c r="OJ94" s="36" t="s">
        <v>139</v>
      </c>
      <c r="OK94" s="36" t="s">
        <v>139</v>
      </c>
      <c r="OL94" s="36" t="s">
        <v>139</v>
      </c>
      <c r="OM94" s="36" t="s">
        <v>139</v>
      </c>
      <c r="ON94" s="36" t="s">
        <v>139</v>
      </c>
      <c r="OO94" s="36" t="s">
        <v>139</v>
      </c>
      <c r="OP94" s="36" t="s">
        <v>139</v>
      </c>
      <c r="OQ94" s="36" t="s">
        <v>139</v>
      </c>
      <c r="OR94" s="36" t="s">
        <v>139</v>
      </c>
      <c r="OS94" s="36" t="s">
        <v>139</v>
      </c>
      <c r="OT94" s="36" t="s">
        <v>139</v>
      </c>
      <c r="OU94" s="36" t="s">
        <v>139</v>
      </c>
      <c r="OV94" s="36" t="s">
        <v>139</v>
      </c>
      <c r="OW94" s="36" t="s">
        <v>139</v>
      </c>
      <c r="OX94" s="36" t="s">
        <v>139</v>
      </c>
      <c r="OY94" s="36" t="s">
        <v>139</v>
      </c>
      <c r="OZ94" s="36" t="s">
        <v>139</v>
      </c>
      <c r="PA94" s="36" t="s">
        <v>139</v>
      </c>
      <c r="PB94" s="36" t="s">
        <v>139</v>
      </c>
      <c r="PC94" s="36" t="s">
        <v>139</v>
      </c>
      <c r="PD94" s="36" t="s">
        <v>139</v>
      </c>
      <c r="PE94" s="36" t="s">
        <v>139</v>
      </c>
      <c r="PF94" s="36" t="s">
        <v>139</v>
      </c>
      <c r="PG94" s="36" t="s">
        <v>139</v>
      </c>
      <c r="PH94" s="36" t="s">
        <v>139</v>
      </c>
      <c r="PI94" s="36" t="s">
        <v>139</v>
      </c>
      <c r="PJ94" s="36" t="s">
        <v>139</v>
      </c>
      <c r="PK94" s="36" t="s">
        <v>139</v>
      </c>
      <c r="PL94" s="36" t="s">
        <v>139</v>
      </c>
      <c r="PM94" s="36" t="s">
        <v>139</v>
      </c>
      <c r="PN94" s="36" t="s">
        <v>139</v>
      </c>
      <c r="PO94" s="74">
        <f>COUNTIFS($C$27:$PN$27,("&lt;"&amp;$B$3),$C$27:$PN$27,("&gt;="&amp;$B$2),$C94:$PN94,TabAsistencias[[#Headers],[1]])</f>
        <v>30</v>
      </c>
      <c r="PP94" s="74">
        <f>COUNTIFS($C$27:$PN$27,("&lt;"&amp;$B$3),$C$27:$PN$27,("&gt;="&amp;$B$2),$C94:$PN94,TabAsistencias[[#Headers],[E]])</f>
        <v>0</v>
      </c>
      <c r="PQ94" s="74">
        <f>COUNTIFS($C$27:$PN$27,("&lt;"&amp;$B$3),$C$27:$PN$27,("&gt;="&amp;$B$2),$C94:$PN94,TabAsistencias[[#Headers],[DE]])</f>
        <v>0</v>
      </c>
      <c r="PR94" s="74">
        <f>COUNTIFS($C$27:$PN$27,("&lt;"&amp;$B$3),$C$27:$PN$27,("&gt;="&amp;$B$2),$C94:$PN94,TabAsistencias[[#Headers],[V]])</f>
        <v>0</v>
      </c>
      <c r="PS94" s="74">
        <f>COUNTIFS($C$27:$PN$27,("&lt;"&amp;$B$3),$C$27:$PN$27,("&gt;="&amp;$B$2),$C94:$PN94,TabAsistencias[[#Headers],[DO]])</f>
        <v>0</v>
      </c>
      <c r="PT94" s="74">
        <f>COUNTIFS($C$27:$PN$27,("&lt;"&amp;$B$3),$C$27:$PN$27,("&gt;="&amp;$B$2),$C94:$PN94,TabAsistencias[[#Headers],[P]])</f>
        <v>0</v>
      </c>
      <c r="PU94" s="74">
        <f>COUNTIFS($C$27:$PN$27,("&lt;"&amp;$B$3),$C$27:$PN$27,("&gt;="&amp;$B$2),$C94:$PN94,TabAsistencias[[#Headers],[F]])</f>
        <v>0</v>
      </c>
      <c r="PV94" s="74">
        <f>COUNTIFS($C$27:$PN$27,("&lt;"&amp;$B$3),$C$27:$PN$27,("&gt;="&amp;$B$2),$C94:$PN94,TabAsistencias[[#Headers],[R]])</f>
        <v>0</v>
      </c>
      <c r="PW94" s="74">
        <f>COUNTIFS($C$27:$PN$27,("&lt;"&amp;$B$3),$C$27:$PN$27,("&gt;="&amp;$B$2),$C94:$PN94,TabAsistencias[[#Headers],[PP]])</f>
        <v>0</v>
      </c>
      <c r="PX94" s="74">
        <f>COUNTIFS($C$27:$PN$27,("&lt;"&amp;$B$3),$C$27:$PN$27,("&gt;="&amp;$B$2),$C94:$PN94,TabAsistencias[[#Headers],[0]])</f>
        <v>0</v>
      </c>
      <c r="PY94" s="74">
        <f>COUNTIFS($C$27:$PN$27,("&lt;"&amp;$B$3),$C$27:$PN$27,("&gt;="&amp;$B$2),$C94:$PN94,TabAsistencias[[#Headers],[IG]])</f>
        <v>0</v>
      </c>
      <c r="PZ94" s="74">
        <f>COUNTIFS($C$27:$PN$27,("&lt;"&amp;$B$3),$C$27:$PN$27,("&gt;="&amp;$B$2),$C94:$PN94,TabAsistencias[[#Headers],[NA]])</f>
        <v>0</v>
      </c>
      <c r="QA94" s="74">
        <f>COUNTIFS($C$27:$PN$27,("&lt;"&amp;$B$3),$C$27:$PN$27,("&gt;="&amp;$B$2),$C94:$PN94,TabAsistencias[[#Headers],[DF]])</f>
        <v>0</v>
      </c>
      <c r="QB94" s="74">
        <f>COUNTIFS($C$27:$PN$27,("&lt;"&amp;$B$3),$C$27:$PN$27,("&gt;="&amp;$B$2),$C94:$PN94,TabAsistencias[[#Headers],[3]])</f>
        <v>0</v>
      </c>
      <c r="QC94" s="74">
        <f>COUNTIFS($C$27:$PN$27,("&lt;"&amp;$B$3),$C$27:$PN$27,("&gt;="&amp;$B$2),$C94:$PN94,TabAsistencias[[#Headers],[CP]])</f>
        <v>0</v>
      </c>
      <c r="QD94" s="74">
        <f>COUNTIFS($C$27:$PN$27,("&lt;"&amp;$B$3),$C$27:$PN$27,("&gt;="&amp;$B$2),$C94:$PN94,TabAsistencias[[#Headers],[I]])</f>
        <v>0</v>
      </c>
      <c r="QE94" s="74">
        <f>COUNTIFS($C$27:$PN$27,("&lt;"&amp;$B$3),$C$27:$PN$27,("&gt;="&amp;$B$2),$C94:$PN94,TabAsistencias[[#Headers],[T/2]])</f>
        <v>0</v>
      </c>
      <c r="QF94" s="74">
        <f>COUNTIFS($C$27:$PN$27,("&lt;"&amp;$B$3),$C$27:$PN$27,("&gt;="&amp;$B$2),$C94:$PN94,TabAsistencias[[#Headers],[ME]])</f>
        <v>0</v>
      </c>
      <c r="QG94" s="74">
        <f>COUNTIFS($C$27:$PN$27,("&lt;"&amp;$B$3),$C$27:$PN$27,("&gt;="&amp;$B$2),$C94:$PN94,TabAsistencias[[#Headers],[DP]])</f>
        <v>0</v>
      </c>
      <c r="QH94" s="74">
        <f>COUNTIFS($C$27:$PN$27,("&lt;"&amp;$B$3),$C$27:$PN$27,("&gt;="&amp;$B$2),$C94:$PN94,TabAsistencias[[#Headers],[B]])</f>
        <v>0</v>
      </c>
      <c r="QI94" s="74">
        <f>(TabAsistencias[[#This Row],[1]]*'Tablas de informacion'!$C$124)+(TabAsistencias[[#This Row],[E]]*'Tablas de informacion'!$C$125)+(TabAsistencias[[#This Row],[DE]]*'Tablas de informacion'!C$126)+(TabAsistencias[[#This Row],[V]]*'Tablas de informacion'!C$127)+(TabAsistencias[[#This Row],[DO]]*'Tablas de informacion'!C$128)+(TabAsistencias[[#This Row],[P]]*'Tablas de informacion'!C$129)+(TabAsistencias[[#This Row],[F]]*'Tablas de informacion'!C$130)+(TabAsistencias[[#This Row],[R]]*'Tablas de informacion'!C$131)+(TabAsistencias[[#This Row],[PP]]*'Tablas de informacion'!C$132)+(TabAsistencias[[#This Row],[0]]*'Tablas de informacion'!C$133)+(TabAsistencias[[#This Row],[IG]]*'Tablas de informacion'!C$134)+(TabAsistencias[[#This Row],[NA]]*'Tablas de informacion'!C$135)+(TabAsistencias[[#This Row],[DF]]*'Tablas de informacion'!C$136)+(TabAsistencias[[#This Row],[3]]*'Tablas de informacion'!C$137)+(TabAsistencias[[#This Row],[CP]]*'Tablas de informacion'!C$138)+(TabAsistencias[[#This Row],[I]]*'Tablas de informacion'!C$139)+(TabAsistencias[[#This Row],[T/2]]*'Tablas de informacion'!C$140)+(TabAsistencias[[#This Row],[ME]]*'Tablas de informacion'!C$141)+(TabAsistencias[[#This Row],[DP]]*'Tablas de informacion'!C$142)+(TabAsistencias[[#This Row],[B]]*'Tablas de informacion'!C$143)-INT(TabAsistencias[[#This Row],[R]]/3)</f>
        <v>30</v>
      </c>
      <c r="QJ94" s="74">
        <f>COUNTIFS($C$27:$PN$27,("&lt;"&amp;$B$3),$C$27:$PN$27,("&gt;="&amp;$B$2),$C$28:$PN$28,1,$C94:$PN94,TabAsistencias[[#Headers],[1]])+
COUNTIFS($C$27:$PN$27,("&lt;"&amp;$B$3),$C$27:$PN$27,("&gt;="&amp;$B$2),$C$28:$PN$28,1,$C94:$PN94,TabAsistencias[[#Headers],[DO]])+
COUNTIFS($C$27:$PN$27,("&lt;"&amp;$B$3),$C$27:$PN$27,("&gt;="&amp;$B$2),$C$28:$PN$28,1,$C94:$PN94,TabAsistencias[[#Headers],[R]])+
COUNTIFS($C$27:$PN$27,("&lt;"&amp;$B$3),$C$27:$PN$27,("&gt;="&amp;$B$2),$C$28:$PN$28,1,$C94:$PN94,TabAsistencias[[#Headers],[NA]])+
COUNTIFS($C$27:$PN$27,("&lt;"&amp;$B$3),$C$27:$PN$27,("&gt;="&amp;$B$2),$C$28:$PN$28,1,$C94:$PN94,TabAsistencias[[#Headers],[DF]])+
COUNTIFS($C$27:$PN$27,("&lt;"&amp;$B$3),$C$27:$PN$27,("&gt;="&amp;$B$2),$C$28:$PN$28,1,$C94:$PN94,TabAsistencias[[#Headers],[3]])+
COUNTIFS($C$27:$PN$27,("&lt;"&amp;$B$3),$C$27:$PN$27,("&gt;="&amp;$B$2),$C$28:$PN$28,1,$C94:$PN94,TabAsistencias[[#Headers],[CP]])+
COUNTIFS($C$27:$PN$27,("&lt;"&amp;$B$3),$C$27:$PN$27,("&gt;="&amp;$B$2),$C$28:$PN$28,1,$C94:$PN94,TabAsistencias[[#Headers],[T/2]])</f>
        <v>4</v>
      </c>
      <c r="QK94" s="315" cm="1">
        <f t="array" ref="QK94">IFERROR(VLOOKUP(
DATEDIF((VLOOKUP(TabAsistencias[[#This Row],[ID]],TabEmpleados[],COLUMN(TabEmpleados[Fecha de ingreso]),FALSE)),Asistencias!$B$3,"Y"),
TabFactorIntegracion[],COLUMN(TabFactorIntegracion[Días vacacionales
establecidos por ley]),FALSE),0)
-
COUNTIF($AH94:$PN94,TabAsistencias[[#Headers],[V]])</f>
        <v>12</v>
      </c>
      <c r="QL94" s="319">
        <f>SUM(TabAsistencias[[#This Row],[''1]],TabAsistencias[[#This Row],[''DE]],TabAsistencias[[#This Row],[''DO]],TabAsistencias[[#This Row],[''R]],TabAsistencias[[#This Row],[''NA]],TabAsistencias[[#This Row],[''DF]],TabAsistencias[[#This Row],[''3]],TabAsistencias[[#This Row],[''CP]],TabAsistencias[[#This Row],[''T/2]],TabAsistencias[[#This Row],[''DP]])</f>
        <v>73</v>
      </c>
      <c r="QM94" s="314">
        <f>COUNTIFS($C$27:$PN$27,("&lt;"&amp;$B$5),$C$27:$PN$27,("&gt;="&amp;$B$4),$C94:$PN94,TabAsistencias[[#Headers],[1]])</f>
        <v>73</v>
      </c>
      <c r="QN94" s="314">
        <f>COUNTIFS($C$27:$PN$27,("&lt;"&amp;$B$5),$C$27:$PN$27,("&gt;="&amp;$B$4),$C94:$PN94,TabAsistencias[[#Headers],[DE]])</f>
        <v>0</v>
      </c>
      <c r="QO94" s="314">
        <f>COUNTIFS($C$27:$PN$27,("&lt;"&amp;$B$5),$C$27:$PN$27,("&gt;="&amp;$B$4),$C94:$PN94,TabAsistencias[[#Headers],[V]])</f>
        <v>0</v>
      </c>
      <c r="QP94" s="314">
        <f>COUNTIFS($C$27:$PN$27,("&lt;"&amp;$B$5),$C$27:$PN$27,("&gt;="&amp;$B$4),$C94:$PN94,TabAsistencias[[#Headers],[DO]])</f>
        <v>0</v>
      </c>
      <c r="QQ94" s="314">
        <f>COUNTIFS($C$27:$PN$27,("&lt;"&amp;$B$5),$C$27:$PN$27,("&gt;="&amp;$B$4),$C94:$PN94,TabAsistencias[[#Headers],[P]])</f>
        <v>0</v>
      </c>
      <c r="QR94" s="314">
        <f>COUNTIFS($C$27:$PN$27,("&lt;"&amp;$B$5),$C$27:$PN$27,("&gt;="&amp;$B$4),$C94:$PN94,TabAsistencias[[#Headers],[F]])</f>
        <v>0</v>
      </c>
      <c r="QS94" s="314">
        <f>COUNTIFS($C$27:$PN$27,("&lt;"&amp;$B$5),$C$27:$PN$27,("&gt;="&amp;$B$4),$C94:$PN94,TabAsistencias[[#Headers],[R]])</f>
        <v>0</v>
      </c>
      <c r="QT94" s="314">
        <f>COUNTIFS($C$27:$PN$27,("&lt;"&amp;$B$5),$C$27:$PN$27,("&gt;="&amp;$B$4),$C94:$PN94,TabAsistencias[[#Headers],[PP]])</f>
        <v>0</v>
      </c>
      <c r="QU94" s="314">
        <f>COUNTIFS($C$27:$PN$27,("&lt;"&amp;$B$5),$C$27:$PN$27,("&gt;="&amp;$B$4),$C94:$PN94,TabAsistencias[[#Headers],[0]])</f>
        <v>0</v>
      </c>
      <c r="QV94" s="314">
        <f>COUNTIFS($C$27:$PN$27,("&lt;"&amp;$B$5),$C$27:$PN$27,("&gt;="&amp;$B$4),$C94:$PN94,TabAsistencias[[#Headers],[IG]])</f>
        <v>0</v>
      </c>
      <c r="QW94" s="314">
        <f>COUNTIFS($C$27:$PN$27,("&lt;"&amp;$B$5),$C$27:$PN$27,("&gt;="&amp;$B$4),$C94:$PN94,TabAsistencias[[#Headers],[NA]])</f>
        <v>0</v>
      </c>
      <c r="QX94" s="314">
        <f>COUNTIFS($C$27:$PN$27,("&lt;"&amp;$B$5),$C$27:$PN$27,("&gt;="&amp;$B$4),$C94:$PN94,TabAsistencias[[#Headers],[DF]])</f>
        <v>0</v>
      </c>
      <c r="QY94" s="314">
        <f>COUNTIFS($C$27:$PN$27,("&lt;"&amp;$B$5),$C$27:$PN$27,("&gt;="&amp;$B$4),$C94:$PN94,TabAsistencias[[#Headers],[3]])</f>
        <v>0</v>
      </c>
      <c r="QZ94" s="314">
        <f>COUNTIFS($C$27:$PN$27,("&lt;"&amp;$B$5),$C$27:$PN$27,("&gt;="&amp;$B$4),$C94:$PN94,TabAsistencias[[#Headers],[CP]])</f>
        <v>0</v>
      </c>
      <c r="RA94" s="314">
        <f>COUNTIFS($C$27:$PN$27,("&lt;"&amp;$B$5),$C$27:$PN$27,("&gt;="&amp;$B$4),$C94:$PN94,TabAsistencias[[#Headers],[I]])</f>
        <v>0</v>
      </c>
      <c r="RB94" s="314">
        <f>COUNTIFS($C$27:$PN$27,("&lt;"&amp;$B$5),$C$27:$PN$27,("&gt;="&amp;$B$4),$C94:$PN94,TabAsistencias[[#Headers],[T/2]])</f>
        <v>0</v>
      </c>
      <c r="RC94" s="314">
        <f>COUNTIFS($C$27:$PN$27,("&lt;"&amp;$B$5),$C$27:$PN$27,("&gt;="&amp;$B$4),$C94:$PN94,TabAsistencias[[#Headers],[ME]])</f>
        <v>0</v>
      </c>
      <c r="RD94" s="314">
        <f>COUNTIFS($C$27:$PN$27,("&lt;"&amp;$B$5),$C$27:$PN$27,("&gt;="&amp;$B$4),$C94:$PN94,TabAsistencias[[#Headers],[DP]])</f>
        <v>0</v>
      </c>
      <c r="RE94" s="314">
        <f>COUNTIFS($C$27:$PN$27,("&lt;"&amp;$B$5),$C$27:$PN$27,("&gt;="&amp;$B$4),$C94:$PN94,TabAsistencias[[#Headers],[B]])</f>
        <v>0</v>
      </c>
      <c r="RF94" s="314">
        <f>COUNTIFS($C$27:$PN$27,("&lt;"&amp;$B$5),$C$27:$PN$27,("&gt;="&amp;$B$4),$C$28:$PN$28,1,$C94:$PN94,TabAsistencias[[#Headers],[1]])+
COUNTIFS($C$27:$PN$27,("&lt;"&amp;$B$5),$C$27:$PN$27,("&gt;="&amp;$B$4),$C$28:$PN$28,1,$C94:$PN94,TabAsistencias[[#Headers],[DO]])+
COUNTIFS($C$27:$PN$27,("&lt;"&amp;$B$5),$C$27:$PN$27,("&gt;="&amp;$B$4),$C$28:$PN$28,1,$C94:$PN94,TabAsistencias[[#Headers],[R]])+
COUNTIFS($C$27:$PN$27,("&lt;"&amp;$B$5),$C$27:$PN$27,("&gt;="&amp;$B$4),$C$28:$PN$28,1,$C94:$PN94,TabAsistencias[[#Headers],[NA]])+
COUNTIFS($C$27:$PN$27,("&lt;"&amp;$B$5),$C$27:$PN$27,("&gt;="&amp;$B$4),$C$28:$PN$28,1,$C94:$PN94,TabAsistencias[[#Headers],[DF]])+
COUNTIFS($C$27:$PN$27,("&lt;"&amp;$B$5),$C$27:$PN$27,("&gt;="&amp;$B$4),$C$28:$PN$28,1,$C94:$PN94,TabAsistencias[[#Headers],[3]])+
COUNTIFS($C$27:$PN$27,("&lt;"&amp;$B$5),$C$27:$PN$27,("&gt;="&amp;$B$4),$C$28:$PN$28,1,$C94:$PN94,TabAsistencias[[#Headers],[CP]])+
COUNTIFS($C$27:$PN$27,("&lt;"&amp;$B$5),$C$27:$PN$27,("&gt;="&amp;$B$4),$C$28:$PN$28,1,$C94:$PN94,TabAsistencias[[#Headers],[T/2]])</f>
        <v>11</v>
      </c>
      <c r="RG94" s="320" cm="1">
        <f t="array" ref="RG94">IFERROR(VLOOKUP(
DATEDIF((VLOOKUP(TabAsistencias[[#This Row],[ID]],TabEmpleados[],COLUMN(TabEmpleados[Fecha de alta NSS]),FALSE)),Asistencias!$B$3,"Y"),
TabFactorIntegracion[],COLUMN(TabFactorIntegracion[Días vacacionales
establecidos por ley]),FALSE),0)
-
COUNTIF($AH94:$PN94,TabAsistencias[[#Headers],[V]])</f>
        <v>12</v>
      </c>
    </row>
    <row r="95" spans="1:475" x14ac:dyDescent="0.25">
      <c r="A95" s="92">
        <f t="shared" si="434"/>
        <v>65</v>
      </c>
      <c r="B95" s="30" t="str" cm="1">
        <f t="array" ref="B95">VLOOKUP(TabAsistencias[[#This Row],[ID]],TabEmpleados[],COLUMN(TabEmpleados[Nombre]),FALSE)</f>
        <v>VASQUEZ PEREZ ARTURO</v>
      </c>
      <c r="C95" s="36" t="s">
        <v>139</v>
      </c>
      <c r="D95" s="36" t="s">
        <v>139</v>
      </c>
      <c r="E95" s="36" t="s">
        <v>139</v>
      </c>
      <c r="F95" s="36" t="s">
        <v>139</v>
      </c>
      <c r="G95" s="36" t="s">
        <v>139</v>
      </c>
      <c r="H95" s="36" t="s">
        <v>139</v>
      </c>
      <c r="I95" s="36" t="s">
        <v>139</v>
      </c>
      <c r="J95" s="36" t="s">
        <v>139</v>
      </c>
      <c r="K95" s="36" t="s">
        <v>139</v>
      </c>
      <c r="L95" s="36" t="s">
        <v>139</v>
      </c>
      <c r="M95" s="36" t="s">
        <v>139</v>
      </c>
      <c r="N95" s="36" t="s">
        <v>139</v>
      </c>
      <c r="O95" s="36" t="s">
        <v>139</v>
      </c>
      <c r="P95" s="36" t="s">
        <v>139</v>
      </c>
      <c r="Q95" s="36" t="s">
        <v>139</v>
      </c>
      <c r="R95" s="36" t="s">
        <v>139</v>
      </c>
      <c r="S95" s="36" t="s">
        <v>139</v>
      </c>
      <c r="T95" s="36" t="s">
        <v>139</v>
      </c>
      <c r="U95" s="36" t="s">
        <v>139</v>
      </c>
      <c r="V95" s="36" t="s">
        <v>139</v>
      </c>
      <c r="W95" s="36" t="s">
        <v>139</v>
      </c>
      <c r="X95" s="36" t="s">
        <v>139</v>
      </c>
      <c r="Y95" s="36" t="s">
        <v>139</v>
      </c>
      <c r="Z95" s="36" t="s">
        <v>139</v>
      </c>
      <c r="AA95" s="36" t="s">
        <v>139</v>
      </c>
      <c r="AB95" s="36" t="s">
        <v>139</v>
      </c>
      <c r="AC95" s="36" t="s">
        <v>139</v>
      </c>
      <c r="AD95" s="36" t="s">
        <v>139</v>
      </c>
      <c r="AE95" s="36" t="s">
        <v>139</v>
      </c>
      <c r="AF95" s="36" t="s">
        <v>139</v>
      </c>
      <c r="AG95" s="36" t="s">
        <v>139</v>
      </c>
      <c r="AH95" s="36" t="s">
        <v>139</v>
      </c>
      <c r="AI95" s="36" t="s">
        <v>139</v>
      </c>
      <c r="AJ95" s="36" t="s">
        <v>139</v>
      </c>
      <c r="AK95" s="36" t="s">
        <v>139</v>
      </c>
      <c r="AL95" s="36" t="s">
        <v>139</v>
      </c>
      <c r="AM95" s="36" t="s">
        <v>139</v>
      </c>
      <c r="AN95" s="36" t="s">
        <v>139</v>
      </c>
      <c r="AO95" s="36" t="s">
        <v>139</v>
      </c>
      <c r="AP95" s="36" t="s">
        <v>139</v>
      </c>
      <c r="AQ95" s="36" t="s">
        <v>139</v>
      </c>
      <c r="AR95" s="36" t="s">
        <v>139</v>
      </c>
      <c r="AS95" s="36" t="s">
        <v>139</v>
      </c>
      <c r="AT95" s="36" t="s">
        <v>139</v>
      </c>
      <c r="AU95" s="36" t="s">
        <v>139</v>
      </c>
      <c r="AV95" s="36" t="s">
        <v>139</v>
      </c>
      <c r="AW95" s="36" t="s">
        <v>139</v>
      </c>
      <c r="AX95" s="36" t="s">
        <v>139</v>
      </c>
      <c r="AY95" s="36" t="s">
        <v>139</v>
      </c>
      <c r="AZ95" s="36" t="s">
        <v>139</v>
      </c>
      <c r="BA95" s="36" t="s">
        <v>139</v>
      </c>
      <c r="BB95" s="36" t="s">
        <v>139</v>
      </c>
      <c r="BC95" s="36" t="s">
        <v>139</v>
      </c>
      <c r="BD95" s="36" t="s">
        <v>139</v>
      </c>
      <c r="BE95" s="36" t="s">
        <v>139</v>
      </c>
      <c r="BF95" s="36" t="s">
        <v>139</v>
      </c>
      <c r="BG95" s="36" t="s">
        <v>139</v>
      </c>
      <c r="BH95" s="36" t="s">
        <v>139</v>
      </c>
      <c r="BI95" s="36" t="s">
        <v>139</v>
      </c>
      <c r="BJ95" s="36" t="s">
        <v>139</v>
      </c>
      <c r="BK95" s="36" t="s">
        <v>139</v>
      </c>
      <c r="BL95" s="36" t="s">
        <v>139</v>
      </c>
      <c r="BM95" s="36" t="s">
        <v>139</v>
      </c>
      <c r="BN95" s="36" t="s">
        <v>139</v>
      </c>
      <c r="BO95" s="36" t="s">
        <v>139</v>
      </c>
      <c r="BP95" s="36" t="s">
        <v>139</v>
      </c>
      <c r="BQ95" s="36" t="s">
        <v>139</v>
      </c>
      <c r="BR95" s="36" t="s">
        <v>139</v>
      </c>
      <c r="BS95" s="36" t="s">
        <v>139</v>
      </c>
      <c r="BT95" s="36" t="s">
        <v>139</v>
      </c>
      <c r="BU95" s="36" t="s">
        <v>139</v>
      </c>
      <c r="BV95" s="36" t="s">
        <v>139</v>
      </c>
      <c r="BW95" s="36" t="s">
        <v>139</v>
      </c>
      <c r="BX95" s="36" t="s">
        <v>139</v>
      </c>
      <c r="BY95" s="36" t="s">
        <v>139</v>
      </c>
      <c r="BZ95" s="36" t="s">
        <v>139</v>
      </c>
      <c r="CA95" s="36" t="s">
        <v>139</v>
      </c>
      <c r="CB95" s="36" t="s">
        <v>139</v>
      </c>
      <c r="CC95" s="36" t="s">
        <v>139</v>
      </c>
      <c r="CD95" s="36" t="s">
        <v>139</v>
      </c>
      <c r="CE95" s="36" t="s">
        <v>139</v>
      </c>
      <c r="CF95" s="36" t="s">
        <v>139</v>
      </c>
      <c r="CG95" s="36" t="s">
        <v>139</v>
      </c>
      <c r="CH95" s="36" t="s">
        <v>139</v>
      </c>
      <c r="CI95" s="36" t="s">
        <v>139</v>
      </c>
      <c r="CJ95" s="36" t="s">
        <v>139</v>
      </c>
      <c r="CK95" s="36" t="s">
        <v>139</v>
      </c>
      <c r="CL95" s="36" t="s">
        <v>139</v>
      </c>
      <c r="CM95" s="36" t="s">
        <v>139</v>
      </c>
      <c r="CN95" s="36" t="s">
        <v>139</v>
      </c>
      <c r="CO95" s="36" t="s">
        <v>139</v>
      </c>
      <c r="CP95" s="36" t="s">
        <v>139</v>
      </c>
      <c r="CQ95" s="36" t="s">
        <v>139</v>
      </c>
      <c r="CR95" s="36" t="s">
        <v>139</v>
      </c>
      <c r="CS95" s="36" t="s">
        <v>139</v>
      </c>
      <c r="CT95" s="36" t="s">
        <v>139</v>
      </c>
      <c r="CU95" s="36" t="s">
        <v>139</v>
      </c>
      <c r="CV95" s="36" t="s">
        <v>139</v>
      </c>
      <c r="CW95" s="36" t="s">
        <v>139</v>
      </c>
      <c r="CX95" s="36" t="s">
        <v>139</v>
      </c>
      <c r="CY95" s="36" t="s">
        <v>139</v>
      </c>
      <c r="CZ95" s="36" t="s">
        <v>139</v>
      </c>
      <c r="DA95" s="36" t="s">
        <v>139</v>
      </c>
      <c r="DB95" s="36" t="s">
        <v>139</v>
      </c>
      <c r="DC95" s="36" t="s">
        <v>139</v>
      </c>
      <c r="DD95" s="36" t="s">
        <v>139</v>
      </c>
      <c r="DE95" s="36" t="s">
        <v>139</v>
      </c>
      <c r="DF95" s="36" t="s">
        <v>139</v>
      </c>
      <c r="DG95" s="36" t="s">
        <v>139</v>
      </c>
      <c r="DH95" s="36" t="s">
        <v>139</v>
      </c>
      <c r="DI95" s="36" t="s">
        <v>139</v>
      </c>
      <c r="DJ95" s="36" t="s">
        <v>139</v>
      </c>
      <c r="DK95" s="36" t="s">
        <v>139</v>
      </c>
      <c r="DL95" s="36" t="s">
        <v>139</v>
      </c>
      <c r="DM95" s="36" t="s">
        <v>139</v>
      </c>
      <c r="DN95" s="36" t="s">
        <v>139</v>
      </c>
      <c r="DO95" s="36" t="s">
        <v>139</v>
      </c>
      <c r="DP95" s="36" t="s">
        <v>139</v>
      </c>
      <c r="DQ95" s="36" t="s">
        <v>139</v>
      </c>
      <c r="DR95" s="36" t="s">
        <v>139</v>
      </c>
      <c r="DS95" s="36" t="s">
        <v>139</v>
      </c>
      <c r="DT95" s="36" t="s">
        <v>139</v>
      </c>
      <c r="DU95" s="36" t="s">
        <v>139</v>
      </c>
      <c r="DV95" s="36" t="s">
        <v>139</v>
      </c>
      <c r="DW95" s="36" t="s">
        <v>139</v>
      </c>
      <c r="DX95" s="36" t="s">
        <v>139</v>
      </c>
      <c r="DY95" s="36" t="s">
        <v>139</v>
      </c>
      <c r="DZ95" s="36" t="s">
        <v>139</v>
      </c>
      <c r="EA95" s="36" t="s">
        <v>139</v>
      </c>
      <c r="EB95" s="36" t="s">
        <v>139</v>
      </c>
      <c r="EC95" s="36" t="s">
        <v>139</v>
      </c>
      <c r="ED95" s="36" t="s">
        <v>139</v>
      </c>
      <c r="EE95" s="36" t="s">
        <v>139</v>
      </c>
      <c r="EF95" s="36" t="s">
        <v>139</v>
      </c>
      <c r="EG95" s="36" t="s">
        <v>139</v>
      </c>
      <c r="EH95" s="36" t="s">
        <v>139</v>
      </c>
      <c r="EI95" s="36" t="s">
        <v>139</v>
      </c>
      <c r="EJ95" s="36" t="s">
        <v>139</v>
      </c>
      <c r="EK95" s="36" t="s">
        <v>139</v>
      </c>
      <c r="EL95" s="36" t="s">
        <v>139</v>
      </c>
      <c r="EM95" s="36" t="s">
        <v>139</v>
      </c>
      <c r="EN95" s="36" t="s">
        <v>139</v>
      </c>
      <c r="EO95" s="36" t="s">
        <v>139</v>
      </c>
      <c r="EP95" s="36" t="s">
        <v>139</v>
      </c>
      <c r="EQ95" s="36" t="s">
        <v>139</v>
      </c>
      <c r="ER95" s="36" t="s">
        <v>139</v>
      </c>
      <c r="ES95" s="36" t="s">
        <v>139</v>
      </c>
      <c r="ET95" s="36" t="s">
        <v>139</v>
      </c>
      <c r="EU95" s="36" t="s">
        <v>139</v>
      </c>
      <c r="EV95" s="36" t="s">
        <v>139</v>
      </c>
      <c r="EW95" s="36" t="s">
        <v>139</v>
      </c>
      <c r="EX95" s="36" t="s">
        <v>139</v>
      </c>
      <c r="EY95" s="36" t="s">
        <v>139</v>
      </c>
      <c r="EZ95" s="36" t="s">
        <v>139</v>
      </c>
      <c r="FA95" s="36" t="s">
        <v>139</v>
      </c>
      <c r="FB95" s="36" t="s">
        <v>139</v>
      </c>
      <c r="FC95" s="36" t="s">
        <v>139</v>
      </c>
      <c r="FD95" s="36" t="s">
        <v>139</v>
      </c>
      <c r="FE95" s="36" t="s">
        <v>139</v>
      </c>
      <c r="FF95" s="36" t="s">
        <v>139</v>
      </c>
      <c r="FG95" s="36" t="s">
        <v>139</v>
      </c>
      <c r="FH95" s="36" t="s">
        <v>139</v>
      </c>
      <c r="FI95" s="36" t="s">
        <v>139</v>
      </c>
      <c r="FJ95" s="36" t="s">
        <v>139</v>
      </c>
      <c r="FK95" s="36" t="s">
        <v>139</v>
      </c>
      <c r="FL95" s="36" t="s">
        <v>139</v>
      </c>
      <c r="FM95" s="36" t="s">
        <v>139</v>
      </c>
      <c r="FN95" s="36" t="s">
        <v>139</v>
      </c>
      <c r="FO95" s="36" t="s">
        <v>139</v>
      </c>
      <c r="FP95" s="36" t="s">
        <v>139</v>
      </c>
      <c r="FQ95" s="36" t="s">
        <v>139</v>
      </c>
      <c r="FR95" s="36" t="s">
        <v>139</v>
      </c>
      <c r="FS95" s="36" t="s">
        <v>139</v>
      </c>
      <c r="FT95" s="36" t="s">
        <v>139</v>
      </c>
      <c r="FU95" s="36" t="s">
        <v>139</v>
      </c>
      <c r="FV95" s="36" t="s">
        <v>139</v>
      </c>
      <c r="FW95" s="36" t="s">
        <v>139</v>
      </c>
      <c r="FX95" s="36" t="s">
        <v>139</v>
      </c>
      <c r="FY95" s="36" t="s">
        <v>139</v>
      </c>
      <c r="FZ95" s="36" t="s">
        <v>139</v>
      </c>
      <c r="GA95" s="36" t="s">
        <v>139</v>
      </c>
      <c r="GB95" s="36" t="s">
        <v>139</v>
      </c>
      <c r="GC95" s="36" t="s">
        <v>139</v>
      </c>
      <c r="GD95" s="36" t="s">
        <v>139</v>
      </c>
      <c r="GE95" s="36" t="s">
        <v>139</v>
      </c>
      <c r="GF95" s="36" t="s">
        <v>139</v>
      </c>
      <c r="GG95" s="36" t="s">
        <v>139</v>
      </c>
      <c r="GH95" s="36" t="s">
        <v>139</v>
      </c>
      <c r="GI95" s="36" t="s">
        <v>139</v>
      </c>
      <c r="GJ95" s="36" t="s">
        <v>139</v>
      </c>
      <c r="GK95" s="36" t="s">
        <v>139</v>
      </c>
      <c r="GL95" s="36" t="s">
        <v>139</v>
      </c>
      <c r="GM95" s="36" t="s">
        <v>139</v>
      </c>
      <c r="GN95" s="36" t="s">
        <v>139</v>
      </c>
      <c r="GO95" s="36" t="s">
        <v>139</v>
      </c>
      <c r="GP95" s="36" t="s">
        <v>139</v>
      </c>
      <c r="GQ95" s="36" t="s">
        <v>139</v>
      </c>
      <c r="GR95" s="36" t="s">
        <v>139</v>
      </c>
      <c r="GS95" s="36" t="s">
        <v>139</v>
      </c>
      <c r="GT95" s="36" t="s">
        <v>139</v>
      </c>
      <c r="GU95" s="36" t="s">
        <v>139</v>
      </c>
      <c r="GV95" s="36" t="s">
        <v>139</v>
      </c>
      <c r="GW95" s="36" t="s">
        <v>139</v>
      </c>
      <c r="GX95" s="36" t="s">
        <v>139</v>
      </c>
      <c r="GY95" s="36" t="s">
        <v>139</v>
      </c>
      <c r="GZ95" s="36" t="s">
        <v>139</v>
      </c>
      <c r="HA95" s="36" t="s">
        <v>139</v>
      </c>
      <c r="HB95" s="36" t="s">
        <v>139</v>
      </c>
      <c r="HC95" s="36" t="s">
        <v>139</v>
      </c>
      <c r="HD95" s="36" t="s">
        <v>139</v>
      </c>
      <c r="HE95" s="36" t="s">
        <v>139</v>
      </c>
      <c r="HF95" s="36" t="s">
        <v>139</v>
      </c>
      <c r="HG95" s="36" t="s">
        <v>139</v>
      </c>
      <c r="HH95" s="36" t="s">
        <v>139</v>
      </c>
      <c r="HI95" s="36" t="s">
        <v>139</v>
      </c>
      <c r="HJ95" s="36" t="s">
        <v>139</v>
      </c>
      <c r="HK95" s="36" t="s">
        <v>139</v>
      </c>
      <c r="HL95" s="36" t="s">
        <v>139</v>
      </c>
      <c r="HM95" s="36" t="s">
        <v>139</v>
      </c>
      <c r="HN95" s="36" t="s">
        <v>139</v>
      </c>
      <c r="HO95" s="36" t="s">
        <v>139</v>
      </c>
      <c r="HP95" s="36" t="s">
        <v>139</v>
      </c>
      <c r="HQ95" s="36" t="s">
        <v>139</v>
      </c>
      <c r="HR95" s="36" t="s">
        <v>139</v>
      </c>
      <c r="HS95" s="36" t="s">
        <v>139</v>
      </c>
      <c r="HT95" s="36" t="s">
        <v>139</v>
      </c>
      <c r="HU95" s="36" t="s">
        <v>139</v>
      </c>
      <c r="HV95" s="36" t="s">
        <v>139</v>
      </c>
      <c r="HW95" s="36" t="s">
        <v>139</v>
      </c>
      <c r="HX95" s="36" t="s">
        <v>139</v>
      </c>
      <c r="HY95" s="36" t="s">
        <v>139</v>
      </c>
      <c r="HZ95" s="36" t="s">
        <v>139</v>
      </c>
      <c r="IA95" s="36" t="s">
        <v>139</v>
      </c>
      <c r="IB95" s="36" t="s">
        <v>139</v>
      </c>
      <c r="IC95" s="36" t="s">
        <v>139</v>
      </c>
      <c r="ID95" s="36" t="s">
        <v>139</v>
      </c>
      <c r="IE95" s="36" t="s">
        <v>139</v>
      </c>
      <c r="IF95" s="36" t="s">
        <v>139</v>
      </c>
      <c r="IG95" s="36" t="s">
        <v>139</v>
      </c>
      <c r="IH95" s="36" t="s">
        <v>139</v>
      </c>
      <c r="II95" s="36" t="s">
        <v>139</v>
      </c>
      <c r="IJ95" s="36" t="s">
        <v>139</v>
      </c>
      <c r="IK95" s="36" t="s">
        <v>139</v>
      </c>
      <c r="IL95" s="36" t="s">
        <v>139</v>
      </c>
      <c r="IM95" s="36" t="s">
        <v>139</v>
      </c>
      <c r="IN95" s="36" t="s">
        <v>139</v>
      </c>
      <c r="IO95" s="36" t="s">
        <v>139</v>
      </c>
      <c r="IP95" s="36" t="s">
        <v>139</v>
      </c>
      <c r="IQ95" s="36" t="s">
        <v>139</v>
      </c>
      <c r="IR95" s="36" t="s">
        <v>139</v>
      </c>
      <c r="IS95" s="36" t="s">
        <v>139</v>
      </c>
      <c r="IT95" s="36" t="s">
        <v>139</v>
      </c>
      <c r="IU95" s="36" t="s">
        <v>139</v>
      </c>
      <c r="IV95" s="36" t="s">
        <v>139</v>
      </c>
      <c r="IW95" s="36" t="s">
        <v>139</v>
      </c>
      <c r="IX95" s="36" t="s">
        <v>139</v>
      </c>
      <c r="IY95" s="36" t="s">
        <v>139</v>
      </c>
      <c r="IZ95" s="36" t="s">
        <v>139</v>
      </c>
      <c r="JA95" s="36" t="s">
        <v>139</v>
      </c>
      <c r="JB95" s="36" t="s">
        <v>139</v>
      </c>
      <c r="JC95" s="36" t="s">
        <v>139</v>
      </c>
      <c r="JD95" s="36" t="s">
        <v>139</v>
      </c>
      <c r="JE95" s="36" t="s">
        <v>139</v>
      </c>
      <c r="JF95" s="36" t="s">
        <v>139</v>
      </c>
      <c r="JG95" s="36" t="s">
        <v>139</v>
      </c>
      <c r="JH95" s="36" t="s">
        <v>139</v>
      </c>
      <c r="JI95" s="36" t="s">
        <v>139</v>
      </c>
      <c r="JJ95" s="36" t="s">
        <v>139</v>
      </c>
      <c r="JK95" s="36" t="s">
        <v>139</v>
      </c>
      <c r="JL95" s="36" t="s">
        <v>139</v>
      </c>
      <c r="JM95" s="36" t="s">
        <v>139</v>
      </c>
      <c r="JN95" s="36" t="s">
        <v>139</v>
      </c>
      <c r="JO95" s="36" t="s">
        <v>139</v>
      </c>
      <c r="JP95" s="36" t="s">
        <v>139</v>
      </c>
      <c r="JQ95" s="36" t="s">
        <v>139</v>
      </c>
      <c r="JR95" s="36" t="s">
        <v>139</v>
      </c>
      <c r="JS95" s="36" t="s">
        <v>139</v>
      </c>
      <c r="JT95" s="36" t="s">
        <v>139</v>
      </c>
      <c r="JU95" s="36" t="s">
        <v>139</v>
      </c>
      <c r="JV95" s="36" t="s">
        <v>139</v>
      </c>
      <c r="JW95" s="36" t="s">
        <v>139</v>
      </c>
      <c r="JX95" s="36" t="s">
        <v>139</v>
      </c>
      <c r="JY95" s="36" t="s">
        <v>139</v>
      </c>
      <c r="JZ95" s="36" t="s">
        <v>139</v>
      </c>
      <c r="KA95" s="36" t="s">
        <v>139</v>
      </c>
      <c r="KB95" s="36" t="s">
        <v>139</v>
      </c>
      <c r="KC95" s="36" t="s">
        <v>139</v>
      </c>
      <c r="KD95" s="36" t="s">
        <v>139</v>
      </c>
      <c r="KE95" s="36" t="s">
        <v>139</v>
      </c>
      <c r="KF95" s="36" t="s">
        <v>139</v>
      </c>
      <c r="KG95" s="36" t="s">
        <v>139</v>
      </c>
      <c r="KH95" s="36" t="s">
        <v>139</v>
      </c>
      <c r="KI95" s="36" t="s">
        <v>139</v>
      </c>
      <c r="KJ95" s="36" t="s">
        <v>139</v>
      </c>
      <c r="KK95" s="36" t="s">
        <v>139</v>
      </c>
      <c r="KL95" s="36" t="s">
        <v>139</v>
      </c>
      <c r="KM95" s="36" t="s">
        <v>139</v>
      </c>
      <c r="KN95" s="36" t="s">
        <v>139</v>
      </c>
      <c r="KO95" s="36" t="s">
        <v>139</v>
      </c>
      <c r="KP95" s="36" t="s">
        <v>139</v>
      </c>
      <c r="KQ95" s="36" t="s">
        <v>139</v>
      </c>
      <c r="KR95" s="36" t="s">
        <v>139</v>
      </c>
      <c r="KS95" s="36" t="s">
        <v>139</v>
      </c>
      <c r="KT95" s="36" t="s">
        <v>139</v>
      </c>
      <c r="KU95" s="36" t="s">
        <v>139</v>
      </c>
      <c r="KV95" s="36" t="s">
        <v>139</v>
      </c>
      <c r="KW95" s="36" t="s">
        <v>139</v>
      </c>
      <c r="KX95" s="36" t="s">
        <v>139</v>
      </c>
      <c r="KY95" s="36" t="s">
        <v>139</v>
      </c>
      <c r="KZ95" s="36" t="s">
        <v>139</v>
      </c>
      <c r="LA95" s="36" t="s">
        <v>139</v>
      </c>
      <c r="LB95" s="36" t="s">
        <v>139</v>
      </c>
      <c r="LC95" s="36" t="s">
        <v>139</v>
      </c>
      <c r="LD95" s="36" t="s">
        <v>139</v>
      </c>
      <c r="LE95" s="36" t="s">
        <v>139</v>
      </c>
      <c r="LF95" s="36" t="s">
        <v>139</v>
      </c>
      <c r="LG95" s="36" t="s">
        <v>139</v>
      </c>
      <c r="LH95" s="36" t="s">
        <v>139</v>
      </c>
      <c r="LI95" s="36" t="s">
        <v>139</v>
      </c>
      <c r="LJ95" s="36" t="s">
        <v>139</v>
      </c>
      <c r="LK95" s="36" t="s">
        <v>139</v>
      </c>
      <c r="LL95" s="36" t="s">
        <v>139</v>
      </c>
      <c r="LM95" s="36" t="s">
        <v>139</v>
      </c>
      <c r="LN95" s="36" t="s">
        <v>139</v>
      </c>
      <c r="LO95" s="36" t="s">
        <v>139</v>
      </c>
      <c r="LP95" s="36" t="s">
        <v>139</v>
      </c>
      <c r="LQ95" s="36" t="s">
        <v>139</v>
      </c>
      <c r="LR95" s="36" t="s">
        <v>139</v>
      </c>
      <c r="LS95" s="36" t="s">
        <v>139</v>
      </c>
      <c r="LT95" s="36" t="s">
        <v>139</v>
      </c>
      <c r="LU95" s="36" t="s">
        <v>139</v>
      </c>
      <c r="LV95" s="36" t="s">
        <v>139</v>
      </c>
      <c r="LW95" s="36" t="s">
        <v>139</v>
      </c>
      <c r="LX95" s="36" t="s">
        <v>139</v>
      </c>
      <c r="LY95" s="36" t="s">
        <v>139</v>
      </c>
      <c r="LZ95" s="36" t="s">
        <v>139</v>
      </c>
      <c r="MA95" s="36" t="s">
        <v>139</v>
      </c>
      <c r="MB95" s="36" t="s">
        <v>139</v>
      </c>
      <c r="MC95" s="36" t="s">
        <v>139</v>
      </c>
      <c r="MD95" s="36" t="s">
        <v>139</v>
      </c>
      <c r="ME95" s="36" t="s">
        <v>139</v>
      </c>
      <c r="MF95" s="36" t="s">
        <v>139</v>
      </c>
      <c r="MG95" s="36" t="s">
        <v>139</v>
      </c>
      <c r="MH95" s="36" t="s">
        <v>139</v>
      </c>
      <c r="MI95" s="36" t="s">
        <v>139</v>
      </c>
      <c r="MJ95" s="36" t="s">
        <v>139</v>
      </c>
      <c r="MK95" s="36" t="s">
        <v>139</v>
      </c>
      <c r="ML95" s="36" t="s">
        <v>139</v>
      </c>
      <c r="MM95" s="36" t="s">
        <v>139</v>
      </c>
      <c r="MN95" s="36" t="s">
        <v>139</v>
      </c>
      <c r="MO95" s="36" t="s">
        <v>139</v>
      </c>
      <c r="MP95" s="36" t="s">
        <v>139</v>
      </c>
      <c r="MQ95" s="36" t="s">
        <v>139</v>
      </c>
      <c r="MR95" s="36" t="s">
        <v>139</v>
      </c>
      <c r="MS95" s="36" t="s">
        <v>139</v>
      </c>
      <c r="MT95" s="36" t="s">
        <v>139</v>
      </c>
      <c r="MU95" s="36" t="s">
        <v>139</v>
      </c>
      <c r="MV95" s="36" t="s">
        <v>139</v>
      </c>
      <c r="MW95" s="36" t="s">
        <v>139</v>
      </c>
      <c r="MX95" s="36" t="s">
        <v>139</v>
      </c>
      <c r="MY95" s="36" t="s">
        <v>139</v>
      </c>
      <c r="MZ95" s="36" t="s">
        <v>139</v>
      </c>
      <c r="NA95" s="36" t="s">
        <v>139</v>
      </c>
      <c r="NB95" s="36" t="s">
        <v>139</v>
      </c>
      <c r="NC95" s="36" t="s">
        <v>139</v>
      </c>
      <c r="ND95" s="36" t="s">
        <v>139</v>
      </c>
      <c r="NE95" s="36" t="s">
        <v>139</v>
      </c>
      <c r="NF95" s="36" t="s">
        <v>139</v>
      </c>
      <c r="NG95" s="36" t="s">
        <v>139</v>
      </c>
      <c r="NH95" s="36" t="s">
        <v>139</v>
      </c>
      <c r="NI95" s="36" t="s">
        <v>139</v>
      </c>
      <c r="NJ95" s="36" t="s">
        <v>139</v>
      </c>
      <c r="NK95" s="36" t="s">
        <v>139</v>
      </c>
      <c r="NL95" s="36" t="s">
        <v>139</v>
      </c>
      <c r="NM95" s="36" t="s">
        <v>139</v>
      </c>
      <c r="NN95" s="36" t="s">
        <v>139</v>
      </c>
      <c r="NO95" s="36" t="s">
        <v>139</v>
      </c>
      <c r="NP95" s="36" t="s">
        <v>139</v>
      </c>
      <c r="NQ95" s="36" t="s">
        <v>139</v>
      </c>
      <c r="NR95" s="36" t="s">
        <v>139</v>
      </c>
      <c r="NS95" s="36" t="s">
        <v>139</v>
      </c>
      <c r="NT95" s="36" t="s">
        <v>139</v>
      </c>
      <c r="NU95" s="36" t="s">
        <v>139</v>
      </c>
      <c r="NV95" s="36" t="s">
        <v>139</v>
      </c>
      <c r="NW95" s="36" t="s">
        <v>139</v>
      </c>
      <c r="NX95" s="36" t="s">
        <v>139</v>
      </c>
      <c r="NY95" s="36" t="s">
        <v>139</v>
      </c>
      <c r="NZ95" s="36" t="s">
        <v>139</v>
      </c>
      <c r="OA95" s="36" t="s">
        <v>139</v>
      </c>
      <c r="OB95" s="36" t="s">
        <v>139</v>
      </c>
      <c r="OC95" s="36" t="s">
        <v>139</v>
      </c>
      <c r="OD95" s="36" t="s">
        <v>139</v>
      </c>
      <c r="OE95" s="36" t="s">
        <v>139</v>
      </c>
      <c r="OF95" s="36" t="s">
        <v>139</v>
      </c>
      <c r="OG95" s="36" t="s">
        <v>139</v>
      </c>
      <c r="OH95" s="36" t="s">
        <v>139</v>
      </c>
      <c r="OI95" s="36" t="s">
        <v>139</v>
      </c>
      <c r="OJ95" s="36" t="s">
        <v>139</v>
      </c>
      <c r="OK95" s="36" t="s">
        <v>139</v>
      </c>
      <c r="OL95" s="36" t="s">
        <v>139</v>
      </c>
      <c r="OM95" s="36" t="s">
        <v>139</v>
      </c>
      <c r="ON95" s="36" t="s">
        <v>139</v>
      </c>
      <c r="OO95" s="36" t="s">
        <v>139</v>
      </c>
      <c r="OP95" s="36" t="s">
        <v>139</v>
      </c>
      <c r="OQ95" s="36" t="s">
        <v>139</v>
      </c>
      <c r="OR95" s="36" t="s">
        <v>139</v>
      </c>
      <c r="OS95" s="36" t="s">
        <v>139</v>
      </c>
      <c r="OT95" s="36" t="s">
        <v>139</v>
      </c>
      <c r="OU95" s="36" t="s">
        <v>139</v>
      </c>
      <c r="OV95" s="36" t="s">
        <v>139</v>
      </c>
      <c r="OW95" s="36" t="s">
        <v>139</v>
      </c>
      <c r="OX95" s="36" t="s">
        <v>139</v>
      </c>
      <c r="OY95" s="36" t="s">
        <v>139</v>
      </c>
      <c r="OZ95" s="36" t="s">
        <v>139</v>
      </c>
      <c r="PA95" s="36" t="s">
        <v>139</v>
      </c>
      <c r="PB95" s="36" t="s">
        <v>139</v>
      </c>
      <c r="PC95" s="36" t="s">
        <v>139</v>
      </c>
      <c r="PD95" s="36" t="s">
        <v>139</v>
      </c>
      <c r="PE95" s="36" t="s">
        <v>139</v>
      </c>
      <c r="PF95" s="36" t="s">
        <v>139</v>
      </c>
      <c r="PG95" s="36" t="s">
        <v>139</v>
      </c>
      <c r="PH95" s="36" t="s">
        <v>139</v>
      </c>
      <c r="PI95" s="36" t="s">
        <v>139</v>
      </c>
      <c r="PJ95" s="36" t="s">
        <v>139</v>
      </c>
      <c r="PK95" s="36" t="s">
        <v>139</v>
      </c>
      <c r="PL95" s="36" t="s">
        <v>139</v>
      </c>
      <c r="PM95" s="36" t="s">
        <v>139</v>
      </c>
      <c r="PN95" s="36" t="s">
        <v>139</v>
      </c>
      <c r="PO95" s="74">
        <f>COUNTIFS($C$27:$PN$27,("&lt;"&amp;$B$3),$C$27:$PN$27,("&gt;="&amp;$B$2),$C95:$PN95,TabAsistencias[[#Headers],[1]])</f>
        <v>30</v>
      </c>
      <c r="PP95" s="74">
        <f>COUNTIFS($C$27:$PN$27,("&lt;"&amp;$B$3),$C$27:$PN$27,("&gt;="&amp;$B$2),$C95:$PN95,TabAsistencias[[#Headers],[E]])</f>
        <v>0</v>
      </c>
      <c r="PQ95" s="74">
        <f>COUNTIFS($C$27:$PN$27,("&lt;"&amp;$B$3),$C$27:$PN$27,("&gt;="&amp;$B$2),$C95:$PN95,TabAsistencias[[#Headers],[DE]])</f>
        <v>0</v>
      </c>
      <c r="PR95" s="74">
        <f>COUNTIFS($C$27:$PN$27,("&lt;"&amp;$B$3),$C$27:$PN$27,("&gt;="&amp;$B$2),$C95:$PN95,TabAsistencias[[#Headers],[V]])</f>
        <v>0</v>
      </c>
      <c r="PS95" s="74">
        <f>COUNTIFS($C$27:$PN$27,("&lt;"&amp;$B$3),$C$27:$PN$27,("&gt;="&amp;$B$2),$C95:$PN95,TabAsistencias[[#Headers],[DO]])</f>
        <v>0</v>
      </c>
      <c r="PT95" s="74">
        <f>COUNTIFS($C$27:$PN$27,("&lt;"&amp;$B$3),$C$27:$PN$27,("&gt;="&amp;$B$2),$C95:$PN95,TabAsistencias[[#Headers],[P]])</f>
        <v>0</v>
      </c>
      <c r="PU95" s="74">
        <f>COUNTIFS($C$27:$PN$27,("&lt;"&amp;$B$3),$C$27:$PN$27,("&gt;="&amp;$B$2),$C95:$PN95,TabAsistencias[[#Headers],[F]])</f>
        <v>0</v>
      </c>
      <c r="PV95" s="74">
        <f>COUNTIFS($C$27:$PN$27,("&lt;"&amp;$B$3),$C$27:$PN$27,("&gt;="&amp;$B$2),$C95:$PN95,TabAsistencias[[#Headers],[R]])</f>
        <v>0</v>
      </c>
      <c r="PW95" s="74">
        <f>COUNTIFS($C$27:$PN$27,("&lt;"&amp;$B$3),$C$27:$PN$27,("&gt;="&amp;$B$2),$C95:$PN95,TabAsistencias[[#Headers],[PP]])</f>
        <v>0</v>
      </c>
      <c r="PX95" s="74">
        <f>COUNTIFS($C$27:$PN$27,("&lt;"&amp;$B$3),$C$27:$PN$27,("&gt;="&amp;$B$2),$C95:$PN95,TabAsistencias[[#Headers],[0]])</f>
        <v>0</v>
      </c>
      <c r="PY95" s="74">
        <f>COUNTIFS($C$27:$PN$27,("&lt;"&amp;$B$3),$C$27:$PN$27,("&gt;="&amp;$B$2),$C95:$PN95,TabAsistencias[[#Headers],[IG]])</f>
        <v>0</v>
      </c>
      <c r="PZ95" s="74">
        <f>COUNTIFS($C$27:$PN$27,("&lt;"&amp;$B$3),$C$27:$PN$27,("&gt;="&amp;$B$2),$C95:$PN95,TabAsistencias[[#Headers],[NA]])</f>
        <v>0</v>
      </c>
      <c r="QA95" s="74">
        <f>COUNTIFS($C$27:$PN$27,("&lt;"&amp;$B$3),$C$27:$PN$27,("&gt;="&amp;$B$2),$C95:$PN95,TabAsistencias[[#Headers],[DF]])</f>
        <v>0</v>
      </c>
      <c r="QB95" s="74">
        <f>COUNTIFS($C$27:$PN$27,("&lt;"&amp;$B$3),$C$27:$PN$27,("&gt;="&amp;$B$2),$C95:$PN95,TabAsistencias[[#Headers],[3]])</f>
        <v>0</v>
      </c>
      <c r="QC95" s="74">
        <f>COUNTIFS($C$27:$PN$27,("&lt;"&amp;$B$3),$C$27:$PN$27,("&gt;="&amp;$B$2),$C95:$PN95,TabAsistencias[[#Headers],[CP]])</f>
        <v>0</v>
      </c>
      <c r="QD95" s="74">
        <f>COUNTIFS($C$27:$PN$27,("&lt;"&amp;$B$3),$C$27:$PN$27,("&gt;="&amp;$B$2),$C95:$PN95,TabAsistencias[[#Headers],[I]])</f>
        <v>0</v>
      </c>
      <c r="QE95" s="74">
        <f>COUNTIFS($C$27:$PN$27,("&lt;"&amp;$B$3),$C$27:$PN$27,("&gt;="&amp;$B$2),$C95:$PN95,TabAsistencias[[#Headers],[T/2]])</f>
        <v>0</v>
      </c>
      <c r="QF95" s="74">
        <f>COUNTIFS($C$27:$PN$27,("&lt;"&amp;$B$3),$C$27:$PN$27,("&gt;="&amp;$B$2),$C95:$PN95,TabAsistencias[[#Headers],[ME]])</f>
        <v>0</v>
      </c>
      <c r="QG95" s="74">
        <f>COUNTIFS($C$27:$PN$27,("&lt;"&amp;$B$3),$C$27:$PN$27,("&gt;="&amp;$B$2),$C95:$PN95,TabAsistencias[[#Headers],[DP]])</f>
        <v>0</v>
      </c>
      <c r="QH95" s="74">
        <f>COUNTIFS($C$27:$PN$27,("&lt;"&amp;$B$3),$C$27:$PN$27,("&gt;="&amp;$B$2),$C95:$PN95,TabAsistencias[[#Headers],[B]])</f>
        <v>0</v>
      </c>
      <c r="QI95" s="74">
        <f>(TabAsistencias[[#This Row],[1]]*'Tablas de informacion'!$C$124)+(TabAsistencias[[#This Row],[E]]*'Tablas de informacion'!$C$125)+(TabAsistencias[[#This Row],[DE]]*'Tablas de informacion'!C$126)+(TabAsistencias[[#This Row],[V]]*'Tablas de informacion'!C$127)+(TabAsistencias[[#This Row],[DO]]*'Tablas de informacion'!C$128)+(TabAsistencias[[#This Row],[P]]*'Tablas de informacion'!C$129)+(TabAsistencias[[#This Row],[F]]*'Tablas de informacion'!C$130)+(TabAsistencias[[#This Row],[R]]*'Tablas de informacion'!C$131)+(TabAsistencias[[#This Row],[PP]]*'Tablas de informacion'!C$132)+(TabAsistencias[[#This Row],[0]]*'Tablas de informacion'!C$133)+(TabAsistencias[[#This Row],[IG]]*'Tablas de informacion'!C$134)+(TabAsistencias[[#This Row],[NA]]*'Tablas de informacion'!C$135)+(TabAsistencias[[#This Row],[DF]]*'Tablas de informacion'!C$136)+(TabAsistencias[[#This Row],[3]]*'Tablas de informacion'!C$137)+(TabAsistencias[[#This Row],[CP]]*'Tablas de informacion'!C$138)+(TabAsistencias[[#This Row],[I]]*'Tablas de informacion'!C$139)+(TabAsistencias[[#This Row],[T/2]]*'Tablas de informacion'!C$140)+(TabAsistencias[[#This Row],[ME]]*'Tablas de informacion'!C$141)+(TabAsistencias[[#This Row],[DP]]*'Tablas de informacion'!C$142)+(TabAsistencias[[#This Row],[B]]*'Tablas de informacion'!C$143)-INT(TabAsistencias[[#This Row],[R]]/3)</f>
        <v>30</v>
      </c>
      <c r="QJ95" s="74">
        <f>COUNTIFS($C$27:$PN$27,("&lt;"&amp;$B$3),$C$27:$PN$27,("&gt;="&amp;$B$2),$C$28:$PN$28,1,$C95:$PN95,TabAsistencias[[#Headers],[1]])+
COUNTIFS($C$27:$PN$27,("&lt;"&amp;$B$3),$C$27:$PN$27,("&gt;="&amp;$B$2),$C$28:$PN$28,1,$C95:$PN95,TabAsistencias[[#Headers],[DO]])+
COUNTIFS($C$27:$PN$27,("&lt;"&amp;$B$3),$C$27:$PN$27,("&gt;="&amp;$B$2),$C$28:$PN$28,1,$C95:$PN95,TabAsistencias[[#Headers],[R]])+
COUNTIFS($C$27:$PN$27,("&lt;"&amp;$B$3),$C$27:$PN$27,("&gt;="&amp;$B$2),$C$28:$PN$28,1,$C95:$PN95,TabAsistencias[[#Headers],[NA]])+
COUNTIFS($C$27:$PN$27,("&lt;"&amp;$B$3),$C$27:$PN$27,("&gt;="&amp;$B$2),$C$28:$PN$28,1,$C95:$PN95,TabAsistencias[[#Headers],[DF]])+
COUNTIFS($C$27:$PN$27,("&lt;"&amp;$B$3),$C$27:$PN$27,("&gt;="&amp;$B$2),$C$28:$PN$28,1,$C95:$PN95,TabAsistencias[[#Headers],[3]])+
COUNTIFS($C$27:$PN$27,("&lt;"&amp;$B$3),$C$27:$PN$27,("&gt;="&amp;$B$2),$C$28:$PN$28,1,$C95:$PN95,TabAsistencias[[#Headers],[CP]])+
COUNTIFS($C$27:$PN$27,("&lt;"&amp;$B$3),$C$27:$PN$27,("&gt;="&amp;$B$2),$C$28:$PN$28,1,$C95:$PN95,TabAsistencias[[#Headers],[T/2]])</f>
        <v>4</v>
      </c>
      <c r="QK95" s="315" cm="1">
        <f t="array" ref="QK95">IFERROR(VLOOKUP(
DATEDIF((VLOOKUP(TabAsistencias[[#This Row],[ID]],TabEmpleados[],COLUMN(TabEmpleados[Fecha de ingreso]),FALSE)),Asistencias!$B$3,"Y"),
TabFactorIntegracion[],COLUMN(TabFactorIntegracion[Días vacacionales
establecidos por ley]),FALSE),0)
-
COUNTIF($AH95:$PN95,TabAsistencias[[#Headers],[V]])</f>
        <v>12</v>
      </c>
      <c r="QL95" s="319">
        <f>SUM(TabAsistencias[[#This Row],[''1]],TabAsistencias[[#This Row],[''DE]],TabAsistencias[[#This Row],[''DO]],TabAsistencias[[#This Row],[''R]],TabAsistencias[[#This Row],[''NA]],TabAsistencias[[#This Row],[''DF]],TabAsistencias[[#This Row],[''3]],TabAsistencias[[#This Row],[''CP]],TabAsistencias[[#This Row],[''T/2]],TabAsistencias[[#This Row],[''DP]])</f>
        <v>73</v>
      </c>
      <c r="QM95" s="314">
        <f>COUNTIFS($C$27:$PN$27,("&lt;"&amp;$B$5),$C$27:$PN$27,("&gt;="&amp;$B$4),$C95:$PN95,TabAsistencias[[#Headers],[1]])</f>
        <v>73</v>
      </c>
      <c r="QN95" s="314">
        <f>COUNTIFS($C$27:$PN$27,("&lt;"&amp;$B$5),$C$27:$PN$27,("&gt;="&amp;$B$4),$C95:$PN95,TabAsistencias[[#Headers],[DE]])</f>
        <v>0</v>
      </c>
      <c r="QO95" s="314">
        <f>COUNTIFS($C$27:$PN$27,("&lt;"&amp;$B$5),$C$27:$PN$27,("&gt;="&amp;$B$4),$C95:$PN95,TabAsistencias[[#Headers],[V]])</f>
        <v>0</v>
      </c>
      <c r="QP95" s="314">
        <f>COUNTIFS($C$27:$PN$27,("&lt;"&amp;$B$5),$C$27:$PN$27,("&gt;="&amp;$B$4),$C95:$PN95,TabAsistencias[[#Headers],[DO]])</f>
        <v>0</v>
      </c>
      <c r="QQ95" s="314">
        <f>COUNTIFS($C$27:$PN$27,("&lt;"&amp;$B$5),$C$27:$PN$27,("&gt;="&amp;$B$4),$C95:$PN95,TabAsistencias[[#Headers],[P]])</f>
        <v>0</v>
      </c>
      <c r="QR95" s="314">
        <f>COUNTIFS($C$27:$PN$27,("&lt;"&amp;$B$5),$C$27:$PN$27,("&gt;="&amp;$B$4),$C95:$PN95,TabAsistencias[[#Headers],[F]])</f>
        <v>0</v>
      </c>
      <c r="QS95" s="314">
        <f>COUNTIFS($C$27:$PN$27,("&lt;"&amp;$B$5),$C$27:$PN$27,("&gt;="&amp;$B$4),$C95:$PN95,TabAsistencias[[#Headers],[R]])</f>
        <v>0</v>
      </c>
      <c r="QT95" s="314">
        <f>COUNTIFS($C$27:$PN$27,("&lt;"&amp;$B$5),$C$27:$PN$27,("&gt;="&amp;$B$4),$C95:$PN95,TabAsistencias[[#Headers],[PP]])</f>
        <v>0</v>
      </c>
      <c r="QU95" s="314">
        <f>COUNTIFS($C$27:$PN$27,("&lt;"&amp;$B$5),$C$27:$PN$27,("&gt;="&amp;$B$4),$C95:$PN95,TabAsistencias[[#Headers],[0]])</f>
        <v>0</v>
      </c>
      <c r="QV95" s="314">
        <f>COUNTIFS($C$27:$PN$27,("&lt;"&amp;$B$5),$C$27:$PN$27,("&gt;="&amp;$B$4),$C95:$PN95,TabAsistencias[[#Headers],[IG]])</f>
        <v>0</v>
      </c>
      <c r="QW95" s="314">
        <f>COUNTIFS($C$27:$PN$27,("&lt;"&amp;$B$5),$C$27:$PN$27,("&gt;="&amp;$B$4),$C95:$PN95,TabAsistencias[[#Headers],[NA]])</f>
        <v>0</v>
      </c>
      <c r="QX95" s="314">
        <f>COUNTIFS($C$27:$PN$27,("&lt;"&amp;$B$5),$C$27:$PN$27,("&gt;="&amp;$B$4),$C95:$PN95,TabAsistencias[[#Headers],[DF]])</f>
        <v>0</v>
      </c>
      <c r="QY95" s="314">
        <f>COUNTIFS($C$27:$PN$27,("&lt;"&amp;$B$5),$C$27:$PN$27,("&gt;="&amp;$B$4),$C95:$PN95,TabAsistencias[[#Headers],[3]])</f>
        <v>0</v>
      </c>
      <c r="QZ95" s="314">
        <f>COUNTIFS($C$27:$PN$27,("&lt;"&amp;$B$5),$C$27:$PN$27,("&gt;="&amp;$B$4),$C95:$PN95,TabAsistencias[[#Headers],[CP]])</f>
        <v>0</v>
      </c>
      <c r="RA95" s="314">
        <f>COUNTIFS($C$27:$PN$27,("&lt;"&amp;$B$5),$C$27:$PN$27,("&gt;="&amp;$B$4),$C95:$PN95,TabAsistencias[[#Headers],[I]])</f>
        <v>0</v>
      </c>
      <c r="RB95" s="314">
        <f>COUNTIFS($C$27:$PN$27,("&lt;"&amp;$B$5),$C$27:$PN$27,("&gt;="&amp;$B$4),$C95:$PN95,TabAsistencias[[#Headers],[T/2]])</f>
        <v>0</v>
      </c>
      <c r="RC95" s="314">
        <f>COUNTIFS($C$27:$PN$27,("&lt;"&amp;$B$5),$C$27:$PN$27,("&gt;="&amp;$B$4),$C95:$PN95,TabAsistencias[[#Headers],[ME]])</f>
        <v>0</v>
      </c>
      <c r="RD95" s="314">
        <f>COUNTIFS($C$27:$PN$27,("&lt;"&amp;$B$5),$C$27:$PN$27,("&gt;="&amp;$B$4),$C95:$PN95,TabAsistencias[[#Headers],[DP]])</f>
        <v>0</v>
      </c>
      <c r="RE95" s="314">
        <f>COUNTIFS($C$27:$PN$27,("&lt;"&amp;$B$5),$C$27:$PN$27,("&gt;="&amp;$B$4),$C95:$PN95,TabAsistencias[[#Headers],[B]])</f>
        <v>0</v>
      </c>
      <c r="RF95" s="314">
        <f>COUNTIFS($C$27:$PN$27,("&lt;"&amp;$B$5),$C$27:$PN$27,("&gt;="&amp;$B$4),$C$28:$PN$28,1,$C95:$PN95,TabAsistencias[[#Headers],[1]])+
COUNTIFS($C$27:$PN$27,("&lt;"&amp;$B$5),$C$27:$PN$27,("&gt;="&amp;$B$4),$C$28:$PN$28,1,$C95:$PN95,TabAsistencias[[#Headers],[DO]])+
COUNTIFS($C$27:$PN$27,("&lt;"&amp;$B$5),$C$27:$PN$27,("&gt;="&amp;$B$4),$C$28:$PN$28,1,$C95:$PN95,TabAsistencias[[#Headers],[R]])+
COUNTIFS($C$27:$PN$27,("&lt;"&amp;$B$5),$C$27:$PN$27,("&gt;="&amp;$B$4),$C$28:$PN$28,1,$C95:$PN95,TabAsistencias[[#Headers],[NA]])+
COUNTIFS($C$27:$PN$27,("&lt;"&amp;$B$5),$C$27:$PN$27,("&gt;="&amp;$B$4),$C$28:$PN$28,1,$C95:$PN95,TabAsistencias[[#Headers],[DF]])+
COUNTIFS($C$27:$PN$27,("&lt;"&amp;$B$5),$C$27:$PN$27,("&gt;="&amp;$B$4),$C$28:$PN$28,1,$C95:$PN95,TabAsistencias[[#Headers],[3]])+
COUNTIFS($C$27:$PN$27,("&lt;"&amp;$B$5),$C$27:$PN$27,("&gt;="&amp;$B$4),$C$28:$PN$28,1,$C95:$PN95,TabAsistencias[[#Headers],[CP]])+
COUNTIFS($C$27:$PN$27,("&lt;"&amp;$B$5),$C$27:$PN$27,("&gt;="&amp;$B$4),$C$28:$PN$28,1,$C95:$PN95,TabAsistencias[[#Headers],[T/2]])</f>
        <v>11</v>
      </c>
      <c r="RG95" s="320" cm="1">
        <f t="array" ref="RG95">IFERROR(VLOOKUP(
DATEDIF((VLOOKUP(TabAsistencias[[#This Row],[ID]],TabEmpleados[],COLUMN(TabEmpleados[Fecha de alta NSS]),FALSE)),Asistencias!$B$3,"Y"),
TabFactorIntegracion[],COLUMN(TabFactorIntegracion[Días vacacionales
establecidos por ley]),FALSE),0)
-
COUNTIF($AH95:$PN95,TabAsistencias[[#Headers],[V]])</f>
        <v>12</v>
      </c>
    </row>
    <row r="96" spans="1:475" x14ac:dyDescent="0.25">
      <c r="A96" s="92">
        <f t="shared" si="434"/>
        <v>66</v>
      </c>
      <c r="B96" s="30" t="str" cm="1">
        <f t="array" ref="B96">VLOOKUP(TabAsistencias[[#This Row],[ID]],TabEmpleados[],COLUMN(TabEmpleados[Nombre]),FALSE)</f>
        <v xml:space="preserve">SALINAS CORTES ANGEL GABRIEL </v>
      </c>
      <c r="C96" s="36" t="s">
        <v>139</v>
      </c>
      <c r="D96" s="36" t="s">
        <v>139</v>
      </c>
      <c r="E96" s="36" t="s">
        <v>139</v>
      </c>
      <c r="F96" s="36" t="s">
        <v>139</v>
      </c>
      <c r="G96" s="36" t="s">
        <v>139</v>
      </c>
      <c r="H96" s="36" t="s">
        <v>139</v>
      </c>
      <c r="I96" s="36" t="s">
        <v>139</v>
      </c>
      <c r="J96" s="36" t="s">
        <v>139</v>
      </c>
      <c r="K96" s="36" t="s">
        <v>139</v>
      </c>
      <c r="L96" s="36" t="s">
        <v>139</v>
      </c>
      <c r="M96" s="36" t="s">
        <v>139</v>
      </c>
      <c r="N96" s="36" t="s">
        <v>139</v>
      </c>
      <c r="O96" s="36" t="s">
        <v>139</v>
      </c>
      <c r="P96" s="36" t="s">
        <v>139</v>
      </c>
      <c r="Q96" s="36" t="s">
        <v>139</v>
      </c>
      <c r="R96" s="36" t="s">
        <v>139</v>
      </c>
      <c r="S96" s="36" t="s">
        <v>139</v>
      </c>
      <c r="T96" s="36" t="s">
        <v>139</v>
      </c>
      <c r="U96" s="36" t="s">
        <v>139</v>
      </c>
      <c r="V96" s="36" t="s">
        <v>139</v>
      </c>
      <c r="W96" s="36" t="s">
        <v>139</v>
      </c>
      <c r="X96" s="36" t="s">
        <v>139</v>
      </c>
      <c r="Y96" s="36" t="s">
        <v>139</v>
      </c>
      <c r="Z96" s="36" t="s">
        <v>139</v>
      </c>
      <c r="AA96" s="36" t="s">
        <v>139</v>
      </c>
      <c r="AB96" s="36" t="s">
        <v>139</v>
      </c>
      <c r="AC96" s="36" t="s">
        <v>139</v>
      </c>
      <c r="AD96" s="36" t="s">
        <v>139</v>
      </c>
      <c r="AE96" s="36" t="s">
        <v>139</v>
      </c>
      <c r="AF96" s="36" t="s">
        <v>139</v>
      </c>
      <c r="AG96" s="36" t="s">
        <v>139</v>
      </c>
      <c r="AH96" s="36" t="s">
        <v>139</v>
      </c>
      <c r="AI96" s="36" t="s">
        <v>139</v>
      </c>
      <c r="AJ96" s="36" t="s">
        <v>139</v>
      </c>
      <c r="AK96" s="36" t="s">
        <v>139</v>
      </c>
      <c r="AL96" s="36" t="s">
        <v>139</v>
      </c>
      <c r="AM96" s="36" t="s">
        <v>139</v>
      </c>
      <c r="AN96" s="36" t="s">
        <v>139</v>
      </c>
      <c r="AO96" s="36" t="s">
        <v>139</v>
      </c>
      <c r="AP96" s="36" t="s">
        <v>139</v>
      </c>
      <c r="AQ96" s="36" t="s">
        <v>139</v>
      </c>
      <c r="AR96" s="36" t="s">
        <v>139</v>
      </c>
      <c r="AS96" s="36" t="s">
        <v>139</v>
      </c>
      <c r="AT96" s="36" t="s">
        <v>139</v>
      </c>
      <c r="AU96" s="36" t="s">
        <v>139</v>
      </c>
      <c r="AV96" s="36" t="s">
        <v>139</v>
      </c>
      <c r="AW96" s="36" t="s">
        <v>139</v>
      </c>
      <c r="AX96" s="36" t="s">
        <v>139</v>
      </c>
      <c r="AY96" s="36" t="s">
        <v>139</v>
      </c>
      <c r="AZ96" s="36" t="s">
        <v>139</v>
      </c>
      <c r="BA96" s="36" t="s">
        <v>139</v>
      </c>
      <c r="BB96" s="36" t="s">
        <v>139</v>
      </c>
      <c r="BC96" s="36" t="s">
        <v>139</v>
      </c>
      <c r="BD96" s="36" t="s">
        <v>139</v>
      </c>
      <c r="BE96" s="36" t="s">
        <v>139</v>
      </c>
      <c r="BF96" s="36" t="s">
        <v>139</v>
      </c>
      <c r="BG96" s="36" t="s">
        <v>139</v>
      </c>
      <c r="BH96" s="36" t="s">
        <v>139</v>
      </c>
      <c r="BI96" s="36" t="s">
        <v>139</v>
      </c>
      <c r="BJ96" s="36" t="s">
        <v>139</v>
      </c>
      <c r="BK96" s="36" t="s">
        <v>139</v>
      </c>
      <c r="BL96" s="36" t="s">
        <v>139</v>
      </c>
      <c r="BM96" s="36" t="s">
        <v>139</v>
      </c>
      <c r="BN96" s="36" t="s">
        <v>139</v>
      </c>
      <c r="BO96" s="36" t="s">
        <v>139</v>
      </c>
      <c r="BP96" s="36" t="s">
        <v>139</v>
      </c>
      <c r="BQ96" s="36" t="s">
        <v>139</v>
      </c>
      <c r="BR96" s="36" t="s">
        <v>139</v>
      </c>
      <c r="BS96" s="36" t="s">
        <v>139</v>
      </c>
      <c r="BT96" s="36" t="s">
        <v>139</v>
      </c>
      <c r="BU96" s="36" t="s">
        <v>139</v>
      </c>
      <c r="BV96" s="36" t="s">
        <v>139</v>
      </c>
      <c r="BW96" s="36" t="s">
        <v>139</v>
      </c>
      <c r="BX96" s="36" t="s">
        <v>139</v>
      </c>
      <c r="BY96" s="36" t="s">
        <v>139</v>
      </c>
      <c r="BZ96" s="36" t="s">
        <v>139</v>
      </c>
      <c r="CA96" s="36" t="s">
        <v>139</v>
      </c>
      <c r="CB96" s="36" t="s">
        <v>139</v>
      </c>
      <c r="CC96" s="36" t="s">
        <v>139</v>
      </c>
      <c r="CD96" s="36" t="s">
        <v>139</v>
      </c>
      <c r="CE96" s="36" t="s">
        <v>139</v>
      </c>
      <c r="CF96" s="36" t="s">
        <v>139</v>
      </c>
      <c r="CG96" s="36" t="s">
        <v>139</v>
      </c>
      <c r="CH96" s="36" t="s">
        <v>139</v>
      </c>
      <c r="CI96" s="36" t="s">
        <v>139</v>
      </c>
      <c r="CJ96" s="36" t="s">
        <v>139</v>
      </c>
      <c r="CK96" s="36" t="s">
        <v>139</v>
      </c>
      <c r="CL96" s="36" t="s">
        <v>139</v>
      </c>
      <c r="CM96" s="36" t="s">
        <v>139</v>
      </c>
      <c r="CN96" s="36" t="s">
        <v>139</v>
      </c>
      <c r="CO96" s="36" t="s">
        <v>139</v>
      </c>
      <c r="CP96" s="36" t="s">
        <v>139</v>
      </c>
      <c r="CQ96" s="36" t="s">
        <v>139</v>
      </c>
      <c r="CR96" s="36" t="s">
        <v>139</v>
      </c>
      <c r="CS96" s="36" t="s">
        <v>139</v>
      </c>
      <c r="CT96" s="36" t="s">
        <v>139</v>
      </c>
      <c r="CU96" s="36" t="s">
        <v>139</v>
      </c>
      <c r="CV96" s="36" t="s">
        <v>139</v>
      </c>
      <c r="CW96" s="36" t="s">
        <v>139</v>
      </c>
      <c r="CX96" s="36" t="s">
        <v>139</v>
      </c>
      <c r="CY96" s="36" t="s">
        <v>139</v>
      </c>
      <c r="CZ96" s="36" t="s">
        <v>139</v>
      </c>
      <c r="DA96" s="36" t="s">
        <v>139</v>
      </c>
      <c r="DB96" s="36" t="s">
        <v>139</v>
      </c>
      <c r="DC96" s="36" t="s">
        <v>139</v>
      </c>
      <c r="DD96" s="36" t="s">
        <v>139</v>
      </c>
      <c r="DE96" s="36" t="s">
        <v>139</v>
      </c>
      <c r="DF96" s="36" t="s">
        <v>139</v>
      </c>
      <c r="DG96" s="36" t="s">
        <v>139</v>
      </c>
      <c r="DH96" s="36" t="s">
        <v>139</v>
      </c>
      <c r="DI96" s="36" t="s">
        <v>139</v>
      </c>
      <c r="DJ96" s="36" t="s">
        <v>139</v>
      </c>
      <c r="DK96" s="36" t="s">
        <v>139</v>
      </c>
      <c r="DL96" s="36" t="s">
        <v>139</v>
      </c>
      <c r="DM96" s="36" t="s">
        <v>139</v>
      </c>
      <c r="DN96" s="36" t="s">
        <v>139</v>
      </c>
      <c r="DO96" s="36" t="s">
        <v>139</v>
      </c>
      <c r="DP96" s="36" t="s">
        <v>139</v>
      </c>
      <c r="DQ96" s="36" t="s">
        <v>139</v>
      </c>
      <c r="DR96" s="36" t="s">
        <v>139</v>
      </c>
      <c r="DS96" s="36" t="s">
        <v>139</v>
      </c>
      <c r="DT96" s="36" t="s">
        <v>139</v>
      </c>
      <c r="DU96" s="36" t="s">
        <v>139</v>
      </c>
      <c r="DV96" s="36" t="s">
        <v>139</v>
      </c>
      <c r="DW96" s="36" t="s">
        <v>139</v>
      </c>
      <c r="DX96" s="36" t="s">
        <v>139</v>
      </c>
      <c r="DY96" s="36" t="s">
        <v>139</v>
      </c>
      <c r="DZ96" s="36" t="s">
        <v>139</v>
      </c>
      <c r="EA96" s="36" t="s">
        <v>139</v>
      </c>
      <c r="EB96" s="36" t="s">
        <v>139</v>
      </c>
      <c r="EC96" s="36" t="s">
        <v>139</v>
      </c>
      <c r="ED96" s="36" t="s">
        <v>139</v>
      </c>
      <c r="EE96" s="36" t="s">
        <v>139</v>
      </c>
      <c r="EF96" s="36" t="s">
        <v>139</v>
      </c>
      <c r="EG96" s="36" t="s">
        <v>139</v>
      </c>
      <c r="EH96" s="36" t="s">
        <v>139</v>
      </c>
      <c r="EI96" s="36" t="s">
        <v>139</v>
      </c>
      <c r="EJ96" s="36" t="s">
        <v>139</v>
      </c>
      <c r="EK96" s="36" t="s">
        <v>139</v>
      </c>
      <c r="EL96" s="36" t="s">
        <v>139</v>
      </c>
      <c r="EM96" s="36" t="s">
        <v>139</v>
      </c>
      <c r="EN96" s="36" t="s">
        <v>139</v>
      </c>
      <c r="EO96" s="36" t="s">
        <v>139</v>
      </c>
      <c r="EP96" s="36" t="s">
        <v>139</v>
      </c>
      <c r="EQ96" s="36" t="s">
        <v>139</v>
      </c>
      <c r="ER96" s="36" t="s">
        <v>139</v>
      </c>
      <c r="ES96" s="36" t="s">
        <v>139</v>
      </c>
      <c r="ET96" s="36" t="s">
        <v>139</v>
      </c>
      <c r="EU96" s="36" t="s">
        <v>139</v>
      </c>
      <c r="EV96" s="36" t="s">
        <v>139</v>
      </c>
      <c r="EW96" s="36" t="s">
        <v>139</v>
      </c>
      <c r="EX96" s="36" t="s">
        <v>139</v>
      </c>
      <c r="EY96" s="36" t="s">
        <v>139</v>
      </c>
      <c r="EZ96" s="36" t="s">
        <v>139</v>
      </c>
      <c r="FA96" s="36" t="s">
        <v>139</v>
      </c>
      <c r="FB96" s="36" t="s">
        <v>139</v>
      </c>
      <c r="FC96" s="36" t="s">
        <v>139</v>
      </c>
      <c r="FD96" s="36" t="s">
        <v>139</v>
      </c>
      <c r="FE96" s="36" t="s">
        <v>139</v>
      </c>
      <c r="FF96" s="36" t="s">
        <v>139</v>
      </c>
      <c r="FG96" s="36" t="s">
        <v>139</v>
      </c>
      <c r="FH96" s="36" t="s">
        <v>139</v>
      </c>
      <c r="FI96" s="36" t="s">
        <v>139</v>
      </c>
      <c r="FJ96" s="36" t="s">
        <v>139</v>
      </c>
      <c r="FK96" s="36" t="s">
        <v>139</v>
      </c>
      <c r="FL96" s="36" t="s">
        <v>139</v>
      </c>
      <c r="FM96" s="36" t="s">
        <v>139</v>
      </c>
      <c r="FN96" s="36" t="s">
        <v>139</v>
      </c>
      <c r="FO96" s="36" t="s">
        <v>139</v>
      </c>
      <c r="FP96" s="36" t="s">
        <v>139</v>
      </c>
      <c r="FQ96" s="36" t="s">
        <v>139</v>
      </c>
      <c r="FR96" s="36" t="s">
        <v>139</v>
      </c>
      <c r="FS96" s="36" t="s">
        <v>139</v>
      </c>
      <c r="FT96" s="36" t="s">
        <v>139</v>
      </c>
      <c r="FU96" s="36" t="s">
        <v>139</v>
      </c>
      <c r="FV96" s="36" t="s">
        <v>139</v>
      </c>
      <c r="FW96" s="36" t="s">
        <v>139</v>
      </c>
      <c r="FX96" s="36" t="s">
        <v>139</v>
      </c>
      <c r="FY96" s="36" t="s">
        <v>139</v>
      </c>
      <c r="FZ96" s="36" t="s">
        <v>139</v>
      </c>
      <c r="GA96" s="36" t="s">
        <v>139</v>
      </c>
      <c r="GB96" s="36" t="s">
        <v>139</v>
      </c>
      <c r="GC96" s="36" t="s">
        <v>139</v>
      </c>
      <c r="GD96" s="36" t="s">
        <v>139</v>
      </c>
      <c r="GE96" s="36" t="s">
        <v>139</v>
      </c>
      <c r="GF96" s="36" t="s">
        <v>139</v>
      </c>
      <c r="GG96" s="36" t="s">
        <v>139</v>
      </c>
      <c r="GH96" s="36" t="s">
        <v>139</v>
      </c>
      <c r="GI96" s="36" t="s">
        <v>139</v>
      </c>
      <c r="GJ96" s="36" t="s">
        <v>139</v>
      </c>
      <c r="GK96" s="36" t="s">
        <v>139</v>
      </c>
      <c r="GL96" s="36" t="s">
        <v>139</v>
      </c>
      <c r="GM96" s="36" t="s">
        <v>139</v>
      </c>
      <c r="GN96" s="36" t="s">
        <v>139</v>
      </c>
      <c r="GO96" s="36" t="s">
        <v>139</v>
      </c>
      <c r="GP96" s="36" t="s">
        <v>139</v>
      </c>
      <c r="GQ96" s="36" t="s">
        <v>139</v>
      </c>
      <c r="GR96" s="36" t="s">
        <v>139</v>
      </c>
      <c r="GS96" s="36" t="s">
        <v>139</v>
      </c>
      <c r="GT96" s="36" t="s">
        <v>139</v>
      </c>
      <c r="GU96" s="36" t="s">
        <v>139</v>
      </c>
      <c r="GV96" s="36" t="s">
        <v>139</v>
      </c>
      <c r="GW96" s="36" t="s">
        <v>139</v>
      </c>
      <c r="GX96" s="36" t="s">
        <v>139</v>
      </c>
      <c r="GY96" s="36" t="s">
        <v>139</v>
      </c>
      <c r="GZ96" s="36" t="s">
        <v>139</v>
      </c>
      <c r="HA96" s="36" t="s">
        <v>139</v>
      </c>
      <c r="HB96" s="36" t="s">
        <v>139</v>
      </c>
      <c r="HC96" s="36" t="s">
        <v>139</v>
      </c>
      <c r="HD96" s="36" t="s">
        <v>139</v>
      </c>
      <c r="HE96" s="36" t="s">
        <v>139</v>
      </c>
      <c r="HF96" s="36" t="s">
        <v>139</v>
      </c>
      <c r="HG96" s="36" t="s">
        <v>139</v>
      </c>
      <c r="HH96" s="36" t="s">
        <v>139</v>
      </c>
      <c r="HI96" s="36" t="s">
        <v>139</v>
      </c>
      <c r="HJ96" s="36" t="s">
        <v>139</v>
      </c>
      <c r="HK96" s="36" t="s">
        <v>139</v>
      </c>
      <c r="HL96" s="36" t="s">
        <v>139</v>
      </c>
      <c r="HM96" s="36" t="s">
        <v>139</v>
      </c>
      <c r="HN96" s="36" t="s">
        <v>139</v>
      </c>
      <c r="HO96" s="36" t="s">
        <v>139</v>
      </c>
      <c r="HP96" s="36" t="s">
        <v>139</v>
      </c>
      <c r="HQ96" s="36" t="s">
        <v>139</v>
      </c>
      <c r="HR96" s="36" t="s">
        <v>139</v>
      </c>
      <c r="HS96" s="36" t="s">
        <v>139</v>
      </c>
      <c r="HT96" s="36" t="s">
        <v>139</v>
      </c>
      <c r="HU96" s="36" t="s">
        <v>139</v>
      </c>
      <c r="HV96" s="36" t="s">
        <v>139</v>
      </c>
      <c r="HW96" s="36" t="s">
        <v>139</v>
      </c>
      <c r="HX96" s="36" t="s">
        <v>139</v>
      </c>
      <c r="HY96" s="36" t="s">
        <v>139</v>
      </c>
      <c r="HZ96" s="36" t="s">
        <v>139</v>
      </c>
      <c r="IA96" s="36" t="s">
        <v>139</v>
      </c>
      <c r="IB96" s="36" t="s">
        <v>139</v>
      </c>
      <c r="IC96" s="36" t="s">
        <v>139</v>
      </c>
      <c r="ID96" s="36" t="s">
        <v>139</v>
      </c>
      <c r="IE96" s="36" t="s">
        <v>139</v>
      </c>
      <c r="IF96" s="36" t="s">
        <v>139</v>
      </c>
      <c r="IG96" s="36" t="s">
        <v>139</v>
      </c>
      <c r="IH96" s="36" t="s">
        <v>139</v>
      </c>
      <c r="II96" s="36" t="s">
        <v>139</v>
      </c>
      <c r="IJ96" s="36" t="s">
        <v>139</v>
      </c>
      <c r="IK96" s="36" t="s">
        <v>139</v>
      </c>
      <c r="IL96" s="36" t="s">
        <v>139</v>
      </c>
      <c r="IM96" s="36" t="s">
        <v>139</v>
      </c>
      <c r="IN96" s="36" t="s">
        <v>139</v>
      </c>
      <c r="IO96" s="36" t="s">
        <v>139</v>
      </c>
      <c r="IP96" s="36" t="s">
        <v>139</v>
      </c>
      <c r="IQ96" s="36" t="s">
        <v>139</v>
      </c>
      <c r="IR96" s="36" t="s">
        <v>139</v>
      </c>
      <c r="IS96" s="36" t="s">
        <v>139</v>
      </c>
      <c r="IT96" s="36" t="s">
        <v>139</v>
      </c>
      <c r="IU96" s="36" t="s">
        <v>139</v>
      </c>
      <c r="IV96" s="36" t="s">
        <v>139</v>
      </c>
      <c r="IW96" s="36" t="s">
        <v>139</v>
      </c>
      <c r="IX96" s="36" t="s">
        <v>139</v>
      </c>
      <c r="IY96" s="36" t="s">
        <v>139</v>
      </c>
      <c r="IZ96" s="36" t="s">
        <v>139</v>
      </c>
      <c r="JA96" s="36" t="s">
        <v>139</v>
      </c>
      <c r="JB96" s="36" t="s">
        <v>139</v>
      </c>
      <c r="JC96" s="36" t="s">
        <v>139</v>
      </c>
      <c r="JD96" s="36" t="s">
        <v>139</v>
      </c>
      <c r="JE96" s="36" t="s">
        <v>139</v>
      </c>
      <c r="JF96" s="36" t="s">
        <v>139</v>
      </c>
      <c r="JG96" s="36" t="s">
        <v>139</v>
      </c>
      <c r="JH96" s="36" t="s">
        <v>139</v>
      </c>
      <c r="JI96" s="36" t="s">
        <v>139</v>
      </c>
      <c r="JJ96" s="36" t="s">
        <v>139</v>
      </c>
      <c r="JK96" s="36" t="s">
        <v>139</v>
      </c>
      <c r="JL96" s="36" t="s">
        <v>139</v>
      </c>
      <c r="JM96" s="36" t="s">
        <v>139</v>
      </c>
      <c r="JN96" s="36" t="s">
        <v>139</v>
      </c>
      <c r="JO96" s="36" t="s">
        <v>139</v>
      </c>
      <c r="JP96" s="36" t="s">
        <v>139</v>
      </c>
      <c r="JQ96" s="36" t="s">
        <v>139</v>
      </c>
      <c r="JR96" s="36" t="s">
        <v>139</v>
      </c>
      <c r="JS96" s="36" t="s">
        <v>139</v>
      </c>
      <c r="JT96" s="36" t="s">
        <v>139</v>
      </c>
      <c r="JU96" s="36" t="s">
        <v>139</v>
      </c>
      <c r="JV96" s="36" t="s">
        <v>139</v>
      </c>
      <c r="JW96" s="36" t="s">
        <v>139</v>
      </c>
      <c r="JX96" s="36" t="s">
        <v>139</v>
      </c>
      <c r="JY96" s="36" t="s">
        <v>139</v>
      </c>
      <c r="JZ96" s="36" t="s">
        <v>139</v>
      </c>
      <c r="KA96" s="36" t="s">
        <v>139</v>
      </c>
      <c r="KB96" s="36" t="s">
        <v>139</v>
      </c>
      <c r="KC96" s="36" t="s">
        <v>139</v>
      </c>
      <c r="KD96" s="36" t="s">
        <v>139</v>
      </c>
      <c r="KE96" s="36" t="s">
        <v>139</v>
      </c>
      <c r="KF96" s="36" t="s">
        <v>139</v>
      </c>
      <c r="KG96" s="36" t="s">
        <v>139</v>
      </c>
      <c r="KH96" s="36" t="s">
        <v>139</v>
      </c>
      <c r="KI96" s="36" t="s">
        <v>139</v>
      </c>
      <c r="KJ96" s="36" t="s">
        <v>139</v>
      </c>
      <c r="KK96" s="36" t="s">
        <v>139</v>
      </c>
      <c r="KL96" s="36" t="s">
        <v>139</v>
      </c>
      <c r="KM96" s="36" t="s">
        <v>139</v>
      </c>
      <c r="KN96" s="36" t="s">
        <v>139</v>
      </c>
      <c r="KO96" s="36" t="s">
        <v>139</v>
      </c>
      <c r="KP96" s="36" t="s">
        <v>139</v>
      </c>
      <c r="KQ96" s="36" t="s">
        <v>139</v>
      </c>
      <c r="KR96" s="36" t="s">
        <v>139</v>
      </c>
      <c r="KS96" s="36" t="s">
        <v>139</v>
      </c>
      <c r="KT96" s="36" t="s">
        <v>139</v>
      </c>
      <c r="KU96" s="36" t="s">
        <v>139</v>
      </c>
      <c r="KV96" s="36" t="s">
        <v>139</v>
      </c>
      <c r="KW96" s="36" t="s">
        <v>139</v>
      </c>
      <c r="KX96" s="36" t="s">
        <v>139</v>
      </c>
      <c r="KY96" s="36" t="s">
        <v>139</v>
      </c>
      <c r="KZ96" s="36" t="s">
        <v>139</v>
      </c>
      <c r="LA96" s="36" t="s">
        <v>139</v>
      </c>
      <c r="LB96" s="36" t="s">
        <v>139</v>
      </c>
      <c r="LC96" s="36" t="s">
        <v>139</v>
      </c>
      <c r="LD96" s="36" t="s">
        <v>139</v>
      </c>
      <c r="LE96" s="36" t="s">
        <v>139</v>
      </c>
      <c r="LF96" s="36" t="s">
        <v>139</v>
      </c>
      <c r="LG96" s="36" t="s">
        <v>139</v>
      </c>
      <c r="LH96" s="36" t="s">
        <v>139</v>
      </c>
      <c r="LI96" s="36" t="s">
        <v>139</v>
      </c>
      <c r="LJ96" s="36" t="s">
        <v>139</v>
      </c>
      <c r="LK96" s="36" t="s">
        <v>139</v>
      </c>
      <c r="LL96" s="36" t="s">
        <v>139</v>
      </c>
      <c r="LM96" s="36" t="s">
        <v>139</v>
      </c>
      <c r="LN96" s="36" t="s">
        <v>139</v>
      </c>
      <c r="LO96" s="36" t="s">
        <v>139</v>
      </c>
      <c r="LP96" s="36" t="s">
        <v>139</v>
      </c>
      <c r="LQ96" s="36" t="s">
        <v>139</v>
      </c>
      <c r="LR96" s="36" t="s">
        <v>139</v>
      </c>
      <c r="LS96" s="36" t="s">
        <v>139</v>
      </c>
      <c r="LT96" s="36" t="s">
        <v>139</v>
      </c>
      <c r="LU96" s="36" t="s">
        <v>139</v>
      </c>
      <c r="LV96" s="36" t="s">
        <v>139</v>
      </c>
      <c r="LW96" s="36" t="s">
        <v>139</v>
      </c>
      <c r="LX96" s="36" t="s">
        <v>139</v>
      </c>
      <c r="LY96" s="36" t="s">
        <v>139</v>
      </c>
      <c r="LZ96" s="36" t="s">
        <v>139</v>
      </c>
      <c r="MA96" s="36" t="s">
        <v>139</v>
      </c>
      <c r="MB96" s="36" t="s">
        <v>139</v>
      </c>
      <c r="MC96" s="36" t="s">
        <v>139</v>
      </c>
      <c r="MD96" s="36" t="s">
        <v>139</v>
      </c>
      <c r="ME96" s="36" t="s">
        <v>139</v>
      </c>
      <c r="MF96" s="36" t="s">
        <v>139</v>
      </c>
      <c r="MG96" s="36" t="s">
        <v>139</v>
      </c>
      <c r="MH96" s="36" t="s">
        <v>139</v>
      </c>
      <c r="MI96" s="36" t="s">
        <v>139</v>
      </c>
      <c r="MJ96" s="36" t="s">
        <v>139</v>
      </c>
      <c r="MK96" s="36" t="s">
        <v>139</v>
      </c>
      <c r="ML96" s="36" t="s">
        <v>139</v>
      </c>
      <c r="MM96" s="36" t="s">
        <v>139</v>
      </c>
      <c r="MN96" s="36" t="s">
        <v>139</v>
      </c>
      <c r="MO96" s="36" t="s">
        <v>139</v>
      </c>
      <c r="MP96" s="36" t="s">
        <v>139</v>
      </c>
      <c r="MQ96" s="36" t="s">
        <v>139</v>
      </c>
      <c r="MR96" s="36" t="s">
        <v>139</v>
      </c>
      <c r="MS96" s="36" t="s">
        <v>139</v>
      </c>
      <c r="MT96" s="36" t="s">
        <v>139</v>
      </c>
      <c r="MU96" s="36" t="s">
        <v>139</v>
      </c>
      <c r="MV96" s="36" t="s">
        <v>139</v>
      </c>
      <c r="MW96" s="36" t="s">
        <v>139</v>
      </c>
      <c r="MX96" s="36" t="s">
        <v>139</v>
      </c>
      <c r="MY96" s="36" t="s">
        <v>139</v>
      </c>
      <c r="MZ96" s="36" t="s">
        <v>139</v>
      </c>
      <c r="NA96" s="36" t="s">
        <v>139</v>
      </c>
      <c r="NB96" s="36" t="s">
        <v>139</v>
      </c>
      <c r="NC96" s="36" t="s">
        <v>139</v>
      </c>
      <c r="ND96" s="36" t="s">
        <v>139</v>
      </c>
      <c r="NE96" s="36" t="s">
        <v>139</v>
      </c>
      <c r="NF96" s="36" t="s">
        <v>139</v>
      </c>
      <c r="NG96" s="36" t="s">
        <v>139</v>
      </c>
      <c r="NH96" s="36" t="s">
        <v>139</v>
      </c>
      <c r="NI96" s="36" t="s">
        <v>139</v>
      </c>
      <c r="NJ96" s="36" t="s">
        <v>139</v>
      </c>
      <c r="NK96" s="36" t="s">
        <v>139</v>
      </c>
      <c r="NL96" s="36" t="s">
        <v>139</v>
      </c>
      <c r="NM96" s="36" t="s">
        <v>139</v>
      </c>
      <c r="NN96" s="36" t="s">
        <v>139</v>
      </c>
      <c r="NO96" s="36" t="s">
        <v>139</v>
      </c>
      <c r="NP96" s="36" t="s">
        <v>139</v>
      </c>
      <c r="NQ96" s="36" t="s">
        <v>139</v>
      </c>
      <c r="NR96" s="36" t="s">
        <v>139</v>
      </c>
      <c r="NS96" s="36" t="s">
        <v>139</v>
      </c>
      <c r="NT96" s="36" t="s">
        <v>139</v>
      </c>
      <c r="NU96" s="36" t="s">
        <v>139</v>
      </c>
      <c r="NV96" s="36" t="s">
        <v>139</v>
      </c>
      <c r="NW96" s="36" t="s">
        <v>139</v>
      </c>
      <c r="NX96" s="36" t="s">
        <v>139</v>
      </c>
      <c r="NY96" s="36" t="s">
        <v>139</v>
      </c>
      <c r="NZ96" s="36" t="s">
        <v>139</v>
      </c>
      <c r="OA96" s="36" t="s">
        <v>139</v>
      </c>
      <c r="OB96" s="36" t="s">
        <v>139</v>
      </c>
      <c r="OC96" s="36" t="s">
        <v>139</v>
      </c>
      <c r="OD96" s="36" t="s">
        <v>139</v>
      </c>
      <c r="OE96" s="36" t="s">
        <v>139</v>
      </c>
      <c r="OF96" s="36" t="s">
        <v>139</v>
      </c>
      <c r="OG96" s="36" t="s">
        <v>139</v>
      </c>
      <c r="OH96" s="36" t="s">
        <v>139</v>
      </c>
      <c r="OI96" s="36" t="s">
        <v>139</v>
      </c>
      <c r="OJ96" s="36" t="s">
        <v>139</v>
      </c>
      <c r="OK96" s="36" t="s">
        <v>139</v>
      </c>
      <c r="OL96" s="36" t="s">
        <v>139</v>
      </c>
      <c r="OM96" s="36" t="s">
        <v>139</v>
      </c>
      <c r="ON96" s="36" t="s">
        <v>139</v>
      </c>
      <c r="OO96" s="36" t="s">
        <v>139</v>
      </c>
      <c r="OP96" s="36" t="s">
        <v>139</v>
      </c>
      <c r="OQ96" s="36" t="s">
        <v>139</v>
      </c>
      <c r="OR96" s="36" t="s">
        <v>139</v>
      </c>
      <c r="OS96" s="36" t="s">
        <v>139</v>
      </c>
      <c r="OT96" s="36" t="s">
        <v>139</v>
      </c>
      <c r="OU96" s="36" t="s">
        <v>139</v>
      </c>
      <c r="OV96" s="36" t="s">
        <v>139</v>
      </c>
      <c r="OW96" s="36" t="s">
        <v>139</v>
      </c>
      <c r="OX96" s="36" t="s">
        <v>139</v>
      </c>
      <c r="OY96" s="36" t="s">
        <v>139</v>
      </c>
      <c r="OZ96" s="36" t="s">
        <v>139</v>
      </c>
      <c r="PA96" s="36" t="s">
        <v>139</v>
      </c>
      <c r="PB96" s="36" t="s">
        <v>139</v>
      </c>
      <c r="PC96" s="36" t="s">
        <v>139</v>
      </c>
      <c r="PD96" s="36" t="s">
        <v>139</v>
      </c>
      <c r="PE96" s="36" t="s">
        <v>139</v>
      </c>
      <c r="PF96" s="36" t="s">
        <v>139</v>
      </c>
      <c r="PG96" s="36" t="s">
        <v>139</v>
      </c>
      <c r="PH96" s="36" t="s">
        <v>139</v>
      </c>
      <c r="PI96" s="36" t="s">
        <v>139</v>
      </c>
      <c r="PJ96" s="36" t="s">
        <v>139</v>
      </c>
      <c r="PK96" s="36" t="s">
        <v>139</v>
      </c>
      <c r="PL96" s="36" t="s">
        <v>139</v>
      </c>
      <c r="PM96" s="36" t="s">
        <v>139</v>
      </c>
      <c r="PN96" s="36" t="s">
        <v>139</v>
      </c>
      <c r="PO96" s="74">
        <f>COUNTIFS($C$27:$PN$27,("&lt;"&amp;$B$3),$C$27:$PN$27,("&gt;="&amp;$B$2),$C96:$PN96,TabAsistencias[[#Headers],[1]])</f>
        <v>30</v>
      </c>
      <c r="PP96" s="74">
        <f>COUNTIFS($C$27:$PN$27,("&lt;"&amp;$B$3),$C$27:$PN$27,("&gt;="&amp;$B$2),$C96:$PN96,TabAsistencias[[#Headers],[E]])</f>
        <v>0</v>
      </c>
      <c r="PQ96" s="74">
        <f>COUNTIFS($C$27:$PN$27,("&lt;"&amp;$B$3),$C$27:$PN$27,("&gt;="&amp;$B$2),$C96:$PN96,TabAsistencias[[#Headers],[DE]])</f>
        <v>0</v>
      </c>
      <c r="PR96" s="74">
        <f>COUNTIFS($C$27:$PN$27,("&lt;"&amp;$B$3),$C$27:$PN$27,("&gt;="&amp;$B$2),$C96:$PN96,TabAsistencias[[#Headers],[V]])</f>
        <v>0</v>
      </c>
      <c r="PS96" s="74">
        <f>COUNTIFS($C$27:$PN$27,("&lt;"&amp;$B$3),$C$27:$PN$27,("&gt;="&amp;$B$2),$C96:$PN96,TabAsistencias[[#Headers],[DO]])</f>
        <v>0</v>
      </c>
      <c r="PT96" s="74">
        <f>COUNTIFS($C$27:$PN$27,("&lt;"&amp;$B$3),$C$27:$PN$27,("&gt;="&amp;$B$2),$C96:$PN96,TabAsistencias[[#Headers],[P]])</f>
        <v>0</v>
      </c>
      <c r="PU96" s="74">
        <f>COUNTIFS($C$27:$PN$27,("&lt;"&amp;$B$3),$C$27:$PN$27,("&gt;="&amp;$B$2),$C96:$PN96,TabAsistencias[[#Headers],[F]])</f>
        <v>0</v>
      </c>
      <c r="PV96" s="74">
        <f>COUNTIFS($C$27:$PN$27,("&lt;"&amp;$B$3),$C$27:$PN$27,("&gt;="&amp;$B$2),$C96:$PN96,TabAsistencias[[#Headers],[R]])</f>
        <v>0</v>
      </c>
      <c r="PW96" s="74">
        <f>COUNTIFS($C$27:$PN$27,("&lt;"&amp;$B$3),$C$27:$PN$27,("&gt;="&amp;$B$2),$C96:$PN96,TabAsistencias[[#Headers],[PP]])</f>
        <v>0</v>
      </c>
      <c r="PX96" s="74">
        <f>COUNTIFS($C$27:$PN$27,("&lt;"&amp;$B$3),$C$27:$PN$27,("&gt;="&amp;$B$2),$C96:$PN96,TabAsistencias[[#Headers],[0]])</f>
        <v>0</v>
      </c>
      <c r="PY96" s="74">
        <f>COUNTIFS($C$27:$PN$27,("&lt;"&amp;$B$3),$C$27:$PN$27,("&gt;="&amp;$B$2),$C96:$PN96,TabAsistencias[[#Headers],[IG]])</f>
        <v>0</v>
      </c>
      <c r="PZ96" s="74">
        <f>COUNTIFS($C$27:$PN$27,("&lt;"&amp;$B$3),$C$27:$PN$27,("&gt;="&amp;$B$2),$C96:$PN96,TabAsistencias[[#Headers],[NA]])</f>
        <v>0</v>
      </c>
      <c r="QA96" s="74">
        <f>COUNTIFS($C$27:$PN$27,("&lt;"&amp;$B$3),$C$27:$PN$27,("&gt;="&amp;$B$2),$C96:$PN96,TabAsistencias[[#Headers],[DF]])</f>
        <v>0</v>
      </c>
      <c r="QB96" s="74">
        <f>COUNTIFS($C$27:$PN$27,("&lt;"&amp;$B$3),$C$27:$PN$27,("&gt;="&amp;$B$2),$C96:$PN96,TabAsistencias[[#Headers],[3]])</f>
        <v>0</v>
      </c>
      <c r="QC96" s="74">
        <f>COUNTIFS($C$27:$PN$27,("&lt;"&amp;$B$3),$C$27:$PN$27,("&gt;="&amp;$B$2),$C96:$PN96,TabAsistencias[[#Headers],[CP]])</f>
        <v>0</v>
      </c>
      <c r="QD96" s="74">
        <f>COUNTIFS($C$27:$PN$27,("&lt;"&amp;$B$3),$C$27:$PN$27,("&gt;="&amp;$B$2),$C96:$PN96,TabAsistencias[[#Headers],[I]])</f>
        <v>0</v>
      </c>
      <c r="QE96" s="74">
        <f>COUNTIFS($C$27:$PN$27,("&lt;"&amp;$B$3),$C$27:$PN$27,("&gt;="&amp;$B$2),$C96:$PN96,TabAsistencias[[#Headers],[T/2]])</f>
        <v>0</v>
      </c>
      <c r="QF96" s="74">
        <f>COUNTIFS($C$27:$PN$27,("&lt;"&amp;$B$3),$C$27:$PN$27,("&gt;="&amp;$B$2),$C96:$PN96,TabAsistencias[[#Headers],[ME]])</f>
        <v>0</v>
      </c>
      <c r="QG96" s="74">
        <f>COUNTIFS($C$27:$PN$27,("&lt;"&amp;$B$3),$C$27:$PN$27,("&gt;="&amp;$B$2),$C96:$PN96,TabAsistencias[[#Headers],[DP]])</f>
        <v>0</v>
      </c>
      <c r="QH96" s="74">
        <f>COUNTIFS($C$27:$PN$27,("&lt;"&amp;$B$3),$C$27:$PN$27,("&gt;="&amp;$B$2),$C96:$PN96,TabAsistencias[[#Headers],[B]])</f>
        <v>0</v>
      </c>
      <c r="QI96" s="74">
        <f>(TabAsistencias[[#This Row],[1]]*'Tablas de informacion'!$C$124)+(TabAsistencias[[#This Row],[E]]*'Tablas de informacion'!$C$125)+(TabAsistencias[[#This Row],[DE]]*'Tablas de informacion'!C$126)+(TabAsistencias[[#This Row],[V]]*'Tablas de informacion'!C$127)+(TabAsistencias[[#This Row],[DO]]*'Tablas de informacion'!C$128)+(TabAsistencias[[#This Row],[P]]*'Tablas de informacion'!C$129)+(TabAsistencias[[#This Row],[F]]*'Tablas de informacion'!C$130)+(TabAsistencias[[#This Row],[R]]*'Tablas de informacion'!C$131)+(TabAsistencias[[#This Row],[PP]]*'Tablas de informacion'!C$132)+(TabAsistencias[[#This Row],[0]]*'Tablas de informacion'!C$133)+(TabAsistencias[[#This Row],[IG]]*'Tablas de informacion'!C$134)+(TabAsistencias[[#This Row],[NA]]*'Tablas de informacion'!C$135)+(TabAsistencias[[#This Row],[DF]]*'Tablas de informacion'!C$136)+(TabAsistencias[[#This Row],[3]]*'Tablas de informacion'!C$137)+(TabAsistencias[[#This Row],[CP]]*'Tablas de informacion'!C$138)+(TabAsistencias[[#This Row],[I]]*'Tablas de informacion'!C$139)+(TabAsistencias[[#This Row],[T/2]]*'Tablas de informacion'!C$140)+(TabAsistencias[[#This Row],[ME]]*'Tablas de informacion'!C$141)+(TabAsistencias[[#This Row],[DP]]*'Tablas de informacion'!C$142)+(TabAsistencias[[#This Row],[B]]*'Tablas de informacion'!C$143)-INT(TabAsistencias[[#This Row],[R]]/3)</f>
        <v>30</v>
      </c>
      <c r="QJ96" s="74">
        <f>COUNTIFS($C$27:$PN$27,("&lt;"&amp;$B$3),$C$27:$PN$27,("&gt;="&amp;$B$2),$C$28:$PN$28,1,$C96:$PN96,TabAsistencias[[#Headers],[1]])+
COUNTIFS($C$27:$PN$27,("&lt;"&amp;$B$3),$C$27:$PN$27,("&gt;="&amp;$B$2),$C$28:$PN$28,1,$C96:$PN96,TabAsistencias[[#Headers],[DO]])+
COUNTIFS($C$27:$PN$27,("&lt;"&amp;$B$3),$C$27:$PN$27,("&gt;="&amp;$B$2),$C$28:$PN$28,1,$C96:$PN96,TabAsistencias[[#Headers],[R]])+
COUNTIFS($C$27:$PN$27,("&lt;"&amp;$B$3),$C$27:$PN$27,("&gt;="&amp;$B$2),$C$28:$PN$28,1,$C96:$PN96,TabAsistencias[[#Headers],[NA]])+
COUNTIFS($C$27:$PN$27,("&lt;"&amp;$B$3),$C$27:$PN$27,("&gt;="&amp;$B$2),$C$28:$PN$28,1,$C96:$PN96,TabAsistencias[[#Headers],[DF]])+
COUNTIFS($C$27:$PN$27,("&lt;"&amp;$B$3),$C$27:$PN$27,("&gt;="&amp;$B$2),$C$28:$PN$28,1,$C96:$PN96,TabAsistencias[[#Headers],[3]])+
COUNTIFS($C$27:$PN$27,("&lt;"&amp;$B$3),$C$27:$PN$27,("&gt;="&amp;$B$2),$C$28:$PN$28,1,$C96:$PN96,TabAsistencias[[#Headers],[CP]])+
COUNTIFS($C$27:$PN$27,("&lt;"&amp;$B$3),$C$27:$PN$27,("&gt;="&amp;$B$2),$C$28:$PN$28,1,$C96:$PN96,TabAsistencias[[#Headers],[T/2]])</f>
        <v>4</v>
      </c>
      <c r="QK96" s="315" cm="1">
        <f t="array" ref="QK96">IFERROR(VLOOKUP(
DATEDIF((VLOOKUP(TabAsistencias[[#This Row],[ID]],TabEmpleados[],COLUMN(TabEmpleados[Fecha de ingreso]),FALSE)),Asistencias!$B$3,"Y"),
TabFactorIntegracion[],COLUMN(TabFactorIntegracion[Días vacacionales
establecidos por ley]),FALSE),0)
-
COUNTIF($AH96:$PN96,TabAsistencias[[#Headers],[V]])</f>
        <v>12</v>
      </c>
      <c r="QL96" s="319">
        <f>SUM(TabAsistencias[[#This Row],[''1]],TabAsistencias[[#This Row],[''DE]],TabAsistencias[[#This Row],[''DO]],TabAsistencias[[#This Row],[''R]],TabAsistencias[[#This Row],[''NA]],TabAsistencias[[#This Row],[''DF]],TabAsistencias[[#This Row],[''3]],TabAsistencias[[#This Row],[''CP]],TabAsistencias[[#This Row],[''T/2]],TabAsistencias[[#This Row],[''DP]])</f>
        <v>73</v>
      </c>
      <c r="QM96" s="314">
        <f>COUNTIFS($C$27:$PN$27,("&lt;"&amp;$B$5),$C$27:$PN$27,("&gt;="&amp;$B$4),$C96:$PN96,TabAsistencias[[#Headers],[1]])</f>
        <v>73</v>
      </c>
      <c r="QN96" s="314">
        <f>COUNTIFS($C$27:$PN$27,("&lt;"&amp;$B$5),$C$27:$PN$27,("&gt;="&amp;$B$4),$C96:$PN96,TabAsistencias[[#Headers],[DE]])</f>
        <v>0</v>
      </c>
      <c r="QO96" s="314">
        <f>COUNTIFS($C$27:$PN$27,("&lt;"&amp;$B$5),$C$27:$PN$27,("&gt;="&amp;$B$4),$C96:$PN96,TabAsistencias[[#Headers],[V]])</f>
        <v>0</v>
      </c>
      <c r="QP96" s="314">
        <f>COUNTIFS($C$27:$PN$27,("&lt;"&amp;$B$5),$C$27:$PN$27,("&gt;="&amp;$B$4),$C96:$PN96,TabAsistencias[[#Headers],[DO]])</f>
        <v>0</v>
      </c>
      <c r="QQ96" s="314">
        <f>COUNTIFS($C$27:$PN$27,("&lt;"&amp;$B$5),$C$27:$PN$27,("&gt;="&amp;$B$4),$C96:$PN96,TabAsistencias[[#Headers],[P]])</f>
        <v>0</v>
      </c>
      <c r="QR96" s="314">
        <f>COUNTIFS($C$27:$PN$27,("&lt;"&amp;$B$5),$C$27:$PN$27,("&gt;="&amp;$B$4),$C96:$PN96,TabAsistencias[[#Headers],[F]])</f>
        <v>0</v>
      </c>
      <c r="QS96" s="314">
        <f>COUNTIFS($C$27:$PN$27,("&lt;"&amp;$B$5),$C$27:$PN$27,("&gt;="&amp;$B$4),$C96:$PN96,TabAsistencias[[#Headers],[R]])</f>
        <v>0</v>
      </c>
      <c r="QT96" s="314">
        <f>COUNTIFS($C$27:$PN$27,("&lt;"&amp;$B$5),$C$27:$PN$27,("&gt;="&amp;$B$4),$C96:$PN96,TabAsistencias[[#Headers],[PP]])</f>
        <v>0</v>
      </c>
      <c r="QU96" s="314">
        <f>COUNTIFS($C$27:$PN$27,("&lt;"&amp;$B$5),$C$27:$PN$27,("&gt;="&amp;$B$4),$C96:$PN96,TabAsistencias[[#Headers],[0]])</f>
        <v>0</v>
      </c>
      <c r="QV96" s="314">
        <f>COUNTIFS($C$27:$PN$27,("&lt;"&amp;$B$5),$C$27:$PN$27,("&gt;="&amp;$B$4),$C96:$PN96,TabAsistencias[[#Headers],[IG]])</f>
        <v>0</v>
      </c>
      <c r="QW96" s="314">
        <f>COUNTIFS($C$27:$PN$27,("&lt;"&amp;$B$5),$C$27:$PN$27,("&gt;="&amp;$B$4),$C96:$PN96,TabAsistencias[[#Headers],[NA]])</f>
        <v>0</v>
      </c>
      <c r="QX96" s="314">
        <f>COUNTIFS($C$27:$PN$27,("&lt;"&amp;$B$5),$C$27:$PN$27,("&gt;="&amp;$B$4),$C96:$PN96,TabAsistencias[[#Headers],[DF]])</f>
        <v>0</v>
      </c>
      <c r="QY96" s="314">
        <f>COUNTIFS($C$27:$PN$27,("&lt;"&amp;$B$5),$C$27:$PN$27,("&gt;="&amp;$B$4),$C96:$PN96,TabAsistencias[[#Headers],[3]])</f>
        <v>0</v>
      </c>
      <c r="QZ96" s="314">
        <f>COUNTIFS($C$27:$PN$27,("&lt;"&amp;$B$5),$C$27:$PN$27,("&gt;="&amp;$B$4),$C96:$PN96,TabAsistencias[[#Headers],[CP]])</f>
        <v>0</v>
      </c>
      <c r="RA96" s="314">
        <f>COUNTIFS($C$27:$PN$27,("&lt;"&amp;$B$5),$C$27:$PN$27,("&gt;="&amp;$B$4),$C96:$PN96,TabAsistencias[[#Headers],[I]])</f>
        <v>0</v>
      </c>
      <c r="RB96" s="314">
        <f>COUNTIFS($C$27:$PN$27,("&lt;"&amp;$B$5),$C$27:$PN$27,("&gt;="&amp;$B$4),$C96:$PN96,TabAsistencias[[#Headers],[T/2]])</f>
        <v>0</v>
      </c>
      <c r="RC96" s="314">
        <f>COUNTIFS($C$27:$PN$27,("&lt;"&amp;$B$5),$C$27:$PN$27,("&gt;="&amp;$B$4),$C96:$PN96,TabAsistencias[[#Headers],[ME]])</f>
        <v>0</v>
      </c>
      <c r="RD96" s="314">
        <f>COUNTIFS($C$27:$PN$27,("&lt;"&amp;$B$5),$C$27:$PN$27,("&gt;="&amp;$B$4),$C96:$PN96,TabAsistencias[[#Headers],[DP]])</f>
        <v>0</v>
      </c>
      <c r="RE96" s="314">
        <f>COUNTIFS($C$27:$PN$27,("&lt;"&amp;$B$5),$C$27:$PN$27,("&gt;="&amp;$B$4),$C96:$PN96,TabAsistencias[[#Headers],[B]])</f>
        <v>0</v>
      </c>
      <c r="RF96" s="314">
        <f>COUNTIFS($C$27:$PN$27,("&lt;"&amp;$B$5),$C$27:$PN$27,("&gt;="&amp;$B$4),$C$28:$PN$28,1,$C96:$PN96,TabAsistencias[[#Headers],[1]])+
COUNTIFS($C$27:$PN$27,("&lt;"&amp;$B$5),$C$27:$PN$27,("&gt;="&amp;$B$4),$C$28:$PN$28,1,$C96:$PN96,TabAsistencias[[#Headers],[DO]])+
COUNTIFS($C$27:$PN$27,("&lt;"&amp;$B$5),$C$27:$PN$27,("&gt;="&amp;$B$4),$C$28:$PN$28,1,$C96:$PN96,TabAsistencias[[#Headers],[R]])+
COUNTIFS($C$27:$PN$27,("&lt;"&amp;$B$5),$C$27:$PN$27,("&gt;="&amp;$B$4),$C$28:$PN$28,1,$C96:$PN96,TabAsistencias[[#Headers],[NA]])+
COUNTIFS($C$27:$PN$27,("&lt;"&amp;$B$5),$C$27:$PN$27,("&gt;="&amp;$B$4),$C$28:$PN$28,1,$C96:$PN96,TabAsistencias[[#Headers],[DF]])+
COUNTIFS($C$27:$PN$27,("&lt;"&amp;$B$5),$C$27:$PN$27,("&gt;="&amp;$B$4),$C$28:$PN$28,1,$C96:$PN96,TabAsistencias[[#Headers],[3]])+
COUNTIFS($C$27:$PN$27,("&lt;"&amp;$B$5),$C$27:$PN$27,("&gt;="&amp;$B$4),$C$28:$PN$28,1,$C96:$PN96,TabAsistencias[[#Headers],[CP]])+
COUNTIFS($C$27:$PN$27,("&lt;"&amp;$B$5),$C$27:$PN$27,("&gt;="&amp;$B$4),$C$28:$PN$28,1,$C96:$PN96,TabAsistencias[[#Headers],[T/2]])</f>
        <v>11</v>
      </c>
      <c r="RG96" s="320" cm="1">
        <f t="array" ref="RG96">IFERROR(VLOOKUP(
DATEDIF((VLOOKUP(TabAsistencias[[#This Row],[ID]],TabEmpleados[],COLUMN(TabEmpleados[Fecha de alta NSS]),FALSE)),Asistencias!$B$3,"Y"),
TabFactorIntegracion[],COLUMN(TabFactorIntegracion[Días vacacionales
establecidos por ley]),FALSE),0)
-
COUNTIF($AH96:$PN96,TabAsistencias[[#Headers],[V]])</f>
        <v>12</v>
      </c>
    </row>
    <row r="97" spans="1:475" x14ac:dyDescent="0.25">
      <c r="A97" s="92">
        <f t="shared" ref="A97:A105" si="435">A96+1</f>
        <v>67</v>
      </c>
      <c r="B97" s="30" t="str" cm="1">
        <f t="array" ref="B97">VLOOKUP(TabAsistencias[[#This Row],[ID]],TabEmpleados[],COLUMN(TabEmpleados[Nombre]),FALSE)</f>
        <v>MORALES JIMENEZ JOSE IGNACIO</v>
      </c>
      <c r="C97" s="36" t="s">
        <v>139</v>
      </c>
      <c r="D97" s="36" t="s">
        <v>139</v>
      </c>
      <c r="E97" s="36" t="s">
        <v>139</v>
      </c>
      <c r="F97" s="36" t="s">
        <v>139</v>
      </c>
      <c r="G97" s="36" t="s">
        <v>139</v>
      </c>
      <c r="H97" s="36" t="s">
        <v>139</v>
      </c>
      <c r="I97" s="36" t="s">
        <v>139</v>
      </c>
      <c r="J97" s="36" t="s">
        <v>139</v>
      </c>
      <c r="K97" s="36" t="s">
        <v>139</v>
      </c>
      <c r="L97" s="36" t="s">
        <v>139</v>
      </c>
      <c r="M97" s="36" t="s">
        <v>139</v>
      </c>
      <c r="N97" s="36" t="s">
        <v>139</v>
      </c>
      <c r="O97" s="36" t="s">
        <v>139</v>
      </c>
      <c r="P97" s="36" t="s">
        <v>139</v>
      </c>
      <c r="Q97" s="36" t="s">
        <v>139</v>
      </c>
      <c r="R97" s="36" t="s">
        <v>139</v>
      </c>
      <c r="S97" s="36" t="s">
        <v>139</v>
      </c>
      <c r="T97" s="36" t="s">
        <v>139</v>
      </c>
      <c r="U97" s="36" t="s">
        <v>139</v>
      </c>
      <c r="V97" s="36" t="s">
        <v>139</v>
      </c>
      <c r="W97" s="36" t="s">
        <v>139</v>
      </c>
      <c r="X97" s="36" t="s">
        <v>139</v>
      </c>
      <c r="Y97" s="36" t="s">
        <v>139</v>
      </c>
      <c r="Z97" s="36" t="s">
        <v>139</v>
      </c>
      <c r="AA97" s="36" t="s">
        <v>139</v>
      </c>
      <c r="AB97" s="36" t="s">
        <v>139</v>
      </c>
      <c r="AC97" s="36" t="s">
        <v>139</v>
      </c>
      <c r="AD97" s="36" t="s">
        <v>139</v>
      </c>
      <c r="AE97" s="36" t="s">
        <v>139</v>
      </c>
      <c r="AF97" s="36" t="s">
        <v>139</v>
      </c>
      <c r="AG97" s="36" t="s">
        <v>139</v>
      </c>
      <c r="AH97" s="36" t="s">
        <v>139</v>
      </c>
      <c r="AI97" s="36" t="s">
        <v>139</v>
      </c>
      <c r="AJ97" s="36" t="s">
        <v>139</v>
      </c>
      <c r="AK97" s="36" t="s">
        <v>139</v>
      </c>
      <c r="AL97" s="36" t="s">
        <v>139</v>
      </c>
      <c r="AM97" s="36" t="s">
        <v>139</v>
      </c>
      <c r="AN97" s="36" t="s">
        <v>139</v>
      </c>
      <c r="AO97" s="36" t="s">
        <v>139</v>
      </c>
      <c r="AP97" s="36" t="s">
        <v>139</v>
      </c>
      <c r="AQ97" s="36" t="s">
        <v>139</v>
      </c>
      <c r="AR97" s="36" t="s">
        <v>139</v>
      </c>
      <c r="AS97" s="36" t="s">
        <v>139</v>
      </c>
      <c r="AT97" s="36" t="s">
        <v>139</v>
      </c>
      <c r="AU97" s="36" t="s">
        <v>139</v>
      </c>
      <c r="AV97" s="36" t="s">
        <v>139</v>
      </c>
      <c r="AW97" s="36" t="s">
        <v>139</v>
      </c>
      <c r="AX97" s="36" t="s">
        <v>139</v>
      </c>
      <c r="AY97" s="36" t="s">
        <v>139</v>
      </c>
      <c r="AZ97" s="36" t="s">
        <v>139</v>
      </c>
      <c r="BA97" s="36" t="s">
        <v>139</v>
      </c>
      <c r="BB97" s="36" t="s">
        <v>139</v>
      </c>
      <c r="BC97" s="36" t="s">
        <v>139</v>
      </c>
      <c r="BD97" s="36" t="s">
        <v>139</v>
      </c>
      <c r="BE97" s="36" t="s">
        <v>139</v>
      </c>
      <c r="BF97" s="36" t="s">
        <v>139</v>
      </c>
      <c r="BG97" s="36" t="s">
        <v>139</v>
      </c>
      <c r="BH97" s="36" t="s">
        <v>139</v>
      </c>
      <c r="BI97" s="36" t="s">
        <v>139</v>
      </c>
      <c r="BJ97" s="36" t="s">
        <v>139</v>
      </c>
      <c r="BK97" s="36" t="s">
        <v>139</v>
      </c>
      <c r="BL97" s="36" t="s">
        <v>139</v>
      </c>
      <c r="BM97" s="36" t="s">
        <v>139</v>
      </c>
      <c r="BN97" s="36" t="s">
        <v>139</v>
      </c>
      <c r="BO97" s="36" t="s">
        <v>139</v>
      </c>
      <c r="BP97" s="36" t="s">
        <v>139</v>
      </c>
      <c r="BQ97" s="36" t="s">
        <v>139</v>
      </c>
      <c r="BR97" s="36" t="s">
        <v>139</v>
      </c>
      <c r="BS97" s="36" t="s">
        <v>139</v>
      </c>
      <c r="BT97" s="36" t="s">
        <v>139</v>
      </c>
      <c r="BU97" s="36" t="s">
        <v>139</v>
      </c>
      <c r="BV97" s="36" t="s">
        <v>139</v>
      </c>
      <c r="BW97" s="36" t="s">
        <v>139</v>
      </c>
      <c r="BX97" s="36" t="s">
        <v>139</v>
      </c>
      <c r="BY97" s="36" t="s">
        <v>139</v>
      </c>
      <c r="BZ97" s="36" t="s">
        <v>139</v>
      </c>
      <c r="CA97" s="36" t="s">
        <v>139</v>
      </c>
      <c r="CB97" s="36" t="s">
        <v>139</v>
      </c>
      <c r="CC97" s="36" t="s">
        <v>139</v>
      </c>
      <c r="CD97" s="36" t="s">
        <v>139</v>
      </c>
      <c r="CE97" s="36" t="s">
        <v>139</v>
      </c>
      <c r="CF97" s="36" t="s">
        <v>139</v>
      </c>
      <c r="CG97" s="36" t="s">
        <v>139</v>
      </c>
      <c r="CH97" s="36" t="s">
        <v>139</v>
      </c>
      <c r="CI97" s="36" t="s">
        <v>139</v>
      </c>
      <c r="CJ97" s="36" t="s">
        <v>139</v>
      </c>
      <c r="CK97" s="36" t="s">
        <v>139</v>
      </c>
      <c r="CL97" s="36" t="s">
        <v>139</v>
      </c>
      <c r="CM97" s="36" t="s">
        <v>139</v>
      </c>
      <c r="CN97" s="36" t="s">
        <v>139</v>
      </c>
      <c r="CO97" s="36" t="s">
        <v>139</v>
      </c>
      <c r="CP97" s="36" t="s">
        <v>139</v>
      </c>
      <c r="CQ97" s="36" t="s">
        <v>139</v>
      </c>
      <c r="CR97" s="36" t="s">
        <v>139</v>
      </c>
      <c r="CS97" s="36" t="s">
        <v>139</v>
      </c>
      <c r="CT97" s="36" t="s">
        <v>139</v>
      </c>
      <c r="CU97" s="36" t="s">
        <v>139</v>
      </c>
      <c r="CV97" s="36" t="s">
        <v>139</v>
      </c>
      <c r="CW97" s="36" t="s">
        <v>139</v>
      </c>
      <c r="CX97" s="36" t="s">
        <v>139</v>
      </c>
      <c r="CY97" s="36" t="s">
        <v>139</v>
      </c>
      <c r="CZ97" s="36" t="s">
        <v>139</v>
      </c>
      <c r="DA97" s="36" t="s">
        <v>139</v>
      </c>
      <c r="DB97" s="36" t="s">
        <v>139</v>
      </c>
      <c r="DC97" s="36" t="s">
        <v>139</v>
      </c>
      <c r="DD97" s="36" t="s">
        <v>139</v>
      </c>
      <c r="DE97" s="36" t="s">
        <v>139</v>
      </c>
      <c r="DF97" s="36" t="s">
        <v>139</v>
      </c>
      <c r="DG97" s="36" t="s">
        <v>139</v>
      </c>
      <c r="DH97" s="36" t="s">
        <v>139</v>
      </c>
      <c r="DI97" s="36" t="s">
        <v>139</v>
      </c>
      <c r="DJ97" s="36" t="s">
        <v>139</v>
      </c>
      <c r="DK97" s="36" t="s">
        <v>139</v>
      </c>
      <c r="DL97" s="36" t="s">
        <v>139</v>
      </c>
      <c r="DM97" s="36" t="s">
        <v>139</v>
      </c>
      <c r="DN97" s="36" t="s">
        <v>139</v>
      </c>
      <c r="DO97" s="36" t="s">
        <v>139</v>
      </c>
      <c r="DP97" s="36" t="s">
        <v>139</v>
      </c>
      <c r="DQ97" s="36" t="s">
        <v>139</v>
      </c>
      <c r="DR97" s="36" t="s">
        <v>139</v>
      </c>
      <c r="DS97" s="36" t="s">
        <v>139</v>
      </c>
      <c r="DT97" s="36" t="s">
        <v>139</v>
      </c>
      <c r="DU97" s="36" t="s">
        <v>139</v>
      </c>
      <c r="DV97" s="36" t="s">
        <v>139</v>
      </c>
      <c r="DW97" s="36" t="s">
        <v>139</v>
      </c>
      <c r="DX97" s="36" t="s">
        <v>139</v>
      </c>
      <c r="DY97" s="36" t="s">
        <v>139</v>
      </c>
      <c r="DZ97" s="36" t="s">
        <v>139</v>
      </c>
      <c r="EA97" s="36" t="s">
        <v>139</v>
      </c>
      <c r="EB97" s="36" t="s">
        <v>139</v>
      </c>
      <c r="EC97" s="36" t="s">
        <v>139</v>
      </c>
      <c r="ED97" s="36" t="s">
        <v>139</v>
      </c>
      <c r="EE97" s="36" t="s">
        <v>139</v>
      </c>
      <c r="EF97" s="36" t="s">
        <v>139</v>
      </c>
      <c r="EG97" s="36" t="s">
        <v>139</v>
      </c>
      <c r="EH97" s="36" t="s">
        <v>139</v>
      </c>
      <c r="EI97" s="36" t="s">
        <v>139</v>
      </c>
      <c r="EJ97" s="36" t="s">
        <v>139</v>
      </c>
      <c r="EK97" s="36" t="s">
        <v>139</v>
      </c>
      <c r="EL97" s="36" t="s">
        <v>139</v>
      </c>
      <c r="EM97" s="36" t="s">
        <v>139</v>
      </c>
      <c r="EN97" s="36" t="s">
        <v>139</v>
      </c>
      <c r="EO97" s="36" t="s">
        <v>139</v>
      </c>
      <c r="EP97" s="36" t="s">
        <v>139</v>
      </c>
      <c r="EQ97" s="36" t="s">
        <v>139</v>
      </c>
      <c r="ER97" s="36" t="s">
        <v>139</v>
      </c>
      <c r="ES97" s="36" t="s">
        <v>139</v>
      </c>
      <c r="ET97" s="36" t="s">
        <v>139</v>
      </c>
      <c r="EU97" s="36" t="s">
        <v>139</v>
      </c>
      <c r="EV97" s="36" t="s">
        <v>139</v>
      </c>
      <c r="EW97" s="36" t="s">
        <v>139</v>
      </c>
      <c r="EX97" s="36" t="s">
        <v>139</v>
      </c>
      <c r="EY97" s="36" t="s">
        <v>139</v>
      </c>
      <c r="EZ97" s="36" t="s">
        <v>139</v>
      </c>
      <c r="FA97" s="36" t="s">
        <v>139</v>
      </c>
      <c r="FB97" s="36" t="s">
        <v>139</v>
      </c>
      <c r="FC97" s="36" t="s">
        <v>139</v>
      </c>
      <c r="FD97" s="36" t="s">
        <v>139</v>
      </c>
      <c r="FE97" s="36" t="s">
        <v>139</v>
      </c>
      <c r="FF97" s="36" t="s">
        <v>139</v>
      </c>
      <c r="FG97" s="36" t="s">
        <v>139</v>
      </c>
      <c r="FH97" s="36" t="s">
        <v>139</v>
      </c>
      <c r="FI97" s="36" t="s">
        <v>139</v>
      </c>
      <c r="FJ97" s="36" t="s">
        <v>139</v>
      </c>
      <c r="FK97" s="36" t="s">
        <v>139</v>
      </c>
      <c r="FL97" s="36" t="s">
        <v>139</v>
      </c>
      <c r="FM97" s="36" t="s">
        <v>139</v>
      </c>
      <c r="FN97" s="36" t="s">
        <v>139</v>
      </c>
      <c r="FO97" s="36" t="s">
        <v>139</v>
      </c>
      <c r="FP97" s="36" t="s">
        <v>139</v>
      </c>
      <c r="FQ97" s="36" t="s">
        <v>139</v>
      </c>
      <c r="FR97" s="36" t="s">
        <v>139</v>
      </c>
      <c r="FS97" s="36" t="s">
        <v>139</v>
      </c>
      <c r="FT97" s="36" t="s">
        <v>139</v>
      </c>
      <c r="FU97" s="36" t="s">
        <v>139</v>
      </c>
      <c r="FV97" s="36" t="s">
        <v>139</v>
      </c>
      <c r="FW97" s="36" t="s">
        <v>139</v>
      </c>
      <c r="FX97" s="36" t="s">
        <v>139</v>
      </c>
      <c r="FY97" s="36" t="s">
        <v>139</v>
      </c>
      <c r="FZ97" s="36" t="s">
        <v>139</v>
      </c>
      <c r="GA97" s="36" t="s">
        <v>139</v>
      </c>
      <c r="GB97" s="36" t="s">
        <v>139</v>
      </c>
      <c r="GC97" s="36" t="s">
        <v>139</v>
      </c>
      <c r="GD97" s="36" t="s">
        <v>139</v>
      </c>
      <c r="GE97" s="36" t="s">
        <v>139</v>
      </c>
      <c r="GF97" s="36" t="s">
        <v>139</v>
      </c>
      <c r="GG97" s="36" t="s">
        <v>139</v>
      </c>
      <c r="GH97" s="36" t="s">
        <v>139</v>
      </c>
      <c r="GI97" s="36" t="s">
        <v>139</v>
      </c>
      <c r="GJ97" s="36" t="s">
        <v>139</v>
      </c>
      <c r="GK97" s="36" t="s">
        <v>139</v>
      </c>
      <c r="GL97" s="36" t="s">
        <v>139</v>
      </c>
      <c r="GM97" s="36" t="s">
        <v>139</v>
      </c>
      <c r="GN97" s="36" t="s">
        <v>139</v>
      </c>
      <c r="GO97" s="36" t="s">
        <v>139</v>
      </c>
      <c r="GP97" s="36" t="s">
        <v>139</v>
      </c>
      <c r="GQ97" s="36" t="s">
        <v>139</v>
      </c>
      <c r="GR97" s="36" t="s">
        <v>139</v>
      </c>
      <c r="GS97" s="36" t="s">
        <v>139</v>
      </c>
      <c r="GT97" s="36" t="s">
        <v>139</v>
      </c>
      <c r="GU97" s="36" t="s">
        <v>139</v>
      </c>
      <c r="GV97" s="36" t="s">
        <v>139</v>
      </c>
      <c r="GW97" s="36" t="s">
        <v>139</v>
      </c>
      <c r="GX97" s="36" t="s">
        <v>139</v>
      </c>
      <c r="GY97" s="36" t="s">
        <v>139</v>
      </c>
      <c r="GZ97" s="36" t="s">
        <v>139</v>
      </c>
      <c r="HA97" s="36" t="s">
        <v>139</v>
      </c>
      <c r="HB97" s="36" t="s">
        <v>139</v>
      </c>
      <c r="HC97" s="36" t="s">
        <v>139</v>
      </c>
      <c r="HD97" s="36" t="s">
        <v>139</v>
      </c>
      <c r="HE97" s="36" t="s">
        <v>139</v>
      </c>
      <c r="HF97" s="36" t="s">
        <v>139</v>
      </c>
      <c r="HG97" s="36" t="s">
        <v>139</v>
      </c>
      <c r="HH97" s="36" t="s">
        <v>139</v>
      </c>
      <c r="HI97" s="36" t="s">
        <v>139</v>
      </c>
      <c r="HJ97" s="36" t="s">
        <v>139</v>
      </c>
      <c r="HK97" s="36" t="s">
        <v>139</v>
      </c>
      <c r="HL97" s="36" t="s">
        <v>139</v>
      </c>
      <c r="HM97" s="36" t="s">
        <v>139</v>
      </c>
      <c r="HN97" s="36" t="s">
        <v>139</v>
      </c>
      <c r="HO97" s="36" t="s">
        <v>139</v>
      </c>
      <c r="HP97" s="36" t="s">
        <v>139</v>
      </c>
      <c r="HQ97" s="36" t="s">
        <v>139</v>
      </c>
      <c r="HR97" s="36" t="s">
        <v>139</v>
      </c>
      <c r="HS97" s="36" t="s">
        <v>139</v>
      </c>
      <c r="HT97" s="36" t="s">
        <v>139</v>
      </c>
      <c r="HU97" s="36" t="s">
        <v>139</v>
      </c>
      <c r="HV97" s="36" t="s">
        <v>139</v>
      </c>
      <c r="HW97" s="36" t="s">
        <v>139</v>
      </c>
      <c r="HX97" s="36" t="s">
        <v>139</v>
      </c>
      <c r="HY97" s="36" t="s">
        <v>139</v>
      </c>
      <c r="HZ97" s="36" t="s">
        <v>139</v>
      </c>
      <c r="IA97" s="36" t="s">
        <v>139</v>
      </c>
      <c r="IB97" s="36" t="s">
        <v>139</v>
      </c>
      <c r="IC97" s="36" t="s">
        <v>139</v>
      </c>
      <c r="ID97" s="36" t="s">
        <v>139</v>
      </c>
      <c r="IE97" s="36" t="s">
        <v>139</v>
      </c>
      <c r="IF97" s="36" t="s">
        <v>139</v>
      </c>
      <c r="IG97" s="36" t="s">
        <v>139</v>
      </c>
      <c r="IH97" s="36" t="s">
        <v>139</v>
      </c>
      <c r="II97" s="36" t="s">
        <v>139</v>
      </c>
      <c r="IJ97" s="36" t="s">
        <v>139</v>
      </c>
      <c r="IK97" s="36" t="s">
        <v>139</v>
      </c>
      <c r="IL97" s="36" t="s">
        <v>139</v>
      </c>
      <c r="IM97" s="36" t="s">
        <v>139</v>
      </c>
      <c r="IN97" s="36" t="s">
        <v>139</v>
      </c>
      <c r="IO97" s="36" t="s">
        <v>139</v>
      </c>
      <c r="IP97" s="36" t="s">
        <v>139</v>
      </c>
      <c r="IQ97" s="36" t="s">
        <v>139</v>
      </c>
      <c r="IR97" s="36" t="s">
        <v>139</v>
      </c>
      <c r="IS97" s="36" t="s">
        <v>139</v>
      </c>
      <c r="IT97" s="36" t="s">
        <v>139</v>
      </c>
      <c r="IU97" s="36" t="s">
        <v>139</v>
      </c>
      <c r="IV97" s="36" t="s">
        <v>139</v>
      </c>
      <c r="IW97" s="36" t="s">
        <v>139</v>
      </c>
      <c r="IX97" s="36" t="s">
        <v>139</v>
      </c>
      <c r="IY97" s="36" t="s">
        <v>139</v>
      </c>
      <c r="IZ97" s="36" t="s">
        <v>139</v>
      </c>
      <c r="JA97" s="36" t="s">
        <v>139</v>
      </c>
      <c r="JB97" s="36" t="s">
        <v>139</v>
      </c>
      <c r="JC97" s="36" t="s">
        <v>139</v>
      </c>
      <c r="JD97" s="36" t="s">
        <v>139</v>
      </c>
      <c r="JE97" s="36" t="s">
        <v>139</v>
      </c>
      <c r="JF97" s="36" t="s">
        <v>139</v>
      </c>
      <c r="JG97" s="36" t="s">
        <v>139</v>
      </c>
      <c r="JH97" s="36" t="s">
        <v>139</v>
      </c>
      <c r="JI97" s="36" t="s">
        <v>139</v>
      </c>
      <c r="JJ97" s="36" t="s">
        <v>139</v>
      </c>
      <c r="JK97" s="36" t="s">
        <v>139</v>
      </c>
      <c r="JL97" s="36" t="s">
        <v>139</v>
      </c>
      <c r="JM97" s="36" t="s">
        <v>139</v>
      </c>
      <c r="JN97" s="36" t="s">
        <v>139</v>
      </c>
      <c r="JO97" s="36" t="s">
        <v>139</v>
      </c>
      <c r="JP97" s="36" t="s">
        <v>139</v>
      </c>
      <c r="JQ97" s="36" t="s">
        <v>139</v>
      </c>
      <c r="JR97" s="36" t="s">
        <v>139</v>
      </c>
      <c r="JS97" s="36" t="s">
        <v>139</v>
      </c>
      <c r="JT97" s="36" t="s">
        <v>139</v>
      </c>
      <c r="JU97" s="36" t="s">
        <v>139</v>
      </c>
      <c r="JV97" s="36" t="s">
        <v>139</v>
      </c>
      <c r="JW97" s="36" t="s">
        <v>139</v>
      </c>
      <c r="JX97" s="36" t="s">
        <v>139</v>
      </c>
      <c r="JY97" s="36" t="s">
        <v>139</v>
      </c>
      <c r="JZ97" s="36" t="s">
        <v>139</v>
      </c>
      <c r="KA97" s="36" t="s">
        <v>139</v>
      </c>
      <c r="KB97" s="36" t="s">
        <v>139</v>
      </c>
      <c r="KC97" s="36" t="s">
        <v>139</v>
      </c>
      <c r="KD97" s="36" t="s">
        <v>139</v>
      </c>
      <c r="KE97" s="36" t="s">
        <v>139</v>
      </c>
      <c r="KF97" s="36" t="s">
        <v>139</v>
      </c>
      <c r="KG97" s="36" t="s">
        <v>139</v>
      </c>
      <c r="KH97" s="36" t="s">
        <v>139</v>
      </c>
      <c r="KI97" s="36" t="s">
        <v>139</v>
      </c>
      <c r="KJ97" s="36" t="s">
        <v>139</v>
      </c>
      <c r="KK97" s="36" t="s">
        <v>139</v>
      </c>
      <c r="KL97" s="36" t="s">
        <v>139</v>
      </c>
      <c r="KM97" s="36" t="s">
        <v>139</v>
      </c>
      <c r="KN97" s="36" t="s">
        <v>139</v>
      </c>
      <c r="KO97" s="36" t="s">
        <v>139</v>
      </c>
      <c r="KP97" s="36" t="s">
        <v>139</v>
      </c>
      <c r="KQ97" s="36" t="s">
        <v>139</v>
      </c>
      <c r="KR97" s="36" t="s">
        <v>139</v>
      </c>
      <c r="KS97" s="36" t="s">
        <v>139</v>
      </c>
      <c r="KT97" s="36" t="s">
        <v>139</v>
      </c>
      <c r="KU97" s="36" t="s">
        <v>139</v>
      </c>
      <c r="KV97" s="36" t="s">
        <v>139</v>
      </c>
      <c r="KW97" s="36" t="s">
        <v>139</v>
      </c>
      <c r="KX97" s="36" t="s">
        <v>139</v>
      </c>
      <c r="KY97" s="36" t="s">
        <v>139</v>
      </c>
      <c r="KZ97" s="36" t="s">
        <v>139</v>
      </c>
      <c r="LA97" s="36" t="s">
        <v>139</v>
      </c>
      <c r="LB97" s="36" t="s">
        <v>139</v>
      </c>
      <c r="LC97" s="36" t="s">
        <v>139</v>
      </c>
      <c r="LD97" s="36" t="s">
        <v>139</v>
      </c>
      <c r="LE97" s="36" t="s">
        <v>139</v>
      </c>
      <c r="LF97" s="36" t="s">
        <v>139</v>
      </c>
      <c r="LG97" s="36" t="s">
        <v>139</v>
      </c>
      <c r="LH97" s="36" t="s">
        <v>139</v>
      </c>
      <c r="LI97" s="36" t="s">
        <v>139</v>
      </c>
      <c r="LJ97" s="36" t="s">
        <v>139</v>
      </c>
      <c r="LK97" s="36" t="s">
        <v>139</v>
      </c>
      <c r="LL97" s="36" t="s">
        <v>139</v>
      </c>
      <c r="LM97" s="36" t="s">
        <v>139</v>
      </c>
      <c r="LN97" s="36" t="s">
        <v>139</v>
      </c>
      <c r="LO97" s="36" t="s">
        <v>139</v>
      </c>
      <c r="LP97" s="36" t="s">
        <v>139</v>
      </c>
      <c r="LQ97" s="36" t="s">
        <v>139</v>
      </c>
      <c r="LR97" s="36" t="s">
        <v>139</v>
      </c>
      <c r="LS97" s="36" t="s">
        <v>139</v>
      </c>
      <c r="LT97" s="36" t="s">
        <v>139</v>
      </c>
      <c r="LU97" s="36" t="s">
        <v>139</v>
      </c>
      <c r="LV97" s="36" t="s">
        <v>139</v>
      </c>
      <c r="LW97" s="36" t="s">
        <v>139</v>
      </c>
      <c r="LX97" s="36" t="s">
        <v>139</v>
      </c>
      <c r="LY97" s="36" t="s">
        <v>139</v>
      </c>
      <c r="LZ97" s="36" t="s">
        <v>139</v>
      </c>
      <c r="MA97" s="36" t="s">
        <v>139</v>
      </c>
      <c r="MB97" s="36" t="s">
        <v>139</v>
      </c>
      <c r="MC97" s="36" t="s">
        <v>139</v>
      </c>
      <c r="MD97" s="36" t="s">
        <v>139</v>
      </c>
      <c r="ME97" s="36" t="s">
        <v>139</v>
      </c>
      <c r="MF97" s="36" t="s">
        <v>139</v>
      </c>
      <c r="MG97" s="36" t="s">
        <v>139</v>
      </c>
      <c r="MH97" s="36" t="s">
        <v>139</v>
      </c>
      <c r="MI97" s="36" t="s">
        <v>139</v>
      </c>
      <c r="MJ97" s="36" t="s">
        <v>139</v>
      </c>
      <c r="MK97" s="36" t="s">
        <v>139</v>
      </c>
      <c r="ML97" s="36" t="s">
        <v>139</v>
      </c>
      <c r="MM97" s="36" t="s">
        <v>139</v>
      </c>
      <c r="MN97" s="36" t="s">
        <v>139</v>
      </c>
      <c r="MO97" s="36" t="s">
        <v>139</v>
      </c>
      <c r="MP97" s="36" t="s">
        <v>139</v>
      </c>
      <c r="MQ97" s="36" t="s">
        <v>139</v>
      </c>
      <c r="MR97" s="36" t="s">
        <v>139</v>
      </c>
      <c r="MS97" s="36" t="s">
        <v>139</v>
      </c>
      <c r="MT97" s="36" t="s">
        <v>139</v>
      </c>
      <c r="MU97" s="36" t="s">
        <v>139</v>
      </c>
      <c r="MV97" s="36" t="s">
        <v>139</v>
      </c>
      <c r="MW97" s="36" t="s">
        <v>139</v>
      </c>
      <c r="MX97" s="36" t="s">
        <v>139</v>
      </c>
      <c r="MY97" s="36" t="s">
        <v>139</v>
      </c>
      <c r="MZ97" s="36" t="s">
        <v>139</v>
      </c>
      <c r="NA97" s="36" t="s">
        <v>139</v>
      </c>
      <c r="NB97" s="36" t="s">
        <v>139</v>
      </c>
      <c r="NC97" s="36" t="s">
        <v>139</v>
      </c>
      <c r="ND97" s="36" t="s">
        <v>139</v>
      </c>
      <c r="NE97" s="36" t="s">
        <v>139</v>
      </c>
      <c r="NF97" s="36" t="s">
        <v>139</v>
      </c>
      <c r="NG97" s="36" t="s">
        <v>139</v>
      </c>
      <c r="NH97" s="36" t="s">
        <v>139</v>
      </c>
      <c r="NI97" s="36" t="s">
        <v>139</v>
      </c>
      <c r="NJ97" s="36" t="s">
        <v>139</v>
      </c>
      <c r="NK97" s="36" t="s">
        <v>139</v>
      </c>
      <c r="NL97" s="36" t="s">
        <v>139</v>
      </c>
      <c r="NM97" s="36" t="s">
        <v>139</v>
      </c>
      <c r="NN97" s="36" t="s">
        <v>139</v>
      </c>
      <c r="NO97" s="36" t="s">
        <v>139</v>
      </c>
      <c r="NP97" s="36" t="s">
        <v>139</v>
      </c>
      <c r="NQ97" s="36" t="s">
        <v>139</v>
      </c>
      <c r="NR97" s="36" t="s">
        <v>139</v>
      </c>
      <c r="NS97" s="36" t="s">
        <v>139</v>
      </c>
      <c r="NT97" s="36" t="s">
        <v>139</v>
      </c>
      <c r="NU97" s="36" t="s">
        <v>139</v>
      </c>
      <c r="NV97" s="36" t="s">
        <v>139</v>
      </c>
      <c r="NW97" s="36" t="s">
        <v>139</v>
      </c>
      <c r="NX97" s="36" t="s">
        <v>139</v>
      </c>
      <c r="NY97" s="36" t="s">
        <v>139</v>
      </c>
      <c r="NZ97" s="36" t="s">
        <v>139</v>
      </c>
      <c r="OA97" s="36" t="s">
        <v>139</v>
      </c>
      <c r="OB97" s="36" t="s">
        <v>139</v>
      </c>
      <c r="OC97" s="36" t="s">
        <v>139</v>
      </c>
      <c r="OD97" s="36" t="s">
        <v>139</v>
      </c>
      <c r="OE97" s="36" t="s">
        <v>139</v>
      </c>
      <c r="OF97" s="36" t="s">
        <v>139</v>
      </c>
      <c r="OG97" s="36" t="s">
        <v>139</v>
      </c>
      <c r="OH97" s="36" t="s">
        <v>139</v>
      </c>
      <c r="OI97" s="36" t="s">
        <v>139</v>
      </c>
      <c r="OJ97" s="36" t="s">
        <v>139</v>
      </c>
      <c r="OK97" s="36" t="s">
        <v>139</v>
      </c>
      <c r="OL97" s="36" t="s">
        <v>139</v>
      </c>
      <c r="OM97" s="36" t="s">
        <v>139</v>
      </c>
      <c r="ON97" s="36" t="s">
        <v>139</v>
      </c>
      <c r="OO97" s="36" t="s">
        <v>139</v>
      </c>
      <c r="OP97" s="36" t="s">
        <v>139</v>
      </c>
      <c r="OQ97" s="36" t="s">
        <v>139</v>
      </c>
      <c r="OR97" s="36" t="s">
        <v>139</v>
      </c>
      <c r="OS97" s="36" t="s">
        <v>139</v>
      </c>
      <c r="OT97" s="36" t="s">
        <v>139</v>
      </c>
      <c r="OU97" s="36" t="s">
        <v>139</v>
      </c>
      <c r="OV97" s="36" t="s">
        <v>139</v>
      </c>
      <c r="OW97" s="36" t="s">
        <v>139</v>
      </c>
      <c r="OX97" s="36" t="s">
        <v>139</v>
      </c>
      <c r="OY97" s="36" t="s">
        <v>139</v>
      </c>
      <c r="OZ97" s="36" t="s">
        <v>139</v>
      </c>
      <c r="PA97" s="36" t="s">
        <v>139</v>
      </c>
      <c r="PB97" s="36" t="s">
        <v>139</v>
      </c>
      <c r="PC97" s="36" t="s">
        <v>139</v>
      </c>
      <c r="PD97" s="36" t="s">
        <v>139</v>
      </c>
      <c r="PE97" s="36" t="s">
        <v>139</v>
      </c>
      <c r="PF97" s="36" t="s">
        <v>139</v>
      </c>
      <c r="PG97" s="36" t="s">
        <v>139</v>
      </c>
      <c r="PH97" s="36" t="s">
        <v>139</v>
      </c>
      <c r="PI97" s="36" t="s">
        <v>139</v>
      </c>
      <c r="PJ97" s="36" t="s">
        <v>139</v>
      </c>
      <c r="PK97" s="36" t="s">
        <v>139</v>
      </c>
      <c r="PL97" s="36" t="s">
        <v>139</v>
      </c>
      <c r="PM97" s="36" t="s">
        <v>139</v>
      </c>
      <c r="PN97" s="36" t="s">
        <v>139</v>
      </c>
      <c r="PO97" s="74">
        <f>COUNTIFS($C$27:$PN$27,("&lt;"&amp;$B$3),$C$27:$PN$27,("&gt;="&amp;$B$2),$C97:$PN97,TabAsistencias[[#Headers],[1]])</f>
        <v>30</v>
      </c>
      <c r="PP97" s="74">
        <f>COUNTIFS($C$27:$PN$27,("&lt;"&amp;$B$3),$C$27:$PN$27,("&gt;="&amp;$B$2),$C97:$PN97,TabAsistencias[[#Headers],[E]])</f>
        <v>0</v>
      </c>
      <c r="PQ97" s="74">
        <f>COUNTIFS($C$27:$PN$27,("&lt;"&amp;$B$3),$C$27:$PN$27,("&gt;="&amp;$B$2),$C97:$PN97,TabAsistencias[[#Headers],[DE]])</f>
        <v>0</v>
      </c>
      <c r="PR97" s="74">
        <f>COUNTIFS($C$27:$PN$27,("&lt;"&amp;$B$3),$C$27:$PN$27,("&gt;="&amp;$B$2),$C97:$PN97,TabAsistencias[[#Headers],[V]])</f>
        <v>0</v>
      </c>
      <c r="PS97" s="74">
        <f>COUNTIFS($C$27:$PN$27,("&lt;"&amp;$B$3),$C$27:$PN$27,("&gt;="&amp;$B$2),$C97:$PN97,TabAsistencias[[#Headers],[DO]])</f>
        <v>0</v>
      </c>
      <c r="PT97" s="74">
        <f>COUNTIFS($C$27:$PN$27,("&lt;"&amp;$B$3),$C$27:$PN$27,("&gt;="&amp;$B$2),$C97:$PN97,TabAsistencias[[#Headers],[P]])</f>
        <v>0</v>
      </c>
      <c r="PU97" s="74">
        <f>COUNTIFS($C$27:$PN$27,("&lt;"&amp;$B$3),$C$27:$PN$27,("&gt;="&amp;$B$2),$C97:$PN97,TabAsistencias[[#Headers],[F]])</f>
        <v>0</v>
      </c>
      <c r="PV97" s="74">
        <f>COUNTIFS($C$27:$PN$27,("&lt;"&amp;$B$3),$C$27:$PN$27,("&gt;="&amp;$B$2),$C97:$PN97,TabAsistencias[[#Headers],[R]])</f>
        <v>0</v>
      </c>
      <c r="PW97" s="74">
        <f>COUNTIFS($C$27:$PN$27,("&lt;"&amp;$B$3),$C$27:$PN$27,("&gt;="&amp;$B$2),$C97:$PN97,TabAsistencias[[#Headers],[PP]])</f>
        <v>0</v>
      </c>
      <c r="PX97" s="74">
        <f>COUNTIFS($C$27:$PN$27,("&lt;"&amp;$B$3),$C$27:$PN$27,("&gt;="&amp;$B$2),$C97:$PN97,TabAsistencias[[#Headers],[0]])</f>
        <v>0</v>
      </c>
      <c r="PY97" s="74">
        <f>COUNTIFS($C$27:$PN$27,("&lt;"&amp;$B$3),$C$27:$PN$27,("&gt;="&amp;$B$2),$C97:$PN97,TabAsistencias[[#Headers],[IG]])</f>
        <v>0</v>
      </c>
      <c r="PZ97" s="74">
        <f>COUNTIFS($C$27:$PN$27,("&lt;"&amp;$B$3),$C$27:$PN$27,("&gt;="&amp;$B$2),$C97:$PN97,TabAsistencias[[#Headers],[NA]])</f>
        <v>0</v>
      </c>
      <c r="QA97" s="74">
        <f>COUNTIFS($C$27:$PN$27,("&lt;"&amp;$B$3),$C$27:$PN$27,("&gt;="&amp;$B$2),$C97:$PN97,TabAsistencias[[#Headers],[DF]])</f>
        <v>0</v>
      </c>
      <c r="QB97" s="74">
        <f>COUNTIFS($C$27:$PN$27,("&lt;"&amp;$B$3),$C$27:$PN$27,("&gt;="&amp;$B$2),$C97:$PN97,TabAsistencias[[#Headers],[3]])</f>
        <v>0</v>
      </c>
      <c r="QC97" s="74">
        <f>COUNTIFS($C$27:$PN$27,("&lt;"&amp;$B$3),$C$27:$PN$27,("&gt;="&amp;$B$2),$C97:$PN97,TabAsistencias[[#Headers],[CP]])</f>
        <v>0</v>
      </c>
      <c r="QD97" s="74">
        <f>COUNTIFS($C$27:$PN$27,("&lt;"&amp;$B$3),$C$27:$PN$27,("&gt;="&amp;$B$2),$C97:$PN97,TabAsistencias[[#Headers],[I]])</f>
        <v>0</v>
      </c>
      <c r="QE97" s="74">
        <f>COUNTIFS($C$27:$PN$27,("&lt;"&amp;$B$3),$C$27:$PN$27,("&gt;="&amp;$B$2),$C97:$PN97,TabAsistencias[[#Headers],[T/2]])</f>
        <v>0</v>
      </c>
      <c r="QF97" s="74">
        <f>COUNTIFS($C$27:$PN$27,("&lt;"&amp;$B$3),$C$27:$PN$27,("&gt;="&amp;$B$2),$C97:$PN97,TabAsistencias[[#Headers],[ME]])</f>
        <v>0</v>
      </c>
      <c r="QG97" s="74">
        <f>COUNTIFS($C$27:$PN$27,("&lt;"&amp;$B$3),$C$27:$PN$27,("&gt;="&amp;$B$2),$C97:$PN97,TabAsistencias[[#Headers],[DP]])</f>
        <v>0</v>
      </c>
      <c r="QH97" s="74">
        <f>COUNTIFS($C$27:$PN$27,("&lt;"&amp;$B$3),$C$27:$PN$27,("&gt;="&amp;$B$2),$C97:$PN97,TabAsistencias[[#Headers],[B]])</f>
        <v>0</v>
      </c>
      <c r="QI97" s="74">
        <f>(TabAsistencias[[#This Row],[1]]*'Tablas de informacion'!$C$124)+(TabAsistencias[[#This Row],[E]]*'Tablas de informacion'!$C$125)+(TabAsistencias[[#This Row],[DE]]*'Tablas de informacion'!C$126)+(TabAsistencias[[#This Row],[V]]*'Tablas de informacion'!C$127)+(TabAsistencias[[#This Row],[DO]]*'Tablas de informacion'!C$128)+(TabAsistencias[[#This Row],[P]]*'Tablas de informacion'!C$129)+(TabAsistencias[[#This Row],[F]]*'Tablas de informacion'!C$130)+(TabAsistencias[[#This Row],[R]]*'Tablas de informacion'!C$131)+(TabAsistencias[[#This Row],[PP]]*'Tablas de informacion'!C$132)+(TabAsistencias[[#This Row],[0]]*'Tablas de informacion'!C$133)+(TabAsistencias[[#This Row],[IG]]*'Tablas de informacion'!C$134)+(TabAsistencias[[#This Row],[NA]]*'Tablas de informacion'!C$135)+(TabAsistencias[[#This Row],[DF]]*'Tablas de informacion'!C$136)+(TabAsistencias[[#This Row],[3]]*'Tablas de informacion'!C$137)+(TabAsistencias[[#This Row],[CP]]*'Tablas de informacion'!C$138)+(TabAsistencias[[#This Row],[I]]*'Tablas de informacion'!C$139)+(TabAsistencias[[#This Row],[T/2]]*'Tablas de informacion'!C$140)+(TabAsistencias[[#This Row],[ME]]*'Tablas de informacion'!C$141)+(TabAsistencias[[#This Row],[DP]]*'Tablas de informacion'!C$142)+(TabAsistencias[[#This Row],[B]]*'Tablas de informacion'!C$143)-INT(TabAsistencias[[#This Row],[R]]/3)</f>
        <v>30</v>
      </c>
      <c r="QJ97" s="74">
        <f>COUNTIFS($C$27:$PN$27,("&lt;"&amp;$B$3),$C$27:$PN$27,("&gt;="&amp;$B$2),$C$28:$PN$28,1,$C97:$PN97,TabAsistencias[[#Headers],[1]])+
COUNTIFS($C$27:$PN$27,("&lt;"&amp;$B$3),$C$27:$PN$27,("&gt;="&amp;$B$2),$C$28:$PN$28,1,$C97:$PN97,TabAsistencias[[#Headers],[DO]])+
COUNTIFS($C$27:$PN$27,("&lt;"&amp;$B$3),$C$27:$PN$27,("&gt;="&amp;$B$2),$C$28:$PN$28,1,$C97:$PN97,TabAsistencias[[#Headers],[R]])+
COUNTIFS($C$27:$PN$27,("&lt;"&amp;$B$3),$C$27:$PN$27,("&gt;="&amp;$B$2),$C$28:$PN$28,1,$C97:$PN97,TabAsistencias[[#Headers],[NA]])+
COUNTIFS($C$27:$PN$27,("&lt;"&amp;$B$3),$C$27:$PN$27,("&gt;="&amp;$B$2),$C$28:$PN$28,1,$C97:$PN97,TabAsistencias[[#Headers],[DF]])+
COUNTIFS($C$27:$PN$27,("&lt;"&amp;$B$3),$C$27:$PN$27,("&gt;="&amp;$B$2),$C$28:$PN$28,1,$C97:$PN97,TabAsistencias[[#Headers],[3]])+
COUNTIFS($C$27:$PN$27,("&lt;"&amp;$B$3),$C$27:$PN$27,("&gt;="&amp;$B$2),$C$28:$PN$28,1,$C97:$PN97,TabAsistencias[[#Headers],[CP]])+
COUNTIFS($C$27:$PN$27,("&lt;"&amp;$B$3),$C$27:$PN$27,("&gt;="&amp;$B$2),$C$28:$PN$28,1,$C97:$PN97,TabAsistencias[[#Headers],[T/2]])</f>
        <v>4</v>
      </c>
      <c r="QK97" s="315" cm="1">
        <f t="array" ref="QK97">IFERROR(VLOOKUP(
DATEDIF((VLOOKUP(TabAsistencias[[#This Row],[ID]],TabEmpleados[],COLUMN(TabEmpleados[Fecha de ingreso]),FALSE)),Asistencias!$B$3,"Y"),
TabFactorIntegracion[],COLUMN(TabFactorIntegracion[Días vacacionales
establecidos por ley]),FALSE),0)
-
COUNTIF($AH97:$PN97,TabAsistencias[[#Headers],[V]])</f>
        <v>12</v>
      </c>
      <c r="QL97" s="319">
        <f>SUM(TabAsistencias[[#This Row],[''1]],TabAsistencias[[#This Row],[''DE]],TabAsistencias[[#This Row],[''DO]],TabAsistencias[[#This Row],[''R]],TabAsistencias[[#This Row],[''NA]],TabAsistencias[[#This Row],[''DF]],TabAsistencias[[#This Row],[''3]],TabAsistencias[[#This Row],[''CP]],TabAsistencias[[#This Row],[''T/2]],TabAsistencias[[#This Row],[''DP]])</f>
        <v>73</v>
      </c>
      <c r="QM97" s="314">
        <f>COUNTIFS($C$27:$PN$27,("&lt;"&amp;$B$5),$C$27:$PN$27,("&gt;="&amp;$B$4),$C97:$PN97,TabAsistencias[[#Headers],[1]])</f>
        <v>73</v>
      </c>
      <c r="QN97" s="314">
        <f>COUNTIFS($C$27:$PN$27,("&lt;"&amp;$B$5),$C$27:$PN$27,("&gt;="&amp;$B$4),$C97:$PN97,TabAsistencias[[#Headers],[DE]])</f>
        <v>0</v>
      </c>
      <c r="QO97" s="314">
        <f>COUNTIFS($C$27:$PN$27,("&lt;"&amp;$B$5),$C$27:$PN$27,("&gt;="&amp;$B$4),$C97:$PN97,TabAsistencias[[#Headers],[V]])</f>
        <v>0</v>
      </c>
      <c r="QP97" s="314">
        <f>COUNTIFS($C$27:$PN$27,("&lt;"&amp;$B$5),$C$27:$PN$27,("&gt;="&amp;$B$4),$C97:$PN97,TabAsistencias[[#Headers],[DO]])</f>
        <v>0</v>
      </c>
      <c r="QQ97" s="314">
        <f>COUNTIFS($C$27:$PN$27,("&lt;"&amp;$B$5),$C$27:$PN$27,("&gt;="&amp;$B$4),$C97:$PN97,TabAsistencias[[#Headers],[P]])</f>
        <v>0</v>
      </c>
      <c r="QR97" s="314">
        <f>COUNTIFS($C$27:$PN$27,("&lt;"&amp;$B$5),$C$27:$PN$27,("&gt;="&amp;$B$4),$C97:$PN97,TabAsistencias[[#Headers],[F]])</f>
        <v>0</v>
      </c>
      <c r="QS97" s="314">
        <f>COUNTIFS($C$27:$PN$27,("&lt;"&amp;$B$5),$C$27:$PN$27,("&gt;="&amp;$B$4),$C97:$PN97,TabAsistencias[[#Headers],[R]])</f>
        <v>0</v>
      </c>
      <c r="QT97" s="314">
        <f>COUNTIFS($C$27:$PN$27,("&lt;"&amp;$B$5),$C$27:$PN$27,("&gt;="&amp;$B$4),$C97:$PN97,TabAsistencias[[#Headers],[PP]])</f>
        <v>0</v>
      </c>
      <c r="QU97" s="314">
        <f>COUNTIFS($C$27:$PN$27,("&lt;"&amp;$B$5),$C$27:$PN$27,("&gt;="&amp;$B$4),$C97:$PN97,TabAsistencias[[#Headers],[0]])</f>
        <v>0</v>
      </c>
      <c r="QV97" s="314">
        <f>COUNTIFS($C$27:$PN$27,("&lt;"&amp;$B$5),$C$27:$PN$27,("&gt;="&amp;$B$4),$C97:$PN97,TabAsistencias[[#Headers],[IG]])</f>
        <v>0</v>
      </c>
      <c r="QW97" s="314">
        <f>COUNTIFS($C$27:$PN$27,("&lt;"&amp;$B$5),$C$27:$PN$27,("&gt;="&amp;$B$4),$C97:$PN97,TabAsistencias[[#Headers],[NA]])</f>
        <v>0</v>
      </c>
      <c r="QX97" s="314">
        <f>COUNTIFS($C$27:$PN$27,("&lt;"&amp;$B$5),$C$27:$PN$27,("&gt;="&amp;$B$4),$C97:$PN97,TabAsistencias[[#Headers],[DF]])</f>
        <v>0</v>
      </c>
      <c r="QY97" s="314">
        <f>COUNTIFS($C$27:$PN$27,("&lt;"&amp;$B$5),$C$27:$PN$27,("&gt;="&amp;$B$4),$C97:$PN97,TabAsistencias[[#Headers],[3]])</f>
        <v>0</v>
      </c>
      <c r="QZ97" s="314">
        <f>COUNTIFS($C$27:$PN$27,("&lt;"&amp;$B$5),$C$27:$PN$27,("&gt;="&amp;$B$4),$C97:$PN97,TabAsistencias[[#Headers],[CP]])</f>
        <v>0</v>
      </c>
      <c r="RA97" s="314">
        <f>COUNTIFS($C$27:$PN$27,("&lt;"&amp;$B$5),$C$27:$PN$27,("&gt;="&amp;$B$4),$C97:$PN97,TabAsistencias[[#Headers],[I]])</f>
        <v>0</v>
      </c>
      <c r="RB97" s="314">
        <f>COUNTIFS($C$27:$PN$27,("&lt;"&amp;$B$5),$C$27:$PN$27,("&gt;="&amp;$B$4),$C97:$PN97,TabAsistencias[[#Headers],[T/2]])</f>
        <v>0</v>
      </c>
      <c r="RC97" s="314">
        <f>COUNTIFS($C$27:$PN$27,("&lt;"&amp;$B$5),$C$27:$PN$27,("&gt;="&amp;$B$4),$C97:$PN97,TabAsistencias[[#Headers],[ME]])</f>
        <v>0</v>
      </c>
      <c r="RD97" s="314">
        <f>COUNTIFS($C$27:$PN$27,("&lt;"&amp;$B$5),$C$27:$PN$27,("&gt;="&amp;$B$4),$C97:$PN97,TabAsistencias[[#Headers],[DP]])</f>
        <v>0</v>
      </c>
      <c r="RE97" s="314">
        <f>COUNTIFS($C$27:$PN$27,("&lt;"&amp;$B$5),$C$27:$PN$27,("&gt;="&amp;$B$4),$C97:$PN97,TabAsistencias[[#Headers],[B]])</f>
        <v>0</v>
      </c>
      <c r="RF97" s="314">
        <f>COUNTIFS($C$27:$PN$27,("&lt;"&amp;$B$5),$C$27:$PN$27,("&gt;="&amp;$B$4),$C$28:$PN$28,1,$C97:$PN97,TabAsistencias[[#Headers],[1]])+
COUNTIFS($C$27:$PN$27,("&lt;"&amp;$B$5),$C$27:$PN$27,("&gt;="&amp;$B$4),$C$28:$PN$28,1,$C97:$PN97,TabAsistencias[[#Headers],[DO]])+
COUNTIFS($C$27:$PN$27,("&lt;"&amp;$B$5),$C$27:$PN$27,("&gt;="&amp;$B$4),$C$28:$PN$28,1,$C97:$PN97,TabAsistencias[[#Headers],[R]])+
COUNTIFS($C$27:$PN$27,("&lt;"&amp;$B$5),$C$27:$PN$27,("&gt;="&amp;$B$4),$C$28:$PN$28,1,$C97:$PN97,TabAsistencias[[#Headers],[NA]])+
COUNTIFS($C$27:$PN$27,("&lt;"&amp;$B$5),$C$27:$PN$27,("&gt;="&amp;$B$4),$C$28:$PN$28,1,$C97:$PN97,TabAsistencias[[#Headers],[DF]])+
COUNTIFS($C$27:$PN$27,("&lt;"&amp;$B$5),$C$27:$PN$27,("&gt;="&amp;$B$4),$C$28:$PN$28,1,$C97:$PN97,TabAsistencias[[#Headers],[3]])+
COUNTIFS($C$27:$PN$27,("&lt;"&amp;$B$5),$C$27:$PN$27,("&gt;="&amp;$B$4),$C$28:$PN$28,1,$C97:$PN97,TabAsistencias[[#Headers],[CP]])+
COUNTIFS($C$27:$PN$27,("&lt;"&amp;$B$5),$C$27:$PN$27,("&gt;="&amp;$B$4),$C$28:$PN$28,1,$C97:$PN97,TabAsistencias[[#Headers],[T/2]])</f>
        <v>11</v>
      </c>
      <c r="RG97" s="320" cm="1">
        <f t="array" ref="RG97">IFERROR(VLOOKUP(
DATEDIF((VLOOKUP(TabAsistencias[[#This Row],[ID]],TabEmpleados[],COLUMN(TabEmpleados[Fecha de alta NSS]),FALSE)),Asistencias!$B$3,"Y"),
TabFactorIntegracion[],COLUMN(TabFactorIntegracion[Días vacacionales
establecidos por ley]),FALSE),0)
-
COUNTIF($AH97:$PN97,TabAsistencias[[#Headers],[V]])</f>
        <v>12</v>
      </c>
    </row>
    <row r="98" spans="1:475" x14ac:dyDescent="0.25">
      <c r="A98" s="92">
        <f t="shared" si="435"/>
        <v>68</v>
      </c>
      <c r="B98" s="30" t="str" cm="1">
        <f t="array" ref="B98">VLOOKUP(TabAsistencias[[#This Row],[ID]],TabEmpleados[],COLUMN(TabEmpleados[Nombre]),FALSE)</f>
        <v>LOPEZ VALENCIA ZOSIMO</v>
      </c>
      <c r="C98" s="36" t="s">
        <v>139</v>
      </c>
      <c r="D98" s="36" t="s">
        <v>139</v>
      </c>
      <c r="E98" s="36" t="s">
        <v>139</v>
      </c>
      <c r="F98" s="36" t="s">
        <v>139</v>
      </c>
      <c r="G98" s="36" t="s">
        <v>139</v>
      </c>
      <c r="H98" s="36" t="s">
        <v>139</v>
      </c>
      <c r="I98" s="36" t="s">
        <v>139</v>
      </c>
      <c r="J98" s="36" t="s">
        <v>139</v>
      </c>
      <c r="K98" s="36" t="s">
        <v>139</v>
      </c>
      <c r="L98" s="36" t="s">
        <v>139</v>
      </c>
      <c r="M98" s="36" t="s">
        <v>139</v>
      </c>
      <c r="N98" s="36" t="s">
        <v>139</v>
      </c>
      <c r="O98" s="36" t="s">
        <v>139</v>
      </c>
      <c r="P98" s="36" t="s">
        <v>139</v>
      </c>
      <c r="Q98" s="36" t="s">
        <v>139</v>
      </c>
      <c r="R98" s="36" t="s">
        <v>139</v>
      </c>
      <c r="S98" s="36" t="s">
        <v>139</v>
      </c>
      <c r="T98" s="36" t="s">
        <v>139</v>
      </c>
      <c r="U98" s="36" t="s">
        <v>139</v>
      </c>
      <c r="V98" s="36" t="s">
        <v>139</v>
      </c>
      <c r="W98" s="36" t="s">
        <v>139</v>
      </c>
      <c r="X98" s="36" t="s">
        <v>139</v>
      </c>
      <c r="Y98" s="36" t="s">
        <v>139</v>
      </c>
      <c r="Z98" s="36" t="s">
        <v>139</v>
      </c>
      <c r="AA98" s="36" t="s">
        <v>139</v>
      </c>
      <c r="AB98" s="36" t="s">
        <v>139</v>
      </c>
      <c r="AC98" s="36" t="s">
        <v>139</v>
      </c>
      <c r="AD98" s="36" t="s">
        <v>139</v>
      </c>
      <c r="AE98" s="36" t="s">
        <v>139</v>
      </c>
      <c r="AF98" s="36" t="s">
        <v>139</v>
      </c>
      <c r="AG98" s="36" t="s">
        <v>139</v>
      </c>
      <c r="AH98" s="36" t="s">
        <v>139</v>
      </c>
      <c r="AI98" s="36" t="s">
        <v>139</v>
      </c>
      <c r="AJ98" s="36" t="s">
        <v>139</v>
      </c>
      <c r="AK98" s="36" t="s">
        <v>139</v>
      </c>
      <c r="AL98" s="36" t="s">
        <v>139</v>
      </c>
      <c r="AM98" s="36" t="s">
        <v>139</v>
      </c>
      <c r="AN98" s="36" t="s">
        <v>139</v>
      </c>
      <c r="AO98" s="36" t="s">
        <v>139</v>
      </c>
      <c r="AP98" s="36" t="s">
        <v>139</v>
      </c>
      <c r="AQ98" s="36" t="s">
        <v>139</v>
      </c>
      <c r="AR98" s="36" t="s">
        <v>139</v>
      </c>
      <c r="AS98" s="36" t="s">
        <v>139</v>
      </c>
      <c r="AT98" s="36" t="s">
        <v>139</v>
      </c>
      <c r="AU98" s="36" t="s">
        <v>139</v>
      </c>
      <c r="AV98" s="36" t="s">
        <v>139</v>
      </c>
      <c r="AW98" s="36" t="s">
        <v>139</v>
      </c>
      <c r="AX98" s="36" t="s">
        <v>139</v>
      </c>
      <c r="AY98" s="36" t="s">
        <v>139</v>
      </c>
      <c r="AZ98" s="36" t="s">
        <v>139</v>
      </c>
      <c r="BA98" s="36" t="s">
        <v>139</v>
      </c>
      <c r="BB98" s="36" t="s">
        <v>139</v>
      </c>
      <c r="BC98" s="36" t="s">
        <v>139</v>
      </c>
      <c r="BD98" s="36" t="s">
        <v>139</v>
      </c>
      <c r="BE98" s="36" t="s">
        <v>139</v>
      </c>
      <c r="BF98" s="36" t="s">
        <v>139</v>
      </c>
      <c r="BG98" s="36" t="s">
        <v>139</v>
      </c>
      <c r="BH98" s="36" t="s">
        <v>139</v>
      </c>
      <c r="BI98" s="36" t="s">
        <v>139</v>
      </c>
      <c r="BJ98" s="36" t="s">
        <v>139</v>
      </c>
      <c r="BK98" s="36" t="s">
        <v>139</v>
      </c>
      <c r="BL98" s="36" t="s">
        <v>139</v>
      </c>
      <c r="BM98" s="36" t="s">
        <v>139</v>
      </c>
      <c r="BN98" s="36" t="s">
        <v>139</v>
      </c>
      <c r="BO98" s="36" t="s">
        <v>139</v>
      </c>
      <c r="BP98" s="36" t="s">
        <v>139</v>
      </c>
      <c r="BQ98" s="36" t="s">
        <v>139</v>
      </c>
      <c r="BR98" s="36" t="s">
        <v>139</v>
      </c>
      <c r="BS98" s="36" t="s">
        <v>139</v>
      </c>
      <c r="BT98" s="36" t="s">
        <v>139</v>
      </c>
      <c r="BU98" s="36" t="s">
        <v>139</v>
      </c>
      <c r="BV98" s="36" t="s">
        <v>139</v>
      </c>
      <c r="BW98" s="36" t="s">
        <v>139</v>
      </c>
      <c r="BX98" s="36" t="s">
        <v>139</v>
      </c>
      <c r="BY98" s="36" t="s">
        <v>139</v>
      </c>
      <c r="BZ98" s="36" t="s">
        <v>139</v>
      </c>
      <c r="CA98" s="36" t="s">
        <v>139</v>
      </c>
      <c r="CB98" s="36" t="s">
        <v>139</v>
      </c>
      <c r="CC98" s="36" t="s">
        <v>139</v>
      </c>
      <c r="CD98" s="36" t="s">
        <v>139</v>
      </c>
      <c r="CE98" s="36" t="s">
        <v>139</v>
      </c>
      <c r="CF98" s="36" t="s">
        <v>139</v>
      </c>
      <c r="CG98" s="36" t="s">
        <v>139</v>
      </c>
      <c r="CH98" s="36" t="s">
        <v>139</v>
      </c>
      <c r="CI98" s="36" t="s">
        <v>139</v>
      </c>
      <c r="CJ98" s="36" t="s">
        <v>139</v>
      </c>
      <c r="CK98" s="36" t="s">
        <v>139</v>
      </c>
      <c r="CL98" s="36" t="s">
        <v>139</v>
      </c>
      <c r="CM98" s="36" t="s">
        <v>139</v>
      </c>
      <c r="CN98" s="36" t="s">
        <v>139</v>
      </c>
      <c r="CO98" s="36" t="s">
        <v>139</v>
      </c>
      <c r="CP98" s="36" t="s">
        <v>139</v>
      </c>
      <c r="CQ98" s="36" t="s">
        <v>139</v>
      </c>
      <c r="CR98" s="36" t="s">
        <v>139</v>
      </c>
      <c r="CS98" s="36" t="s">
        <v>139</v>
      </c>
      <c r="CT98" s="36" t="s">
        <v>139</v>
      </c>
      <c r="CU98" s="36" t="s">
        <v>139</v>
      </c>
      <c r="CV98" s="36" t="s">
        <v>139</v>
      </c>
      <c r="CW98" s="36" t="s">
        <v>139</v>
      </c>
      <c r="CX98" s="36" t="s">
        <v>139</v>
      </c>
      <c r="CY98" s="36" t="s">
        <v>139</v>
      </c>
      <c r="CZ98" s="36" t="s">
        <v>139</v>
      </c>
      <c r="DA98" s="36" t="s">
        <v>139</v>
      </c>
      <c r="DB98" s="36" t="s">
        <v>139</v>
      </c>
      <c r="DC98" s="36" t="s">
        <v>139</v>
      </c>
      <c r="DD98" s="36" t="s">
        <v>139</v>
      </c>
      <c r="DE98" s="36" t="s">
        <v>139</v>
      </c>
      <c r="DF98" s="36" t="s">
        <v>139</v>
      </c>
      <c r="DG98" s="36" t="s">
        <v>139</v>
      </c>
      <c r="DH98" s="36" t="s">
        <v>139</v>
      </c>
      <c r="DI98" s="36" t="s">
        <v>139</v>
      </c>
      <c r="DJ98" s="36" t="s">
        <v>139</v>
      </c>
      <c r="DK98" s="36" t="s">
        <v>139</v>
      </c>
      <c r="DL98" s="36" t="s">
        <v>139</v>
      </c>
      <c r="DM98" s="36" t="s">
        <v>139</v>
      </c>
      <c r="DN98" s="36" t="s">
        <v>139</v>
      </c>
      <c r="DO98" s="36" t="s">
        <v>139</v>
      </c>
      <c r="DP98" s="36" t="s">
        <v>139</v>
      </c>
      <c r="DQ98" s="36" t="s">
        <v>139</v>
      </c>
      <c r="DR98" s="36" t="s">
        <v>139</v>
      </c>
      <c r="DS98" s="36" t="s">
        <v>139</v>
      </c>
      <c r="DT98" s="36" t="s">
        <v>139</v>
      </c>
      <c r="DU98" s="36" t="s">
        <v>139</v>
      </c>
      <c r="DV98" s="36" t="s">
        <v>139</v>
      </c>
      <c r="DW98" s="36" t="s">
        <v>139</v>
      </c>
      <c r="DX98" s="36" t="s">
        <v>139</v>
      </c>
      <c r="DY98" s="36" t="s">
        <v>139</v>
      </c>
      <c r="DZ98" s="36" t="s">
        <v>139</v>
      </c>
      <c r="EA98" s="36" t="s">
        <v>139</v>
      </c>
      <c r="EB98" s="36" t="s">
        <v>139</v>
      </c>
      <c r="EC98" s="36" t="s">
        <v>139</v>
      </c>
      <c r="ED98" s="36" t="s">
        <v>139</v>
      </c>
      <c r="EE98" s="36" t="s">
        <v>139</v>
      </c>
      <c r="EF98" s="36" t="s">
        <v>139</v>
      </c>
      <c r="EG98" s="36" t="s">
        <v>139</v>
      </c>
      <c r="EH98" s="36" t="s">
        <v>139</v>
      </c>
      <c r="EI98" s="36" t="s">
        <v>139</v>
      </c>
      <c r="EJ98" s="36" t="s">
        <v>139</v>
      </c>
      <c r="EK98" s="36" t="s">
        <v>139</v>
      </c>
      <c r="EL98" s="36" t="s">
        <v>139</v>
      </c>
      <c r="EM98" s="36" t="s">
        <v>139</v>
      </c>
      <c r="EN98" s="36" t="s">
        <v>139</v>
      </c>
      <c r="EO98" s="36" t="s">
        <v>139</v>
      </c>
      <c r="EP98" s="36" t="s">
        <v>139</v>
      </c>
      <c r="EQ98" s="36" t="s">
        <v>139</v>
      </c>
      <c r="ER98" s="36" t="s">
        <v>139</v>
      </c>
      <c r="ES98" s="36" t="s">
        <v>139</v>
      </c>
      <c r="ET98" s="36" t="s">
        <v>139</v>
      </c>
      <c r="EU98" s="36" t="s">
        <v>139</v>
      </c>
      <c r="EV98" s="36" t="s">
        <v>139</v>
      </c>
      <c r="EW98" s="36" t="s">
        <v>139</v>
      </c>
      <c r="EX98" s="36" t="s">
        <v>139</v>
      </c>
      <c r="EY98" s="36" t="s">
        <v>139</v>
      </c>
      <c r="EZ98" s="36" t="s">
        <v>139</v>
      </c>
      <c r="FA98" s="36" t="s">
        <v>139</v>
      </c>
      <c r="FB98" s="36" t="s">
        <v>139</v>
      </c>
      <c r="FC98" s="36" t="s">
        <v>139</v>
      </c>
      <c r="FD98" s="36" t="s">
        <v>139</v>
      </c>
      <c r="FE98" s="36" t="s">
        <v>139</v>
      </c>
      <c r="FF98" s="36" t="s">
        <v>139</v>
      </c>
      <c r="FG98" s="36" t="s">
        <v>139</v>
      </c>
      <c r="FH98" s="36" t="s">
        <v>139</v>
      </c>
      <c r="FI98" s="36" t="s">
        <v>139</v>
      </c>
      <c r="FJ98" s="36" t="s">
        <v>139</v>
      </c>
      <c r="FK98" s="36" t="s">
        <v>139</v>
      </c>
      <c r="FL98" s="36" t="s">
        <v>139</v>
      </c>
      <c r="FM98" s="36" t="s">
        <v>139</v>
      </c>
      <c r="FN98" s="36" t="s">
        <v>139</v>
      </c>
      <c r="FO98" s="36" t="s">
        <v>139</v>
      </c>
      <c r="FP98" s="36" t="s">
        <v>139</v>
      </c>
      <c r="FQ98" s="36" t="s">
        <v>139</v>
      </c>
      <c r="FR98" s="36" t="s">
        <v>139</v>
      </c>
      <c r="FS98" s="36" t="s">
        <v>139</v>
      </c>
      <c r="FT98" s="36" t="s">
        <v>139</v>
      </c>
      <c r="FU98" s="36" t="s">
        <v>139</v>
      </c>
      <c r="FV98" s="36" t="s">
        <v>139</v>
      </c>
      <c r="FW98" s="36" t="s">
        <v>139</v>
      </c>
      <c r="FX98" s="36" t="s">
        <v>139</v>
      </c>
      <c r="FY98" s="36" t="s">
        <v>139</v>
      </c>
      <c r="FZ98" s="36" t="s">
        <v>139</v>
      </c>
      <c r="GA98" s="36" t="s">
        <v>139</v>
      </c>
      <c r="GB98" s="36" t="s">
        <v>139</v>
      </c>
      <c r="GC98" s="36" t="s">
        <v>139</v>
      </c>
      <c r="GD98" s="36" t="s">
        <v>139</v>
      </c>
      <c r="GE98" s="36" t="s">
        <v>139</v>
      </c>
      <c r="GF98" s="36" t="s">
        <v>139</v>
      </c>
      <c r="GG98" s="36" t="s">
        <v>139</v>
      </c>
      <c r="GH98" s="36" t="s">
        <v>139</v>
      </c>
      <c r="GI98" s="36" t="s">
        <v>139</v>
      </c>
      <c r="GJ98" s="36" t="s">
        <v>139</v>
      </c>
      <c r="GK98" s="36" t="s">
        <v>139</v>
      </c>
      <c r="GL98" s="36" t="s">
        <v>139</v>
      </c>
      <c r="GM98" s="36" t="s">
        <v>139</v>
      </c>
      <c r="GN98" s="36" t="s">
        <v>139</v>
      </c>
      <c r="GO98" s="36" t="s">
        <v>139</v>
      </c>
      <c r="GP98" s="36" t="s">
        <v>139</v>
      </c>
      <c r="GQ98" s="36" t="s">
        <v>139</v>
      </c>
      <c r="GR98" s="36" t="s">
        <v>139</v>
      </c>
      <c r="GS98" s="36" t="s">
        <v>139</v>
      </c>
      <c r="GT98" s="36" t="s">
        <v>139</v>
      </c>
      <c r="GU98" s="36" t="s">
        <v>139</v>
      </c>
      <c r="GV98" s="36" t="s">
        <v>139</v>
      </c>
      <c r="GW98" s="36" t="s">
        <v>139</v>
      </c>
      <c r="GX98" s="36" t="s">
        <v>139</v>
      </c>
      <c r="GY98" s="36" t="s">
        <v>139</v>
      </c>
      <c r="GZ98" s="36" t="s">
        <v>139</v>
      </c>
      <c r="HA98" s="36" t="s">
        <v>139</v>
      </c>
      <c r="HB98" s="36" t="s">
        <v>139</v>
      </c>
      <c r="HC98" s="36" t="s">
        <v>139</v>
      </c>
      <c r="HD98" s="36" t="s">
        <v>139</v>
      </c>
      <c r="HE98" s="36" t="s">
        <v>139</v>
      </c>
      <c r="HF98" s="36" t="s">
        <v>139</v>
      </c>
      <c r="HG98" s="36" t="s">
        <v>139</v>
      </c>
      <c r="HH98" s="36" t="s">
        <v>139</v>
      </c>
      <c r="HI98" s="36" t="s">
        <v>139</v>
      </c>
      <c r="HJ98" s="36" t="s">
        <v>139</v>
      </c>
      <c r="HK98" s="36" t="s">
        <v>139</v>
      </c>
      <c r="HL98" s="36" t="s">
        <v>139</v>
      </c>
      <c r="HM98" s="36" t="s">
        <v>139</v>
      </c>
      <c r="HN98" s="36" t="s">
        <v>139</v>
      </c>
      <c r="HO98" s="36" t="s">
        <v>139</v>
      </c>
      <c r="HP98" s="36" t="s">
        <v>139</v>
      </c>
      <c r="HQ98" s="36" t="s">
        <v>139</v>
      </c>
      <c r="HR98" s="36" t="s">
        <v>139</v>
      </c>
      <c r="HS98" s="36" t="s">
        <v>139</v>
      </c>
      <c r="HT98" s="36" t="s">
        <v>139</v>
      </c>
      <c r="HU98" s="36" t="s">
        <v>139</v>
      </c>
      <c r="HV98" s="36" t="s">
        <v>139</v>
      </c>
      <c r="HW98" s="36" t="s">
        <v>139</v>
      </c>
      <c r="HX98" s="36" t="s">
        <v>139</v>
      </c>
      <c r="HY98" s="36" t="s">
        <v>139</v>
      </c>
      <c r="HZ98" s="36" t="s">
        <v>139</v>
      </c>
      <c r="IA98" s="36" t="s">
        <v>139</v>
      </c>
      <c r="IB98" s="36" t="s">
        <v>139</v>
      </c>
      <c r="IC98" s="36" t="s">
        <v>139</v>
      </c>
      <c r="ID98" s="36" t="s">
        <v>139</v>
      </c>
      <c r="IE98" s="36" t="s">
        <v>139</v>
      </c>
      <c r="IF98" s="36" t="s">
        <v>139</v>
      </c>
      <c r="IG98" s="36" t="s">
        <v>139</v>
      </c>
      <c r="IH98" s="36" t="s">
        <v>139</v>
      </c>
      <c r="II98" s="36" t="s">
        <v>139</v>
      </c>
      <c r="IJ98" s="36" t="s">
        <v>139</v>
      </c>
      <c r="IK98" s="36" t="s">
        <v>139</v>
      </c>
      <c r="IL98" s="36" t="s">
        <v>139</v>
      </c>
      <c r="IM98" s="36" t="s">
        <v>139</v>
      </c>
      <c r="IN98" s="36" t="s">
        <v>139</v>
      </c>
      <c r="IO98" s="36" t="s">
        <v>139</v>
      </c>
      <c r="IP98" s="36" t="s">
        <v>139</v>
      </c>
      <c r="IQ98" s="36" t="s">
        <v>139</v>
      </c>
      <c r="IR98" s="36" t="s">
        <v>139</v>
      </c>
      <c r="IS98" s="36" t="s">
        <v>139</v>
      </c>
      <c r="IT98" s="36" t="s">
        <v>139</v>
      </c>
      <c r="IU98" s="36" t="s">
        <v>139</v>
      </c>
      <c r="IV98" s="36" t="s">
        <v>139</v>
      </c>
      <c r="IW98" s="36" t="s">
        <v>139</v>
      </c>
      <c r="IX98" s="36" t="s">
        <v>139</v>
      </c>
      <c r="IY98" s="36" t="s">
        <v>139</v>
      </c>
      <c r="IZ98" s="36" t="s">
        <v>139</v>
      </c>
      <c r="JA98" s="36" t="s">
        <v>139</v>
      </c>
      <c r="JB98" s="36" t="s">
        <v>139</v>
      </c>
      <c r="JC98" s="36" t="s">
        <v>139</v>
      </c>
      <c r="JD98" s="36" t="s">
        <v>139</v>
      </c>
      <c r="JE98" s="36" t="s">
        <v>139</v>
      </c>
      <c r="JF98" s="36" t="s">
        <v>139</v>
      </c>
      <c r="JG98" s="36" t="s">
        <v>139</v>
      </c>
      <c r="JH98" s="36" t="s">
        <v>139</v>
      </c>
      <c r="JI98" s="36" t="s">
        <v>139</v>
      </c>
      <c r="JJ98" s="36" t="s">
        <v>139</v>
      </c>
      <c r="JK98" s="36" t="s">
        <v>139</v>
      </c>
      <c r="JL98" s="36" t="s">
        <v>139</v>
      </c>
      <c r="JM98" s="36" t="s">
        <v>139</v>
      </c>
      <c r="JN98" s="36" t="s">
        <v>139</v>
      </c>
      <c r="JO98" s="36" t="s">
        <v>139</v>
      </c>
      <c r="JP98" s="36" t="s">
        <v>139</v>
      </c>
      <c r="JQ98" s="36" t="s">
        <v>139</v>
      </c>
      <c r="JR98" s="36" t="s">
        <v>139</v>
      </c>
      <c r="JS98" s="36" t="s">
        <v>139</v>
      </c>
      <c r="JT98" s="36" t="s">
        <v>139</v>
      </c>
      <c r="JU98" s="36" t="s">
        <v>139</v>
      </c>
      <c r="JV98" s="36" t="s">
        <v>139</v>
      </c>
      <c r="JW98" s="36" t="s">
        <v>139</v>
      </c>
      <c r="JX98" s="36" t="s">
        <v>139</v>
      </c>
      <c r="JY98" s="36" t="s">
        <v>139</v>
      </c>
      <c r="JZ98" s="36" t="s">
        <v>139</v>
      </c>
      <c r="KA98" s="36" t="s">
        <v>139</v>
      </c>
      <c r="KB98" s="36" t="s">
        <v>139</v>
      </c>
      <c r="KC98" s="36" t="s">
        <v>139</v>
      </c>
      <c r="KD98" s="36" t="s">
        <v>139</v>
      </c>
      <c r="KE98" s="36" t="s">
        <v>139</v>
      </c>
      <c r="KF98" s="36" t="s">
        <v>139</v>
      </c>
      <c r="KG98" s="36" t="s">
        <v>139</v>
      </c>
      <c r="KH98" s="36" t="s">
        <v>139</v>
      </c>
      <c r="KI98" s="36" t="s">
        <v>139</v>
      </c>
      <c r="KJ98" s="36" t="s">
        <v>139</v>
      </c>
      <c r="KK98" s="36" t="s">
        <v>139</v>
      </c>
      <c r="KL98" s="36" t="s">
        <v>139</v>
      </c>
      <c r="KM98" s="36" t="s">
        <v>139</v>
      </c>
      <c r="KN98" s="36" t="s">
        <v>139</v>
      </c>
      <c r="KO98" s="36" t="s">
        <v>139</v>
      </c>
      <c r="KP98" s="36" t="s">
        <v>139</v>
      </c>
      <c r="KQ98" s="36" t="s">
        <v>139</v>
      </c>
      <c r="KR98" s="36" t="s">
        <v>139</v>
      </c>
      <c r="KS98" s="36" t="s">
        <v>139</v>
      </c>
      <c r="KT98" s="36" t="s">
        <v>139</v>
      </c>
      <c r="KU98" s="36" t="s">
        <v>139</v>
      </c>
      <c r="KV98" s="36" t="s">
        <v>139</v>
      </c>
      <c r="KW98" s="36" t="s">
        <v>139</v>
      </c>
      <c r="KX98" s="36" t="s">
        <v>139</v>
      </c>
      <c r="KY98" s="36" t="s">
        <v>139</v>
      </c>
      <c r="KZ98" s="36" t="s">
        <v>139</v>
      </c>
      <c r="LA98" s="36" t="s">
        <v>139</v>
      </c>
      <c r="LB98" s="36" t="s">
        <v>139</v>
      </c>
      <c r="LC98" s="36" t="s">
        <v>139</v>
      </c>
      <c r="LD98" s="36" t="s">
        <v>139</v>
      </c>
      <c r="LE98" s="36" t="s">
        <v>139</v>
      </c>
      <c r="LF98" s="36" t="s">
        <v>139</v>
      </c>
      <c r="LG98" s="36" t="s">
        <v>139</v>
      </c>
      <c r="LH98" s="36" t="s">
        <v>139</v>
      </c>
      <c r="LI98" s="36" t="s">
        <v>139</v>
      </c>
      <c r="LJ98" s="36" t="s">
        <v>139</v>
      </c>
      <c r="LK98" s="36" t="s">
        <v>139</v>
      </c>
      <c r="LL98" s="36" t="s">
        <v>139</v>
      </c>
      <c r="LM98" s="36" t="s">
        <v>139</v>
      </c>
      <c r="LN98" s="36" t="s">
        <v>139</v>
      </c>
      <c r="LO98" s="36" t="s">
        <v>139</v>
      </c>
      <c r="LP98" s="36" t="s">
        <v>139</v>
      </c>
      <c r="LQ98" s="36" t="s">
        <v>139</v>
      </c>
      <c r="LR98" s="36" t="s">
        <v>139</v>
      </c>
      <c r="LS98" s="36" t="s">
        <v>139</v>
      </c>
      <c r="LT98" s="36" t="s">
        <v>139</v>
      </c>
      <c r="LU98" s="36" t="s">
        <v>139</v>
      </c>
      <c r="LV98" s="36" t="s">
        <v>139</v>
      </c>
      <c r="LW98" s="36" t="s">
        <v>139</v>
      </c>
      <c r="LX98" s="36" t="s">
        <v>139</v>
      </c>
      <c r="LY98" s="36" t="s">
        <v>139</v>
      </c>
      <c r="LZ98" s="36" t="s">
        <v>139</v>
      </c>
      <c r="MA98" s="36" t="s">
        <v>139</v>
      </c>
      <c r="MB98" s="36" t="s">
        <v>139</v>
      </c>
      <c r="MC98" s="36" t="s">
        <v>139</v>
      </c>
      <c r="MD98" s="36" t="s">
        <v>139</v>
      </c>
      <c r="ME98" s="36" t="s">
        <v>139</v>
      </c>
      <c r="MF98" s="36" t="s">
        <v>139</v>
      </c>
      <c r="MG98" s="36" t="s">
        <v>139</v>
      </c>
      <c r="MH98" s="36" t="s">
        <v>139</v>
      </c>
      <c r="MI98" s="36" t="s">
        <v>139</v>
      </c>
      <c r="MJ98" s="36" t="s">
        <v>139</v>
      </c>
      <c r="MK98" s="36" t="s">
        <v>139</v>
      </c>
      <c r="ML98" s="36" t="s">
        <v>139</v>
      </c>
      <c r="MM98" s="36" t="s">
        <v>139</v>
      </c>
      <c r="MN98" s="36" t="s">
        <v>139</v>
      </c>
      <c r="MO98" s="36" t="s">
        <v>139</v>
      </c>
      <c r="MP98" s="36" t="s">
        <v>139</v>
      </c>
      <c r="MQ98" s="36" t="s">
        <v>139</v>
      </c>
      <c r="MR98" s="36" t="s">
        <v>139</v>
      </c>
      <c r="MS98" s="36" t="s">
        <v>139</v>
      </c>
      <c r="MT98" s="36" t="s">
        <v>139</v>
      </c>
      <c r="MU98" s="36" t="s">
        <v>139</v>
      </c>
      <c r="MV98" s="36" t="s">
        <v>139</v>
      </c>
      <c r="MW98" s="36" t="s">
        <v>139</v>
      </c>
      <c r="MX98" s="36" t="s">
        <v>139</v>
      </c>
      <c r="MY98" s="36" t="s">
        <v>139</v>
      </c>
      <c r="MZ98" s="36" t="s">
        <v>139</v>
      </c>
      <c r="NA98" s="36" t="s">
        <v>139</v>
      </c>
      <c r="NB98" s="36" t="s">
        <v>139</v>
      </c>
      <c r="NC98" s="36" t="s">
        <v>139</v>
      </c>
      <c r="ND98" s="36" t="s">
        <v>139</v>
      </c>
      <c r="NE98" s="36" t="s">
        <v>139</v>
      </c>
      <c r="NF98" s="36" t="s">
        <v>139</v>
      </c>
      <c r="NG98" s="36" t="s">
        <v>139</v>
      </c>
      <c r="NH98" s="36" t="s">
        <v>139</v>
      </c>
      <c r="NI98" s="36" t="s">
        <v>139</v>
      </c>
      <c r="NJ98" s="36" t="s">
        <v>139</v>
      </c>
      <c r="NK98" s="36" t="s">
        <v>139</v>
      </c>
      <c r="NL98" s="36" t="s">
        <v>139</v>
      </c>
      <c r="NM98" s="36" t="s">
        <v>139</v>
      </c>
      <c r="NN98" s="36" t="s">
        <v>139</v>
      </c>
      <c r="NO98" s="36" t="s">
        <v>139</v>
      </c>
      <c r="NP98" s="36" t="s">
        <v>139</v>
      </c>
      <c r="NQ98" s="36" t="s">
        <v>139</v>
      </c>
      <c r="NR98" s="36" t="s">
        <v>139</v>
      </c>
      <c r="NS98" s="36" t="s">
        <v>139</v>
      </c>
      <c r="NT98" s="36" t="s">
        <v>139</v>
      </c>
      <c r="NU98" s="36" t="s">
        <v>139</v>
      </c>
      <c r="NV98" s="36" t="s">
        <v>139</v>
      </c>
      <c r="NW98" s="36" t="s">
        <v>139</v>
      </c>
      <c r="NX98" s="36" t="s">
        <v>139</v>
      </c>
      <c r="NY98" s="36" t="s">
        <v>139</v>
      </c>
      <c r="NZ98" s="36" t="s">
        <v>139</v>
      </c>
      <c r="OA98" s="36" t="s">
        <v>139</v>
      </c>
      <c r="OB98" s="36" t="s">
        <v>139</v>
      </c>
      <c r="OC98" s="36" t="s">
        <v>139</v>
      </c>
      <c r="OD98" s="36" t="s">
        <v>139</v>
      </c>
      <c r="OE98" s="36" t="s">
        <v>139</v>
      </c>
      <c r="OF98" s="36" t="s">
        <v>139</v>
      </c>
      <c r="OG98" s="36" t="s">
        <v>139</v>
      </c>
      <c r="OH98" s="36" t="s">
        <v>139</v>
      </c>
      <c r="OI98" s="36" t="s">
        <v>139</v>
      </c>
      <c r="OJ98" s="36" t="s">
        <v>139</v>
      </c>
      <c r="OK98" s="36" t="s">
        <v>139</v>
      </c>
      <c r="OL98" s="36" t="s">
        <v>139</v>
      </c>
      <c r="OM98" s="36" t="s">
        <v>139</v>
      </c>
      <c r="ON98" s="36" t="s">
        <v>139</v>
      </c>
      <c r="OO98" s="36" t="s">
        <v>139</v>
      </c>
      <c r="OP98" s="36" t="s">
        <v>139</v>
      </c>
      <c r="OQ98" s="36" t="s">
        <v>139</v>
      </c>
      <c r="OR98" s="36" t="s">
        <v>139</v>
      </c>
      <c r="OS98" s="36" t="s">
        <v>139</v>
      </c>
      <c r="OT98" s="36" t="s">
        <v>139</v>
      </c>
      <c r="OU98" s="36" t="s">
        <v>139</v>
      </c>
      <c r="OV98" s="36" t="s">
        <v>139</v>
      </c>
      <c r="OW98" s="36" t="s">
        <v>139</v>
      </c>
      <c r="OX98" s="36" t="s">
        <v>139</v>
      </c>
      <c r="OY98" s="36" t="s">
        <v>139</v>
      </c>
      <c r="OZ98" s="36" t="s">
        <v>139</v>
      </c>
      <c r="PA98" s="36" t="s">
        <v>139</v>
      </c>
      <c r="PB98" s="36" t="s">
        <v>139</v>
      </c>
      <c r="PC98" s="36" t="s">
        <v>139</v>
      </c>
      <c r="PD98" s="36" t="s">
        <v>139</v>
      </c>
      <c r="PE98" s="36" t="s">
        <v>139</v>
      </c>
      <c r="PF98" s="36" t="s">
        <v>139</v>
      </c>
      <c r="PG98" s="36" t="s">
        <v>139</v>
      </c>
      <c r="PH98" s="36" t="s">
        <v>139</v>
      </c>
      <c r="PI98" s="36" t="s">
        <v>139</v>
      </c>
      <c r="PJ98" s="36" t="s">
        <v>139</v>
      </c>
      <c r="PK98" s="36" t="s">
        <v>139</v>
      </c>
      <c r="PL98" s="36" t="s">
        <v>139</v>
      </c>
      <c r="PM98" s="36" t="s">
        <v>139</v>
      </c>
      <c r="PN98" s="36" t="s">
        <v>139</v>
      </c>
      <c r="PO98" s="74">
        <f>COUNTIFS($C$27:$PN$27,("&lt;"&amp;$B$3),$C$27:$PN$27,("&gt;="&amp;$B$2),$C98:$PN98,TabAsistencias[[#Headers],[1]])</f>
        <v>30</v>
      </c>
      <c r="PP98" s="74">
        <f>COUNTIFS($C$27:$PN$27,("&lt;"&amp;$B$3),$C$27:$PN$27,("&gt;="&amp;$B$2),$C98:$PN98,TabAsistencias[[#Headers],[E]])</f>
        <v>0</v>
      </c>
      <c r="PQ98" s="74">
        <f>COUNTIFS($C$27:$PN$27,("&lt;"&amp;$B$3),$C$27:$PN$27,("&gt;="&amp;$B$2),$C98:$PN98,TabAsistencias[[#Headers],[DE]])</f>
        <v>0</v>
      </c>
      <c r="PR98" s="74">
        <f>COUNTIFS($C$27:$PN$27,("&lt;"&amp;$B$3),$C$27:$PN$27,("&gt;="&amp;$B$2),$C98:$PN98,TabAsistencias[[#Headers],[V]])</f>
        <v>0</v>
      </c>
      <c r="PS98" s="74">
        <f>COUNTIFS($C$27:$PN$27,("&lt;"&amp;$B$3),$C$27:$PN$27,("&gt;="&amp;$B$2),$C98:$PN98,TabAsistencias[[#Headers],[DO]])</f>
        <v>0</v>
      </c>
      <c r="PT98" s="74">
        <f>COUNTIFS($C$27:$PN$27,("&lt;"&amp;$B$3),$C$27:$PN$27,("&gt;="&amp;$B$2),$C98:$PN98,TabAsistencias[[#Headers],[P]])</f>
        <v>0</v>
      </c>
      <c r="PU98" s="74">
        <f>COUNTIFS($C$27:$PN$27,("&lt;"&amp;$B$3),$C$27:$PN$27,("&gt;="&amp;$B$2),$C98:$PN98,TabAsistencias[[#Headers],[F]])</f>
        <v>0</v>
      </c>
      <c r="PV98" s="74">
        <f>COUNTIFS($C$27:$PN$27,("&lt;"&amp;$B$3),$C$27:$PN$27,("&gt;="&amp;$B$2),$C98:$PN98,TabAsistencias[[#Headers],[R]])</f>
        <v>0</v>
      </c>
      <c r="PW98" s="74">
        <f>COUNTIFS($C$27:$PN$27,("&lt;"&amp;$B$3),$C$27:$PN$27,("&gt;="&amp;$B$2),$C98:$PN98,TabAsistencias[[#Headers],[PP]])</f>
        <v>0</v>
      </c>
      <c r="PX98" s="74">
        <f>COUNTIFS($C$27:$PN$27,("&lt;"&amp;$B$3),$C$27:$PN$27,("&gt;="&amp;$B$2),$C98:$PN98,TabAsistencias[[#Headers],[0]])</f>
        <v>0</v>
      </c>
      <c r="PY98" s="74">
        <f>COUNTIFS($C$27:$PN$27,("&lt;"&amp;$B$3),$C$27:$PN$27,("&gt;="&amp;$B$2),$C98:$PN98,TabAsistencias[[#Headers],[IG]])</f>
        <v>0</v>
      </c>
      <c r="PZ98" s="74">
        <f>COUNTIFS($C$27:$PN$27,("&lt;"&amp;$B$3),$C$27:$PN$27,("&gt;="&amp;$B$2),$C98:$PN98,TabAsistencias[[#Headers],[NA]])</f>
        <v>0</v>
      </c>
      <c r="QA98" s="74">
        <f>COUNTIFS($C$27:$PN$27,("&lt;"&amp;$B$3),$C$27:$PN$27,("&gt;="&amp;$B$2),$C98:$PN98,TabAsistencias[[#Headers],[DF]])</f>
        <v>0</v>
      </c>
      <c r="QB98" s="74">
        <f>COUNTIFS($C$27:$PN$27,("&lt;"&amp;$B$3),$C$27:$PN$27,("&gt;="&amp;$B$2),$C98:$PN98,TabAsistencias[[#Headers],[3]])</f>
        <v>0</v>
      </c>
      <c r="QC98" s="74">
        <f>COUNTIFS($C$27:$PN$27,("&lt;"&amp;$B$3),$C$27:$PN$27,("&gt;="&amp;$B$2),$C98:$PN98,TabAsistencias[[#Headers],[CP]])</f>
        <v>0</v>
      </c>
      <c r="QD98" s="74">
        <f>COUNTIFS($C$27:$PN$27,("&lt;"&amp;$B$3),$C$27:$PN$27,("&gt;="&amp;$B$2),$C98:$PN98,TabAsistencias[[#Headers],[I]])</f>
        <v>0</v>
      </c>
      <c r="QE98" s="74">
        <f>COUNTIFS($C$27:$PN$27,("&lt;"&amp;$B$3),$C$27:$PN$27,("&gt;="&amp;$B$2),$C98:$PN98,TabAsistencias[[#Headers],[T/2]])</f>
        <v>0</v>
      </c>
      <c r="QF98" s="74">
        <f>COUNTIFS($C$27:$PN$27,("&lt;"&amp;$B$3),$C$27:$PN$27,("&gt;="&amp;$B$2),$C98:$PN98,TabAsistencias[[#Headers],[ME]])</f>
        <v>0</v>
      </c>
      <c r="QG98" s="74">
        <f>COUNTIFS($C$27:$PN$27,("&lt;"&amp;$B$3),$C$27:$PN$27,("&gt;="&amp;$B$2),$C98:$PN98,TabAsistencias[[#Headers],[DP]])</f>
        <v>0</v>
      </c>
      <c r="QH98" s="74">
        <f>COUNTIFS($C$27:$PN$27,("&lt;"&amp;$B$3),$C$27:$PN$27,("&gt;="&amp;$B$2),$C98:$PN98,TabAsistencias[[#Headers],[B]])</f>
        <v>0</v>
      </c>
      <c r="QI98" s="74">
        <f>(TabAsistencias[[#This Row],[1]]*'Tablas de informacion'!$C$124)+(TabAsistencias[[#This Row],[E]]*'Tablas de informacion'!$C$125)+(TabAsistencias[[#This Row],[DE]]*'Tablas de informacion'!C$126)+(TabAsistencias[[#This Row],[V]]*'Tablas de informacion'!C$127)+(TabAsistencias[[#This Row],[DO]]*'Tablas de informacion'!C$128)+(TabAsistencias[[#This Row],[P]]*'Tablas de informacion'!C$129)+(TabAsistencias[[#This Row],[F]]*'Tablas de informacion'!C$130)+(TabAsistencias[[#This Row],[R]]*'Tablas de informacion'!C$131)+(TabAsistencias[[#This Row],[PP]]*'Tablas de informacion'!C$132)+(TabAsistencias[[#This Row],[0]]*'Tablas de informacion'!C$133)+(TabAsistencias[[#This Row],[IG]]*'Tablas de informacion'!C$134)+(TabAsistencias[[#This Row],[NA]]*'Tablas de informacion'!C$135)+(TabAsistencias[[#This Row],[DF]]*'Tablas de informacion'!C$136)+(TabAsistencias[[#This Row],[3]]*'Tablas de informacion'!C$137)+(TabAsistencias[[#This Row],[CP]]*'Tablas de informacion'!C$138)+(TabAsistencias[[#This Row],[I]]*'Tablas de informacion'!C$139)+(TabAsistencias[[#This Row],[T/2]]*'Tablas de informacion'!C$140)+(TabAsistencias[[#This Row],[ME]]*'Tablas de informacion'!C$141)+(TabAsistencias[[#This Row],[DP]]*'Tablas de informacion'!C$142)+(TabAsistencias[[#This Row],[B]]*'Tablas de informacion'!C$143)-INT(TabAsistencias[[#This Row],[R]]/3)</f>
        <v>30</v>
      </c>
      <c r="QJ98" s="74">
        <f>COUNTIFS($C$27:$PN$27,("&lt;"&amp;$B$3),$C$27:$PN$27,("&gt;="&amp;$B$2),$C$28:$PN$28,1,$C98:$PN98,TabAsistencias[[#Headers],[1]])+
COUNTIFS($C$27:$PN$27,("&lt;"&amp;$B$3),$C$27:$PN$27,("&gt;="&amp;$B$2),$C$28:$PN$28,1,$C98:$PN98,TabAsistencias[[#Headers],[DO]])+
COUNTIFS($C$27:$PN$27,("&lt;"&amp;$B$3),$C$27:$PN$27,("&gt;="&amp;$B$2),$C$28:$PN$28,1,$C98:$PN98,TabAsistencias[[#Headers],[R]])+
COUNTIFS($C$27:$PN$27,("&lt;"&amp;$B$3),$C$27:$PN$27,("&gt;="&amp;$B$2),$C$28:$PN$28,1,$C98:$PN98,TabAsistencias[[#Headers],[NA]])+
COUNTIFS($C$27:$PN$27,("&lt;"&amp;$B$3),$C$27:$PN$27,("&gt;="&amp;$B$2),$C$28:$PN$28,1,$C98:$PN98,TabAsistencias[[#Headers],[DF]])+
COUNTIFS($C$27:$PN$27,("&lt;"&amp;$B$3),$C$27:$PN$27,("&gt;="&amp;$B$2),$C$28:$PN$28,1,$C98:$PN98,TabAsistencias[[#Headers],[3]])+
COUNTIFS($C$27:$PN$27,("&lt;"&amp;$B$3),$C$27:$PN$27,("&gt;="&amp;$B$2),$C$28:$PN$28,1,$C98:$PN98,TabAsistencias[[#Headers],[CP]])+
COUNTIFS($C$27:$PN$27,("&lt;"&amp;$B$3),$C$27:$PN$27,("&gt;="&amp;$B$2),$C$28:$PN$28,1,$C98:$PN98,TabAsistencias[[#Headers],[T/2]])</f>
        <v>4</v>
      </c>
      <c r="QK98" s="315" cm="1">
        <f t="array" ref="QK98">IFERROR(VLOOKUP(
DATEDIF((VLOOKUP(TabAsistencias[[#This Row],[ID]],TabEmpleados[],COLUMN(TabEmpleados[Fecha de ingreso]),FALSE)),Asistencias!$B$3,"Y"),
TabFactorIntegracion[],COLUMN(TabFactorIntegracion[Días vacacionales
establecidos por ley]),FALSE),0)
-
COUNTIF($AH98:$PN98,TabAsistencias[[#Headers],[V]])</f>
        <v>12</v>
      </c>
      <c r="QL98" s="319">
        <f>SUM(TabAsistencias[[#This Row],[''1]],TabAsistencias[[#This Row],[''DE]],TabAsistencias[[#This Row],[''DO]],TabAsistencias[[#This Row],[''R]],TabAsistencias[[#This Row],[''NA]],TabAsistencias[[#This Row],[''DF]],TabAsistencias[[#This Row],[''3]],TabAsistencias[[#This Row],[''CP]],TabAsistencias[[#This Row],[''T/2]],TabAsistencias[[#This Row],[''DP]])</f>
        <v>73</v>
      </c>
      <c r="QM98" s="314">
        <f>COUNTIFS($C$27:$PN$27,("&lt;"&amp;$B$5),$C$27:$PN$27,("&gt;="&amp;$B$4),$C98:$PN98,TabAsistencias[[#Headers],[1]])</f>
        <v>73</v>
      </c>
      <c r="QN98" s="314">
        <f>COUNTIFS($C$27:$PN$27,("&lt;"&amp;$B$5),$C$27:$PN$27,("&gt;="&amp;$B$4),$C98:$PN98,TabAsistencias[[#Headers],[DE]])</f>
        <v>0</v>
      </c>
      <c r="QO98" s="314">
        <f>COUNTIFS($C$27:$PN$27,("&lt;"&amp;$B$5),$C$27:$PN$27,("&gt;="&amp;$B$4),$C98:$PN98,TabAsistencias[[#Headers],[V]])</f>
        <v>0</v>
      </c>
      <c r="QP98" s="314">
        <f>COUNTIFS($C$27:$PN$27,("&lt;"&amp;$B$5),$C$27:$PN$27,("&gt;="&amp;$B$4),$C98:$PN98,TabAsistencias[[#Headers],[DO]])</f>
        <v>0</v>
      </c>
      <c r="QQ98" s="314">
        <f>COUNTIFS($C$27:$PN$27,("&lt;"&amp;$B$5),$C$27:$PN$27,("&gt;="&amp;$B$4),$C98:$PN98,TabAsistencias[[#Headers],[P]])</f>
        <v>0</v>
      </c>
      <c r="QR98" s="314">
        <f>COUNTIFS($C$27:$PN$27,("&lt;"&amp;$B$5),$C$27:$PN$27,("&gt;="&amp;$B$4),$C98:$PN98,TabAsistencias[[#Headers],[F]])</f>
        <v>0</v>
      </c>
      <c r="QS98" s="314">
        <f>COUNTIFS($C$27:$PN$27,("&lt;"&amp;$B$5),$C$27:$PN$27,("&gt;="&amp;$B$4),$C98:$PN98,TabAsistencias[[#Headers],[R]])</f>
        <v>0</v>
      </c>
      <c r="QT98" s="314">
        <f>COUNTIFS($C$27:$PN$27,("&lt;"&amp;$B$5),$C$27:$PN$27,("&gt;="&amp;$B$4),$C98:$PN98,TabAsistencias[[#Headers],[PP]])</f>
        <v>0</v>
      </c>
      <c r="QU98" s="314">
        <f>COUNTIFS($C$27:$PN$27,("&lt;"&amp;$B$5),$C$27:$PN$27,("&gt;="&amp;$B$4),$C98:$PN98,TabAsistencias[[#Headers],[0]])</f>
        <v>0</v>
      </c>
      <c r="QV98" s="314">
        <f>COUNTIFS($C$27:$PN$27,("&lt;"&amp;$B$5),$C$27:$PN$27,("&gt;="&amp;$B$4),$C98:$PN98,TabAsistencias[[#Headers],[IG]])</f>
        <v>0</v>
      </c>
      <c r="QW98" s="314">
        <f>COUNTIFS($C$27:$PN$27,("&lt;"&amp;$B$5),$C$27:$PN$27,("&gt;="&amp;$B$4),$C98:$PN98,TabAsistencias[[#Headers],[NA]])</f>
        <v>0</v>
      </c>
      <c r="QX98" s="314">
        <f>COUNTIFS($C$27:$PN$27,("&lt;"&amp;$B$5),$C$27:$PN$27,("&gt;="&amp;$B$4),$C98:$PN98,TabAsistencias[[#Headers],[DF]])</f>
        <v>0</v>
      </c>
      <c r="QY98" s="314">
        <f>COUNTIFS($C$27:$PN$27,("&lt;"&amp;$B$5),$C$27:$PN$27,("&gt;="&amp;$B$4),$C98:$PN98,TabAsistencias[[#Headers],[3]])</f>
        <v>0</v>
      </c>
      <c r="QZ98" s="314">
        <f>COUNTIFS($C$27:$PN$27,("&lt;"&amp;$B$5),$C$27:$PN$27,("&gt;="&amp;$B$4),$C98:$PN98,TabAsistencias[[#Headers],[CP]])</f>
        <v>0</v>
      </c>
      <c r="RA98" s="314">
        <f>COUNTIFS($C$27:$PN$27,("&lt;"&amp;$B$5),$C$27:$PN$27,("&gt;="&amp;$B$4),$C98:$PN98,TabAsistencias[[#Headers],[I]])</f>
        <v>0</v>
      </c>
      <c r="RB98" s="314">
        <f>COUNTIFS($C$27:$PN$27,("&lt;"&amp;$B$5),$C$27:$PN$27,("&gt;="&amp;$B$4),$C98:$PN98,TabAsistencias[[#Headers],[T/2]])</f>
        <v>0</v>
      </c>
      <c r="RC98" s="314">
        <f>COUNTIFS($C$27:$PN$27,("&lt;"&amp;$B$5),$C$27:$PN$27,("&gt;="&amp;$B$4),$C98:$PN98,TabAsistencias[[#Headers],[ME]])</f>
        <v>0</v>
      </c>
      <c r="RD98" s="314">
        <f>COUNTIFS($C$27:$PN$27,("&lt;"&amp;$B$5),$C$27:$PN$27,("&gt;="&amp;$B$4),$C98:$PN98,TabAsistencias[[#Headers],[DP]])</f>
        <v>0</v>
      </c>
      <c r="RE98" s="314">
        <f>COUNTIFS($C$27:$PN$27,("&lt;"&amp;$B$5),$C$27:$PN$27,("&gt;="&amp;$B$4),$C98:$PN98,TabAsistencias[[#Headers],[B]])</f>
        <v>0</v>
      </c>
      <c r="RF98" s="314">
        <f>COUNTIFS($C$27:$PN$27,("&lt;"&amp;$B$5),$C$27:$PN$27,("&gt;="&amp;$B$4),$C$28:$PN$28,1,$C98:$PN98,TabAsistencias[[#Headers],[1]])+
COUNTIFS($C$27:$PN$27,("&lt;"&amp;$B$5),$C$27:$PN$27,("&gt;="&amp;$B$4),$C$28:$PN$28,1,$C98:$PN98,TabAsistencias[[#Headers],[DO]])+
COUNTIFS($C$27:$PN$27,("&lt;"&amp;$B$5),$C$27:$PN$27,("&gt;="&amp;$B$4),$C$28:$PN$28,1,$C98:$PN98,TabAsistencias[[#Headers],[R]])+
COUNTIFS($C$27:$PN$27,("&lt;"&amp;$B$5),$C$27:$PN$27,("&gt;="&amp;$B$4),$C$28:$PN$28,1,$C98:$PN98,TabAsistencias[[#Headers],[NA]])+
COUNTIFS($C$27:$PN$27,("&lt;"&amp;$B$5),$C$27:$PN$27,("&gt;="&amp;$B$4),$C$28:$PN$28,1,$C98:$PN98,TabAsistencias[[#Headers],[DF]])+
COUNTIFS($C$27:$PN$27,("&lt;"&amp;$B$5),$C$27:$PN$27,("&gt;="&amp;$B$4),$C$28:$PN$28,1,$C98:$PN98,TabAsistencias[[#Headers],[3]])+
COUNTIFS($C$27:$PN$27,("&lt;"&amp;$B$5),$C$27:$PN$27,("&gt;="&amp;$B$4),$C$28:$PN$28,1,$C98:$PN98,TabAsistencias[[#Headers],[CP]])+
COUNTIFS($C$27:$PN$27,("&lt;"&amp;$B$5),$C$27:$PN$27,("&gt;="&amp;$B$4),$C$28:$PN$28,1,$C98:$PN98,TabAsistencias[[#Headers],[T/2]])</f>
        <v>11</v>
      </c>
      <c r="RG98" s="320" cm="1">
        <f t="array" ref="RG98">IFERROR(VLOOKUP(
DATEDIF((VLOOKUP(TabAsistencias[[#This Row],[ID]],TabEmpleados[],COLUMN(TabEmpleados[Fecha de alta NSS]),FALSE)),Asistencias!$B$3,"Y"),
TabFactorIntegracion[],COLUMN(TabFactorIntegracion[Días vacacionales
establecidos por ley]),FALSE),0)
-
COUNTIF($AH98:$PN98,TabAsistencias[[#Headers],[V]])</f>
        <v>12</v>
      </c>
    </row>
    <row r="99" spans="1:475" x14ac:dyDescent="0.25">
      <c r="A99" s="92">
        <f t="shared" si="435"/>
        <v>69</v>
      </c>
      <c r="B99" s="30" t="str" cm="1">
        <f t="array" ref="B99">VLOOKUP(TabAsistencias[[#This Row],[ID]],TabEmpleados[],COLUMN(TabEmpleados[Nombre]),FALSE)</f>
        <v xml:space="preserve">RUIZ CRUZ CESAR DANIEL </v>
      </c>
      <c r="C99" s="36" t="s">
        <v>139</v>
      </c>
      <c r="D99" s="36" t="s">
        <v>139</v>
      </c>
      <c r="E99" s="36" t="s">
        <v>139</v>
      </c>
      <c r="F99" s="36" t="s">
        <v>139</v>
      </c>
      <c r="G99" s="36" t="s">
        <v>139</v>
      </c>
      <c r="H99" s="36" t="s">
        <v>139</v>
      </c>
      <c r="I99" s="36" t="s">
        <v>139</v>
      </c>
      <c r="J99" s="36" t="s">
        <v>139</v>
      </c>
      <c r="K99" s="36" t="s">
        <v>139</v>
      </c>
      <c r="L99" s="36" t="s">
        <v>139</v>
      </c>
      <c r="M99" s="36" t="s">
        <v>139</v>
      </c>
      <c r="N99" s="36" t="s">
        <v>139</v>
      </c>
      <c r="O99" s="36" t="s">
        <v>139</v>
      </c>
      <c r="P99" s="36" t="s">
        <v>139</v>
      </c>
      <c r="Q99" s="36" t="s">
        <v>139</v>
      </c>
      <c r="R99" s="36" t="s">
        <v>139</v>
      </c>
      <c r="S99" s="36" t="s">
        <v>139</v>
      </c>
      <c r="T99" s="36" t="s">
        <v>139</v>
      </c>
      <c r="U99" s="36" t="s">
        <v>139</v>
      </c>
      <c r="V99" s="36" t="s">
        <v>139</v>
      </c>
      <c r="W99" s="36" t="s">
        <v>139</v>
      </c>
      <c r="X99" s="36" t="s">
        <v>139</v>
      </c>
      <c r="Y99" s="36" t="s">
        <v>139</v>
      </c>
      <c r="Z99" s="36" t="s">
        <v>139</v>
      </c>
      <c r="AA99" s="36" t="s">
        <v>139</v>
      </c>
      <c r="AB99" s="36" t="s">
        <v>139</v>
      </c>
      <c r="AC99" s="36" t="s">
        <v>139</v>
      </c>
      <c r="AD99" s="36" t="s">
        <v>139</v>
      </c>
      <c r="AE99" s="36" t="s">
        <v>139</v>
      </c>
      <c r="AF99" s="36" t="s">
        <v>139</v>
      </c>
      <c r="AG99" s="36" t="s">
        <v>139</v>
      </c>
      <c r="AH99" s="36" t="s">
        <v>139</v>
      </c>
      <c r="AI99" s="36" t="s">
        <v>139</v>
      </c>
      <c r="AJ99" s="36" t="s">
        <v>139</v>
      </c>
      <c r="AK99" s="36" t="s">
        <v>139</v>
      </c>
      <c r="AL99" s="36" t="s">
        <v>139</v>
      </c>
      <c r="AM99" s="36" t="s">
        <v>139</v>
      </c>
      <c r="AN99" s="36" t="s">
        <v>139</v>
      </c>
      <c r="AO99" s="36" t="s">
        <v>139</v>
      </c>
      <c r="AP99" s="36" t="s">
        <v>139</v>
      </c>
      <c r="AQ99" s="36" t="s">
        <v>139</v>
      </c>
      <c r="AR99" s="36" t="s">
        <v>139</v>
      </c>
      <c r="AS99" s="36" t="s">
        <v>139</v>
      </c>
      <c r="AT99" s="36" t="s">
        <v>139</v>
      </c>
      <c r="AU99" s="36" t="s">
        <v>139</v>
      </c>
      <c r="AV99" s="36" t="s">
        <v>139</v>
      </c>
      <c r="AW99" s="36" t="s">
        <v>139</v>
      </c>
      <c r="AX99" s="36" t="s">
        <v>139</v>
      </c>
      <c r="AY99" s="36" t="s">
        <v>139</v>
      </c>
      <c r="AZ99" s="36" t="s">
        <v>139</v>
      </c>
      <c r="BA99" s="36" t="s">
        <v>139</v>
      </c>
      <c r="BB99" s="36" t="s">
        <v>139</v>
      </c>
      <c r="BC99" s="36" t="s">
        <v>139</v>
      </c>
      <c r="BD99" s="36" t="s">
        <v>139</v>
      </c>
      <c r="BE99" s="36" t="s">
        <v>139</v>
      </c>
      <c r="BF99" s="36" t="s">
        <v>139</v>
      </c>
      <c r="BG99" s="36" t="s">
        <v>139</v>
      </c>
      <c r="BH99" s="36" t="s">
        <v>139</v>
      </c>
      <c r="BI99" s="36" t="s">
        <v>139</v>
      </c>
      <c r="BJ99" s="36" t="s">
        <v>139</v>
      </c>
      <c r="BK99" s="36" t="s">
        <v>139</v>
      </c>
      <c r="BL99" s="36" t="s">
        <v>139</v>
      </c>
      <c r="BM99" s="36" t="s">
        <v>139</v>
      </c>
      <c r="BN99" s="36" t="s">
        <v>139</v>
      </c>
      <c r="BO99" s="36" t="s">
        <v>139</v>
      </c>
      <c r="BP99" s="36" t="s">
        <v>139</v>
      </c>
      <c r="BQ99" s="36" t="s">
        <v>139</v>
      </c>
      <c r="BR99" s="36" t="s">
        <v>139</v>
      </c>
      <c r="BS99" s="36" t="s">
        <v>139</v>
      </c>
      <c r="BT99" s="36" t="s">
        <v>139</v>
      </c>
      <c r="BU99" s="36" t="s">
        <v>139</v>
      </c>
      <c r="BV99" s="36" t="s">
        <v>139</v>
      </c>
      <c r="BW99" s="36" t="s">
        <v>139</v>
      </c>
      <c r="BX99" s="36" t="s">
        <v>139</v>
      </c>
      <c r="BY99" s="36" t="s">
        <v>139</v>
      </c>
      <c r="BZ99" s="36" t="s">
        <v>139</v>
      </c>
      <c r="CA99" s="36" t="s">
        <v>139</v>
      </c>
      <c r="CB99" s="36" t="s">
        <v>139</v>
      </c>
      <c r="CC99" s="36" t="s">
        <v>139</v>
      </c>
      <c r="CD99" s="36" t="s">
        <v>139</v>
      </c>
      <c r="CE99" s="36" t="s">
        <v>139</v>
      </c>
      <c r="CF99" s="36" t="s">
        <v>139</v>
      </c>
      <c r="CG99" s="36" t="s">
        <v>139</v>
      </c>
      <c r="CH99" s="36" t="s">
        <v>139</v>
      </c>
      <c r="CI99" s="36" t="s">
        <v>139</v>
      </c>
      <c r="CJ99" s="36" t="s">
        <v>139</v>
      </c>
      <c r="CK99" s="36" t="s">
        <v>139</v>
      </c>
      <c r="CL99" s="36" t="s">
        <v>139</v>
      </c>
      <c r="CM99" s="36" t="s">
        <v>139</v>
      </c>
      <c r="CN99" s="36" t="s">
        <v>139</v>
      </c>
      <c r="CO99" s="36" t="s">
        <v>139</v>
      </c>
      <c r="CP99" s="36" t="s">
        <v>139</v>
      </c>
      <c r="CQ99" s="36" t="s">
        <v>139</v>
      </c>
      <c r="CR99" s="36" t="s">
        <v>139</v>
      </c>
      <c r="CS99" s="36" t="s">
        <v>139</v>
      </c>
      <c r="CT99" s="36" t="s">
        <v>139</v>
      </c>
      <c r="CU99" s="36" t="s">
        <v>139</v>
      </c>
      <c r="CV99" s="36" t="s">
        <v>139</v>
      </c>
      <c r="CW99" s="36" t="s">
        <v>139</v>
      </c>
      <c r="CX99" s="36" t="s">
        <v>139</v>
      </c>
      <c r="CY99" s="36" t="s">
        <v>139</v>
      </c>
      <c r="CZ99" s="36" t="s">
        <v>139</v>
      </c>
      <c r="DA99" s="36" t="s">
        <v>139</v>
      </c>
      <c r="DB99" s="36" t="s">
        <v>139</v>
      </c>
      <c r="DC99" s="36" t="s">
        <v>139</v>
      </c>
      <c r="DD99" s="36" t="s">
        <v>139</v>
      </c>
      <c r="DE99" s="36" t="s">
        <v>139</v>
      </c>
      <c r="DF99" s="36" t="s">
        <v>139</v>
      </c>
      <c r="DG99" s="36" t="s">
        <v>139</v>
      </c>
      <c r="DH99" s="36" t="s">
        <v>139</v>
      </c>
      <c r="DI99" s="36" t="s">
        <v>139</v>
      </c>
      <c r="DJ99" s="36" t="s">
        <v>139</v>
      </c>
      <c r="DK99" s="36" t="s">
        <v>139</v>
      </c>
      <c r="DL99" s="36" t="s">
        <v>139</v>
      </c>
      <c r="DM99" s="36" t="s">
        <v>139</v>
      </c>
      <c r="DN99" s="36" t="s">
        <v>139</v>
      </c>
      <c r="DO99" s="36" t="s">
        <v>139</v>
      </c>
      <c r="DP99" s="36" t="s">
        <v>139</v>
      </c>
      <c r="DQ99" s="36" t="s">
        <v>139</v>
      </c>
      <c r="DR99" s="36" t="s">
        <v>139</v>
      </c>
      <c r="DS99" s="36" t="s">
        <v>139</v>
      </c>
      <c r="DT99" s="36" t="s">
        <v>139</v>
      </c>
      <c r="DU99" s="36" t="s">
        <v>139</v>
      </c>
      <c r="DV99" s="36" t="s">
        <v>139</v>
      </c>
      <c r="DW99" s="36" t="s">
        <v>139</v>
      </c>
      <c r="DX99" s="36" t="s">
        <v>139</v>
      </c>
      <c r="DY99" s="36" t="s">
        <v>139</v>
      </c>
      <c r="DZ99" s="36" t="s">
        <v>139</v>
      </c>
      <c r="EA99" s="36" t="s">
        <v>139</v>
      </c>
      <c r="EB99" s="36" t="s">
        <v>139</v>
      </c>
      <c r="EC99" s="36" t="s">
        <v>139</v>
      </c>
      <c r="ED99" s="36" t="s">
        <v>139</v>
      </c>
      <c r="EE99" s="36" t="s">
        <v>139</v>
      </c>
      <c r="EF99" s="36" t="s">
        <v>139</v>
      </c>
      <c r="EG99" s="36" t="s">
        <v>139</v>
      </c>
      <c r="EH99" s="36" t="s">
        <v>139</v>
      </c>
      <c r="EI99" s="36" t="s">
        <v>139</v>
      </c>
      <c r="EJ99" s="36" t="s">
        <v>139</v>
      </c>
      <c r="EK99" s="36" t="s">
        <v>139</v>
      </c>
      <c r="EL99" s="36" t="s">
        <v>139</v>
      </c>
      <c r="EM99" s="36" t="s">
        <v>139</v>
      </c>
      <c r="EN99" s="36" t="s">
        <v>139</v>
      </c>
      <c r="EO99" s="36" t="s">
        <v>139</v>
      </c>
      <c r="EP99" s="36" t="s">
        <v>139</v>
      </c>
      <c r="EQ99" s="36" t="s">
        <v>139</v>
      </c>
      <c r="ER99" s="36" t="s">
        <v>139</v>
      </c>
      <c r="ES99" s="36" t="s">
        <v>139</v>
      </c>
      <c r="ET99" s="36" t="s">
        <v>139</v>
      </c>
      <c r="EU99" s="36" t="s">
        <v>139</v>
      </c>
      <c r="EV99" s="36" t="s">
        <v>139</v>
      </c>
      <c r="EW99" s="36" t="s">
        <v>139</v>
      </c>
      <c r="EX99" s="36" t="s">
        <v>139</v>
      </c>
      <c r="EY99" s="36" t="s">
        <v>139</v>
      </c>
      <c r="EZ99" s="36" t="s">
        <v>139</v>
      </c>
      <c r="FA99" s="36" t="s">
        <v>139</v>
      </c>
      <c r="FB99" s="36" t="s">
        <v>139</v>
      </c>
      <c r="FC99" s="36" t="s">
        <v>139</v>
      </c>
      <c r="FD99" s="36" t="s">
        <v>139</v>
      </c>
      <c r="FE99" s="36" t="s">
        <v>139</v>
      </c>
      <c r="FF99" s="36" t="s">
        <v>139</v>
      </c>
      <c r="FG99" s="36" t="s">
        <v>139</v>
      </c>
      <c r="FH99" s="36" t="s">
        <v>139</v>
      </c>
      <c r="FI99" s="36" t="s">
        <v>139</v>
      </c>
      <c r="FJ99" s="36" t="s">
        <v>139</v>
      </c>
      <c r="FK99" s="36" t="s">
        <v>139</v>
      </c>
      <c r="FL99" s="36" t="s">
        <v>139</v>
      </c>
      <c r="FM99" s="36" t="s">
        <v>139</v>
      </c>
      <c r="FN99" s="36" t="s">
        <v>139</v>
      </c>
      <c r="FO99" s="36" t="s">
        <v>139</v>
      </c>
      <c r="FP99" s="36" t="s">
        <v>139</v>
      </c>
      <c r="FQ99" s="36" t="s">
        <v>139</v>
      </c>
      <c r="FR99" s="36" t="s">
        <v>139</v>
      </c>
      <c r="FS99" s="36" t="s">
        <v>139</v>
      </c>
      <c r="FT99" s="36" t="s">
        <v>139</v>
      </c>
      <c r="FU99" s="36" t="s">
        <v>139</v>
      </c>
      <c r="FV99" s="36" t="s">
        <v>139</v>
      </c>
      <c r="FW99" s="36" t="s">
        <v>139</v>
      </c>
      <c r="FX99" s="36" t="s">
        <v>139</v>
      </c>
      <c r="FY99" s="36" t="s">
        <v>139</v>
      </c>
      <c r="FZ99" s="36" t="s">
        <v>139</v>
      </c>
      <c r="GA99" s="36" t="s">
        <v>139</v>
      </c>
      <c r="GB99" s="36" t="s">
        <v>139</v>
      </c>
      <c r="GC99" s="36" t="s">
        <v>139</v>
      </c>
      <c r="GD99" s="36" t="s">
        <v>139</v>
      </c>
      <c r="GE99" s="36" t="s">
        <v>139</v>
      </c>
      <c r="GF99" s="36" t="s">
        <v>139</v>
      </c>
      <c r="GG99" s="36" t="s">
        <v>139</v>
      </c>
      <c r="GH99" s="36" t="s">
        <v>139</v>
      </c>
      <c r="GI99" s="36" t="s">
        <v>139</v>
      </c>
      <c r="GJ99" s="36" t="s">
        <v>139</v>
      </c>
      <c r="GK99" s="36" t="s">
        <v>139</v>
      </c>
      <c r="GL99" s="36" t="s">
        <v>139</v>
      </c>
      <c r="GM99" s="36" t="s">
        <v>139</v>
      </c>
      <c r="GN99" s="36" t="s">
        <v>139</v>
      </c>
      <c r="GO99" s="36" t="s">
        <v>139</v>
      </c>
      <c r="GP99" s="36" t="s">
        <v>139</v>
      </c>
      <c r="GQ99" s="36" t="s">
        <v>139</v>
      </c>
      <c r="GR99" s="36" t="s">
        <v>139</v>
      </c>
      <c r="GS99" s="36" t="s">
        <v>139</v>
      </c>
      <c r="GT99" s="36" t="s">
        <v>139</v>
      </c>
      <c r="GU99" s="36" t="s">
        <v>139</v>
      </c>
      <c r="GV99" s="36" t="s">
        <v>139</v>
      </c>
      <c r="GW99" s="36" t="s">
        <v>139</v>
      </c>
      <c r="GX99" s="36" t="s">
        <v>139</v>
      </c>
      <c r="GY99" s="36" t="s">
        <v>139</v>
      </c>
      <c r="GZ99" s="36" t="s">
        <v>139</v>
      </c>
      <c r="HA99" s="36" t="s">
        <v>139</v>
      </c>
      <c r="HB99" s="36" t="s">
        <v>139</v>
      </c>
      <c r="HC99" s="36" t="s">
        <v>139</v>
      </c>
      <c r="HD99" s="36" t="s">
        <v>139</v>
      </c>
      <c r="HE99" s="36" t="s">
        <v>139</v>
      </c>
      <c r="HF99" s="36" t="s">
        <v>139</v>
      </c>
      <c r="HG99" s="36" t="s">
        <v>139</v>
      </c>
      <c r="HH99" s="36" t="s">
        <v>139</v>
      </c>
      <c r="HI99" s="36" t="s">
        <v>139</v>
      </c>
      <c r="HJ99" s="36" t="s">
        <v>139</v>
      </c>
      <c r="HK99" s="36" t="s">
        <v>139</v>
      </c>
      <c r="HL99" s="36" t="s">
        <v>139</v>
      </c>
      <c r="HM99" s="36" t="s">
        <v>139</v>
      </c>
      <c r="HN99" s="36" t="s">
        <v>139</v>
      </c>
      <c r="HO99" s="36" t="s">
        <v>139</v>
      </c>
      <c r="HP99" s="36" t="s">
        <v>139</v>
      </c>
      <c r="HQ99" s="36" t="s">
        <v>139</v>
      </c>
      <c r="HR99" s="36" t="s">
        <v>139</v>
      </c>
      <c r="HS99" s="36" t="s">
        <v>139</v>
      </c>
      <c r="HT99" s="36" t="s">
        <v>139</v>
      </c>
      <c r="HU99" s="36" t="s">
        <v>139</v>
      </c>
      <c r="HV99" s="36" t="s">
        <v>139</v>
      </c>
      <c r="HW99" s="36" t="s">
        <v>139</v>
      </c>
      <c r="HX99" s="36" t="s">
        <v>139</v>
      </c>
      <c r="HY99" s="36" t="s">
        <v>139</v>
      </c>
      <c r="HZ99" s="36" t="s">
        <v>139</v>
      </c>
      <c r="IA99" s="36" t="s">
        <v>139</v>
      </c>
      <c r="IB99" s="36" t="s">
        <v>139</v>
      </c>
      <c r="IC99" s="36" t="s">
        <v>139</v>
      </c>
      <c r="ID99" s="36" t="s">
        <v>139</v>
      </c>
      <c r="IE99" s="36" t="s">
        <v>139</v>
      </c>
      <c r="IF99" s="36" t="s">
        <v>139</v>
      </c>
      <c r="IG99" s="36" t="s">
        <v>139</v>
      </c>
      <c r="IH99" s="36" t="s">
        <v>139</v>
      </c>
      <c r="II99" s="36" t="s">
        <v>139</v>
      </c>
      <c r="IJ99" s="36" t="s">
        <v>139</v>
      </c>
      <c r="IK99" s="36" t="s">
        <v>139</v>
      </c>
      <c r="IL99" s="36" t="s">
        <v>139</v>
      </c>
      <c r="IM99" s="36" t="s">
        <v>139</v>
      </c>
      <c r="IN99" s="36" t="s">
        <v>139</v>
      </c>
      <c r="IO99" s="36" t="s">
        <v>139</v>
      </c>
      <c r="IP99" s="36" t="s">
        <v>139</v>
      </c>
      <c r="IQ99" s="36" t="s">
        <v>139</v>
      </c>
      <c r="IR99" s="36" t="s">
        <v>139</v>
      </c>
      <c r="IS99" s="36" t="s">
        <v>139</v>
      </c>
      <c r="IT99" s="36" t="s">
        <v>139</v>
      </c>
      <c r="IU99" s="36" t="s">
        <v>139</v>
      </c>
      <c r="IV99" s="36" t="s">
        <v>139</v>
      </c>
      <c r="IW99" s="36" t="s">
        <v>139</v>
      </c>
      <c r="IX99" s="36" t="s">
        <v>139</v>
      </c>
      <c r="IY99" s="36" t="s">
        <v>139</v>
      </c>
      <c r="IZ99" s="36" t="s">
        <v>139</v>
      </c>
      <c r="JA99" s="36" t="s">
        <v>139</v>
      </c>
      <c r="JB99" s="36" t="s">
        <v>139</v>
      </c>
      <c r="JC99" s="36" t="s">
        <v>139</v>
      </c>
      <c r="JD99" s="36" t="s">
        <v>139</v>
      </c>
      <c r="JE99" s="36" t="s">
        <v>139</v>
      </c>
      <c r="JF99" s="36" t="s">
        <v>139</v>
      </c>
      <c r="JG99" s="36" t="s">
        <v>139</v>
      </c>
      <c r="JH99" s="36" t="s">
        <v>139</v>
      </c>
      <c r="JI99" s="36" t="s">
        <v>139</v>
      </c>
      <c r="JJ99" s="36" t="s">
        <v>139</v>
      </c>
      <c r="JK99" s="36" t="s">
        <v>139</v>
      </c>
      <c r="JL99" s="36" t="s">
        <v>139</v>
      </c>
      <c r="JM99" s="36" t="s">
        <v>139</v>
      </c>
      <c r="JN99" s="36" t="s">
        <v>139</v>
      </c>
      <c r="JO99" s="36" t="s">
        <v>139</v>
      </c>
      <c r="JP99" s="36" t="s">
        <v>139</v>
      </c>
      <c r="JQ99" s="36" t="s">
        <v>139</v>
      </c>
      <c r="JR99" s="36" t="s">
        <v>139</v>
      </c>
      <c r="JS99" s="36" t="s">
        <v>139</v>
      </c>
      <c r="JT99" s="36" t="s">
        <v>139</v>
      </c>
      <c r="JU99" s="36" t="s">
        <v>139</v>
      </c>
      <c r="JV99" s="36" t="s">
        <v>139</v>
      </c>
      <c r="JW99" s="36" t="s">
        <v>139</v>
      </c>
      <c r="JX99" s="36" t="s">
        <v>139</v>
      </c>
      <c r="JY99" s="36" t="s">
        <v>139</v>
      </c>
      <c r="JZ99" s="36" t="s">
        <v>139</v>
      </c>
      <c r="KA99" s="36" t="s">
        <v>139</v>
      </c>
      <c r="KB99" s="36" t="s">
        <v>139</v>
      </c>
      <c r="KC99" s="36" t="s">
        <v>139</v>
      </c>
      <c r="KD99" s="36" t="s">
        <v>139</v>
      </c>
      <c r="KE99" s="36" t="s">
        <v>139</v>
      </c>
      <c r="KF99" s="36" t="s">
        <v>139</v>
      </c>
      <c r="KG99" s="36" t="s">
        <v>139</v>
      </c>
      <c r="KH99" s="36" t="s">
        <v>139</v>
      </c>
      <c r="KI99" s="36" t="s">
        <v>139</v>
      </c>
      <c r="KJ99" s="36" t="s">
        <v>139</v>
      </c>
      <c r="KK99" s="36" t="s">
        <v>139</v>
      </c>
      <c r="KL99" s="36" t="s">
        <v>139</v>
      </c>
      <c r="KM99" s="36" t="s">
        <v>139</v>
      </c>
      <c r="KN99" s="36" t="s">
        <v>139</v>
      </c>
      <c r="KO99" s="36" t="s">
        <v>139</v>
      </c>
      <c r="KP99" s="36" t="s">
        <v>139</v>
      </c>
      <c r="KQ99" s="36" t="s">
        <v>139</v>
      </c>
      <c r="KR99" s="36" t="s">
        <v>139</v>
      </c>
      <c r="KS99" s="36" t="s">
        <v>139</v>
      </c>
      <c r="KT99" s="36" t="s">
        <v>139</v>
      </c>
      <c r="KU99" s="36" t="s">
        <v>139</v>
      </c>
      <c r="KV99" s="36" t="s">
        <v>139</v>
      </c>
      <c r="KW99" s="36" t="s">
        <v>139</v>
      </c>
      <c r="KX99" s="36" t="s">
        <v>139</v>
      </c>
      <c r="KY99" s="36" t="s">
        <v>139</v>
      </c>
      <c r="KZ99" s="36" t="s">
        <v>139</v>
      </c>
      <c r="LA99" s="36" t="s">
        <v>139</v>
      </c>
      <c r="LB99" s="36" t="s">
        <v>139</v>
      </c>
      <c r="LC99" s="36" t="s">
        <v>139</v>
      </c>
      <c r="LD99" s="36" t="s">
        <v>139</v>
      </c>
      <c r="LE99" s="36" t="s">
        <v>139</v>
      </c>
      <c r="LF99" s="36" t="s">
        <v>139</v>
      </c>
      <c r="LG99" s="36" t="s">
        <v>139</v>
      </c>
      <c r="LH99" s="36" t="s">
        <v>139</v>
      </c>
      <c r="LI99" s="36" t="s">
        <v>139</v>
      </c>
      <c r="LJ99" s="36" t="s">
        <v>139</v>
      </c>
      <c r="LK99" s="36" t="s">
        <v>139</v>
      </c>
      <c r="LL99" s="36" t="s">
        <v>139</v>
      </c>
      <c r="LM99" s="36" t="s">
        <v>139</v>
      </c>
      <c r="LN99" s="36" t="s">
        <v>139</v>
      </c>
      <c r="LO99" s="36" t="s">
        <v>139</v>
      </c>
      <c r="LP99" s="36" t="s">
        <v>139</v>
      </c>
      <c r="LQ99" s="36" t="s">
        <v>139</v>
      </c>
      <c r="LR99" s="36" t="s">
        <v>139</v>
      </c>
      <c r="LS99" s="36" t="s">
        <v>139</v>
      </c>
      <c r="LT99" s="36" t="s">
        <v>139</v>
      </c>
      <c r="LU99" s="36" t="s">
        <v>139</v>
      </c>
      <c r="LV99" s="36" t="s">
        <v>139</v>
      </c>
      <c r="LW99" s="36" t="s">
        <v>139</v>
      </c>
      <c r="LX99" s="36" t="s">
        <v>139</v>
      </c>
      <c r="LY99" s="36" t="s">
        <v>139</v>
      </c>
      <c r="LZ99" s="36" t="s">
        <v>139</v>
      </c>
      <c r="MA99" s="36" t="s">
        <v>139</v>
      </c>
      <c r="MB99" s="36" t="s">
        <v>139</v>
      </c>
      <c r="MC99" s="36" t="s">
        <v>139</v>
      </c>
      <c r="MD99" s="36" t="s">
        <v>139</v>
      </c>
      <c r="ME99" s="36" t="s">
        <v>139</v>
      </c>
      <c r="MF99" s="36" t="s">
        <v>139</v>
      </c>
      <c r="MG99" s="36" t="s">
        <v>139</v>
      </c>
      <c r="MH99" s="36" t="s">
        <v>139</v>
      </c>
      <c r="MI99" s="36" t="s">
        <v>139</v>
      </c>
      <c r="MJ99" s="36" t="s">
        <v>139</v>
      </c>
      <c r="MK99" s="36" t="s">
        <v>139</v>
      </c>
      <c r="ML99" s="36" t="s">
        <v>139</v>
      </c>
      <c r="MM99" s="36" t="s">
        <v>139</v>
      </c>
      <c r="MN99" s="36" t="s">
        <v>139</v>
      </c>
      <c r="MO99" s="36" t="s">
        <v>139</v>
      </c>
      <c r="MP99" s="36" t="s">
        <v>139</v>
      </c>
      <c r="MQ99" s="36" t="s">
        <v>139</v>
      </c>
      <c r="MR99" s="36" t="s">
        <v>139</v>
      </c>
      <c r="MS99" s="36" t="s">
        <v>139</v>
      </c>
      <c r="MT99" s="36" t="s">
        <v>139</v>
      </c>
      <c r="MU99" s="36" t="s">
        <v>139</v>
      </c>
      <c r="MV99" s="36" t="s">
        <v>139</v>
      </c>
      <c r="MW99" s="36" t="s">
        <v>139</v>
      </c>
      <c r="MX99" s="36" t="s">
        <v>139</v>
      </c>
      <c r="MY99" s="36" t="s">
        <v>139</v>
      </c>
      <c r="MZ99" s="36" t="s">
        <v>139</v>
      </c>
      <c r="NA99" s="36" t="s">
        <v>139</v>
      </c>
      <c r="NB99" s="36" t="s">
        <v>139</v>
      </c>
      <c r="NC99" s="36" t="s">
        <v>139</v>
      </c>
      <c r="ND99" s="36" t="s">
        <v>139</v>
      </c>
      <c r="NE99" s="36" t="s">
        <v>139</v>
      </c>
      <c r="NF99" s="36" t="s">
        <v>139</v>
      </c>
      <c r="NG99" s="36" t="s">
        <v>139</v>
      </c>
      <c r="NH99" s="36" t="s">
        <v>139</v>
      </c>
      <c r="NI99" s="36" t="s">
        <v>139</v>
      </c>
      <c r="NJ99" s="36" t="s">
        <v>139</v>
      </c>
      <c r="NK99" s="36" t="s">
        <v>139</v>
      </c>
      <c r="NL99" s="36" t="s">
        <v>139</v>
      </c>
      <c r="NM99" s="36" t="s">
        <v>139</v>
      </c>
      <c r="NN99" s="36" t="s">
        <v>139</v>
      </c>
      <c r="NO99" s="36" t="s">
        <v>139</v>
      </c>
      <c r="NP99" s="36" t="s">
        <v>139</v>
      </c>
      <c r="NQ99" s="36" t="s">
        <v>139</v>
      </c>
      <c r="NR99" s="36" t="s">
        <v>139</v>
      </c>
      <c r="NS99" s="36" t="s">
        <v>139</v>
      </c>
      <c r="NT99" s="36" t="s">
        <v>139</v>
      </c>
      <c r="NU99" s="36" t="s">
        <v>139</v>
      </c>
      <c r="NV99" s="36" t="s">
        <v>139</v>
      </c>
      <c r="NW99" s="36" t="s">
        <v>139</v>
      </c>
      <c r="NX99" s="36" t="s">
        <v>139</v>
      </c>
      <c r="NY99" s="36" t="s">
        <v>139</v>
      </c>
      <c r="NZ99" s="36" t="s">
        <v>139</v>
      </c>
      <c r="OA99" s="36" t="s">
        <v>139</v>
      </c>
      <c r="OB99" s="36" t="s">
        <v>139</v>
      </c>
      <c r="OC99" s="36" t="s">
        <v>139</v>
      </c>
      <c r="OD99" s="36" t="s">
        <v>139</v>
      </c>
      <c r="OE99" s="36" t="s">
        <v>139</v>
      </c>
      <c r="OF99" s="36" t="s">
        <v>139</v>
      </c>
      <c r="OG99" s="36" t="s">
        <v>139</v>
      </c>
      <c r="OH99" s="36" t="s">
        <v>139</v>
      </c>
      <c r="OI99" s="36" t="s">
        <v>139</v>
      </c>
      <c r="OJ99" s="36" t="s">
        <v>139</v>
      </c>
      <c r="OK99" s="36" t="s">
        <v>139</v>
      </c>
      <c r="OL99" s="36" t="s">
        <v>139</v>
      </c>
      <c r="OM99" s="36" t="s">
        <v>139</v>
      </c>
      <c r="ON99" s="36" t="s">
        <v>139</v>
      </c>
      <c r="OO99" s="36" t="s">
        <v>139</v>
      </c>
      <c r="OP99" s="36" t="s">
        <v>139</v>
      </c>
      <c r="OQ99" s="36" t="s">
        <v>139</v>
      </c>
      <c r="OR99" s="36" t="s">
        <v>139</v>
      </c>
      <c r="OS99" s="36" t="s">
        <v>139</v>
      </c>
      <c r="OT99" s="36" t="s">
        <v>139</v>
      </c>
      <c r="OU99" s="36" t="s">
        <v>139</v>
      </c>
      <c r="OV99" s="36" t="s">
        <v>139</v>
      </c>
      <c r="OW99" s="36" t="s">
        <v>139</v>
      </c>
      <c r="OX99" s="36" t="s">
        <v>139</v>
      </c>
      <c r="OY99" s="36" t="s">
        <v>139</v>
      </c>
      <c r="OZ99" s="36" t="s">
        <v>139</v>
      </c>
      <c r="PA99" s="36" t="s">
        <v>139</v>
      </c>
      <c r="PB99" s="36" t="s">
        <v>139</v>
      </c>
      <c r="PC99" s="36" t="s">
        <v>139</v>
      </c>
      <c r="PD99" s="36" t="s">
        <v>139</v>
      </c>
      <c r="PE99" s="36" t="s">
        <v>139</v>
      </c>
      <c r="PF99" s="36" t="s">
        <v>139</v>
      </c>
      <c r="PG99" s="36" t="s">
        <v>139</v>
      </c>
      <c r="PH99" s="36" t="s">
        <v>139</v>
      </c>
      <c r="PI99" s="36" t="s">
        <v>139</v>
      </c>
      <c r="PJ99" s="36" t="s">
        <v>139</v>
      </c>
      <c r="PK99" s="36" t="s">
        <v>139</v>
      </c>
      <c r="PL99" s="36" t="s">
        <v>139</v>
      </c>
      <c r="PM99" s="36" t="s">
        <v>139</v>
      </c>
      <c r="PN99" s="36" t="s">
        <v>139</v>
      </c>
      <c r="PO99" s="74">
        <f>COUNTIFS($C$27:$PN$27,("&lt;"&amp;$B$3),$C$27:$PN$27,("&gt;="&amp;$B$2),$C99:$PN99,TabAsistencias[[#Headers],[1]])</f>
        <v>30</v>
      </c>
      <c r="PP99" s="74">
        <f>COUNTIFS($C$27:$PN$27,("&lt;"&amp;$B$3),$C$27:$PN$27,("&gt;="&amp;$B$2),$C99:$PN99,TabAsistencias[[#Headers],[E]])</f>
        <v>0</v>
      </c>
      <c r="PQ99" s="74">
        <f>COUNTIFS($C$27:$PN$27,("&lt;"&amp;$B$3),$C$27:$PN$27,("&gt;="&amp;$B$2),$C99:$PN99,TabAsistencias[[#Headers],[DE]])</f>
        <v>0</v>
      </c>
      <c r="PR99" s="74">
        <f>COUNTIFS($C$27:$PN$27,("&lt;"&amp;$B$3),$C$27:$PN$27,("&gt;="&amp;$B$2),$C99:$PN99,TabAsistencias[[#Headers],[V]])</f>
        <v>0</v>
      </c>
      <c r="PS99" s="74">
        <f>COUNTIFS($C$27:$PN$27,("&lt;"&amp;$B$3),$C$27:$PN$27,("&gt;="&amp;$B$2),$C99:$PN99,TabAsistencias[[#Headers],[DO]])</f>
        <v>0</v>
      </c>
      <c r="PT99" s="74">
        <f>COUNTIFS($C$27:$PN$27,("&lt;"&amp;$B$3),$C$27:$PN$27,("&gt;="&amp;$B$2),$C99:$PN99,TabAsistencias[[#Headers],[P]])</f>
        <v>0</v>
      </c>
      <c r="PU99" s="74">
        <f>COUNTIFS($C$27:$PN$27,("&lt;"&amp;$B$3),$C$27:$PN$27,("&gt;="&amp;$B$2),$C99:$PN99,TabAsistencias[[#Headers],[F]])</f>
        <v>0</v>
      </c>
      <c r="PV99" s="74">
        <f>COUNTIFS($C$27:$PN$27,("&lt;"&amp;$B$3),$C$27:$PN$27,("&gt;="&amp;$B$2),$C99:$PN99,TabAsistencias[[#Headers],[R]])</f>
        <v>0</v>
      </c>
      <c r="PW99" s="74">
        <f>COUNTIFS($C$27:$PN$27,("&lt;"&amp;$B$3),$C$27:$PN$27,("&gt;="&amp;$B$2),$C99:$PN99,TabAsistencias[[#Headers],[PP]])</f>
        <v>0</v>
      </c>
      <c r="PX99" s="74">
        <f>COUNTIFS($C$27:$PN$27,("&lt;"&amp;$B$3),$C$27:$PN$27,("&gt;="&amp;$B$2),$C99:$PN99,TabAsistencias[[#Headers],[0]])</f>
        <v>0</v>
      </c>
      <c r="PY99" s="74">
        <f>COUNTIFS($C$27:$PN$27,("&lt;"&amp;$B$3),$C$27:$PN$27,("&gt;="&amp;$B$2),$C99:$PN99,TabAsistencias[[#Headers],[IG]])</f>
        <v>0</v>
      </c>
      <c r="PZ99" s="74">
        <f>COUNTIFS($C$27:$PN$27,("&lt;"&amp;$B$3),$C$27:$PN$27,("&gt;="&amp;$B$2),$C99:$PN99,TabAsistencias[[#Headers],[NA]])</f>
        <v>0</v>
      </c>
      <c r="QA99" s="74">
        <f>COUNTIFS($C$27:$PN$27,("&lt;"&amp;$B$3),$C$27:$PN$27,("&gt;="&amp;$B$2),$C99:$PN99,TabAsistencias[[#Headers],[DF]])</f>
        <v>0</v>
      </c>
      <c r="QB99" s="74">
        <f>COUNTIFS($C$27:$PN$27,("&lt;"&amp;$B$3),$C$27:$PN$27,("&gt;="&amp;$B$2),$C99:$PN99,TabAsistencias[[#Headers],[3]])</f>
        <v>0</v>
      </c>
      <c r="QC99" s="74">
        <f>COUNTIFS($C$27:$PN$27,("&lt;"&amp;$B$3),$C$27:$PN$27,("&gt;="&amp;$B$2),$C99:$PN99,TabAsistencias[[#Headers],[CP]])</f>
        <v>0</v>
      </c>
      <c r="QD99" s="74">
        <f>COUNTIFS($C$27:$PN$27,("&lt;"&amp;$B$3),$C$27:$PN$27,("&gt;="&amp;$B$2),$C99:$PN99,TabAsistencias[[#Headers],[I]])</f>
        <v>0</v>
      </c>
      <c r="QE99" s="74">
        <f>COUNTIFS($C$27:$PN$27,("&lt;"&amp;$B$3),$C$27:$PN$27,("&gt;="&amp;$B$2),$C99:$PN99,TabAsistencias[[#Headers],[T/2]])</f>
        <v>0</v>
      </c>
      <c r="QF99" s="74">
        <f>COUNTIFS($C$27:$PN$27,("&lt;"&amp;$B$3),$C$27:$PN$27,("&gt;="&amp;$B$2),$C99:$PN99,TabAsistencias[[#Headers],[ME]])</f>
        <v>0</v>
      </c>
      <c r="QG99" s="74">
        <f>COUNTIFS($C$27:$PN$27,("&lt;"&amp;$B$3),$C$27:$PN$27,("&gt;="&amp;$B$2),$C99:$PN99,TabAsistencias[[#Headers],[DP]])</f>
        <v>0</v>
      </c>
      <c r="QH99" s="74">
        <f>COUNTIFS($C$27:$PN$27,("&lt;"&amp;$B$3),$C$27:$PN$27,("&gt;="&amp;$B$2),$C99:$PN99,TabAsistencias[[#Headers],[B]])</f>
        <v>0</v>
      </c>
      <c r="QI99" s="74">
        <f>(TabAsistencias[[#This Row],[1]]*'Tablas de informacion'!$C$124)+(TabAsistencias[[#This Row],[E]]*'Tablas de informacion'!$C$125)+(TabAsistencias[[#This Row],[DE]]*'Tablas de informacion'!C$126)+(TabAsistencias[[#This Row],[V]]*'Tablas de informacion'!C$127)+(TabAsistencias[[#This Row],[DO]]*'Tablas de informacion'!C$128)+(TabAsistencias[[#This Row],[P]]*'Tablas de informacion'!C$129)+(TabAsistencias[[#This Row],[F]]*'Tablas de informacion'!C$130)+(TabAsistencias[[#This Row],[R]]*'Tablas de informacion'!C$131)+(TabAsistencias[[#This Row],[PP]]*'Tablas de informacion'!C$132)+(TabAsistencias[[#This Row],[0]]*'Tablas de informacion'!C$133)+(TabAsistencias[[#This Row],[IG]]*'Tablas de informacion'!C$134)+(TabAsistencias[[#This Row],[NA]]*'Tablas de informacion'!C$135)+(TabAsistencias[[#This Row],[DF]]*'Tablas de informacion'!C$136)+(TabAsistencias[[#This Row],[3]]*'Tablas de informacion'!C$137)+(TabAsistencias[[#This Row],[CP]]*'Tablas de informacion'!C$138)+(TabAsistencias[[#This Row],[I]]*'Tablas de informacion'!C$139)+(TabAsistencias[[#This Row],[T/2]]*'Tablas de informacion'!C$140)+(TabAsistencias[[#This Row],[ME]]*'Tablas de informacion'!C$141)+(TabAsistencias[[#This Row],[DP]]*'Tablas de informacion'!C$142)+(TabAsistencias[[#This Row],[B]]*'Tablas de informacion'!C$143)-INT(TabAsistencias[[#This Row],[R]]/3)</f>
        <v>30</v>
      </c>
      <c r="QJ99" s="74">
        <f>COUNTIFS($C$27:$PN$27,("&lt;"&amp;$B$3),$C$27:$PN$27,("&gt;="&amp;$B$2),$C$28:$PN$28,1,$C99:$PN99,TabAsistencias[[#Headers],[1]])+
COUNTIFS($C$27:$PN$27,("&lt;"&amp;$B$3),$C$27:$PN$27,("&gt;="&amp;$B$2),$C$28:$PN$28,1,$C99:$PN99,TabAsistencias[[#Headers],[DO]])+
COUNTIFS($C$27:$PN$27,("&lt;"&amp;$B$3),$C$27:$PN$27,("&gt;="&amp;$B$2),$C$28:$PN$28,1,$C99:$PN99,TabAsistencias[[#Headers],[R]])+
COUNTIFS($C$27:$PN$27,("&lt;"&amp;$B$3),$C$27:$PN$27,("&gt;="&amp;$B$2),$C$28:$PN$28,1,$C99:$PN99,TabAsistencias[[#Headers],[NA]])+
COUNTIFS($C$27:$PN$27,("&lt;"&amp;$B$3),$C$27:$PN$27,("&gt;="&amp;$B$2),$C$28:$PN$28,1,$C99:$PN99,TabAsistencias[[#Headers],[DF]])+
COUNTIFS($C$27:$PN$27,("&lt;"&amp;$B$3),$C$27:$PN$27,("&gt;="&amp;$B$2),$C$28:$PN$28,1,$C99:$PN99,TabAsistencias[[#Headers],[3]])+
COUNTIFS($C$27:$PN$27,("&lt;"&amp;$B$3),$C$27:$PN$27,("&gt;="&amp;$B$2),$C$28:$PN$28,1,$C99:$PN99,TabAsistencias[[#Headers],[CP]])+
COUNTIFS($C$27:$PN$27,("&lt;"&amp;$B$3),$C$27:$PN$27,("&gt;="&amp;$B$2),$C$28:$PN$28,1,$C99:$PN99,TabAsistencias[[#Headers],[T/2]])</f>
        <v>4</v>
      </c>
      <c r="QK99" s="315" cm="1">
        <f t="array" ref="QK99">IFERROR(VLOOKUP(
DATEDIF((VLOOKUP(TabAsistencias[[#This Row],[ID]],TabEmpleados[],COLUMN(TabEmpleados[Fecha de ingreso]),FALSE)),Asistencias!$B$3,"Y"),
TabFactorIntegracion[],COLUMN(TabFactorIntegracion[Días vacacionales
establecidos por ley]),FALSE),0)
-
COUNTIF($AH99:$PN99,TabAsistencias[[#Headers],[V]])</f>
        <v>12</v>
      </c>
      <c r="QL99" s="319">
        <f>SUM(TabAsistencias[[#This Row],[''1]],TabAsistencias[[#This Row],[''DE]],TabAsistencias[[#This Row],[''DO]],TabAsistencias[[#This Row],[''R]],TabAsistencias[[#This Row],[''NA]],TabAsistencias[[#This Row],[''DF]],TabAsistencias[[#This Row],[''3]],TabAsistencias[[#This Row],[''CP]],TabAsistencias[[#This Row],[''T/2]],TabAsistencias[[#This Row],[''DP]])</f>
        <v>73</v>
      </c>
      <c r="QM99" s="314">
        <f>COUNTIFS($C$27:$PN$27,("&lt;"&amp;$B$5),$C$27:$PN$27,("&gt;="&amp;$B$4),$C99:$PN99,TabAsistencias[[#Headers],[1]])</f>
        <v>73</v>
      </c>
      <c r="QN99" s="314">
        <f>COUNTIFS($C$27:$PN$27,("&lt;"&amp;$B$5),$C$27:$PN$27,("&gt;="&amp;$B$4),$C99:$PN99,TabAsistencias[[#Headers],[DE]])</f>
        <v>0</v>
      </c>
      <c r="QO99" s="314">
        <f>COUNTIFS($C$27:$PN$27,("&lt;"&amp;$B$5),$C$27:$PN$27,("&gt;="&amp;$B$4),$C99:$PN99,TabAsistencias[[#Headers],[V]])</f>
        <v>0</v>
      </c>
      <c r="QP99" s="314">
        <f>COUNTIFS($C$27:$PN$27,("&lt;"&amp;$B$5),$C$27:$PN$27,("&gt;="&amp;$B$4),$C99:$PN99,TabAsistencias[[#Headers],[DO]])</f>
        <v>0</v>
      </c>
      <c r="QQ99" s="314">
        <f>COUNTIFS($C$27:$PN$27,("&lt;"&amp;$B$5),$C$27:$PN$27,("&gt;="&amp;$B$4),$C99:$PN99,TabAsistencias[[#Headers],[P]])</f>
        <v>0</v>
      </c>
      <c r="QR99" s="314">
        <f>COUNTIFS($C$27:$PN$27,("&lt;"&amp;$B$5),$C$27:$PN$27,("&gt;="&amp;$B$4),$C99:$PN99,TabAsistencias[[#Headers],[F]])</f>
        <v>0</v>
      </c>
      <c r="QS99" s="314">
        <f>COUNTIFS($C$27:$PN$27,("&lt;"&amp;$B$5),$C$27:$PN$27,("&gt;="&amp;$B$4),$C99:$PN99,TabAsistencias[[#Headers],[R]])</f>
        <v>0</v>
      </c>
      <c r="QT99" s="314">
        <f>COUNTIFS($C$27:$PN$27,("&lt;"&amp;$B$5),$C$27:$PN$27,("&gt;="&amp;$B$4),$C99:$PN99,TabAsistencias[[#Headers],[PP]])</f>
        <v>0</v>
      </c>
      <c r="QU99" s="314">
        <f>COUNTIFS($C$27:$PN$27,("&lt;"&amp;$B$5),$C$27:$PN$27,("&gt;="&amp;$B$4),$C99:$PN99,TabAsistencias[[#Headers],[0]])</f>
        <v>0</v>
      </c>
      <c r="QV99" s="314">
        <f>COUNTIFS($C$27:$PN$27,("&lt;"&amp;$B$5),$C$27:$PN$27,("&gt;="&amp;$B$4),$C99:$PN99,TabAsistencias[[#Headers],[IG]])</f>
        <v>0</v>
      </c>
      <c r="QW99" s="314">
        <f>COUNTIFS($C$27:$PN$27,("&lt;"&amp;$B$5),$C$27:$PN$27,("&gt;="&amp;$B$4),$C99:$PN99,TabAsistencias[[#Headers],[NA]])</f>
        <v>0</v>
      </c>
      <c r="QX99" s="314">
        <f>COUNTIFS($C$27:$PN$27,("&lt;"&amp;$B$5),$C$27:$PN$27,("&gt;="&amp;$B$4),$C99:$PN99,TabAsistencias[[#Headers],[DF]])</f>
        <v>0</v>
      </c>
      <c r="QY99" s="314">
        <f>COUNTIFS($C$27:$PN$27,("&lt;"&amp;$B$5),$C$27:$PN$27,("&gt;="&amp;$B$4),$C99:$PN99,TabAsistencias[[#Headers],[3]])</f>
        <v>0</v>
      </c>
      <c r="QZ99" s="314">
        <f>COUNTIFS($C$27:$PN$27,("&lt;"&amp;$B$5),$C$27:$PN$27,("&gt;="&amp;$B$4),$C99:$PN99,TabAsistencias[[#Headers],[CP]])</f>
        <v>0</v>
      </c>
      <c r="RA99" s="314">
        <f>COUNTIFS($C$27:$PN$27,("&lt;"&amp;$B$5),$C$27:$PN$27,("&gt;="&amp;$B$4),$C99:$PN99,TabAsistencias[[#Headers],[I]])</f>
        <v>0</v>
      </c>
      <c r="RB99" s="314">
        <f>COUNTIFS($C$27:$PN$27,("&lt;"&amp;$B$5),$C$27:$PN$27,("&gt;="&amp;$B$4),$C99:$PN99,TabAsistencias[[#Headers],[T/2]])</f>
        <v>0</v>
      </c>
      <c r="RC99" s="314">
        <f>COUNTIFS($C$27:$PN$27,("&lt;"&amp;$B$5),$C$27:$PN$27,("&gt;="&amp;$B$4),$C99:$PN99,TabAsistencias[[#Headers],[ME]])</f>
        <v>0</v>
      </c>
      <c r="RD99" s="314">
        <f>COUNTIFS($C$27:$PN$27,("&lt;"&amp;$B$5),$C$27:$PN$27,("&gt;="&amp;$B$4),$C99:$PN99,TabAsistencias[[#Headers],[DP]])</f>
        <v>0</v>
      </c>
      <c r="RE99" s="314">
        <f>COUNTIFS($C$27:$PN$27,("&lt;"&amp;$B$5),$C$27:$PN$27,("&gt;="&amp;$B$4),$C99:$PN99,TabAsistencias[[#Headers],[B]])</f>
        <v>0</v>
      </c>
      <c r="RF99" s="314">
        <f>COUNTIFS($C$27:$PN$27,("&lt;"&amp;$B$5),$C$27:$PN$27,("&gt;="&amp;$B$4),$C$28:$PN$28,1,$C99:$PN99,TabAsistencias[[#Headers],[1]])+
COUNTIFS($C$27:$PN$27,("&lt;"&amp;$B$5),$C$27:$PN$27,("&gt;="&amp;$B$4),$C$28:$PN$28,1,$C99:$PN99,TabAsistencias[[#Headers],[DO]])+
COUNTIFS($C$27:$PN$27,("&lt;"&amp;$B$5),$C$27:$PN$27,("&gt;="&amp;$B$4),$C$28:$PN$28,1,$C99:$PN99,TabAsistencias[[#Headers],[R]])+
COUNTIFS($C$27:$PN$27,("&lt;"&amp;$B$5),$C$27:$PN$27,("&gt;="&amp;$B$4),$C$28:$PN$28,1,$C99:$PN99,TabAsistencias[[#Headers],[NA]])+
COUNTIFS($C$27:$PN$27,("&lt;"&amp;$B$5),$C$27:$PN$27,("&gt;="&amp;$B$4),$C$28:$PN$28,1,$C99:$PN99,TabAsistencias[[#Headers],[DF]])+
COUNTIFS($C$27:$PN$27,("&lt;"&amp;$B$5),$C$27:$PN$27,("&gt;="&amp;$B$4),$C$28:$PN$28,1,$C99:$PN99,TabAsistencias[[#Headers],[3]])+
COUNTIFS($C$27:$PN$27,("&lt;"&amp;$B$5),$C$27:$PN$27,("&gt;="&amp;$B$4),$C$28:$PN$28,1,$C99:$PN99,TabAsistencias[[#Headers],[CP]])+
COUNTIFS($C$27:$PN$27,("&lt;"&amp;$B$5),$C$27:$PN$27,("&gt;="&amp;$B$4),$C$28:$PN$28,1,$C99:$PN99,TabAsistencias[[#Headers],[T/2]])</f>
        <v>11</v>
      </c>
      <c r="RG99" s="320" cm="1">
        <f t="array" ref="RG99">IFERROR(VLOOKUP(
DATEDIF((VLOOKUP(TabAsistencias[[#This Row],[ID]],TabEmpleados[],COLUMN(TabEmpleados[Fecha de alta NSS]),FALSE)),Asistencias!$B$3,"Y"),
TabFactorIntegracion[],COLUMN(TabFactorIntegracion[Días vacacionales
establecidos por ley]),FALSE),0)
-
COUNTIF($AH99:$PN99,TabAsistencias[[#Headers],[V]])</f>
        <v>12</v>
      </c>
    </row>
    <row r="100" spans="1:475" x14ac:dyDescent="0.25">
      <c r="A100" s="92">
        <f t="shared" si="435"/>
        <v>70</v>
      </c>
      <c r="B100" s="30" t="str" cm="1">
        <f t="array" ref="B100">VLOOKUP(TabAsistencias[[#This Row],[ID]],TabEmpleados[],COLUMN(TabEmpleados[Nombre]),FALSE)</f>
        <v>GONZALEZ LEYVA ADRIAN EDUARDO</v>
      </c>
      <c r="C100" s="36" t="s">
        <v>139</v>
      </c>
      <c r="D100" s="36" t="s">
        <v>139</v>
      </c>
      <c r="E100" s="36" t="s">
        <v>139</v>
      </c>
      <c r="F100" s="36" t="s">
        <v>139</v>
      </c>
      <c r="G100" s="36" t="s">
        <v>139</v>
      </c>
      <c r="H100" s="36" t="s">
        <v>139</v>
      </c>
      <c r="I100" s="36" t="s">
        <v>139</v>
      </c>
      <c r="J100" s="36" t="s">
        <v>139</v>
      </c>
      <c r="K100" s="36" t="s">
        <v>139</v>
      </c>
      <c r="L100" s="36" t="s">
        <v>139</v>
      </c>
      <c r="M100" s="36" t="s">
        <v>139</v>
      </c>
      <c r="N100" s="36" t="s">
        <v>139</v>
      </c>
      <c r="O100" s="36" t="s">
        <v>139</v>
      </c>
      <c r="P100" s="36" t="s">
        <v>139</v>
      </c>
      <c r="Q100" s="36" t="s">
        <v>139</v>
      </c>
      <c r="R100" s="36" t="s">
        <v>139</v>
      </c>
      <c r="S100" s="36" t="s">
        <v>139</v>
      </c>
      <c r="T100" s="36" t="s">
        <v>139</v>
      </c>
      <c r="U100" s="36" t="s">
        <v>139</v>
      </c>
      <c r="V100" s="36" t="s">
        <v>139</v>
      </c>
      <c r="W100" s="36" t="s">
        <v>139</v>
      </c>
      <c r="X100" s="36" t="s">
        <v>139</v>
      </c>
      <c r="Y100" s="36" t="s">
        <v>139</v>
      </c>
      <c r="Z100" s="36" t="s">
        <v>139</v>
      </c>
      <c r="AA100" s="36" t="s">
        <v>139</v>
      </c>
      <c r="AB100" s="36" t="s">
        <v>139</v>
      </c>
      <c r="AC100" s="36" t="s">
        <v>139</v>
      </c>
      <c r="AD100" s="36" t="s">
        <v>139</v>
      </c>
      <c r="AE100" s="36" t="s">
        <v>139</v>
      </c>
      <c r="AF100" s="36" t="s">
        <v>139</v>
      </c>
      <c r="AG100" s="36" t="s">
        <v>139</v>
      </c>
      <c r="AH100" s="36" t="s">
        <v>139</v>
      </c>
      <c r="AI100" s="36" t="s">
        <v>139</v>
      </c>
      <c r="AJ100" s="36" t="s">
        <v>139</v>
      </c>
      <c r="AK100" s="36" t="s">
        <v>139</v>
      </c>
      <c r="AL100" s="36" t="s">
        <v>139</v>
      </c>
      <c r="AM100" s="36" t="s">
        <v>139</v>
      </c>
      <c r="AN100" s="36" t="s">
        <v>139</v>
      </c>
      <c r="AO100" s="36" t="s">
        <v>139</v>
      </c>
      <c r="AP100" s="36" t="s">
        <v>139</v>
      </c>
      <c r="AQ100" s="36" t="s">
        <v>139</v>
      </c>
      <c r="AR100" s="36" t="s">
        <v>139</v>
      </c>
      <c r="AS100" s="36" t="s">
        <v>139</v>
      </c>
      <c r="AT100" s="36" t="s">
        <v>139</v>
      </c>
      <c r="AU100" s="36" t="s">
        <v>139</v>
      </c>
      <c r="AV100" s="36" t="s">
        <v>139</v>
      </c>
      <c r="AW100" s="36" t="s">
        <v>139</v>
      </c>
      <c r="AX100" s="36" t="s">
        <v>139</v>
      </c>
      <c r="AY100" s="36" t="s">
        <v>139</v>
      </c>
      <c r="AZ100" s="36" t="s">
        <v>139</v>
      </c>
      <c r="BA100" s="36" t="s">
        <v>139</v>
      </c>
      <c r="BB100" s="36" t="s">
        <v>139</v>
      </c>
      <c r="BC100" s="36" t="s">
        <v>139</v>
      </c>
      <c r="BD100" s="36" t="s">
        <v>139</v>
      </c>
      <c r="BE100" s="36" t="s">
        <v>139</v>
      </c>
      <c r="BF100" s="36" t="s">
        <v>139</v>
      </c>
      <c r="BG100" s="36" t="s">
        <v>139</v>
      </c>
      <c r="BH100" s="36" t="s">
        <v>139</v>
      </c>
      <c r="BI100" s="36" t="s">
        <v>139</v>
      </c>
      <c r="BJ100" s="36" t="s">
        <v>139</v>
      </c>
      <c r="BK100" s="36" t="s">
        <v>139</v>
      </c>
      <c r="BL100" s="36" t="s">
        <v>139</v>
      </c>
      <c r="BM100" s="36" t="s">
        <v>139</v>
      </c>
      <c r="BN100" s="36" t="s">
        <v>139</v>
      </c>
      <c r="BO100" s="36" t="s">
        <v>139</v>
      </c>
      <c r="BP100" s="36" t="s">
        <v>139</v>
      </c>
      <c r="BQ100" s="36" t="s">
        <v>139</v>
      </c>
      <c r="BR100" s="36" t="s">
        <v>139</v>
      </c>
      <c r="BS100" s="36" t="s">
        <v>139</v>
      </c>
      <c r="BT100" s="36" t="s">
        <v>139</v>
      </c>
      <c r="BU100" s="36" t="s">
        <v>139</v>
      </c>
      <c r="BV100" s="36" t="s">
        <v>139</v>
      </c>
      <c r="BW100" s="36" t="s">
        <v>139</v>
      </c>
      <c r="BX100" s="36" t="s">
        <v>139</v>
      </c>
      <c r="BY100" s="36" t="s">
        <v>139</v>
      </c>
      <c r="BZ100" s="36" t="s">
        <v>139</v>
      </c>
      <c r="CA100" s="36" t="s">
        <v>139</v>
      </c>
      <c r="CB100" s="36" t="s">
        <v>139</v>
      </c>
      <c r="CC100" s="36" t="s">
        <v>139</v>
      </c>
      <c r="CD100" s="36" t="s">
        <v>139</v>
      </c>
      <c r="CE100" s="36" t="s">
        <v>139</v>
      </c>
      <c r="CF100" s="36" t="s">
        <v>139</v>
      </c>
      <c r="CG100" s="36" t="s">
        <v>139</v>
      </c>
      <c r="CH100" s="36" t="s">
        <v>139</v>
      </c>
      <c r="CI100" s="36" t="s">
        <v>139</v>
      </c>
      <c r="CJ100" s="36" t="s">
        <v>139</v>
      </c>
      <c r="CK100" s="36" t="s">
        <v>139</v>
      </c>
      <c r="CL100" s="36" t="s">
        <v>139</v>
      </c>
      <c r="CM100" s="36" t="s">
        <v>139</v>
      </c>
      <c r="CN100" s="36" t="s">
        <v>139</v>
      </c>
      <c r="CO100" s="36" t="s">
        <v>139</v>
      </c>
      <c r="CP100" s="36" t="s">
        <v>139</v>
      </c>
      <c r="CQ100" s="36" t="s">
        <v>139</v>
      </c>
      <c r="CR100" s="36" t="s">
        <v>139</v>
      </c>
      <c r="CS100" s="36" t="s">
        <v>139</v>
      </c>
      <c r="CT100" s="36" t="s">
        <v>139</v>
      </c>
      <c r="CU100" s="36" t="s">
        <v>139</v>
      </c>
      <c r="CV100" s="36" t="s">
        <v>139</v>
      </c>
      <c r="CW100" s="36" t="s">
        <v>139</v>
      </c>
      <c r="CX100" s="36" t="s">
        <v>139</v>
      </c>
      <c r="CY100" s="36" t="s">
        <v>139</v>
      </c>
      <c r="CZ100" s="36" t="s">
        <v>139</v>
      </c>
      <c r="DA100" s="36" t="s">
        <v>139</v>
      </c>
      <c r="DB100" s="36" t="s">
        <v>139</v>
      </c>
      <c r="DC100" s="36" t="s">
        <v>139</v>
      </c>
      <c r="DD100" s="36" t="s">
        <v>139</v>
      </c>
      <c r="DE100" s="36" t="s">
        <v>139</v>
      </c>
      <c r="DF100" s="36" t="s">
        <v>139</v>
      </c>
      <c r="DG100" s="36" t="s">
        <v>139</v>
      </c>
      <c r="DH100" s="36" t="s">
        <v>139</v>
      </c>
      <c r="DI100" s="36" t="s">
        <v>139</v>
      </c>
      <c r="DJ100" s="36" t="s">
        <v>139</v>
      </c>
      <c r="DK100" s="36" t="s">
        <v>139</v>
      </c>
      <c r="DL100" s="36" t="s">
        <v>139</v>
      </c>
      <c r="DM100" s="36" t="s">
        <v>139</v>
      </c>
      <c r="DN100" s="36" t="s">
        <v>139</v>
      </c>
      <c r="DO100" s="36" t="s">
        <v>139</v>
      </c>
      <c r="DP100" s="36" t="s">
        <v>139</v>
      </c>
      <c r="DQ100" s="36" t="s">
        <v>139</v>
      </c>
      <c r="DR100" s="36" t="s">
        <v>139</v>
      </c>
      <c r="DS100" s="36" t="s">
        <v>139</v>
      </c>
      <c r="DT100" s="36" t="s">
        <v>139</v>
      </c>
      <c r="DU100" s="36" t="s">
        <v>139</v>
      </c>
      <c r="DV100" s="36" t="s">
        <v>139</v>
      </c>
      <c r="DW100" s="36" t="s">
        <v>139</v>
      </c>
      <c r="DX100" s="36" t="s">
        <v>139</v>
      </c>
      <c r="DY100" s="36" t="s">
        <v>139</v>
      </c>
      <c r="DZ100" s="36" t="s">
        <v>139</v>
      </c>
      <c r="EA100" s="36" t="s">
        <v>139</v>
      </c>
      <c r="EB100" s="36" t="s">
        <v>139</v>
      </c>
      <c r="EC100" s="36" t="s">
        <v>139</v>
      </c>
      <c r="ED100" s="36" t="s">
        <v>139</v>
      </c>
      <c r="EE100" s="36" t="s">
        <v>139</v>
      </c>
      <c r="EF100" s="36" t="s">
        <v>139</v>
      </c>
      <c r="EG100" s="36" t="s">
        <v>139</v>
      </c>
      <c r="EH100" s="36" t="s">
        <v>139</v>
      </c>
      <c r="EI100" s="36" t="s">
        <v>139</v>
      </c>
      <c r="EJ100" s="36" t="s">
        <v>139</v>
      </c>
      <c r="EK100" s="36" t="s">
        <v>139</v>
      </c>
      <c r="EL100" s="36" t="s">
        <v>139</v>
      </c>
      <c r="EM100" s="36" t="s">
        <v>139</v>
      </c>
      <c r="EN100" s="36" t="s">
        <v>139</v>
      </c>
      <c r="EO100" s="36" t="s">
        <v>139</v>
      </c>
      <c r="EP100" s="36" t="s">
        <v>139</v>
      </c>
      <c r="EQ100" s="36" t="s">
        <v>139</v>
      </c>
      <c r="ER100" s="36" t="s">
        <v>139</v>
      </c>
      <c r="ES100" s="36" t="s">
        <v>139</v>
      </c>
      <c r="ET100" s="36" t="s">
        <v>139</v>
      </c>
      <c r="EU100" s="36" t="s">
        <v>139</v>
      </c>
      <c r="EV100" s="36" t="s">
        <v>139</v>
      </c>
      <c r="EW100" s="36" t="s">
        <v>139</v>
      </c>
      <c r="EX100" s="36" t="s">
        <v>139</v>
      </c>
      <c r="EY100" s="36" t="s">
        <v>139</v>
      </c>
      <c r="EZ100" s="36" t="s">
        <v>139</v>
      </c>
      <c r="FA100" s="36" t="s">
        <v>139</v>
      </c>
      <c r="FB100" s="36" t="s">
        <v>139</v>
      </c>
      <c r="FC100" s="36" t="s">
        <v>139</v>
      </c>
      <c r="FD100" s="36" t="s">
        <v>139</v>
      </c>
      <c r="FE100" s="36" t="s">
        <v>139</v>
      </c>
      <c r="FF100" s="36" t="s">
        <v>139</v>
      </c>
      <c r="FG100" s="36" t="s">
        <v>139</v>
      </c>
      <c r="FH100" s="36" t="s">
        <v>139</v>
      </c>
      <c r="FI100" s="36" t="s">
        <v>139</v>
      </c>
      <c r="FJ100" s="36" t="s">
        <v>139</v>
      </c>
      <c r="FK100" s="36" t="s">
        <v>139</v>
      </c>
      <c r="FL100" s="36" t="s">
        <v>139</v>
      </c>
      <c r="FM100" s="36" t="s">
        <v>139</v>
      </c>
      <c r="FN100" s="36" t="s">
        <v>139</v>
      </c>
      <c r="FO100" s="36" t="s">
        <v>139</v>
      </c>
      <c r="FP100" s="36" t="s">
        <v>139</v>
      </c>
      <c r="FQ100" s="36" t="s">
        <v>139</v>
      </c>
      <c r="FR100" s="36" t="s">
        <v>139</v>
      </c>
      <c r="FS100" s="36" t="s">
        <v>139</v>
      </c>
      <c r="FT100" s="36" t="s">
        <v>139</v>
      </c>
      <c r="FU100" s="36" t="s">
        <v>139</v>
      </c>
      <c r="FV100" s="36" t="s">
        <v>139</v>
      </c>
      <c r="FW100" s="36" t="s">
        <v>139</v>
      </c>
      <c r="FX100" s="36" t="s">
        <v>139</v>
      </c>
      <c r="FY100" s="36" t="s">
        <v>139</v>
      </c>
      <c r="FZ100" s="36" t="s">
        <v>139</v>
      </c>
      <c r="GA100" s="36" t="s">
        <v>139</v>
      </c>
      <c r="GB100" s="36" t="s">
        <v>139</v>
      </c>
      <c r="GC100" s="36" t="s">
        <v>139</v>
      </c>
      <c r="GD100" s="36" t="s">
        <v>139</v>
      </c>
      <c r="GE100" s="36" t="s">
        <v>139</v>
      </c>
      <c r="GF100" s="36" t="s">
        <v>139</v>
      </c>
      <c r="GG100" s="36" t="s">
        <v>139</v>
      </c>
      <c r="GH100" s="36" t="s">
        <v>139</v>
      </c>
      <c r="GI100" s="36" t="s">
        <v>139</v>
      </c>
      <c r="GJ100" s="36" t="s">
        <v>139</v>
      </c>
      <c r="GK100" s="36" t="s">
        <v>139</v>
      </c>
      <c r="GL100" s="36" t="s">
        <v>139</v>
      </c>
      <c r="GM100" s="36" t="s">
        <v>139</v>
      </c>
      <c r="GN100" s="36" t="s">
        <v>139</v>
      </c>
      <c r="GO100" s="36" t="s">
        <v>139</v>
      </c>
      <c r="GP100" s="36" t="s">
        <v>139</v>
      </c>
      <c r="GQ100" s="36" t="s">
        <v>139</v>
      </c>
      <c r="GR100" s="36" t="s">
        <v>139</v>
      </c>
      <c r="GS100" s="36" t="s">
        <v>139</v>
      </c>
      <c r="GT100" s="36" t="s">
        <v>139</v>
      </c>
      <c r="GU100" s="36" t="s">
        <v>139</v>
      </c>
      <c r="GV100" s="36" t="s">
        <v>139</v>
      </c>
      <c r="GW100" s="36" t="s">
        <v>139</v>
      </c>
      <c r="GX100" s="36" t="s">
        <v>139</v>
      </c>
      <c r="GY100" s="36" t="s">
        <v>139</v>
      </c>
      <c r="GZ100" s="36" t="s">
        <v>139</v>
      </c>
      <c r="HA100" s="36" t="s">
        <v>139</v>
      </c>
      <c r="HB100" s="36" t="s">
        <v>139</v>
      </c>
      <c r="HC100" s="36" t="s">
        <v>139</v>
      </c>
      <c r="HD100" s="36" t="s">
        <v>139</v>
      </c>
      <c r="HE100" s="36" t="s">
        <v>139</v>
      </c>
      <c r="HF100" s="36" t="s">
        <v>139</v>
      </c>
      <c r="HG100" s="36" t="s">
        <v>139</v>
      </c>
      <c r="HH100" s="36" t="s">
        <v>139</v>
      </c>
      <c r="HI100" s="36" t="s">
        <v>139</v>
      </c>
      <c r="HJ100" s="36" t="s">
        <v>139</v>
      </c>
      <c r="HK100" s="36" t="s">
        <v>139</v>
      </c>
      <c r="HL100" s="36" t="s">
        <v>139</v>
      </c>
      <c r="HM100" s="36" t="s">
        <v>139</v>
      </c>
      <c r="HN100" s="36" t="s">
        <v>139</v>
      </c>
      <c r="HO100" s="36" t="s">
        <v>139</v>
      </c>
      <c r="HP100" s="36" t="s">
        <v>139</v>
      </c>
      <c r="HQ100" s="36" t="s">
        <v>139</v>
      </c>
      <c r="HR100" s="36" t="s">
        <v>139</v>
      </c>
      <c r="HS100" s="36" t="s">
        <v>139</v>
      </c>
      <c r="HT100" s="36" t="s">
        <v>139</v>
      </c>
      <c r="HU100" s="36" t="s">
        <v>139</v>
      </c>
      <c r="HV100" s="36" t="s">
        <v>139</v>
      </c>
      <c r="HW100" s="36" t="s">
        <v>139</v>
      </c>
      <c r="HX100" s="36" t="s">
        <v>139</v>
      </c>
      <c r="HY100" s="36" t="s">
        <v>139</v>
      </c>
      <c r="HZ100" s="36" t="s">
        <v>139</v>
      </c>
      <c r="IA100" s="36" t="s">
        <v>139</v>
      </c>
      <c r="IB100" s="36" t="s">
        <v>139</v>
      </c>
      <c r="IC100" s="36" t="s">
        <v>139</v>
      </c>
      <c r="ID100" s="36" t="s">
        <v>139</v>
      </c>
      <c r="IE100" s="36" t="s">
        <v>139</v>
      </c>
      <c r="IF100" s="36" t="s">
        <v>139</v>
      </c>
      <c r="IG100" s="36" t="s">
        <v>139</v>
      </c>
      <c r="IH100" s="36" t="s">
        <v>139</v>
      </c>
      <c r="II100" s="36" t="s">
        <v>139</v>
      </c>
      <c r="IJ100" s="36" t="s">
        <v>139</v>
      </c>
      <c r="IK100" s="36" t="s">
        <v>139</v>
      </c>
      <c r="IL100" s="36" t="s">
        <v>139</v>
      </c>
      <c r="IM100" s="36" t="s">
        <v>139</v>
      </c>
      <c r="IN100" s="36" t="s">
        <v>139</v>
      </c>
      <c r="IO100" s="36" t="s">
        <v>139</v>
      </c>
      <c r="IP100" s="36" t="s">
        <v>139</v>
      </c>
      <c r="IQ100" s="36" t="s">
        <v>139</v>
      </c>
      <c r="IR100" s="36" t="s">
        <v>139</v>
      </c>
      <c r="IS100" s="36" t="s">
        <v>139</v>
      </c>
      <c r="IT100" s="36" t="s">
        <v>139</v>
      </c>
      <c r="IU100" s="36" t="s">
        <v>139</v>
      </c>
      <c r="IV100" s="36" t="s">
        <v>139</v>
      </c>
      <c r="IW100" s="36" t="s">
        <v>139</v>
      </c>
      <c r="IX100" s="36" t="s">
        <v>139</v>
      </c>
      <c r="IY100" s="36" t="s">
        <v>139</v>
      </c>
      <c r="IZ100" s="36" t="s">
        <v>139</v>
      </c>
      <c r="JA100" s="36" t="s">
        <v>139</v>
      </c>
      <c r="JB100" s="36" t="s">
        <v>139</v>
      </c>
      <c r="JC100" s="36" t="s">
        <v>139</v>
      </c>
      <c r="JD100" s="36" t="s">
        <v>139</v>
      </c>
      <c r="JE100" s="36" t="s">
        <v>139</v>
      </c>
      <c r="JF100" s="36" t="s">
        <v>139</v>
      </c>
      <c r="JG100" s="36" t="s">
        <v>139</v>
      </c>
      <c r="JH100" s="36" t="s">
        <v>139</v>
      </c>
      <c r="JI100" s="36" t="s">
        <v>139</v>
      </c>
      <c r="JJ100" s="36" t="s">
        <v>139</v>
      </c>
      <c r="JK100" s="36" t="s">
        <v>139</v>
      </c>
      <c r="JL100" s="36" t="s">
        <v>139</v>
      </c>
      <c r="JM100" s="36" t="s">
        <v>139</v>
      </c>
      <c r="JN100" s="36" t="s">
        <v>139</v>
      </c>
      <c r="JO100" s="36" t="s">
        <v>139</v>
      </c>
      <c r="JP100" s="36" t="s">
        <v>139</v>
      </c>
      <c r="JQ100" s="36" t="s">
        <v>139</v>
      </c>
      <c r="JR100" s="36" t="s">
        <v>139</v>
      </c>
      <c r="JS100" s="36" t="s">
        <v>139</v>
      </c>
      <c r="JT100" s="36" t="s">
        <v>139</v>
      </c>
      <c r="JU100" s="36" t="s">
        <v>139</v>
      </c>
      <c r="JV100" s="36" t="s">
        <v>139</v>
      </c>
      <c r="JW100" s="36" t="s">
        <v>139</v>
      </c>
      <c r="JX100" s="36" t="s">
        <v>139</v>
      </c>
      <c r="JY100" s="36" t="s">
        <v>139</v>
      </c>
      <c r="JZ100" s="36" t="s">
        <v>139</v>
      </c>
      <c r="KA100" s="36" t="s">
        <v>139</v>
      </c>
      <c r="KB100" s="36" t="s">
        <v>139</v>
      </c>
      <c r="KC100" s="36" t="s">
        <v>139</v>
      </c>
      <c r="KD100" s="36" t="s">
        <v>139</v>
      </c>
      <c r="KE100" s="36" t="s">
        <v>139</v>
      </c>
      <c r="KF100" s="36" t="s">
        <v>139</v>
      </c>
      <c r="KG100" s="36" t="s">
        <v>139</v>
      </c>
      <c r="KH100" s="36" t="s">
        <v>139</v>
      </c>
      <c r="KI100" s="36" t="s">
        <v>139</v>
      </c>
      <c r="KJ100" s="36" t="s">
        <v>139</v>
      </c>
      <c r="KK100" s="36" t="s">
        <v>139</v>
      </c>
      <c r="KL100" s="36" t="s">
        <v>139</v>
      </c>
      <c r="KM100" s="36" t="s">
        <v>139</v>
      </c>
      <c r="KN100" s="36" t="s">
        <v>139</v>
      </c>
      <c r="KO100" s="36" t="s">
        <v>139</v>
      </c>
      <c r="KP100" s="36" t="s">
        <v>139</v>
      </c>
      <c r="KQ100" s="36" t="s">
        <v>139</v>
      </c>
      <c r="KR100" s="36" t="s">
        <v>139</v>
      </c>
      <c r="KS100" s="36" t="s">
        <v>139</v>
      </c>
      <c r="KT100" s="36" t="s">
        <v>139</v>
      </c>
      <c r="KU100" s="36" t="s">
        <v>139</v>
      </c>
      <c r="KV100" s="36" t="s">
        <v>139</v>
      </c>
      <c r="KW100" s="36" t="s">
        <v>139</v>
      </c>
      <c r="KX100" s="36" t="s">
        <v>139</v>
      </c>
      <c r="KY100" s="36" t="s">
        <v>139</v>
      </c>
      <c r="KZ100" s="36" t="s">
        <v>139</v>
      </c>
      <c r="LA100" s="36" t="s">
        <v>139</v>
      </c>
      <c r="LB100" s="36" t="s">
        <v>139</v>
      </c>
      <c r="LC100" s="36" t="s">
        <v>139</v>
      </c>
      <c r="LD100" s="36" t="s">
        <v>139</v>
      </c>
      <c r="LE100" s="36" t="s">
        <v>139</v>
      </c>
      <c r="LF100" s="36" t="s">
        <v>139</v>
      </c>
      <c r="LG100" s="36" t="s">
        <v>139</v>
      </c>
      <c r="LH100" s="36" t="s">
        <v>139</v>
      </c>
      <c r="LI100" s="36" t="s">
        <v>139</v>
      </c>
      <c r="LJ100" s="36" t="s">
        <v>139</v>
      </c>
      <c r="LK100" s="36" t="s">
        <v>139</v>
      </c>
      <c r="LL100" s="36" t="s">
        <v>139</v>
      </c>
      <c r="LM100" s="36" t="s">
        <v>139</v>
      </c>
      <c r="LN100" s="36" t="s">
        <v>139</v>
      </c>
      <c r="LO100" s="36" t="s">
        <v>139</v>
      </c>
      <c r="LP100" s="36" t="s">
        <v>139</v>
      </c>
      <c r="LQ100" s="36" t="s">
        <v>139</v>
      </c>
      <c r="LR100" s="36" t="s">
        <v>139</v>
      </c>
      <c r="LS100" s="36" t="s">
        <v>139</v>
      </c>
      <c r="LT100" s="36" t="s">
        <v>139</v>
      </c>
      <c r="LU100" s="36" t="s">
        <v>139</v>
      </c>
      <c r="LV100" s="36" t="s">
        <v>139</v>
      </c>
      <c r="LW100" s="36" t="s">
        <v>139</v>
      </c>
      <c r="LX100" s="36" t="s">
        <v>139</v>
      </c>
      <c r="LY100" s="36" t="s">
        <v>139</v>
      </c>
      <c r="LZ100" s="36" t="s">
        <v>139</v>
      </c>
      <c r="MA100" s="36" t="s">
        <v>139</v>
      </c>
      <c r="MB100" s="36" t="s">
        <v>139</v>
      </c>
      <c r="MC100" s="36" t="s">
        <v>139</v>
      </c>
      <c r="MD100" s="36" t="s">
        <v>139</v>
      </c>
      <c r="ME100" s="36" t="s">
        <v>139</v>
      </c>
      <c r="MF100" s="36" t="s">
        <v>139</v>
      </c>
      <c r="MG100" s="36" t="s">
        <v>139</v>
      </c>
      <c r="MH100" s="36" t="s">
        <v>139</v>
      </c>
      <c r="MI100" s="36" t="s">
        <v>139</v>
      </c>
      <c r="MJ100" s="36" t="s">
        <v>139</v>
      </c>
      <c r="MK100" s="36" t="s">
        <v>139</v>
      </c>
      <c r="ML100" s="36" t="s">
        <v>139</v>
      </c>
      <c r="MM100" s="36" t="s">
        <v>139</v>
      </c>
      <c r="MN100" s="36" t="s">
        <v>139</v>
      </c>
      <c r="MO100" s="36" t="s">
        <v>139</v>
      </c>
      <c r="MP100" s="36" t="s">
        <v>139</v>
      </c>
      <c r="MQ100" s="36" t="s">
        <v>139</v>
      </c>
      <c r="MR100" s="36" t="s">
        <v>139</v>
      </c>
      <c r="MS100" s="36" t="s">
        <v>139</v>
      </c>
      <c r="MT100" s="36" t="s">
        <v>139</v>
      </c>
      <c r="MU100" s="36" t="s">
        <v>139</v>
      </c>
      <c r="MV100" s="36" t="s">
        <v>139</v>
      </c>
      <c r="MW100" s="36" t="s">
        <v>139</v>
      </c>
      <c r="MX100" s="36" t="s">
        <v>139</v>
      </c>
      <c r="MY100" s="36" t="s">
        <v>139</v>
      </c>
      <c r="MZ100" s="36" t="s">
        <v>139</v>
      </c>
      <c r="NA100" s="36" t="s">
        <v>139</v>
      </c>
      <c r="NB100" s="36" t="s">
        <v>139</v>
      </c>
      <c r="NC100" s="36" t="s">
        <v>139</v>
      </c>
      <c r="ND100" s="36" t="s">
        <v>139</v>
      </c>
      <c r="NE100" s="36" t="s">
        <v>139</v>
      </c>
      <c r="NF100" s="36" t="s">
        <v>139</v>
      </c>
      <c r="NG100" s="36" t="s">
        <v>139</v>
      </c>
      <c r="NH100" s="36" t="s">
        <v>139</v>
      </c>
      <c r="NI100" s="36" t="s">
        <v>139</v>
      </c>
      <c r="NJ100" s="36" t="s">
        <v>139</v>
      </c>
      <c r="NK100" s="36" t="s">
        <v>139</v>
      </c>
      <c r="NL100" s="36" t="s">
        <v>139</v>
      </c>
      <c r="NM100" s="36" t="s">
        <v>139</v>
      </c>
      <c r="NN100" s="36" t="s">
        <v>139</v>
      </c>
      <c r="NO100" s="36" t="s">
        <v>139</v>
      </c>
      <c r="NP100" s="36" t="s">
        <v>139</v>
      </c>
      <c r="NQ100" s="36" t="s">
        <v>139</v>
      </c>
      <c r="NR100" s="36" t="s">
        <v>139</v>
      </c>
      <c r="NS100" s="36" t="s">
        <v>139</v>
      </c>
      <c r="NT100" s="36" t="s">
        <v>139</v>
      </c>
      <c r="NU100" s="36" t="s">
        <v>139</v>
      </c>
      <c r="NV100" s="36" t="s">
        <v>139</v>
      </c>
      <c r="NW100" s="36" t="s">
        <v>139</v>
      </c>
      <c r="NX100" s="36" t="s">
        <v>139</v>
      </c>
      <c r="NY100" s="36" t="s">
        <v>139</v>
      </c>
      <c r="NZ100" s="36" t="s">
        <v>139</v>
      </c>
      <c r="OA100" s="36" t="s">
        <v>139</v>
      </c>
      <c r="OB100" s="36" t="s">
        <v>139</v>
      </c>
      <c r="OC100" s="36" t="s">
        <v>139</v>
      </c>
      <c r="OD100" s="36" t="s">
        <v>139</v>
      </c>
      <c r="OE100" s="36" t="s">
        <v>139</v>
      </c>
      <c r="OF100" s="36" t="s">
        <v>139</v>
      </c>
      <c r="OG100" s="36" t="s">
        <v>139</v>
      </c>
      <c r="OH100" s="36" t="s">
        <v>139</v>
      </c>
      <c r="OI100" s="36" t="s">
        <v>139</v>
      </c>
      <c r="OJ100" s="36" t="s">
        <v>139</v>
      </c>
      <c r="OK100" s="36" t="s">
        <v>139</v>
      </c>
      <c r="OL100" s="36" t="s">
        <v>139</v>
      </c>
      <c r="OM100" s="36" t="s">
        <v>139</v>
      </c>
      <c r="ON100" s="36" t="s">
        <v>139</v>
      </c>
      <c r="OO100" s="36" t="s">
        <v>139</v>
      </c>
      <c r="OP100" s="36" t="s">
        <v>139</v>
      </c>
      <c r="OQ100" s="36" t="s">
        <v>139</v>
      </c>
      <c r="OR100" s="36" t="s">
        <v>139</v>
      </c>
      <c r="OS100" s="36" t="s">
        <v>139</v>
      </c>
      <c r="OT100" s="36" t="s">
        <v>139</v>
      </c>
      <c r="OU100" s="36" t="s">
        <v>139</v>
      </c>
      <c r="OV100" s="36" t="s">
        <v>139</v>
      </c>
      <c r="OW100" s="36" t="s">
        <v>139</v>
      </c>
      <c r="OX100" s="36" t="s">
        <v>139</v>
      </c>
      <c r="OY100" s="36" t="s">
        <v>139</v>
      </c>
      <c r="OZ100" s="36" t="s">
        <v>139</v>
      </c>
      <c r="PA100" s="36" t="s">
        <v>139</v>
      </c>
      <c r="PB100" s="36" t="s">
        <v>139</v>
      </c>
      <c r="PC100" s="36" t="s">
        <v>139</v>
      </c>
      <c r="PD100" s="36" t="s">
        <v>139</v>
      </c>
      <c r="PE100" s="36" t="s">
        <v>139</v>
      </c>
      <c r="PF100" s="36" t="s">
        <v>139</v>
      </c>
      <c r="PG100" s="36" t="s">
        <v>139</v>
      </c>
      <c r="PH100" s="36" t="s">
        <v>139</v>
      </c>
      <c r="PI100" s="36" t="s">
        <v>139</v>
      </c>
      <c r="PJ100" s="36" t="s">
        <v>139</v>
      </c>
      <c r="PK100" s="36" t="s">
        <v>139</v>
      </c>
      <c r="PL100" s="36" t="s">
        <v>139</v>
      </c>
      <c r="PM100" s="36" t="s">
        <v>139</v>
      </c>
      <c r="PN100" s="36" t="s">
        <v>139</v>
      </c>
      <c r="PO100" s="74">
        <f>COUNTIFS($C$27:$PN$27,("&lt;"&amp;$B$3),$C$27:$PN$27,("&gt;="&amp;$B$2),$C100:$PN100,TabAsistencias[[#Headers],[1]])</f>
        <v>30</v>
      </c>
      <c r="PP100" s="74">
        <f>COUNTIFS($C$27:$PN$27,("&lt;"&amp;$B$3),$C$27:$PN$27,("&gt;="&amp;$B$2),$C100:$PN100,TabAsistencias[[#Headers],[E]])</f>
        <v>0</v>
      </c>
      <c r="PQ100" s="74">
        <f>COUNTIFS($C$27:$PN$27,("&lt;"&amp;$B$3),$C$27:$PN$27,("&gt;="&amp;$B$2),$C100:$PN100,TabAsistencias[[#Headers],[DE]])</f>
        <v>0</v>
      </c>
      <c r="PR100" s="74">
        <f>COUNTIFS($C$27:$PN$27,("&lt;"&amp;$B$3),$C$27:$PN$27,("&gt;="&amp;$B$2),$C100:$PN100,TabAsistencias[[#Headers],[V]])</f>
        <v>0</v>
      </c>
      <c r="PS100" s="74">
        <f>COUNTIFS($C$27:$PN$27,("&lt;"&amp;$B$3),$C$27:$PN$27,("&gt;="&amp;$B$2),$C100:$PN100,TabAsistencias[[#Headers],[DO]])</f>
        <v>0</v>
      </c>
      <c r="PT100" s="74">
        <f>COUNTIFS($C$27:$PN$27,("&lt;"&amp;$B$3),$C$27:$PN$27,("&gt;="&amp;$B$2),$C100:$PN100,TabAsistencias[[#Headers],[P]])</f>
        <v>0</v>
      </c>
      <c r="PU100" s="74">
        <f>COUNTIFS($C$27:$PN$27,("&lt;"&amp;$B$3),$C$27:$PN$27,("&gt;="&amp;$B$2),$C100:$PN100,TabAsistencias[[#Headers],[F]])</f>
        <v>0</v>
      </c>
      <c r="PV100" s="74">
        <f>COUNTIFS($C$27:$PN$27,("&lt;"&amp;$B$3),$C$27:$PN$27,("&gt;="&amp;$B$2),$C100:$PN100,TabAsistencias[[#Headers],[R]])</f>
        <v>0</v>
      </c>
      <c r="PW100" s="74">
        <f>COUNTIFS($C$27:$PN$27,("&lt;"&amp;$B$3),$C$27:$PN$27,("&gt;="&amp;$B$2),$C100:$PN100,TabAsistencias[[#Headers],[PP]])</f>
        <v>0</v>
      </c>
      <c r="PX100" s="74">
        <f>COUNTIFS($C$27:$PN$27,("&lt;"&amp;$B$3),$C$27:$PN$27,("&gt;="&amp;$B$2),$C100:$PN100,TabAsistencias[[#Headers],[0]])</f>
        <v>0</v>
      </c>
      <c r="PY100" s="74">
        <f>COUNTIFS($C$27:$PN$27,("&lt;"&amp;$B$3),$C$27:$PN$27,("&gt;="&amp;$B$2),$C100:$PN100,TabAsistencias[[#Headers],[IG]])</f>
        <v>0</v>
      </c>
      <c r="PZ100" s="74">
        <f>COUNTIFS($C$27:$PN$27,("&lt;"&amp;$B$3),$C$27:$PN$27,("&gt;="&amp;$B$2),$C100:$PN100,TabAsistencias[[#Headers],[NA]])</f>
        <v>0</v>
      </c>
      <c r="QA100" s="74">
        <f>COUNTIFS($C$27:$PN$27,("&lt;"&amp;$B$3),$C$27:$PN$27,("&gt;="&amp;$B$2),$C100:$PN100,TabAsistencias[[#Headers],[DF]])</f>
        <v>0</v>
      </c>
      <c r="QB100" s="74">
        <f>COUNTIFS($C$27:$PN$27,("&lt;"&amp;$B$3),$C$27:$PN$27,("&gt;="&amp;$B$2),$C100:$PN100,TabAsistencias[[#Headers],[3]])</f>
        <v>0</v>
      </c>
      <c r="QC100" s="74">
        <f>COUNTIFS($C$27:$PN$27,("&lt;"&amp;$B$3),$C$27:$PN$27,("&gt;="&amp;$B$2),$C100:$PN100,TabAsistencias[[#Headers],[CP]])</f>
        <v>0</v>
      </c>
      <c r="QD100" s="74">
        <f>COUNTIFS($C$27:$PN$27,("&lt;"&amp;$B$3),$C$27:$PN$27,("&gt;="&amp;$B$2),$C100:$PN100,TabAsistencias[[#Headers],[I]])</f>
        <v>0</v>
      </c>
      <c r="QE100" s="74">
        <f>COUNTIFS($C$27:$PN$27,("&lt;"&amp;$B$3),$C$27:$PN$27,("&gt;="&amp;$B$2),$C100:$PN100,TabAsistencias[[#Headers],[T/2]])</f>
        <v>0</v>
      </c>
      <c r="QF100" s="74">
        <f>COUNTIFS($C$27:$PN$27,("&lt;"&amp;$B$3),$C$27:$PN$27,("&gt;="&amp;$B$2),$C100:$PN100,TabAsistencias[[#Headers],[ME]])</f>
        <v>0</v>
      </c>
      <c r="QG100" s="74">
        <f>COUNTIFS($C$27:$PN$27,("&lt;"&amp;$B$3),$C$27:$PN$27,("&gt;="&amp;$B$2),$C100:$PN100,TabAsistencias[[#Headers],[DP]])</f>
        <v>0</v>
      </c>
      <c r="QH100" s="74">
        <f>COUNTIFS($C$27:$PN$27,("&lt;"&amp;$B$3),$C$27:$PN$27,("&gt;="&amp;$B$2),$C100:$PN100,TabAsistencias[[#Headers],[B]])</f>
        <v>0</v>
      </c>
      <c r="QI100" s="74">
        <f>(TabAsistencias[[#This Row],[1]]*'Tablas de informacion'!$C$124)+(TabAsistencias[[#This Row],[E]]*'Tablas de informacion'!$C$125)+(TabAsistencias[[#This Row],[DE]]*'Tablas de informacion'!C$126)+(TabAsistencias[[#This Row],[V]]*'Tablas de informacion'!C$127)+(TabAsistencias[[#This Row],[DO]]*'Tablas de informacion'!C$128)+(TabAsistencias[[#This Row],[P]]*'Tablas de informacion'!C$129)+(TabAsistencias[[#This Row],[F]]*'Tablas de informacion'!C$130)+(TabAsistencias[[#This Row],[R]]*'Tablas de informacion'!C$131)+(TabAsistencias[[#This Row],[PP]]*'Tablas de informacion'!C$132)+(TabAsistencias[[#This Row],[0]]*'Tablas de informacion'!C$133)+(TabAsistencias[[#This Row],[IG]]*'Tablas de informacion'!C$134)+(TabAsistencias[[#This Row],[NA]]*'Tablas de informacion'!C$135)+(TabAsistencias[[#This Row],[DF]]*'Tablas de informacion'!C$136)+(TabAsistencias[[#This Row],[3]]*'Tablas de informacion'!C$137)+(TabAsistencias[[#This Row],[CP]]*'Tablas de informacion'!C$138)+(TabAsistencias[[#This Row],[I]]*'Tablas de informacion'!C$139)+(TabAsistencias[[#This Row],[T/2]]*'Tablas de informacion'!C$140)+(TabAsistencias[[#This Row],[ME]]*'Tablas de informacion'!C$141)+(TabAsistencias[[#This Row],[DP]]*'Tablas de informacion'!C$142)+(TabAsistencias[[#This Row],[B]]*'Tablas de informacion'!C$143)-INT(TabAsistencias[[#This Row],[R]]/3)</f>
        <v>30</v>
      </c>
      <c r="QJ100" s="74">
        <f>COUNTIFS($C$27:$PN$27,("&lt;"&amp;$B$3),$C$27:$PN$27,("&gt;="&amp;$B$2),$C$28:$PN$28,1,$C100:$PN100,TabAsistencias[[#Headers],[1]])+
COUNTIFS($C$27:$PN$27,("&lt;"&amp;$B$3),$C$27:$PN$27,("&gt;="&amp;$B$2),$C$28:$PN$28,1,$C100:$PN100,TabAsistencias[[#Headers],[DO]])+
COUNTIFS($C$27:$PN$27,("&lt;"&amp;$B$3),$C$27:$PN$27,("&gt;="&amp;$B$2),$C$28:$PN$28,1,$C100:$PN100,TabAsistencias[[#Headers],[R]])+
COUNTIFS($C$27:$PN$27,("&lt;"&amp;$B$3),$C$27:$PN$27,("&gt;="&amp;$B$2),$C$28:$PN$28,1,$C100:$PN100,TabAsistencias[[#Headers],[NA]])+
COUNTIFS($C$27:$PN$27,("&lt;"&amp;$B$3),$C$27:$PN$27,("&gt;="&amp;$B$2),$C$28:$PN$28,1,$C100:$PN100,TabAsistencias[[#Headers],[DF]])+
COUNTIFS($C$27:$PN$27,("&lt;"&amp;$B$3),$C$27:$PN$27,("&gt;="&amp;$B$2),$C$28:$PN$28,1,$C100:$PN100,TabAsistencias[[#Headers],[3]])+
COUNTIFS($C$27:$PN$27,("&lt;"&amp;$B$3),$C$27:$PN$27,("&gt;="&amp;$B$2),$C$28:$PN$28,1,$C100:$PN100,TabAsistencias[[#Headers],[CP]])+
COUNTIFS($C$27:$PN$27,("&lt;"&amp;$B$3),$C$27:$PN$27,("&gt;="&amp;$B$2),$C$28:$PN$28,1,$C100:$PN100,TabAsistencias[[#Headers],[T/2]])</f>
        <v>4</v>
      </c>
      <c r="QK100" s="315" cm="1">
        <f t="array" ref="QK100">IFERROR(VLOOKUP(
DATEDIF((VLOOKUP(TabAsistencias[[#This Row],[ID]],TabEmpleados[],COLUMN(TabEmpleados[Fecha de ingreso]),FALSE)),Asistencias!$B$3,"Y"),
TabFactorIntegracion[],COLUMN(TabFactorIntegracion[Días vacacionales
establecidos por ley]),FALSE),0)
-
COUNTIF($AH100:$PN100,TabAsistencias[[#Headers],[V]])</f>
        <v>12</v>
      </c>
      <c r="QL100" s="319">
        <f>SUM(TabAsistencias[[#This Row],[''1]],TabAsistencias[[#This Row],[''DE]],TabAsistencias[[#This Row],[''DO]],TabAsistencias[[#This Row],[''R]],TabAsistencias[[#This Row],[''NA]],TabAsistencias[[#This Row],[''DF]],TabAsistencias[[#This Row],[''3]],TabAsistencias[[#This Row],[''CP]],TabAsistencias[[#This Row],[''T/2]],TabAsistencias[[#This Row],[''DP]])</f>
        <v>73</v>
      </c>
      <c r="QM100" s="314">
        <f>COUNTIFS($C$27:$PN$27,("&lt;"&amp;$B$5),$C$27:$PN$27,("&gt;="&amp;$B$4),$C100:$PN100,TabAsistencias[[#Headers],[1]])</f>
        <v>73</v>
      </c>
      <c r="QN100" s="314">
        <f>COUNTIFS($C$27:$PN$27,("&lt;"&amp;$B$5),$C$27:$PN$27,("&gt;="&amp;$B$4),$C100:$PN100,TabAsistencias[[#Headers],[DE]])</f>
        <v>0</v>
      </c>
      <c r="QO100" s="314">
        <f>COUNTIFS($C$27:$PN$27,("&lt;"&amp;$B$5),$C$27:$PN$27,("&gt;="&amp;$B$4),$C100:$PN100,TabAsistencias[[#Headers],[V]])</f>
        <v>0</v>
      </c>
      <c r="QP100" s="314">
        <f>COUNTIFS($C$27:$PN$27,("&lt;"&amp;$B$5),$C$27:$PN$27,("&gt;="&amp;$B$4),$C100:$PN100,TabAsistencias[[#Headers],[DO]])</f>
        <v>0</v>
      </c>
      <c r="QQ100" s="314">
        <f>COUNTIFS($C$27:$PN$27,("&lt;"&amp;$B$5),$C$27:$PN$27,("&gt;="&amp;$B$4),$C100:$PN100,TabAsistencias[[#Headers],[P]])</f>
        <v>0</v>
      </c>
      <c r="QR100" s="314">
        <f>COUNTIFS($C$27:$PN$27,("&lt;"&amp;$B$5),$C$27:$PN$27,("&gt;="&amp;$B$4),$C100:$PN100,TabAsistencias[[#Headers],[F]])</f>
        <v>0</v>
      </c>
      <c r="QS100" s="314">
        <f>COUNTIFS($C$27:$PN$27,("&lt;"&amp;$B$5),$C$27:$PN$27,("&gt;="&amp;$B$4),$C100:$PN100,TabAsistencias[[#Headers],[R]])</f>
        <v>0</v>
      </c>
      <c r="QT100" s="314">
        <f>COUNTIFS($C$27:$PN$27,("&lt;"&amp;$B$5),$C$27:$PN$27,("&gt;="&amp;$B$4),$C100:$PN100,TabAsistencias[[#Headers],[PP]])</f>
        <v>0</v>
      </c>
      <c r="QU100" s="314">
        <f>COUNTIFS($C$27:$PN$27,("&lt;"&amp;$B$5),$C$27:$PN$27,("&gt;="&amp;$B$4),$C100:$PN100,TabAsistencias[[#Headers],[0]])</f>
        <v>0</v>
      </c>
      <c r="QV100" s="314">
        <f>COUNTIFS($C$27:$PN$27,("&lt;"&amp;$B$5),$C$27:$PN$27,("&gt;="&amp;$B$4),$C100:$PN100,TabAsistencias[[#Headers],[IG]])</f>
        <v>0</v>
      </c>
      <c r="QW100" s="314">
        <f>COUNTIFS($C$27:$PN$27,("&lt;"&amp;$B$5),$C$27:$PN$27,("&gt;="&amp;$B$4),$C100:$PN100,TabAsistencias[[#Headers],[NA]])</f>
        <v>0</v>
      </c>
      <c r="QX100" s="314">
        <f>COUNTIFS($C$27:$PN$27,("&lt;"&amp;$B$5),$C$27:$PN$27,("&gt;="&amp;$B$4),$C100:$PN100,TabAsistencias[[#Headers],[DF]])</f>
        <v>0</v>
      </c>
      <c r="QY100" s="314">
        <f>COUNTIFS($C$27:$PN$27,("&lt;"&amp;$B$5),$C$27:$PN$27,("&gt;="&amp;$B$4),$C100:$PN100,TabAsistencias[[#Headers],[3]])</f>
        <v>0</v>
      </c>
      <c r="QZ100" s="314">
        <f>COUNTIFS($C$27:$PN$27,("&lt;"&amp;$B$5),$C$27:$PN$27,("&gt;="&amp;$B$4),$C100:$PN100,TabAsistencias[[#Headers],[CP]])</f>
        <v>0</v>
      </c>
      <c r="RA100" s="314">
        <f>COUNTIFS($C$27:$PN$27,("&lt;"&amp;$B$5),$C$27:$PN$27,("&gt;="&amp;$B$4),$C100:$PN100,TabAsistencias[[#Headers],[I]])</f>
        <v>0</v>
      </c>
      <c r="RB100" s="314">
        <f>COUNTIFS($C$27:$PN$27,("&lt;"&amp;$B$5),$C$27:$PN$27,("&gt;="&amp;$B$4),$C100:$PN100,TabAsistencias[[#Headers],[T/2]])</f>
        <v>0</v>
      </c>
      <c r="RC100" s="314">
        <f>COUNTIFS($C$27:$PN$27,("&lt;"&amp;$B$5),$C$27:$PN$27,("&gt;="&amp;$B$4),$C100:$PN100,TabAsistencias[[#Headers],[ME]])</f>
        <v>0</v>
      </c>
      <c r="RD100" s="314">
        <f>COUNTIFS($C$27:$PN$27,("&lt;"&amp;$B$5),$C$27:$PN$27,("&gt;="&amp;$B$4),$C100:$PN100,TabAsistencias[[#Headers],[DP]])</f>
        <v>0</v>
      </c>
      <c r="RE100" s="314">
        <f>COUNTIFS($C$27:$PN$27,("&lt;"&amp;$B$5),$C$27:$PN$27,("&gt;="&amp;$B$4),$C100:$PN100,TabAsistencias[[#Headers],[B]])</f>
        <v>0</v>
      </c>
      <c r="RF100" s="314">
        <f>COUNTIFS($C$27:$PN$27,("&lt;"&amp;$B$5),$C$27:$PN$27,("&gt;="&amp;$B$4),$C$28:$PN$28,1,$C100:$PN100,TabAsistencias[[#Headers],[1]])+
COUNTIFS($C$27:$PN$27,("&lt;"&amp;$B$5),$C$27:$PN$27,("&gt;="&amp;$B$4),$C$28:$PN$28,1,$C100:$PN100,TabAsistencias[[#Headers],[DO]])+
COUNTIFS($C$27:$PN$27,("&lt;"&amp;$B$5),$C$27:$PN$27,("&gt;="&amp;$B$4),$C$28:$PN$28,1,$C100:$PN100,TabAsistencias[[#Headers],[R]])+
COUNTIFS($C$27:$PN$27,("&lt;"&amp;$B$5),$C$27:$PN$27,("&gt;="&amp;$B$4),$C$28:$PN$28,1,$C100:$PN100,TabAsistencias[[#Headers],[NA]])+
COUNTIFS($C$27:$PN$27,("&lt;"&amp;$B$5),$C$27:$PN$27,("&gt;="&amp;$B$4),$C$28:$PN$28,1,$C100:$PN100,TabAsistencias[[#Headers],[DF]])+
COUNTIFS($C$27:$PN$27,("&lt;"&amp;$B$5),$C$27:$PN$27,("&gt;="&amp;$B$4),$C$28:$PN$28,1,$C100:$PN100,TabAsistencias[[#Headers],[3]])+
COUNTIFS($C$27:$PN$27,("&lt;"&amp;$B$5),$C$27:$PN$27,("&gt;="&amp;$B$4),$C$28:$PN$28,1,$C100:$PN100,TabAsistencias[[#Headers],[CP]])+
COUNTIFS($C$27:$PN$27,("&lt;"&amp;$B$5),$C$27:$PN$27,("&gt;="&amp;$B$4),$C$28:$PN$28,1,$C100:$PN100,TabAsistencias[[#Headers],[T/2]])</f>
        <v>11</v>
      </c>
      <c r="RG100" s="320" cm="1">
        <f t="array" ref="RG100">IFERROR(VLOOKUP(
DATEDIF((VLOOKUP(TabAsistencias[[#This Row],[ID]],TabEmpleados[],COLUMN(TabEmpleados[Fecha de alta NSS]),FALSE)),Asistencias!$B$3,"Y"),
TabFactorIntegracion[],COLUMN(TabFactorIntegracion[Días vacacionales
establecidos por ley]),FALSE),0)
-
COUNTIF($AH100:$PN100,TabAsistencias[[#Headers],[V]])</f>
        <v>12</v>
      </c>
    </row>
    <row r="101" spans="1:475" x14ac:dyDescent="0.25">
      <c r="A101" s="92">
        <f t="shared" si="435"/>
        <v>71</v>
      </c>
      <c r="B101" s="30" t="str" cm="1">
        <f t="array" ref="B101">VLOOKUP(TabAsistencias[[#This Row],[ID]],TabEmpleados[],COLUMN(TabEmpleados[Nombre]),FALSE)</f>
        <v>GARCIA ALONZO ANGEL MARTIN</v>
      </c>
      <c r="C101" s="36" t="s">
        <v>139</v>
      </c>
      <c r="D101" s="36" t="s">
        <v>139</v>
      </c>
      <c r="E101" s="36" t="s">
        <v>139</v>
      </c>
      <c r="F101" s="36" t="s">
        <v>139</v>
      </c>
      <c r="G101" s="36" t="s">
        <v>139</v>
      </c>
      <c r="H101" s="36" t="s">
        <v>139</v>
      </c>
      <c r="I101" s="36" t="s">
        <v>139</v>
      </c>
      <c r="J101" s="36" t="s">
        <v>139</v>
      </c>
      <c r="K101" s="36" t="s">
        <v>139</v>
      </c>
      <c r="L101" s="36" t="s">
        <v>139</v>
      </c>
      <c r="M101" s="36" t="s">
        <v>139</v>
      </c>
      <c r="N101" s="36" t="s">
        <v>139</v>
      </c>
      <c r="O101" s="36" t="s">
        <v>139</v>
      </c>
      <c r="P101" s="36" t="s">
        <v>139</v>
      </c>
      <c r="Q101" s="36" t="s">
        <v>139</v>
      </c>
      <c r="R101" s="36" t="s">
        <v>139</v>
      </c>
      <c r="S101" s="36" t="s">
        <v>139</v>
      </c>
      <c r="T101" s="36" t="s">
        <v>139</v>
      </c>
      <c r="U101" s="36" t="s">
        <v>139</v>
      </c>
      <c r="V101" s="36" t="s">
        <v>139</v>
      </c>
      <c r="W101" s="36" t="s">
        <v>139</v>
      </c>
      <c r="X101" s="36" t="s">
        <v>139</v>
      </c>
      <c r="Y101" s="36" t="s">
        <v>139</v>
      </c>
      <c r="Z101" s="36" t="s">
        <v>139</v>
      </c>
      <c r="AA101" s="36" t="s">
        <v>139</v>
      </c>
      <c r="AB101" s="36" t="s">
        <v>139</v>
      </c>
      <c r="AC101" s="36" t="s">
        <v>139</v>
      </c>
      <c r="AD101" s="36" t="s">
        <v>139</v>
      </c>
      <c r="AE101" s="36" t="s">
        <v>139</v>
      </c>
      <c r="AF101" s="36" t="s">
        <v>139</v>
      </c>
      <c r="AG101" s="36" t="s">
        <v>139</v>
      </c>
      <c r="AH101" s="36" t="s">
        <v>139</v>
      </c>
      <c r="AI101" s="36" t="s">
        <v>139</v>
      </c>
      <c r="AJ101" s="36" t="s">
        <v>139</v>
      </c>
      <c r="AK101" s="36" t="s">
        <v>139</v>
      </c>
      <c r="AL101" s="36" t="s">
        <v>139</v>
      </c>
      <c r="AM101" s="36" t="s">
        <v>139</v>
      </c>
      <c r="AN101" s="36" t="s">
        <v>139</v>
      </c>
      <c r="AO101" s="36" t="s">
        <v>139</v>
      </c>
      <c r="AP101" s="36" t="s">
        <v>139</v>
      </c>
      <c r="AQ101" s="36" t="s">
        <v>139</v>
      </c>
      <c r="AR101" s="36" t="s">
        <v>139</v>
      </c>
      <c r="AS101" s="36" t="s">
        <v>139</v>
      </c>
      <c r="AT101" s="36" t="s">
        <v>139</v>
      </c>
      <c r="AU101" s="36" t="s">
        <v>139</v>
      </c>
      <c r="AV101" s="36" t="s">
        <v>139</v>
      </c>
      <c r="AW101" s="36" t="s">
        <v>139</v>
      </c>
      <c r="AX101" s="36" t="s">
        <v>139</v>
      </c>
      <c r="AY101" s="36" t="s">
        <v>139</v>
      </c>
      <c r="AZ101" s="36" t="s">
        <v>139</v>
      </c>
      <c r="BA101" s="36" t="s">
        <v>139</v>
      </c>
      <c r="BB101" s="36" t="s">
        <v>139</v>
      </c>
      <c r="BC101" s="36" t="s">
        <v>139</v>
      </c>
      <c r="BD101" s="36" t="s">
        <v>139</v>
      </c>
      <c r="BE101" s="36" t="s">
        <v>139</v>
      </c>
      <c r="BF101" s="36" t="s">
        <v>139</v>
      </c>
      <c r="BG101" s="36" t="s">
        <v>139</v>
      </c>
      <c r="BH101" s="36" t="s">
        <v>139</v>
      </c>
      <c r="BI101" s="36" t="s">
        <v>139</v>
      </c>
      <c r="BJ101" s="36" t="s">
        <v>139</v>
      </c>
      <c r="BK101" s="36" t="s">
        <v>139</v>
      </c>
      <c r="BL101" s="36" t="s">
        <v>139</v>
      </c>
      <c r="BM101" s="36" t="s">
        <v>139</v>
      </c>
      <c r="BN101" s="36" t="s">
        <v>139</v>
      </c>
      <c r="BO101" s="36" t="s">
        <v>139</v>
      </c>
      <c r="BP101" s="36" t="s">
        <v>139</v>
      </c>
      <c r="BQ101" s="36" t="s">
        <v>139</v>
      </c>
      <c r="BR101" s="36" t="s">
        <v>139</v>
      </c>
      <c r="BS101" s="36" t="s">
        <v>139</v>
      </c>
      <c r="BT101" s="36" t="s">
        <v>139</v>
      </c>
      <c r="BU101" s="36" t="s">
        <v>139</v>
      </c>
      <c r="BV101" s="36" t="s">
        <v>139</v>
      </c>
      <c r="BW101" s="36" t="s">
        <v>139</v>
      </c>
      <c r="BX101" s="36" t="s">
        <v>139</v>
      </c>
      <c r="BY101" s="36" t="s">
        <v>139</v>
      </c>
      <c r="BZ101" s="36" t="s">
        <v>139</v>
      </c>
      <c r="CA101" s="36" t="s">
        <v>139</v>
      </c>
      <c r="CB101" s="36" t="s">
        <v>139</v>
      </c>
      <c r="CC101" s="36" t="s">
        <v>139</v>
      </c>
      <c r="CD101" s="36" t="s">
        <v>139</v>
      </c>
      <c r="CE101" s="36" t="s">
        <v>139</v>
      </c>
      <c r="CF101" s="36" t="s">
        <v>139</v>
      </c>
      <c r="CG101" s="36" t="s">
        <v>139</v>
      </c>
      <c r="CH101" s="36" t="s">
        <v>139</v>
      </c>
      <c r="CI101" s="36" t="s">
        <v>139</v>
      </c>
      <c r="CJ101" s="36" t="s">
        <v>139</v>
      </c>
      <c r="CK101" s="36" t="s">
        <v>139</v>
      </c>
      <c r="CL101" s="36" t="s">
        <v>139</v>
      </c>
      <c r="CM101" s="36" t="s">
        <v>139</v>
      </c>
      <c r="CN101" s="36" t="s">
        <v>139</v>
      </c>
      <c r="CO101" s="36" t="s">
        <v>139</v>
      </c>
      <c r="CP101" s="36" t="s">
        <v>139</v>
      </c>
      <c r="CQ101" s="36" t="s">
        <v>139</v>
      </c>
      <c r="CR101" s="36" t="s">
        <v>139</v>
      </c>
      <c r="CS101" s="36" t="s">
        <v>139</v>
      </c>
      <c r="CT101" s="36" t="s">
        <v>139</v>
      </c>
      <c r="CU101" s="36" t="s">
        <v>139</v>
      </c>
      <c r="CV101" s="36" t="s">
        <v>139</v>
      </c>
      <c r="CW101" s="36" t="s">
        <v>139</v>
      </c>
      <c r="CX101" s="36" t="s">
        <v>139</v>
      </c>
      <c r="CY101" s="36" t="s">
        <v>139</v>
      </c>
      <c r="CZ101" s="36" t="s">
        <v>139</v>
      </c>
      <c r="DA101" s="36" t="s">
        <v>139</v>
      </c>
      <c r="DB101" s="36" t="s">
        <v>139</v>
      </c>
      <c r="DC101" s="36" t="s">
        <v>139</v>
      </c>
      <c r="DD101" s="36" t="s">
        <v>139</v>
      </c>
      <c r="DE101" s="36" t="s">
        <v>139</v>
      </c>
      <c r="DF101" s="36" t="s">
        <v>139</v>
      </c>
      <c r="DG101" s="36" t="s">
        <v>139</v>
      </c>
      <c r="DH101" s="36" t="s">
        <v>139</v>
      </c>
      <c r="DI101" s="36" t="s">
        <v>139</v>
      </c>
      <c r="DJ101" s="36" t="s">
        <v>139</v>
      </c>
      <c r="DK101" s="36" t="s">
        <v>139</v>
      </c>
      <c r="DL101" s="36" t="s">
        <v>139</v>
      </c>
      <c r="DM101" s="36" t="s">
        <v>139</v>
      </c>
      <c r="DN101" s="36" t="s">
        <v>139</v>
      </c>
      <c r="DO101" s="36" t="s">
        <v>139</v>
      </c>
      <c r="DP101" s="36" t="s">
        <v>139</v>
      </c>
      <c r="DQ101" s="36" t="s">
        <v>139</v>
      </c>
      <c r="DR101" s="36" t="s">
        <v>139</v>
      </c>
      <c r="DS101" s="36" t="s">
        <v>139</v>
      </c>
      <c r="DT101" s="36" t="s">
        <v>139</v>
      </c>
      <c r="DU101" s="36" t="s">
        <v>139</v>
      </c>
      <c r="DV101" s="36" t="s">
        <v>139</v>
      </c>
      <c r="DW101" s="36" t="s">
        <v>139</v>
      </c>
      <c r="DX101" s="36" t="s">
        <v>139</v>
      </c>
      <c r="DY101" s="36" t="s">
        <v>139</v>
      </c>
      <c r="DZ101" s="36" t="s">
        <v>139</v>
      </c>
      <c r="EA101" s="36" t="s">
        <v>139</v>
      </c>
      <c r="EB101" s="36" t="s">
        <v>139</v>
      </c>
      <c r="EC101" s="36" t="s">
        <v>139</v>
      </c>
      <c r="ED101" s="36" t="s">
        <v>139</v>
      </c>
      <c r="EE101" s="36" t="s">
        <v>139</v>
      </c>
      <c r="EF101" s="36" t="s">
        <v>139</v>
      </c>
      <c r="EG101" s="36" t="s">
        <v>139</v>
      </c>
      <c r="EH101" s="36" t="s">
        <v>139</v>
      </c>
      <c r="EI101" s="36" t="s">
        <v>139</v>
      </c>
      <c r="EJ101" s="36" t="s">
        <v>139</v>
      </c>
      <c r="EK101" s="36" t="s">
        <v>139</v>
      </c>
      <c r="EL101" s="36" t="s">
        <v>139</v>
      </c>
      <c r="EM101" s="36" t="s">
        <v>139</v>
      </c>
      <c r="EN101" s="36" t="s">
        <v>139</v>
      </c>
      <c r="EO101" s="36" t="s">
        <v>139</v>
      </c>
      <c r="EP101" s="36" t="s">
        <v>139</v>
      </c>
      <c r="EQ101" s="36" t="s">
        <v>139</v>
      </c>
      <c r="ER101" s="36" t="s">
        <v>139</v>
      </c>
      <c r="ES101" s="36" t="s">
        <v>139</v>
      </c>
      <c r="ET101" s="36" t="s">
        <v>139</v>
      </c>
      <c r="EU101" s="36" t="s">
        <v>139</v>
      </c>
      <c r="EV101" s="36" t="s">
        <v>139</v>
      </c>
      <c r="EW101" s="36" t="s">
        <v>139</v>
      </c>
      <c r="EX101" s="36" t="s">
        <v>139</v>
      </c>
      <c r="EY101" s="36" t="s">
        <v>139</v>
      </c>
      <c r="EZ101" s="36" t="s">
        <v>139</v>
      </c>
      <c r="FA101" s="36" t="s">
        <v>139</v>
      </c>
      <c r="FB101" s="36" t="s">
        <v>139</v>
      </c>
      <c r="FC101" s="36" t="s">
        <v>139</v>
      </c>
      <c r="FD101" s="36" t="s">
        <v>139</v>
      </c>
      <c r="FE101" s="36" t="s">
        <v>139</v>
      </c>
      <c r="FF101" s="36" t="s">
        <v>139</v>
      </c>
      <c r="FG101" s="36" t="s">
        <v>139</v>
      </c>
      <c r="FH101" s="36" t="s">
        <v>139</v>
      </c>
      <c r="FI101" s="36" t="s">
        <v>139</v>
      </c>
      <c r="FJ101" s="36" t="s">
        <v>139</v>
      </c>
      <c r="FK101" s="36" t="s">
        <v>139</v>
      </c>
      <c r="FL101" s="36" t="s">
        <v>139</v>
      </c>
      <c r="FM101" s="36" t="s">
        <v>139</v>
      </c>
      <c r="FN101" s="36" t="s">
        <v>139</v>
      </c>
      <c r="FO101" s="36" t="s">
        <v>139</v>
      </c>
      <c r="FP101" s="36" t="s">
        <v>139</v>
      </c>
      <c r="FQ101" s="36" t="s">
        <v>139</v>
      </c>
      <c r="FR101" s="36" t="s">
        <v>139</v>
      </c>
      <c r="FS101" s="36" t="s">
        <v>139</v>
      </c>
      <c r="FT101" s="36" t="s">
        <v>139</v>
      </c>
      <c r="FU101" s="36" t="s">
        <v>139</v>
      </c>
      <c r="FV101" s="36" t="s">
        <v>139</v>
      </c>
      <c r="FW101" s="36" t="s">
        <v>139</v>
      </c>
      <c r="FX101" s="36" t="s">
        <v>139</v>
      </c>
      <c r="FY101" s="36" t="s">
        <v>139</v>
      </c>
      <c r="FZ101" s="36" t="s">
        <v>139</v>
      </c>
      <c r="GA101" s="36" t="s">
        <v>139</v>
      </c>
      <c r="GB101" s="36" t="s">
        <v>139</v>
      </c>
      <c r="GC101" s="36" t="s">
        <v>139</v>
      </c>
      <c r="GD101" s="36" t="s">
        <v>139</v>
      </c>
      <c r="GE101" s="36" t="s">
        <v>139</v>
      </c>
      <c r="GF101" s="36" t="s">
        <v>139</v>
      </c>
      <c r="GG101" s="36" t="s">
        <v>139</v>
      </c>
      <c r="GH101" s="36" t="s">
        <v>139</v>
      </c>
      <c r="GI101" s="36" t="s">
        <v>139</v>
      </c>
      <c r="GJ101" s="36" t="s">
        <v>139</v>
      </c>
      <c r="GK101" s="36" t="s">
        <v>139</v>
      </c>
      <c r="GL101" s="36" t="s">
        <v>139</v>
      </c>
      <c r="GM101" s="36" t="s">
        <v>139</v>
      </c>
      <c r="GN101" s="36" t="s">
        <v>139</v>
      </c>
      <c r="GO101" s="36" t="s">
        <v>139</v>
      </c>
      <c r="GP101" s="36" t="s">
        <v>139</v>
      </c>
      <c r="GQ101" s="36" t="s">
        <v>139</v>
      </c>
      <c r="GR101" s="36" t="s">
        <v>139</v>
      </c>
      <c r="GS101" s="36" t="s">
        <v>139</v>
      </c>
      <c r="GT101" s="36" t="s">
        <v>139</v>
      </c>
      <c r="GU101" s="36" t="s">
        <v>139</v>
      </c>
      <c r="GV101" s="36" t="s">
        <v>139</v>
      </c>
      <c r="GW101" s="36" t="s">
        <v>139</v>
      </c>
      <c r="GX101" s="36" t="s">
        <v>139</v>
      </c>
      <c r="GY101" s="36" t="s">
        <v>139</v>
      </c>
      <c r="GZ101" s="36" t="s">
        <v>139</v>
      </c>
      <c r="HA101" s="36" t="s">
        <v>139</v>
      </c>
      <c r="HB101" s="36" t="s">
        <v>139</v>
      </c>
      <c r="HC101" s="36" t="s">
        <v>139</v>
      </c>
      <c r="HD101" s="36" t="s">
        <v>139</v>
      </c>
      <c r="HE101" s="36" t="s">
        <v>139</v>
      </c>
      <c r="HF101" s="36" t="s">
        <v>139</v>
      </c>
      <c r="HG101" s="36" t="s">
        <v>139</v>
      </c>
      <c r="HH101" s="36" t="s">
        <v>139</v>
      </c>
      <c r="HI101" s="36" t="s">
        <v>139</v>
      </c>
      <c r="HJ101" s="36" t="s">
        <v>139</v>
      </c>
      <c r="HK101" s="36" t="s">
        <v>139</v>
      </c>
      <c r="HL101" s="36" t="s">
        <v>139</v>
      </c>
      <c r="HM101" s="36" t="s">
        <v>139</v>
      </c>
      <c r="HN101" s="36" t="s">
        <v>139</v>
      </c>
      <c r="HO101" s="36" t="s">
        <v>139</v>
      </c>
      <c r="HP101" s="36" t="s">
        <v>139</v>
      </c>
      <c r="HQ101" s="36" t="s">
        <v>139</v>
      </c>
      <c r="HR101" s="36" t="s">
        <v>139</v>
      </c>
      <c r="HS101" s="36" t="s">
        <v>139</v>
      </c>
      <c r="HT101" s="36" t="s">
        <v>139</v>
      </c>
      <c r="HU101" s="36" t="s">
        <v>139</v>
      </c>
      <c r="HV101" s="36" t="s">
        <v>139</v>
      </c>
      <c r="HW101" s="36" t="s">
        <v>139</v>
      </c>
      <c r="HX101" s="36" t="s">
        <v>139</v>
      </c>
      <c r="HY101" s="36" t="s">
        <v>139</v>
      </c>
      <c r="HZ101" s="36" t="s">
        <v>139</v>
      </c>
      <c r="IA101" s="36" t="s">
        <v>139</v>
      </c>
      <c r="IB101" s="36" t="s">
        <v>139</v>
      </c>
      <c r="IC101" s="36" t="s">
        <v>139</v>
      </c>
      <c r="ID101" s="36" t="s">
        <v>139</v>
      </c>
      <c r="IE101" s="36" t="s">
        <v>139</v>
      </c>
      <c r="IF101" s="36" t="s">
        <v>139</v>
      </c>
      <c r="IG101" s="36" t="s">
        <v>139</v>
      </c>
      <c r="IH101" s="36" t="s">
        <v>139</v>
      </c>
      <c r="II101" s="36" t="s">
        <v>139</v>
      </c>
      <c r="IJ101" s="36" t="s">
        <v>139</v>
      </c>
      <c r="IK101" s="36" t="s">
        <v>139</v>
      </c>
      <c r="IL101" s="36" t="s">
        <v>139</v>
      </c>
      <c r="IM101" s="36" t="s">
        <v>139</v>
      </c>
      <c r="IN101" s="36" t="s">
        <v>139</v>
      </c>
      <c r="IO101" s="36" t="s">
        <v>139</v>
      </c>
      <c r="IP101" s="36" t="s">
        <v>139</v>
      </c>
      <c r="IQ101" s="36" t="s">
        <v>139</v>
      </c>
      <c r="IR101" s="36" t="s">
        <v>139</v>
      </c>
      <c r="IS101" s="36" t="s">
        <v>139</v>
      </c>
      <c r="IT101" s="36" t="s">
        <v>139</v>
      </c>
      <c r="IU101" s="36" t="s">
        <v>139</v>
      </c>
      <c r="IV101" s="36" t="s">
        <v>139</v>
      </c>
      <c r="IW101" s="36" t="s">
        <v>139</v>
      </c>
      <c r="IX101" s="36" t="s">
        <v>139</v>
      </c>
      <c r="IY101" s="36" t="s">
        <v>139</v>
      </c>
      <c r="IZ101" s="36" t="s">
        <v>139</v>
      </c>
      <c r="JA101" s="36" t="s">
        <v>139</v>
      </c>
      <c r="JB101" s="36" t="s">
        <v>139</v>
      </c>
      <c r="JC101" s="36" t="s">
        <v>139</v>
      </c>
      <c r="JD101" s="36" t="s">
        <v>139</v>
      </c>
      <c r="JE101" s="36" t="s">
        <v>139</v>
      </c>
      <c r="JF101" s="36" t="s">
        <v>139</v>
      </c>
      <c r="JG101" s="36" t="s">
        <v>139</v>
      </c>
      <c r="JH101" s="36" t="s">
        <v>139</v>
      </c>
      <c r="JI101" s="36" t="s">
        <v>139</v>
      </c>
      <c r="JJ101" s="36" t="s">
        <v>139</v>
      </c>
      <c r="JK101" s="36" t="s">
        <v>139</v>
      </c>
      <c r="JL101" s="36" t="s">
        <v>139</v>
      </c>
      <c r="JM101" s="36" t="s">
        <v>139</v>
      </c>
      <c r="JN101" s="36" t="s">
        <v>139</v>
      </c>
      <c r="JO101" s="36" t="s">
        <v>139</v>
      </c>
      <c r="JP101" s="36" t="s">
        <v>139</v>
      </c>
      <c r="JQ101" s="36" t="s">
        <v>139</v>
      </c>
      <c r="JR101" s="36" t="s">
        <v>139</v>
      </c>
      <c r="JS101" s="36" t="s">
        <v>139</v>
      </c>
      <c r="JT101" s="36" t="s">
        <v>139</v>
      </c>
      <c r="JU101" s="36" t="s">
        <v>139</v>
      </c>
      <c r="JV101" s="36" t="s">
        <v>139</v>
      </c>
      <c r="JW101" s="36" t="s">
        <v>139</v>
      </c>
      <c r="JX101" s="36" t="s">
        <v>139</v>
      </c>
      <c r="JY101" s="36" t="s">
        <v>139</v>
      </c>
      <c r="JZ101" s="36" t="s">
        <v>139</v>
      </c>
      <c r="KA101" s="36" t="s">
        <v>139</v>
      </c>
      <c r="KB101" s="36" t="s">
        <v>139</v>
      </c>
      <c r="KC101" s="36" t="s">
        <v>139</v>
      </c>
      <c r="KD101" s="36" t="s">
        <v>139</v>
      </c>
      <c r="KE101" s="36" t="s">
        <v>139</v>
      </c>
      <c r="KF101" s="36" t="s">
        <v>139</v>
      </c>
      <c r="KG101" s="36" t="s">
        <v>139</v>
      </c>
      <c r="KH101" s="36" t="s">
        <v>139</v>
      </c>
      <c r="KI101" s="36" t="s">
        <v>139</v>
      </c>
      <c r="KJ101" s="36" t="s">
        <v>139</v>
      </c>
      <c r="KK101" s="36" t="s">
        <v>139</v>
      </c>
      <c r="KL101" s="36" t="s">
        <v>139</v>
      </c>
      <c r="KM101" s="36" t="s">
        <v>139</v>
      </c>
      <c r="KN101" s="36" t="s">
        <v>139</v>
      </c>
      <c r="KO101" s="36" t="s">
        <v>139</v>
      </c>
      <c r="KP101" s="36" t="s">
        <v>139</v>
      </c>
      <c r="KQ101" s="36" t="s">
        <v>139</v>
      </c>
      <c r="KR101" s="36" t="s">
        <v>139</v>
      </c>
      <c r="KS101" s="36" t="s">
        <v>139</v>
      </c>
      <c r="KT101" s="36" t="s">
        <v>139</v>
      </c>
      <c r="KU101" s="36" t="s">
        <v>139</v>
      </c>
      <c r="KV101" s="36" t="s">
        <v>139</v>
      </c>
      <c r="KW101" s="36" t="s">
        <v>139</v>
      </c>
      <c r="KX101" s="36" t="s">
        <v>139</v>
      </c>
      <c r="KY101" s="36" t="s">
        <v>139</v>
      </c>
      <c r="KZ101" s="36" t="s">
        <v>139</v>
      </c>
      <c r="LA101" s="36" t="s">
        <v>139</v>
      </c>
      <c r="LB101" s="36" t="s">
        <v>139</v>
      </c>
      <c r="LC101" s="36" t="s">
        <v>139</v>
      </c>
      <c r="LD101" s="36" t="s">
        <v>139</v>
      </c>
      <c r="LE101" s="36" t="s">
        <v>139</v>
      </c>
      <c r="LF101" s="36" t="s">
        <v>139</v>
      </c>
      <c r="LG101" s="36" t="s">
        <v>139</v>
      </c>
      <c r="LH101" s="36" t="s">
        <v>139</v>
      </c>
      <c r="LI101" s="36" t="s">
        <v>139</v>
      </c>
      <c r="LJ101" s="36" t="s">
        <v>139</v>
      </c>
      <c r="LK101" s="36" t="s">
        <v>139</v>
      </c>
      <c r="LL101" s="36" t="s">
        <v>139</v>
      </c>
      <c r="LM101" s="36" t="s">
        <v>139</v>
      </c>
      <c r="LN101" s="36" t="s">
        <v>139</v>
      </c>
      <c r="LO101" s="36" t="s">
        <v>139</v>
      </c>
      <c r="LP101" s="36" t="s">
        <v>139</v>
      </c>
      <c r="LQ101" s="36" t="s">
        <v>139</v>
      </c>
      <c r="LR101" s="36" t="s">
        <v>139</v>
      </c>
      <c r="LS101" s="36" t="s">
        <v>139</v>
      </c>
      <c r="LT101" s="36" t="s">
        <v>139</v>
      </c>
      <c r="LU101" s="36" t="s">
        <v>139</v>
      </c>
      <c r="LV101" s="36" t="s">
        <v>139</v>
      </c>
      <c r="LW101" s="36" t="s">
        <v>139</v>
      </c>
      <c r="LX101" s="36" t="s">
        <v>139</v>
      </c>
      <c r="LY101" s="36" t="s">
        <v>139</v>
      </c>
      <c r="LZ101" s="36" t="s">
        <v>139</v>
      </c>
      <c r="MA101" s="36" t="s">
        <v>139</v>
      </c>
      <c r="MB101" s="36" t="s">
        <v>139</v>
      </c>
      <c r="MC101" s="36" t="s">
        <v>139</v>
      </c>
      <c r="MD101" s="36" t="s">
        <v>139</v>
      </c>
      <c r="ME101" s="36" t="s">
        <v>139</v>
      </c>
      <c r="MF101" s="36" t="s">
        <v>139</v>
      </c>
      <c r="MG101" s="36" t="s">
        <v>139</v>
      </c>
      <c r="MH101" s="36" t="s">
        <v>139</v>
      </c>
      <c r="MI101" s="36" t="s">
        <v>139</v>
      </c>
      <c r="MJ101" s="36" t="s">
        <v>139</v>
      </c>
      <c r="MK101" s="36" t="s">
        <v>139</v>
      </c>
      <c r="ML101" s="36" t="s">
        <v>139</v>
      </c>
      <c r="MM101" s="36" t="s">
        <v>139</v>
      </c>
      <c r="MN101" s="36" t="s">
        <v>139</v>
      </c>
      <c r="MO101" s="36" t="s">
        <v>139</v>
      </c>
      <c r="MP101" s="36" t="s">
        <v>139</v>
      </c>
      <c r="MQ101" s="36" t="s">
        <v>139</v>
      </c>
      <c r="MR101" s="36" t="s">
        <v>139</v>
      </c>
      <c r="MS101" s="36" t="s">
        <v>139</v>
      </c>
      <c r="MT101" s="36" t="s">
        <v>139</v>
      </c>
      <c r="MU101" s="36" t="s">
        <v>139</v>
      </c>
      <c r="MV101" s="36" t="s">
        <v>139</v>
      </c>
      <c r="MW101" s="36" t="s">
        <v>139</v>
      </c>
      <c r="MX101" s="36" t="s">
        <v>139</v>
      </c>
      <c r="MY101" s="36" t="s">
        <v>139</v>
      </c>
      <c r="MZ101" s="36" t="s">
        <v>139</v>
      </c>
      <c r="NA101" s="36" t="s">
        <v>139</v>
      </c>
      <c r="NB101" s="36" t="s">
        <v>139</v>
      </c>
      <c r="NC101" s="36" t="s">
        <v>139</v>
      </c>
      <c r="ND101" s="36" t="s">
        <v>139</v>
      </c>
      <c r="NE101" s="36" t="s">
        <v>139</v>
      </c>
      <c r="NF101" s="36" t="s">
        <v>139</v>
      </c>
      <c r="NG101" s="36" t="s">
        <v>139</v>
      </c>
      <c r="NH101" s="36" t="s">
        <v>139</v>
      </c>
      <c r="NI101" s="36" t="s">
        <v>139</v>
      </c>
      <c r="NJ101" s="36" t="s">
        <v>139</v>
      </c>
      <c r="NK101" s="36" t="s">
        <v>139</v>
      </c>
      <c r="NL101" s="36" t="s">
        <v>139</v>
      </c>
      <c r="NM101" s="36" t="s">
        <v>139</v>
      </c>
      <c r="NN101" s="36" t="s">
        <v>139</v>
      </c>
      <c r="NO101" s="36" t="s">
        <v>139</v>
      </c>
      <c r="NP101" s="36" t="s">
        <v>139</v>
      </c>
      <c r="NQ101" s="36" t="s">
        <v>139</v>
      </c>
      <c r="NR101" s="36" t="s">
        <v>139</v>
      </c>
      <c r="NS101" s="36" t="s">
        <v>139</v>
      </c>
      <c r="NT101" s="36" t="s">
        <v>139</v>
      </c>
      <c r="NU101" s="36" t="s">
        <v>139</v>
      </c>
      <c r="NV101" s="36" t="s">
        <v>139</v>
      </c>
      <c r="NW101" s="36" t="s">
        <v>139</v>
      </c>
      <c r="NX101" s="36" t="s">
        <v>139</v>
      </c>
      <c r="NY101" s="36" t="s">
        <v>139</v>
      </c>
      <c r="NZ101" s="36" t="s">
        <v>139</v>
      </c>
      <c r="OA101" s="36" t="s">
        <v>139</v>
      </c>
      <c r="OB101" s="36" t="s">
        <v>139</v>
      </c>
      <c r="OC101" s="36" t="s">
        <v>139</v>
      </c>
      <c r="OD101" s="36" t="s">
        <v>139</v>
      </c>
      <c r="OE101" s="36" t="s">
        <v>139</v>
      </c>
      <c r="OF101" s="36" t="s">
        <v>139</v>
      </c>
      <c r="OG101" s="36" t="s">
        <v>139</v>
      </c>
      <c r="OH101" s="36" t="s">
        <v>139</v>
      </c>
      <c r="OI101" s="36" t="s">
        <v>139</v>
      </c>
      <c r="OJ101" s="36" t="s">
        <v>139</v>
      </c>
      <c r="OK101" s="36" t="s">
        <v>139</v>
      </c>
      <c r="OL101" s="36" t="s">
        <v>139</v>
      </c>
      <c r="OM101" s="36" t="s">
        <v>139</v>
      </c>
      <c r="ON101" s="36" t="s">
        <v>139</v>
      </c>
      <c r="OO101" s="36" t="s">
        <v>139</v>
      </c>
      <c r="OP101" s="36" t="s">
        <v>139</v>
      </c>
      <c r="OQ101" s="36" t="s">
        <v>139</v>
      </c>
      <c r="OR101" s="36" t="s">
        <v>139</v>
      </c>
      <c r="OS101" s="36" t="s">
        <v>139</v>
      </c>
      <c r="OT101" s="36" t="s">
        <v>139</v>
      </c>
      <c r="OU101" s="36" t="s">
        <v>139</v>
      </c>
      <c r="OV101" s="36" t="s">
        <v>139</v>
      </c>
      <c r="OW101" s="36" t="s">
        <v>139</v>
      </c>
      <c r="OX101" s="36" t="s">
        <v>139</v>
      </c>
      <c r="OY101" s="36" t="s">
        <v>139</v>
      </c>
      <c r="OZ101" s="36" t="s">
        <v>139</v>
      </c>
      <c r="PA101" s="36" t="s">
        <v>139</v>
      </c>
      <c r="PB101" s="36" t="s">
        <v>139</v>
      </c>
      <c r="PC101" s="36" t="s">
        <v>139</v>
      </c>
      <c r="PD101" s="36" t="s">
        <v>139</v>
      </c>
      <c r="PE101" s="36" t="s">
        <v>139</v>
      </c>
      <c r="PF101" s="36" t="s">
        <v>139</v>
      </c>
      <c r="PG101" s="36" t="s">
        <v>139</v>
      </c>
      <c r="PH101" s="36" t="s">
        <v>139</v>
      </c>
      <c r="PI101" s="36" t="s">
        <v>139</v>
      </c>
      <c r="PJ101" s="36" t="s">
        <v>139</v>
      </c>
      <c r="PK101" s="36" t="s">
        <v>139</v>
      </c>
      <c r="PL101" s="36" t="s">
        <v>139</v>
      </c>
      <c r="PM101" s="36" t="s">
        <v>139</v>
      </c>
      <c r="PN101" s="36" t="s">
        <v>139</v>
      </c>
      <c r="PO101" s="74">
        <f>COUNTIFS($C$27:$PN$27,("&lt;"&amp;$B$3),$C$27:$PN$27,("&gt;="&amp;$B$2),$C101:$PN101,TabAsistencias[[#Headers],[1]])</f>
        <v>30</v>
      </c>
      <c r="PP101" s="74">
        <f>COUNTIFS($C$27:$PN$27,("&lt;"&amp;$B$3),$C$27:$PN$27,("&gt;="&amp;$B$2),$C101:$PN101,TabAsistencias[[#Headers],[E]])</f>
        <v>0</v>
      </c>
      <c r="PQ101" s="74">
        <f>COUNTIFS($C$27:$PN$27,("&lt;"&amp;$B$3),$C$27:$PN$27,("&gt;="&amp;$B$2),$C101:$PN101,TabAsistencias[[#Headers],[DE]])</f>
        <v>0</v>
      </c>
      <c r="PR101" s="74">
        <f>COUNTIFS($C$27:$PN$27,("&lt;"&amp;$B$3),$C$27:$PN$27,("&gt;="&amp;$B$2),$C101:$PN101,TabAsistencias[[#Headers],[V]])</f>
        <v>0</v>
      </c>
      <c r="PS101" s="74">
        <f>COUNTIFS($C$27:$PN$27,("&lt;"&amp;$B$3),$C$27:$PN$27,("&gt;="&amp;$B$2),$C101:$PN101,TabAsistencias[[#Headers],[DO]])</f>
        <v>0</v>
      </c>
      <c r="PT101" s="74">
        <f>COUNTIFS($C$27:$PN$27,("&lt;"&amp;$B$3),$C$27:$PN$27,("&gt;="&amp;$B$2),$C101:$PN101,TabAsistencias[[#Headers],[P]])</f>
        <v>0</v>
      </c>
      <c r="PU101" s="74">
        <f>COUNTIFS($C$27:$PN$27,("&lt;"&amp;$B$3),$C$27:$PN$27,("&gt;="&amp;$B$2),$C101:$PN101,TabAsistencias[[#Headers],[F]])</f>
        <v>0</v>
      </c>
      <c r="PV101" s="74">
        <f>COUNTIFS($C$27:$PN$27,("&lt;"&amp;$B$3),$C$27:$PN$27,("&gt;="&amp;$B$2),$C101:$PN101,TabAsistencias[[#Headers],[R]])</f>
        <v>0</v>
      </c>
      <c r="PW101" s="74">
        <f>COUNTIFS($C$27:$PN$27,("&lt;"&amp;$B$3),$C$27:$PN$27,("&gt;="&amp;$B$2),$C101:$PN101,TabAsistencias[[#Headers],[PP]])</f>
        <v>0</v>
      </c>
      <c r="PX101" s="74">
        <f>COUNTIFS($C$27:$PN$27,("&lt;"&amp;$B$3),$C$27:$PN$27,("&gt;="&amp;$B$2),$C101:$PN101,TabAsistencias[[#Headers],[0]])</f>
        <v>0</v>
      </c>
      <c r="PY101" s="74">
        <f>COUNTIFS($C$27:$PN$27,("&lt;"&amp;$B$3),$C$27:$PN$27,("&gt;="&amp;$B$2),$C101:$PN101,TabAsistencias[[#Headers],[IG]])</f>
        <v>0</v>
      </c>
      <c r="PZ101" s="74">
        <f>COUNTIFS($C$27:$PN$27,("&lt;"&amp;$B$3),$C$27:$PN$27,("&gt;="&amp;$B$2),$C101:$PN101,TabAsistencias[[#Headers],[NA]])</f>
        <v>0</v>
      </c>
      <c r="QA101" s="74">
        <f>COUNTIFS($C$27:$PN$27,("&lt;"&amp;$B$3),$C$27:$PN$27,("&gt;="&amp;$B$2),$C101:$PN101,TabAsistencias[[#Headers],[DF]])</f>
        <v>0</v>
      </c>
      <c r="QB101" s="74">
        <f>COUNTIFS($C$27:$PN$27,("&lt;"&amp;$B$3),$C$27:$PN$27,("&gt;="&amp;$B$2),$C101:$PN101,TabAsistencias[[#Headers],[3]])</f>
        <v>0</v>
      </c>
      <c r="QC101" s="74">
        <f>COUNTIFS($C$27:$PN$27,("&lt;"&amp;$B$3),$C$27:$PN$27,("&gt;="&amp;$B$2),$C101:$PN101,TabAsistencias[[#Headers],[CP]])</f>
        <v>0</v>
      </c>
      <c r="QD101" s="74">
        <f>COUNTIFS($C$27:$PN$27,("&lt;"&amp;$B$3),$C$27:$PN$27,("&gt;="&amp;$B$2),$C101:$PN101,TabAsistencias[[#Headers],[I]])</f>
        <v>0</v>
      </c>
      <c r="QE101" s="74">
        <f>COUNTIFS($C$27:$PN$27,("&lt;"&amp;$B$3),$C$27:$PN$27,("&gt;="&amp;$B$2),$C101:$PN101,TabAsistencias[[#Headers],[T/2]])</f>
        <v>0</v>
      </c>
      <c r="QF101" s="74">
        <f>COUNTIFS($C$27:$PN$27,("&lt;"&amp;$B$3),$C$27:$PN$27,("&gt;="&amp;$B$2),$C101:$PN101,TabAsistencias[[#Headers],[ME]])</f>
        <v>0</v>
      </c>
      <c r="QG101" s="74">
        <f>COUNTIFS($C$27:$PN$27,("&lt;"&amp;$B$3),$C$27:$PN$27,("&gt;="&amp;$B$2),$C101:$PN101,TabAsistencias[[#Headers],[DP]])</f>
        <v>0</v>
      </c>
      <c r="QH101" s="74">
        <f>COUNTIFS($C$27:$PN$27,("&lt;"&amp;$B$3),$C$27:$PN$27,("&gt;="&amp;$B$2),$C101:$PN101,TabAsistencias[[#Headers],[B]])</f>
        <v>0</v>
      </c>
      <c r="QI101" s="74">
        <f>(TabAsistencias[[#This Row],[1]]*'Tablas de informacion'!$C$124)+(TabAsistencias[[#This Row],[E]]*'Tablas de informacion'!$C$125)+(TabAsistencias[[#This Row],[DE]]*'Tablas de informacion'!C$126)+(TabAsistencias[[#This Row],[V]]*'Tablas de informacion'!C$127)+(TabAsistencias[[#This Row],[DO]]*'Tablas de informacion'!C$128)+(TabAsistencias[[#This Row],[P]]*'Tablas de informacion'!C$129)+(TabAsistencias[[#This Row],[F]]*'Tablas de informacion'!C$130)+(TabAsistencias[[#This Row],[R]]*'Tablas de informacion'!C$131)+(TabAsistencias[[#This Row],[PP]]*'Tablas de informacion'!C$132)+(TabAsistencias[[#This Row],[0]]*'Tablas de informacion'!C$133)+(TabAsistencias[[#This Row],[IG]]*'Tablas de informacion'!C$134)+(TabAsistencias[[#This Row],[NA]]*'Tablas de informacion'!C$135)+(TabAsistencias[[#This Row],[DF]]*'Tablas de informacion'!C$136)+(TabAsistencias[[#This Row],[3]]*'Tablas de informacion'!C$137)+(TabAsistencias[[#This Row],[CP]]*'Tablas de informacion'!C$138)+(TabAsistencias[[#This Row],[I]]*'Tablas de informacion'!C$139)+(TabAsistencias[[#This Row],[T/2]]*'Tablas de informacion'!C$140)+(TabAsistencias[[#This Row],[ME]]*'Tablas de informacion'!C$141)+(TabAsistencias[[#This Row],[DP]]*'Tablas de informacion'!C$142)+(TabAsistencias[[#This Row],[B]]*'Tablas de informacion'!C$143)-INT(TabAsistencias[[#This Row],[R]]/3)</f>
        <v>30</v>
      </c>
      <c r="QJ101" s="74">
        <f>COUNTIFS($C$27:$PN$27,("&lt;"&amp;$B$3),$C$27:$PN$27,("&gt;="&amp;$B$2),$C$28:$PN$28,1,$C101:$PN101,TabAsistencias[[#Headers],[1]])+
COUNTIFS($C$27:$PN$27,("&lt;"&amp;$B$3),$C$27:$PN$27,("&gt;="&amp;$B$2),$C$28:$PN$28,1,$C101:$PN101,TabAsistencias[[#Headers],[DO]])+
COUNTIFS($C$27:$PN$27,("&lt;"&amp;$B$3),$C$27:$PN$27,("&gt;="&amp;$B$2),$C$28:$PN$28,1,$C101:$PN101,TabAsistencias[[#Headers],[R]])+
COUNTIFS($C$27:$PN$27,("&lt;"&amp;$B$3),$C$27:$PN$27,("&gt;="&amp;$B$2),$C$28:$PN$28,1,$C101:$PN101,TabAsistencias[[#Headers],[NA]])+
COUNTIFS($C$27:$PN$27,("&lt;"&amp;$B$3),$C$27:$PN$27,("&gt;="&amp;$B$2),$C$28:$PN$28,1,$C101:$PN101,TabAsistencias[[#Headers],[DF]])+
COUNTIFS($C$27:$PN$27,("&lt;"&amp;$B$3),$C$27:$PN$27,("&gt;="&amp;$B$2),$C$28:$PN$28,1,$C101:$PN101,TabAsistencias[[#Headers],[3]])+
COUNTIFS($C$27:$PN$27,("&lt;"&amp;$B$3),$C$27:$PN$27,("&gt;="&amp;$B$2),$C$28:$PN$28,1,$C101:$PN101,TabAsistencias[[#Headers],[CP]])+
COUNTIFS($C$27:$PN$27,("&lt;"&amp;$B$3),$C$27:$PN$27,("&gt;="&amp;$B$2),$C$28:$PN$28,1,$C101:$PN101,TabAsistencias[[#Headers],[T/2]])</f>
        <v>4</v>
      </c>
      <c r="QK101" s="315" cm="1">
        <f t="array" ref="QK101">IFERROR(VLOOKUP(
DATEDIF((VLOOKUP(TabAsistencias[[#This Row],[ID]],TabEmpleados[],COLUMN(TabEmpleados[Fecha de ingreso]),FALSE)),Asistencias!$B$3,"Y"),
TabFactorIntegracion[],COLUMN(TabFactorIntegracion[Días vacacionales
establecidos por ley]),FALSE),0)
-
COUNTIF($AH101:$PN101,TabAsistencias[[#Headers],[V]])</f>
        <v>12</v>
      </c>
      <c r="QL101" s="319">
        <f>SUM(TabAsistencias[[#This Row],[''1]],TabAsistencias[[#This Row],[''DE]],TabAsistencias[[#This Row],[''DO]],TabAsistencias[[#This Row],[''R]],TabAsistencias[[#This Row],[''NA]],TabAsistencias[[#This Row],[''DF]],TabAsistencias[[#This Row],[''3]],TabAsistencias[[#This Row],[''CP]],TabAsistencias[[#This Row],[''T/2]],TabAsistencias[[#This Row],[''DP]])</f>
        <v>73</v>
      </c>
      <c r="QM101" s="314">
        <f>COUNTIFS($C$27:$PN$27,("&lt;"&amp;$B$5),$C$27:$PN$27,("&gt;="&amp;$B$4),$C101:$PN101,TabAsistencias[[#Headers],[1]])</f>
        <v>73</v>
      </c>
      <c r="QN101" s="314">
        <f>COUNTIFS($C$27:$PN$27,("&lt;"&amp;$B$5),$C$27:$PN$27,("&gt;="&amp;$B$4),$C101:$PN101,TabAsistencias[[#Headers],[DE]])</f>
        <v>0</v>
      </c>
      <c r="QO101" s="314">
        <f>COUNTIFS($C$27:$PN$27,("&lt;"&amp;$B$5),$C$27:$PN$27,("&gt;="&amp;$B$4),$C101:$PN101,TabAsistencias[[#Headers],[V]])</f>
        <v>0</v>
      </c>
      <c r="QP101" s="314">
        <f>COUNTIFS($C$27:$PN$27,("&lt;"&amp;$B$5),$C$27:$PN$27,("&gt;="&amp;$B$4),$C101:$PN101,TabAsistencias[[#Headers],[DO]])</f>
        <v>0</v>
      </c>
      <c r="QQ101" s="314">
        <f>COUNTIFS($C$27:$PN$27,("&lt;"&amp;$B$5),$C$27:$PN$27,("&gt;="&amp;$B$4),$C101:$PN101,TabAsistencias[[#Headers],[P]])</f>
        <v>0</v>
      </c>
      <c r="QR101" s="314">
        <f>COUNTIFS($C$27:$PN$27,("&lt;"&amp;$B$5),$C$27:$PN$27,("&gt;="&amp;$B$4),$C101:$PN101,TabAsistencias[[#Headers],[F]])</f>
        <v>0</v>
      </c>
      <c r="QS101" s="314">
        <f>COUNTIFS($C$27:$PN$27,("&lt;"&amp;$B$5),$C$27:$PN$27,("&gt;="&amp;$B$4),$C101:$PN101,TabAsistencias[[#Headers],[R]])</f>
        <v>0</v>
      </c>
      <c r="QT101" s="314">
        <f>COUNTIFS($C$27:$PN$27,("&lt;"&amp;$B$5),$C$27:$PN$27,("&gt;="&amp;$B$4),$C101:$PN101,TabAsistencias[[#Headers],[PP]])</f>
        <v>0</v>
      </c>
      <c r="QU101" s="314">
        <f>COUNTIFS($C$27:$PN$27,("&lt;"&amp;$B$5),$C$27:$PN$27,("&gt;="&amp;$B$4),$C101:$PN101,TabAsistencias[[#Headers],[0]])</f>
        <v>0</v>
      </c>
      <c r="QV101" s="314">
        <f>COUNTIFS($C$27:$PN$27,("&lt;"&amp;$B$5),$C$27:$PN$27,("&gt;="&amp;$B$4),$C101:$PN101,TabAsistencias[[#Headers],[IG]])</f>
        <v>0</v>
      </c>
      <c r="QW101" s="314">
        <f>COUNTIFS($C$27:$PN$27,("&lt;"&amp;$B$5),$C$27:$PN$27,("&gt;="&amp;$B$4),$C101:$PN101,TabAsistencias[[#Headers],[NA]])</f>
        <v>0</v>
      </c>
      <c r="QX101" s="314">
        <f>COUNTIFS($C$27:$PN$27,("&lt;"&amp;$B$5),$C$27:$PN$27,("&gt;="&amp;$B$4),$C101:$PN101,TabAsistencias[[#Headers],[DF]])</f>
        <v>0</v>
      </c>
      <c r="QY101" s="314">
        <f>COUNTIFS($C$27:$PN$27,("&lt;"&amp;$B$5),$C$27:$PN$27,("&gt;="&amp;$B$4),$C101:$PN101,TabAsistencias[[#Headers],[3]])</f>
        <v>0</v>
      </c>
      <c r="QZ101" s="314">
        <f>COUNTIFS($C$27:$PN$27,("&lt;"&amp;$B$5),$C$27:$PN$27,("&gt;="&amp;$B$4),$C101:$PN101,TabAsistencias[[#Headers],[CP]])</f>
        <v>0</v>
      </c>
      <c r="RA101" s="314">
        <f>COUNTIFS($C$27:$PN$27,("&lt;"&amp;$B$5),$C$27:$PN$27,("&gt;="&amp;$B$4),$C101:$PN101,TabAsistencias[[#Headers],[I]])</f>
        <v>0</v>
      </c>
      <c r="RB101" s="314">
        <f>COUNTIFS($C$27:$PN$27,("&lt;"&amp;$B$5),$C$27:$PN$27,("&gt;="&amp;$B$4),$C101:$PN101,TabAsistencias[[#Headers],[T/2]])</f>
        <v>0</v>
      </c>
      <c r="RC101" s="314">
        <f>COUNTIFS($C$27:$PN$27,("&lt;"&amp;$B$5),$C$27:$PN$27,("&gt;="&amp;$B$4),$C101:$PN101,TabAsistencias[[#Headers],[ME]])</f>
        <v>0</v>
      </c>
      <c r="RD101" s="314">
        <f>COUNTIFS($C$27:$PN$27,("&lt;"&amp;$B$5),$C$27:$PN$27,("&gt;="&amp;$B$4),$C101:$PN101,TabAsistencias[[#Headers],[DP]])</f>
        <v>0</v>
      </c>
      <c r="RE101" s="314">
        <f>COUNTIFS($C$27:$PN$27,("&lt;"&amp;$B$5),$C$27:$PN$27,("&gt;="&amp;$B$4),$C101:$PN101,TabAsistencias[[#Headers],[B]])</f>
        <v>0</v>
      </c>
      <c r="RF101" s="314">
        <f>COUNTIFS($C$27:$PN$27,("&lt;"&amp;$B$5),$C$27:$PN$27,("&gt;="&amp;$B$4),$C$28:$PN$28,1,$C101:$PN101,TabAsistencias[[#Headers],[1]])+
COUNTIFS($C$27:$PN$27,("&lt;"&amp;$B$5),$C$27:$PN$27,("&gt;="&amp;$B$4),$C$28:$PN$28,1,$C101:$PN101,TabAsistencias[[#Headers],[DO]])+
COUNTIFS($C$27:$PN$27,("&lt;"&amp;$B$5),$C$27:$PN$27,("&gt;="&amp;$B$4),$C$28:$PN$28,1,$C101:$PN101,TabAsistencias[[#Headers],[R]])+
COUNTIFS($C$27:$PN$27,("&lt;"&amp;$B$5),$C$27:$PN$27,("&gt;="&amp;$B$4),$C$28:$PN$28,1,$C101:$PN101,TabAsistencias[[#Headers],[NA]])+
COUNTIFS($C$27:$PN$27,("&lt;"&amp;$B$5),$C$27:$PN$27,("&gt;="&amp;$B$4),$C$28:$PN$28,1,$C101:$PN101,TabAsistencias[[#Headers],[DF]])+
COUNTIFS($C$27:$PN$27,("&lt;"&amp;$B$5),$C$27:$PN$27,("&gt;="&amp;$B$4),$C$28:$PN$28,1,$C101:$PN101,TabAsistencias[[#Headers],[3]])+
COUNTIFS($C$27:$PN$27,("&lt;"&amp;$B$5),$C$27:$PN$27,("&gt;="&amp;$B$4),$C$28:$PN$28,1,$C101:$PN101,TabAsistencias[[#Headers],[CP]])+
COUNTIFS($C$27:$PN$27,("&lt;"&amp;$B$5),$C$27:$PN$27,("&gt;="&amp;$B$4),$C$28:$PN$28,1,$C101:$PN101,TabAsistencias[[#Headers],[T/2]])</f>
        <v>11</v>
      </c>
      <c r="RG101" s="320" cm="1">
        <f t="array" ref="RG101">IFERROR(VLOOKUP(
DATEDIF((VLOOKUP(TabAsistencias[[#This Row],[ID]],TabEmpleados[],COLUMN(TabEmpleados[Fecha de alta NSS]),FALSE)),Asistencias!$B$3,"Y"),
TabFactorIntegracion[],COLUMN(TabFactorIntegracion[Días vacacionales
establecidos por ley]),FALSE),0)
-
COUNTIF($AH101:$PN101,TabAsistencias[[#Headers],[V]])</f>
        <v>12</v>
      </c>
    </row>
    <row r="102" spans="1:475" x14ac:dyDescent="0.25">
      <c r="A102" s="92">
        <f t="shared" si="435"/>
        <v>72</v>
      </c>
      <c r="B102" s="30" t="str" cm="1">
        <f t="array" ref="B102">VLOOKUP(TabAsistencias[[#This Row],[ID]],TabEmpleados[],COLUMN(TabEmpleados[Nombre]),FALSE)</f>
        <v>JIMENEZ GODINEZ GABRIELA</v>
      </c>
      <c r="C102" s="36" t="s">
        <v>139</v>
      </c>
      <c r="D102" s="36" t="s">
        <v>139</v>
      </c>
      <c r="E102" s="36" t="s">
        <v>139</v>
      </c>
      <c r="F102" s="36" t="s">
        <v>139</v>
      </c>
      <c r="G102" s="36" t="s">
        <v>139</v>
      </c>
      <c r="H102" s="36" t="s">
        <v>139</v>
      </c>
      <c r="I102" s="36" t="s">
        <v>139</v>
      </c>
      <c r="J102" s="36" t="s">
        <v>139</v>
      </c>
      <c r="K102" s="36" t="s">
        <v>139</v>
      </c>
      <c r="L102" s="36" t="s">
        <v>139</v>
      </c>
      <c r="M102" s="36" t="s">
        <v>139</v>
      </c>
      <c r="N102" s="36" t="s">
        <v>139</v>
      </c>
      <c r="O102" s="36" t="s">
        <v>139</v>
      </c>
      <c r="P102" s="36" t="s">
        <v>139</v>
      </c>
      <c r="Q102" s="36" t="s">
        <v>139</v>
      </c>
      <c r="R102" s="36" t="s">
        <v>139</v>
      </c>
      <c r="S102" s="36" t="s">
        <v>139</v>
      </c>
      <c r="T102" s="36" t="s">
        <v>139</v>
      </c>
      <c r="U102" s="36" t="s">
        <v>139</v>
      </c>
      <c r="V102" s="36" t="s">
        <v>139</v>
      </c>
      <c r="W102" s="36" t="s">
        <v>139</v>
      </c>
      <c r="X102" s="36" t="s">
        <v>139</v>
      </c>
      <c r="Y102" s="36" t="s">
        <v>139</v>
      </c>
      <c r="Z102" s="36" t="s">
        <v>139</v>
      </c>
      <c r="AA102" s="36" t="s">
        <v>139</v>
      </c>
      <c r="AB102" s="36" t="s">
        <v>139</v>
      </c>
      <c r="AC102" s="36" t="s">
        <v>139</v>
      </c>
      <c r="AD102" s="36" t="s">
        <v>139</v>
      </c>
      <c r="AE102" s="36" t="s">
        <v>139</v>
      </c>
      <c r="AF102" s="36" t="s">
        <v>139</v>
      </c>
      <c r="AG102" s="36" t="s">
        <v>139</v>
      </c>
      <c r="AH102" s="36" t="s">
        <v>139</v>
      </c>
      <c r="AI102" s="36" t="s">
        <v>139</v>
      </c>
      <c r="AJ102" s="36" t="s">
        <v>139</v>
      </c>
      <c r="AK102" s="36" t="s">
        <v>139</v>
      </c>
      <c r="AL102" s="36" t="s">
        <v>139</v>
      </c>
      <c r="AM102" s="36" t="s">
        <v>139</v>
      </c>
      <c r="AN102" s="36" t="s">
        <v>139</v>
      </c>
      <c r="AO102" s="36" t="s">
        <v>139</v>
      </c>
      <c r="AP102" s="36" t="s">
        <v>139</v>
      </c>
      <c r="AQ102" s="36" t="s">
        <v>139</v>
      </c>
      <c r="AR102" s="36" t="s">
        <v>139</v>
      </c>
      <c r="AS102" s="36" t="s">
        <v>139</v>
      </c>
      <c r="AT102" s="36" t="s">
        <v>139</v>
      </c>
      <c r="AU102" s="36" t="s">
        <v>139</v>
      </c>
      <c r="AV102" s="36" t="s">
        <v>139</v>
      </c>
      <c r="AW102" s="36" t="s">
        <v>139</v>
      </c>
      <c r="AX102" s="36" t="s">
        <v>139</v>
      </c>
      <c r="AY102" s="36" t="s">
        <v>139</v>
      </c>
      <c r="AZ102" s="36" t="s">
        <v>139</v>
      </c>
      <c r="BA102" s="36" t="s">
        <v>139</v>
      </c>
      <c r="BB102" s="36" t="s">
        <v>139</v>
      </c>
      <c r="BC102" s="36" t="s">
        <v>139</v>
      </c>
      <c r="BD102" s="36" t="s">
        <v>139</v>
      </c>
      <c r="BE102" s="36" t="s">
        <v>139</v>
      </c>
      <c r="BF102" s="36" t="s">
        <v>139</v>
      </c>
      <c r="BG102" s="36" t="s">
        <v>139</v>
      </c>
      <c r="BH102" s="36" t="s">
        <v>139</v>
      </c>
      <c r="BI102" s="36" t="s">
        <v>139</v>
      </c>
      <c r="BJ102" s="36" t="s">
        <v>139</v>
      </c>
      <c r="BK102" s="36" t="s">
        <v>139</v>
      </c>
      <c r="BL102" s="36" t="s">
        <v>139</v>
      </c>
      <c r="BM102" s="36" t="s">
        <v>139</v>
      </c>
      <c r="BN102" s="36" t="s">
        <v>139</v>
      </c>
      <c r="BO102" s="36" t="s">
        <v>139</v>
      </c>
      <c r="BP102" s="36" t="s">
        <v>139</v>
      </c>
      <c r="BQ102" s="36" t="s">
        <v>139</v>
      </c>
      <c r="BR102" s="36" t="s">
        <v>139</v>
      </c>
      <c r="BS102" s="36" t="s">
        <v>139</v>
      </c>
      <c r="BT102" s="36" t="s">
        <v>139</v>
      </c>
      <c r="BU102" s="36" t="s">
        <v>139</v>
      </c>
      <c r="BV102" s="36" t="s">
        <v>139</v>
      </c>
      <c r="BW102" s="36" t="s">
        <v>139</v>
      </c>
      <c r="BX102" s="36" t="s">
        <v>139</v>
      </c>
      <c r="BY102" s="36" t="s">
        <v>139</v>
      </c>
      <c r="BZ102" s="36" t="s">
        <v>139</v>
      </c>
      <c r="CA102" s="36" t="s">
        <v>139</v>
      </c>
      <c r="CB102" s="36" t="s">
        <v>139</v>
      </c>
      <c r="CC102" s="36" t="s">
        <v>139</v>
      </c>
      <c r="CD102" s="36" t="s">
        <v>139</v>
      </c>
      <c r="CE102" s="36" t="s">
        <v>139</v>
      </c>
      <c r="CF102" s="36" t="s">
        <v>139</v>
      </c>
      <c r="CG102" s="36" t="s">
        <v>139</v>
      </c>
      <c r="CH102" s="36" t="s">
        <v>139</v>
      </c>
      <c r="CI102" s="36" t="s">
        <v>139</v>
      </c>
      <c r="CJ102" s="36" t="s">
        <v>139</v>
      </c>
      <c r="CK102" s="36" t="s">
        <v>139</v>
      </c>
      <c r="CL102" s="36" t="s">
        <v>139</v>
      </c>
      <c r="CM102" s="36" t="s">
        <v>139</v>
      </c>
      <c r="CN102" s="36" t="s">
        <v>139</v>
      </c>
      <c r="CO102" s="36" t="s">
        <v>139</v>
      </c>
      <c r="CP102" s="36" t="s">
        <v>139</v>
      </c>
      <c r="CQ102" s="36" t="s">
        <v>139</v>
      </c>
      <c r="CR102" s="36" t="s">
        <v>139</v>
      </c>
      <c r="CS102" s="36" t="s">
        <v>139</v>
      </c>
      <c r="CT102" s="36" t="s">
        <v>139</v>
      </c>
      <c r="CU102" s="36" t="s">
        <v>139</v>
      </c>
      <c r="CV102" s="36" t="s">
        <v>139</v>
      </c>
      <c r="CW102" s="36" t="s">
        <v>139</v>
      </c>
      <c r="CX102" s="36" t="s">
        <v>139</v>
      </c>
      <c r="CY102" s="36" t="s">
        <v>139</v>
      </c>
      <c r="CZ102" s="36" t="s">
        <v>139</v>
      </c>
      <c r="DA102" s="36" t="s">
        <v>139</v>
      </c>
      <c r="DB102" s="36" t="s">
        <v>139</v>
      </c>
      <c r="DC102" s="36" t="s">
        <v>139</v>
      </c>
      <c r="DD102" s="36" t="s">
        <v>139</v>
      </c>
      <c r="DE102" s="36" t="s">
        <v>139</v>
      </c>
      <c r="DF102" s="36" t="s">
        <v>139</v>
      </c>
      <c r="DG102" s="36" t="s">
        <v>139</v>
      </c>
      <c r="DH102" s="36" t="s">
        <v>139</v>
      </c>
      <c r="DI102" s="36" t="s">
        <v>139</v>
      </c>
      <c r="DJ102" s="36" t="s">
        <v>139</v>
      </c>
      <c r="DK102" s="36" t="s">
        <v>139</v>
      </c>
      <c r="DL102" s="36" t="s">
        <v>139</v>
      </c>
      <c r="DM102" s="36" t="s">
        <v>139</v>
      </c>
      <c r="DN102" s="36" t="s">
        <v>139</v>
      </c>
      <c r="DO102" s="36" t="s">
        <v>139</v>
      </c>
      <c r="DP102" s="36" t="s">
        <v>139</v>
      </c>
      <c r="DQ102" s="36" t="s">
        <v>139</v>
      </c>
      <c r="DR102" s="36" t="s">
        <v>139</v>
      </c>
      <c r="DS102" s="36" t="s">
        <v>139</v>
      </c>
      <c r="DT102" s="36" t="s">
        <v>139</v>
      </c>
      <c r="DU102" s="36" t="s">
        <v>139</v>
      </c>
      <c r="DV102" s="36" t="s">
        <v>139</v>
      </c>
      <c r="DW102" s="36" t="s">
        <v>139</v>
      </c>
      <c r="DX102" s="36" t="s">
        <v>139</v>
      </c>
      <c r="DY102" s="36" t="s">
        <v>139</v>
      </c>
      <c r="DZ102" s="36" t="s">
        <v>139</v>
      </c>
      <c r="EA102" s="36" t="s">
        <v>139</v>
      </c>
      <c r="EB102" s="36" t="s">
        <v>139</v>
      </c>
      <c r="EC102" s="36" t="s">
        <v>139</v>
      </c>
      <c r="ED102" s="36" t="s">
        <v>139</v>
      </c>
      <c r="EE102" s="36" t="s">
        <v>139</v>
      </c>
      <c r="EF102" s="36" t="s">
        <v>139</v>
      </c>
      <c r="EG102" s="36" t="s">
        <v>139</v>
      </c>
      <c r="EH102" s="36" t="s">
        <v>139</v>
      </c>
      <c r="EI102" s="36" t="s">
        <v>139</v>
      </c>
      <c r="EJ102" s="36" t="s">
        <v>139</v>
      </c>
      <c r="EK102" s="36" t="s">
        <v>139</v>
      </c>
      <c r="EL102" s="36" t="s">
        <v>139</v>
      </c>
      <c r="EM102" s="36" t="s">
        <v>139</v>
      </c>
      <c r="EN102" s="36" t="s">
        <v>139</v>
      </c>
      <c r="EO102" s="36" t="s">
        <v>139</v>
      </c>
      <c r="EP102" s="36" t="s">
        <v>139</v>
      </c>
      <c r="EQ102" s="36" t="s">
        <v>139</v>
      </c>
      <c r="ER102" s="36" t="s">
        <v>139</v>
      </c>
      <c r="ES102" s="36" t="s">
        <v>139</v>
      </c>
      <c r="ET102" s="36" t="s">
        <v>139</v>
      </c>
      <c r="EU102" s="36" t="s">
        <v>139</v>
      </c>
      <c r="EV102" s="36" t="s">
        <v>139</v>
      </c>
      <c r="EW102" s="36" t="s">
        <v>139</v>
      </c>
      <c r="EX102" s="36" t="s">
        <v>139</v>
      </c>
      <c r="EY102" s="36" t="s">
        <v>139</v>
      </c>
      <c r="EZ102" s="36" t="s">
        <v>139</v>
      </c>
      <c r="FA102" s="36" t="s">
        <v>139</v>
      </c>
      <c r="FB102" s="36" t="s">
        <v>139</v>
      </c>
      <c r="FC102" s="36" t="s">
        <v>139</v>
      </c>
      <c r="FD102" s="36" t="s">
        <v>139</v>
      </c>
      <c r="FE102" s="36" t="s">
        <v>139</v>
      </c>
      <c r="FF102" s="36" t="s">
        <v>139</v>
      </c>
      <c r="FG102" s="36" t="s">
        <v>139</v>
      </c>
      <c r="FH102" s="36" t="s">
        <v>139</v>
      </c>
      <c r="FI102" s="36" t="s">
        <v>139</v>
      </c>
      <c r="FJ102" s="36" t="s">
        <v>139</v>
      </c>
      <c r="FK102" s="36" t="s">
        <v>139</v>
      </c>
      <c r="FL102" s="36" t="s">
        <v>139</v>
      </c>
      <c r="FM102" s="36" t="s">
        <v>139</v>
      </c>
      <c r="FN102" s="36" t="s">
        <v>139</v>
      </c>
      <c r="FO102" s="36" t="s">
        <v>139</v>
      </c>
      <c r="FP102" s="36" t="s">
        <v>139</v>
      </c>
      <c r="FQ102" s="36" t="s">
        <v>139</v>
      </c>
      <c r="FR102" s="36" t="s">
        <v>139</v>
      </c>
      <c r="FS102" s="36" t="s">
        <v>139</v>
      </c>
      <c r="FT102" s="36" t="s">
        <v>139</v>
      </c>
      <c r="FU102" s="36" t="s">
        <v>139</v>
      </c>
      <c r="FV102" s="36" t="s">
        <v>139</v>
      </c>
      <c r="FW102" s="36" t="s">
        <v>139</v>
      </c>
      <c r="FX102" s="36" t="s">
        <v>139</v>
      </c>
      <c r="FY102" s="36" t="s">
        <v>139</v>
      </c>
      <c r="FZ102" s="36" t="s">
        <v>139</v>
      </c>
      <c r="GA102" s="36" t="s">
        <v>139</v>
      </c>
      <c r="GB102" s="36" t="s">
        <v>139</v>
      </c>
      <c r="GC102" s="36" t="s">
        <v>139</v>
      </c>
      <c r="GD102" s="36" t="s">
        <v>139</v>
      </c>
      <c r="GE102" s="36" t="s">
        <v>139</v>
      </c>
      <c r="GF102" s="36" t="s">
        <v>139</v>
      </c>
      <c r="GG102" s="36" t="s">
        <v>139</v>
      </c>
      <c r="GH102" s="36" t="s">
        <v>139</v>
      </c>
      <c r="GI102" s="36" t="s">
        <v>139</v>
      </c>
      <c r="GJ102" s="36" t="s">
        <v>139</v>
      </c>
      <c r="GK102" s="36" t="s">
        <v>139</v>
      </c>
      <c r="GL102" s="36" t="s">
        <v>139</v>
      </c>
      <c r="GM102" s="36" t="s">
        <v>139</v>
      </c>
      <c r="GN102" s="36" t="s">
        <v>139</v>
      </c>
      <c r="GO102" s="36" t="s">
        <v>139</v>
      </c>
      <c r="GP102" s="36" t="s">
        <v>139</v>
      </c>
      <c r="GQ102" s="36" t="s">
        <v>139</v>
      </c>
      <c r="GR102" s="36" t="s">
        <v>139</v>
      </c>
      <c r="GS102" s="36" t="s">
        <v>139</v>
      </c>
      <c r="GT102" s="36" t="s">
        <v>139</v>
      </c>
      <c r="GU102" s="36" t="s">
        <v>139</v>
      </c>
      <c r="GV102" s="36" t="s">
        <v>139</v>
      </c>
      <c r="GW102" s="36" t="s">
        <v>139</v>
      </c>
      <c r="GX102" s="36" t="s">
        <v>139</v>
      </c>
      <c r="GY102" s="36" t="s">
        <v>139</v>
      </c>
      <c r="GZ102" s="36" t="s">
        <v>139</v>
      </c>
      <c r="HA102" s="36" t="s">
        <v>139</v>
      </c>
      <c r="HB102" s="36" t="s">
        <v>139</v>
      </c>
      <c r="HC102" s="36" t="s">
        <v>139</v>
      </c>
      <c r="HD102" s="36" t="s">
        <v>139</v>
      </c>
      <c r="HE102" s="36" t="s">
        <v>139</v>
      </c>
      <c r="HF102" s="36" t="s">
        <v>139</v>
      </c>
      <c r="HG102" s="36" t="s">
        <v>139</v>
      </c>
      <c r="HH102" s="36" t="s">
        <v>139</v>
      </c>
      <c r="HI102" s="36" t="s">
        <v>139</v>
      </c>
      <c r="HJ102" s="36" t="s">
        <v>139</v>
      </c>
      <c r="HK102" s="36" t="s">
        <v>139</v>
      </c>
      <c r="HL102" s="36" t="s">
        <v>139</v>
      </c>
      <c r="HM102" s="36" t="s">
        <v>139</v>
      </c>
      <c r="HN102" s="36" t="s">
        <v>139</v>
      </c>
      <c r="HO102" s="36" t="s">
        <v>139</v>
      </c>
      <c r="HP102" s="36" t="s">
        <v>139</v>
      </c>
      <c r="HQ102" s="36" t="s">
        <v>139</v>
      </c>
      <c r="HR102" s="36" t="s">
        <v>139</v>
      </c>
      <c r="HS102" s="36" t="s">
        <v>139</v>
      </c>
      <c r="HT102" s="36" t="s">
        <v>139</v>
      </c>
      <c r="HU102" s="36" t="s">
        <v>139</v>
      </c>
      <c r="HV102" s="36" t="s">
        <v>139</v>
      </c>
      <c r="HW102" s="36" t="s">
        <v>139</v>
      </c>
      <c r="HX102" s="36" t="s">
        <v>139</v>
      </c>
      <c r="HY102" s="36" t="s">
        <v>139</v>
      </c>
      <c r="HZ102" s="36" t="s">
        <v>139</v>
      </c>
      <c r="IA102" s="36" t="s">
        <v>139</v>
      </c>
      <c r="IB102" s="36" t="s">
        <v>139</v>
      </c>
      <c r="IC102" s="36" t="s">
        <v>139</v>
      </c>
      <c r="ID102" s="36" t="s">
        <v>139</v>
      </c>
      <c r="IE102" s="36" t="s">
        <v>139</v>
      </c>
      <c r="IF102" s="36" t="s">
        <v>139</v>
      </c>
      <c r="IG102" s="36" t="s">
        <v>139</v>
      </c>
      <c r="IH102" s="36" t="s">
        <v>139</v>
      </c>
      <c r="II102" s="36" t="s">
        <v>139</v>
      </c>
      <c r="IJ102" s="36" t="s">
        <v>139</v>
      </c>
      <c r="IK102" s="36" t="s">
        <v>139</v>
      </c>
      <c r="IL102" s="36" t="s">
        <v>139</v>
      </c>
      <c r="IM102" s="36" t="s">
        <v>139</v>
      </c>
      <c r="IN102" s="36" t="s">
        <v>139</v>
      </c>
      <c r="IO102" s="36" t="s">
        <v>139</v>
      </c>
      <c r="IP102" s="36" t="s">
        <v>139</v>
      </c>
      <c r="IQ102" s="36" t="s">
        <v>139</v>
      </c>
      <c r="IR102" s="36" t="s">
        <v>139</v>
      </c>
      <c r="IS102" s="36" t="s">
        <v>139</v>
      </c>
      <c r="IT102" s="36" t="s">
        <v>139</v>
      </c>
      <c r="IU102" s="36" t="s">
        <v>139</v>
      </c>
      <c r="IV102" s="36" t="s">
        <v>139</v>
      </c>
      <c r="IW102" s="36" t="s">
        <v>139</v>
      </c>
      <c r="IX102" s="36" t="s">
        <v>139</v>
      </c>
      <c r="IY102" s="36" t="s">
        <v>139</v>
      </c>
      <c r="IZ102" s="36" t="s">
        <v>139</v>
      </c>
      <c r="JA102" s="36" t="s">
        <v>139</v>
      </c>
      <c r="JB102" s="36" t="s">
        <v>139</v>
      </c>
      <c r="JC102" s="36" t="s">
        <v>139</v>
      </c>
      <c r="JD102" s="36" t="s">
        <v>139</v>
      </c>
      <c r="JE102" s="36" t="s">
        <v>139</v>
      </c>
      <c r="JF102" s="36" t="s">
        <v>139</v>
      </c>
      <c r="JG102" s="36" t="s">
        <v>139</v>
      </c>
      <c r="JH102" s="36" t="s">
        <v>139</v>
      </c>
      <c r="JI102" s="36" t="s">
        <v>139</v>
      </c>
      <c r="JJ102" s="36" t="s">
        <v>139</v>
      </c>
      <c r="JK102" s="36" t="s">
        <v>139</v>
      </c>
      <c r="JL102" s="36" t="s">
        <v>139</v>
      </c>
      <c r="JM102" s="36" t="s">
        <v>139</v>
      </c>
      <c r="JN102" s="36" t="s">
        <v>139</v>
      </c>
      <c r="JO102" s="36" t="s">
        <v>139</v>
      </c>
      <c r="JP102" s="36" t="s">
        <v>139</v>
      </c>
      <c r="JQ102" s="36" t="s">
        <v>139</v>
      </c>
      <c r="JR102" s="36" t="s">
        <v>139</v>
      </c>
      <c r="JS102" s="36" t="s">
        <v>139</v>
      </c>
      <c r="JT102" s="36" t="s">
        <v>139</v>
      </c>
      <c r="JU102" s="36" t="s">
        <v>139</v>
      </c>
      <c r="JV102" s="36" t="s">
        <v>139</v>
      </c>
      <c r="JW102" s="36" t="s">
        <v>139</v>
      </c>
      <c r="JX102" s="36" t="s">
        <v>139</v>
      </c>
      <c r="JY102" s="36" t="s">
        <v>139</v>
      </c>
      <c r="JZ102" s="36" t="s">
        <v>139</v>
      </c>
      <c r="KA102" s="36" t="s">
        <v>139</v>
      </c>
      <c r="KB102" s="36" t="s">
        <v>139</v>
      </c>
      <c r="KC102" s="36" t="s">
        <v>139</v>
      </c>
      <c r="KD102" s="36" t="s">
        <v>139</v>
      </c>
      <c r="KE102" s="36" t="s">
        <v>139</v>
      </c>
      <c r="KF102" s="36" t="s">
        <v>139</v>
      </c>
      <c r="KG102" s="36" t="s">
        <v>139</v>
      </c>
      <c r="KH102" s="36" t="s">
        <v>139</v>
      </c>
      <c r="KI102" s="36" t="s">
        <v>139</v>
      </c>
      <c r="KJ102" s="36" t="s">
        <v>139</v>
      </c>
      <c r="KK102" s="36" t="s">
        <v>139</v>
      </c>
      <c r="KL102" s="36" t="s">
        <v>139</v>
      </c>
      <c r="KM102" s="36" t="s">
        <v>139</v>
      </c>
      <c r="KN102" s="36" t="s">
        <v>139</v>
      </c>
      <c r="KO102" s="36" t="s">
        <v>139</v>
      </c>
      <c r="KP102" s="36" t="s">
        <v>139</v>
      </c>
      <c r="KQ102" s="36" t="s">
        <v>139</v>
      </c>
      <c r="KR102" s="36" t="s">
        <v>139</v>
      </c>
      <c r="KS102" s="36" t="s">
        <v>139</v>
      </c>
      <c r="KT102" s="36" t="s">
        <v>139</v>
      </c>
      <c r="KU102" s="36" t="s">
        <v>139</v>
      </c>
      <c r="KV102" s="36" t="s">
        <v>139</v>
      </c>
      <c r="KW102" s="36" t="s">
        <v>139</v>
      </c>
      <c r="KX102" s="36" t="s">
        <v>139</v>
      </c>
      <c r="KY102" s="36" t="s">
        <v>139</v>
      </c>
      <c r="KZ102" s="36" t="s">
        <v>139</v>
      </c>
      <c r="LA102" s="36" t="s">
        <v>139</v>
      </c>
      <c r="LB102" s="36" t="s">
        <v>139</v>
      </c>
      <c r="LC102" s="36" t="s">
        <v>139</v>
      </c>
      <c r="LD102" s="36" t="s">
        <v>139</v>
      </c>
      <c r="LE102" s="36" t="s">
        <v>139</v>
      </c>
      <c r="LF102" s="36" t="s">
        <v>139</v>
      </c>
      <c r="LG102" s="36" t="s">
        <v>139</v>
      </c>
      <c r="LH102" s="36" t="s">
        <v>139</v>
      </c>
      <c r="LI102" s="36" t="s">
        <v>139</v>
      </c>
      <c r="LJ102" s="36" t="s">
        <v>139</v>
      </c>
      <c r="LK102" s="36" t="s">
        <v>139</v>
      </c>
      <c r="LL102" s="36" t="s">
        <v>139</v>
      </c>
      <c r="LM102" s="36" t="s">
        <v>139</v>
      </c>
      <c r="LN102" s="36" t="s">
        <v>139</v>
      </c>
      <c r="LO102" s="36" t="s">
        <v>139</v>
      </c>
      <c r="LP102" s="36" t="s">
        <v>139</v>
      </c>
      <c r="LQ102" s="36" t="s">
        <v>139</v>
      </c>
      <c r="LR102" s="36" t="s">
        <v>139</v>
      </c>
      <c r="LS102" s="36" t="s">
        <v>139</v>
      </c>
      <c r="LT102" s="36" t="s">
        <v>139</v>
      </c>
      <c r="LU102" s="36" t="s">
        <v>139</v>
      </c>
      <c r="LV102" s="36" t="s">
        <v>139</v>
      </c>
      <c r="LW102" s="36" t="s">
        <v>139</v>
      </c>
      <c r="LX102" s="36" t="s">
        <v>139</v>
      </c>
      <c r="LY102" s="36" t="s">
        <v>139</v>
      </c>
      <c r="LZ102" s="36" t="s">
        <v>139</v>
      </c>
      <c r="MA102" s="36" t="s">
        <v>139</v>
      </c>
      <c r="MB102" s="36" t="s">
        <v>139</v>
      </c>
      <c r="MC102" s="36" t="s">
        <v>139</v>
      </c>
      <c r="MD102" s="36" t="s">
        <v>139</v>
      </c>
      <c r="ME102" s="36" t="s">
        <v>139</v>
      </c>
      <c r="MF102" s="36" t="s">
        <v>139</v>
      </c>
      <c r="MG102" s="36" t="s">
        <v>139</v>
      </c>
      <c r="MH102" s="36" t="s">
        <v>139</v>
      </c>
      <c r="MI102" s="36" t="s">
        <v>139</v>
      </c>
      <c r="MJ102" s="36" t="s">
        <v>139</v>
      </c>
      <c r="MK102" s="36" t="s">
        <v>139</v>
      </c>
      <c r="ML102" s="36" t="s">
        <v>139</v>
      </c>
      <c r="MM102" s="36" t="s">
        <v>139</v>
      </c>
      <c r="MN102" s="36" t="s">
        <v>139</v>
      </c>
      <c r="MO102" s="36" t="s">
        <v>139</v>
      </c>
      <c r="MP102" s="36" t="s">
        <v>139</v>
      </c>
      <c r="MQ102" s="36" t="s">
        <v>139</v>
      </c>
      <c r="MR102" s="36" t="s">
        <v>139</v>
      </c>
      <c r="MS102" s="36" t="s">
        <v>139</v>
      </c>
      <c r="MT102" s="36" t="s">
        <v>139</v>
      </c>
      <c r="MU102" s="36" t="s">
        <v>139</v>
      </c>
      <c r="MV102" s="36" t="s">
        <v>139</v>
      </c>
      <c r="MW102" s="36" t="s">
        <v>139</v>
      </c>
      <c r="MX102" s="36" t="s">
        <v>139</v>
      </c>
      <c r="MY102" s="36" t="s">
        <v>139</v>
      </c>
      <c r="MZ102" s="36" t="s">
        <v>139</v>
      </c>
      <c r="NA102" s="36" t="s">
        <v>139</v>
      </c>
      <c r="NB102" s="36" t="s">
        <v>139</v>
      </c>
      <c r="NC102" s="36" t="s">
        <v>139</v>
      </c>
      <c r="ND102" s="36" t="s">
        <v>139</v>
      </c>
      <c r="NE102" s="36" t="s">
        <v>139</v>
      </c>
      <c r="NF102" s="36" t="s">
        <v>139</v>
      </c>
      <c r="NG102" s="36" t="s">
        <v>139</v>
      </c>
      <c r="NH102" s="36" t="s">
        <v>139</v>
      </c>
      <c r="NI102" s="36" t="s">
        <v>139</v>
      </c>
      <c r="NJ102" s="36" t="s">
        <v>139</v>
      </c>
      <c r="NK102" s="36" t="s">
        <v>139</v>
      </c>
      <c r="NL102" s="36" t="s">
        <v>139</v>
      </c>
      <c r="NM102" s="36" t="s">
        <v>139</v>
      </c>
      <c r="NN102" s="36" t="s">
        <v>139</v>
      </c>
      <c r="NO102" s="36" t="s">
        <v>139</v>
      </c>
      <c r="NP102" s="36" t="s">
        <v>139</v>
      </c>
      <c r="NQ102" s="36" t="s">
        <v>139</v>
      </c>
      <c r="NR102" s="36" t="s">
        <v>139</v>
      </c>
      <c r="NS102" s="36" t="s">
        <v>139</v>
      </c>
      <c r="NT102" s="36" t="s">
        <v>139</v>
      </c>
      <c r="NU102" s="36" t="s">
        <v>139</v>
      </c>
      <c r="NV102" s="36" t="s">
        <v>139</v>
      </c>
      <c r="NW102" s="36" t="s">
        <v>139</v>
      </c>
      <c r="NX102" s="36" t="s">
        <v>139</v>
      </c>
      <c r="NY102" s="36" t="s">
        <v>139</v>
      </c>
      <c r="NZ102" s="36" t="s">
        <v>139</v>
      </c>
      <c r="OA102" s="36" t="s">
        <v>139</v>
      </c>
      <c r="OB102" s="36" t="s">
        <v>139</v>
      </c>
      <c r="OC102" s="36" t="s">
        <v>139</v>
      </c>
      <c r="OD102" s="36" t="s">
        <v>139</v>
      </c>
      <c r="OE102" s="36" t="s">
        <v>139</v>
      </c>
      <c r="OF102" s="36" t="s">
        <v>139</v>
      </c>
      <c r="OG102" s="36" t="s">
        <v>139</v>
      </c>
      <c r="OH102" s="36" t="s">
        <v>139</v>
      </c>
      <c r="OI102" s="36" t="s">
        <v>139</v>
      </c>
      <c r="OJ102" s="36" t="s">
        <v>139</v>
      </c>
      <c r="OK102" s="36" t="s">
        <v>139</v>
      </c>
      <c r="OL102" s="36" t="s">
        <v>139</v>
      </c>
      <c r="OM102" s="36" t="s">
        <v>139</v>
      </c>
      <c r="ON102" s="36" t="s">
        <v>139</v>
      </c>
      <c r="OO102" s="36" t="s">
        <v>139</v>
      </c>
      <c r="OP102" s="36" t="s">
        <v>139</v>
      </c>
      <c r="OQ102" s="36" t="s">
        <v>139</v>
      </c>
      <c r="OR102" s="36" t="s">
        <v>139</v>
      </c>
      <c r="OS102" s="36" t="s">
        <v>139</v>
      </c>
      <c r="OT102" s="36" t="s">
        <v>139</v>
      </c>
      <c r="OU102" s="36" t="s">
        <v>139</v>
      </c>
      <c r="OV102" s="36" t="s">
        <v>139</v>
      </c>
      <c r="OW102" s="36" t="s">
        <v>139</v>
      </c>
      <c r="OX102" s="36" t="s">
        <v>139</v>
      </c>
      <c r="OY102" s="36" t="s">
        <v>139</v>
      </c>
      <c r="OZ102" s="36" t="s">
        <v>139</v>
      </c>
      <c r="PA102" s="36" t="s">
        <v>139</v>
      </c>
      <c r="PB102" s="36" t="s">
        <v>139</v>
      </c>
      <c r="PC102" s="36" t="s">
        <v>139</v>
      </c>
      <c r="PD102" s="36" t="s">
        <v>139</v>
      </c>
      <c r="PE102" s="36" t="s">
        <v>139</v>
      </c>
      <c r="PF102" s="36" t="s">
        <v>139</v>
      </c>
      <c r="PG102" s="36" t="s">
        <v>139</v>
      </c>
      <c r="PH102" s="36" t="s">
        <v>139</v>
      </c>
      <c r="PI102" s="36" t="s">
        <v>139</v>
      </c>
      <c r="PJ102" s="36" t="s">
        <v>139</v>
      </c>
      <c r="PK102" s="36" t="s">
        <v>139</v>
      </c>
      <c r="PL102" s="36" t="s">
        <v>139</v>
      </c>
      <c r="PM102" s="36" t="s">
        <v>139</v>
      </c>
      <c r="PN102" s="36" t="s">
        <v>139</v>
      </c>
      <c r="PO102" s="74">
        <f>COUNTIFS($C$27:$PN$27,("&lt;"&amp;$B$3),$C$27:$PN$27,("&gt;="&amp;$B$2),$C102:$PN102,TabAsistencias[[#Headers],[1]])</f>
        <v>30</v>
      </c>
      <c r="PP102" s="74">
        <f>COUNTIFS($C$27:$PN$27,("&lt;"&amp;$B$3),$C$27:$PN$27,("&gt;="&amp;$B$2),$C102:$PN102,TabAsistencias[[#Headers],[E]])</f>
        <v>0</v>
      </c>
      <c r="PQ102" s="74">
        <f>COUNTIFS($C$27:$PN$27,("&lt;"&amp;$B$3),$C$27:$PN$27,("&gt;="&amp;$B$2),$C102:$PN102,TabAsistencias[[#Headers],[DE]])</f>
        <v>0</v>
      </c>
      <c r="PR102" s="74">
        <f>COUNTIFS($C$27:$PN$27,("&lt;"&amp;$B$3),$C$27:$PN$27,("&gt;="&amp;$B$2),$C102:$PN102,TabAsistencias[[#Headers],[V]])</f>
        <v>0</v>
      </c>
      <c r="PS102" s="74">
        <f>COUNTIFS($C$27:$PN$27,("&lt;"&amp;$B$3),$C$27:$PN$27,("&gt;="&amp;$B$2),$C102:$PN102,TabAsistencias[[#Headers],[DO]])</f>
        <v>0</v>
      </c>
      <c r="PT102" s="74">
        <f>COUNTIFS($C$27:$PN$27,("&lt;"&amp;$B$3),$C$27:$PN$27,("&gt;="&amp;$B$2),$C102:$PN102,TabAsistencias[[#Headers],[P]])</f>
        <v>0</v>
      </c>
      <c r="PU102" s="74">
        <f>COUNTIFS($C$27:$PN$27,("&lt;"&amp;$B$3),$C$27:$PN$27,("&gt;="&amp;$B$2),$C102:$PN102,TabAsistencias[[#Headers],[F]])</f>
        <v>0</v>
      </c>
      <c r="PV102" s="74">
        <f>COUNTIFS($C$27:$PN$27,("&lt;"&amp;$B$3),$C$27:$PN$27,("&gt;="&amp;$B$2),$C102:$PN102,TabAsistencias[[#Headers],[R]])</f>
        <v>0</v>
      </c>
      <c r="PW102" s="74">
        <f>COUNTIFS($C$27:$PN$27,("&lt;"&amp;$B$3),$C$27:$PN$27,("&gt;="&amp;$B$2),$C102:$PN102,TabAsistencias[[#Headers],[PP]])</f>
        <v>0</v>
      </c>
      <c r="PX102" s="74">
        <f>COUNTIFS($C$27:$PN$27,("&lt;"&amp;$B$3),$C$27:$PN$27,("&gt;="&amp;$B$2),$C102:$PN102,TabAsistencias[[#Headers],[0]])</f>
        <v>0</v>
      </c>
      <c r="PY102" s="74">
        <f>COUNTIFS($C$27:$PN$27,("&lt;"&amp;$B$3),$C$27:$PN$27,("&gt;="&amp;$B$2),$C102:$PN102,TabAsistencias[[#Headers],[IG]])</f>
        <v>0</v>
      </c>
      <c r="PZ102" s="74">
        <f>COUNTIFS($C$27:$PN$27,("&lt;"&amp;$B$3),$C$27:$PN$27,("&gt;="&amp;$B$2),$C102:$PN102,TabAsistencias[[#Headers],[NA]])</f>
        <v>0</v>
      </c>
      <c r="QA102" s="74">
        <f>COUNTIFS($C$27:$PN$27,("&lt;"&amp;$B$3),$C$27:$PN$27,("&gt;="&amp;$B$2),$C102:$PN102,TabAsistencias[[#Headers],[DF]])</f>
        <v>0</v>
      </c>
      <c r="QB102" s="74">
        <f>COUNTIFS($C$27:$PN$27,("&lt;"&amp;$B$3),$C$27:$PN$27,("&gt;="&amp;$B$2),$C102:$PN102,TabAsistencias[[#Headers],[3]])</f>
        <v>0</v>
      </c>
      <c r="QC102" s="74">
        <f>COUNTIFS($C$27:$PN$27,("&lt;"&amp;$B$3),$C$27:$PN$27,("&gt;="&amp;$B$2),$C102:$PN102,TabAsistencias[[#Headers],[CP]])</f>
        <v>0</v>
      </c>
      <c r="QD102" s="74">
        <f>COUNTIFS($C$27:$PN$27,("&lt;"&amp;$B$3),$C$27:$PN$27,("&gt;="&amp;$B$2),$C102:$PN102,TabAsistencias[[#Headers],[I]])</f>
        <v>0</v>
      </c>
      <c r="QE102" s="74">
        <f>COUNTIFS($C$27:$PN$27,("&lt;"&amp;$B$3),$C$27:$PN$27,("&gt;="&amp;$B$2),$C102:$PN102,TabAsistencias[[#Headers],[T/2]])</f>
        <v>0</v>
      </c>
      <c r="QF102" s="74">
        <f>COUNTIFS($C$27:$PN$27,("&lt;"&amp;$B$3),$C$27:$PN$27,("&gt;="&amp;$B$2),$C102:$PN102,TabAsistencias[[#Headers],[ME]])</f>
        <v>0</v>
      </c>
      <c r="QG102" s="74">
        <f>COUNTIFS($C$27:$PN$27,("&lt;"&amp;$B$3),$C$27:$PN$27,("&gt;="&amp;$B$2),$C102:$PN102,TabAsistencias[[#Headers],[DP]])</f>
        <v>0</v>
      </c>
      <c r="QH102" s="74">
        <f>COUNTIFS($C$27:$PN$27,("&lt;"&amp;$B$3),$C$27:$PN$27,("&gt;="&amp;$B$2),$C102:$PN102,TabAsistencias[[#Headers],[B]])</f>
        <v>0</v>
      </c>
      <c r="QI102" s="74">
        <f>(TabAsistencias[[#This Row],[1]]*'Tablas de informacion'!$C$124)+(TabAsistencias[[#This Row],[E]]*'Tablas de informacion'!$C$125)+(TabAsistencias[[#This Row],[DE]]*'Tablas de informacion'!C$126)+(TabAsistencias[[#This Row],[V]]*'Tablas de informacion'!C$127)+(TabAsistencias[[#This Row],[DO]]*'Tablas de informacion'!C$128)+(TabAsistencias[[#This Row],[P]]*'Tablas de informacion'!C$129)+(TabAsistencias[[#This Row],[F]]*'Tablas de informacion'!C$130)+(TabAsistencias[[#This Row],[R]]*'Tablas de informacion'!C$131)+(TabAsistencias[[#This Row],[PP]]*'Tablas de informacion'!C$132)+(TabAsistencias[[#This Row],[0]]*'Tablas de informacion'!C$133)+(TabAsistencias[[#This Row],[IG]]*'Tablas de informacion'!C$134)+(TabAsistencias[[#This Row],[NA]]*'Tablas de informacion'!C$135)+(TabAsistencias[[#This Row],[DF]]*'Tablas de informacion'!C$136)+(TabAsistencias[[#This Row],[3]]*'Tablas de informacion'!C$137)+(TabAsistencias[[#This Row],[CP]]*'Tablas de informacion'!C$138)+(TabAsistencias[[#This Row],[I]]*'Tablas de informacion'!C$139)+(TabAsistencias[[#This Row],[T/2]]*'Tablas de informacion'!C$140)+(TabAsistencias[[#This Row],[ME]]*'Tablas de informacion'!C$141)+(TabAsistencias[[#This Row],[DP]]*'Tablas de informacion'!C$142)+(TabAsistencias[[#This Row],[B]]*'Tablas de informacion'!C$143)-INT(TabAsistencias[[#This Row],[R]]/3)</f>
        <v>30</v>
      </c>
      <c r="QJ102" s="74">
        <f>COUNTIFS($C$27:$PN$27,("&lt;"&amp;$B$3),$C$27:$PN$27,("&gt;="&amp;$B$2),$C$28:$PN$28,1,$C102:$PN102,TabAsistencias[[#Headers],[1]])+
COUNTIFS($C$27:$PN$27,("&lt;"&amp;$B$3),$C$27:$PN$27,("&gt;="&amp;$B$2),$C$28:$PN$28,1,$C102:$PN102,TabAsistencias[[#Headers],[DO]])+
COUNTIFS($C$27:$PN$27,("&lt;"&amp;$B$3),$C$27:$PN$27,("&gt;="&amp;$B$2),$C$28:$PN$28,1,$C102:$PN102,TabAsistencias[[#Headers],[R]])+
COUNTIFS($C$27:$PN$27,("&lt;"&amp;$B$3),$C$27:$PN$27,("&gt;="&amp;$B$2),$C$28:$PN$28,1,$C102:$PN102,TabAsistencias[[#Headers],[NA]])+
COUNTIFS($C$27:$PN$27,("&lt;"&amp;$B$3),$C$27:$PN$27,("&gt;="&amp;$B$2),$C$28:$PN$28,1,$C102:$PN102,TabAsistencias[[#Headers],[DF]])+
COUNTIFS($C$27:$PN$27,("&lt;"&amp;$B$3),$C$27:$PN$27,("&gt;="&amp;$B$2),$C$28:$PN$28,1,$C102:$PN102,TabAsistencias[[#Headers],[3]])+
COUNTIFS($C$27:$PN$27,("&lt;"&amp;$B$3),$C$27:$PN$27,("&gt;="&amp;$B$2),$C$28:$PN$28,1,$C102:$PN102,TabAsistencias[[#Headers],[CP]])+
COUNTIFS($C$27:$PN$27,("&lt;"&amp;$B$3),$C$27:$PN$27,("&gt;="&amp;$B$2),$C$28:$PN$28,1,$C102:$PN102,TabAsistencias[[#Headers],[T/2]])</f>
        <v>4</v>
      </c>
      <c r="QK102" s="315" cm="1">
        <f t="array" ref="QK102">IFERROR(VLOOKUP(
DATEDIF((VLOOKUP(TabAsistencias[[#This Row],[ID]],TabEmpleados[],COLUMN(TabEmpleados[Fecha de ingreso]),FALSE)),Asistencias!$B$3,"Y"),
TabFactorIntegracion[],COLUMN(TabFactorIntegracion[Días vacacionales
establecidos por ley]),FALSE),0)
-
COUNTIF($AH102:$PN102,TabAsistencias[[#Headers],[V]])</f>
        <v>12</v>
      </c>
      <c r="QL102" s="319">
        <f>SUM(TabAsistencias[[#This Row],[''1]],TabAsistencias[[#This Row],[''DE]],TabAsistencias[[#This Row],[''DO]],TabAsistencias[[#This Row],[''R]],TabAsistencias[[#This Row],[''NA]],TabAsistencias[[#This Row],[''DF]],TabAsistencias[[#This Row],[''3]],TabAsistencias[[#This Row],[''CP]],TabAsistencias[[#This Row],[''T/2]],TabAsistencias[[#This Row],[''DP]])</f>
        <v>73</v>
      </c>
      <c r="QM102" s="314">
        <f>COUNTIFS($C$27:$PN$27,("&lt;"&amp;$B$5),$C$27:$PN$27,("&gt;="&amp;$B$4),$C102:$PN102,TabAsistencias[[#Headers],[1]])</f>
        <v>73</v>
      </c>
      <c r="QN102" s="314">
        <f>COUNTIFS($C$27:$PN$27,("&lt;"&amp;$B$5),$C$27:$PN$27,("&gt;="&amp;$B$4),$C102:$PN102,TabAsistencias[[#Headers],[DE]])</f>
        <v>0</v>
      </c>
      <c r="QO102" s="314">
        <f>COUNTIFS($C$27:$PN$27,("&lt;"&amp;$B$5),$C$27:$PN$27,("&gt;="&amp;$B$4),$C102:$PN102,TabAsistencias[[#Headers],[V]])</f>
        <v>0</v>
      </c>
      <c r="QP102" s="314">
        <f>COUNTIFS($C$27:$PN$27,("&lt;"&amp;$B$5),$C$27:$PN$27,("&gt;="&amp;$B$4),$C102:$PN102,TabAsistencias[[#Headers],[DO]])</f>
        <v>0</v>
      </c>
      <c r="QQ102" s="314">
        <f>COUNTIFS($C$27:$PN$27,("&lt;"&amp;$B$5),$C$27:$PN$27,("&gt;="&amp;$B$4),$C102:$PN102,TabAsistencias[[#Headers],[P]])</f>
        <v>0</v>
      </c>
      <c r="QR102" s="314">
        <f>COUNTIFS($C$27:$PN$27,("&lt;"&amp;$B$5),$C$27:$PN$27,("&gt;="&amp;$B$4),$C102:$PN102,TabAsistencias[[#Headers],[F]])</f>
        <v>0</v>
      </c>
      <c r="QS102" s="314">
        <f>COUNTIFS($C$27:$PN$27,("&lt;"&amp;$B$5),$C$27:$PN$27,("&gt;="&amp;$B$4),$C102:$PN102,TabAsistencias[[#Headers],[R]])</f>
        <v>0</v>
      </c>
      <c r="QT102" s="314">
        <f>COUNTIFS($C$27:$PN$27,("&lt;"&amp;$B$5),$C$27:$PN$27,("&gt;="&amp;$B$4),$C102:$PN102,TabAsistencias[[#Headers],[PP]])</f>
        <v>0</v>
      </c>
      <c r="QU102" s="314">
        <f>COUNTIFS($C$27:$PN$27,("&lt;"&amp;$B$5),$C$27:$PN$27,("&gt;="&amp;$B$4),$C102:$PN102,TabAsistencias[[#Headers],[0]])</f>
        <v>0</v>
      </c>
      <c r="QV102" s="314">
        <f>COUNTIFS($C$27:$PN$27,("&lt;"&amp;$B$5),$C$27:$PN$27,("&gt;="&amp;$B$4),$C102:$PN102,TabAsistencias[[#Headers],[IG]])</f>
        <v>0</v>
      </c>
      <c r="QW102" s="314">
        <f>COUNTIFS($C$27:$PN$27,("&lt;"&amp;$B$5),$C$27:$PN$27,("&gt;="&amp;$B$4),$C102:$PN102,TabAsistencias[[#Headers],[NA]])</f>
        <v>0</v>
      </c>
      <c r="QX102" s="314">
        <f>COUNTIFS($C$27:$PN$27,("&lt;"&amp;$B$5),$C$27:$PN$27,("&gt;="&amp;$B$4),$C102:$PN102,TabAsistencias[[#Headers],[DF]])</f>
        <v>0</v>
      </c>
      <c r="QY102" s="314">
        <f>COUNTIFS($C$27:$PN$27,("&lt;"&amp;$B$5),$C$27:$PN$27,("&gt;="&amp;$B$4),$C102:$PN102,TabAsistencias[[#Headers],[3]])</f>
        <v>0</v>
      </c>
      <c r="QZ102" s="314">
        <f>COUNTIFS($C$27:$PN$27,("&lt;"&amp;$B$5),$C$27:$PN$27,("&gt;="&amp;$B$4),$C102:$PN102,TabAsistencias[[#Headers],[CP]])</f>
        <v>0</v>
      </c>
      <c r="RA102" s="314">
        <f>COUNTIFS($C$27:$PN$27,("&lt;"&amp;$B$5),$C$27:$PN$27,("&gt;="&amp;$B$4),$C102:$PN102,TabAsistencias[[#Headers],[I]])</f>
        <v>0</v>
      </c>
      <c r="RB102" s="314">
        <f>COUNTIFS($C$27:$PN$27,("&lt;"&amp;$B$5),$C$27:$PN$27,("&gt;="&amp;$B$4),$C102:$PN102,TabAsistencias[[#Headers],[T/2]])</f>
        <v>0</v>
      </c>
      <c r="RC102" s="314">
        <f>COUNTIFS($C$27:$PN$27,("&lt;"&amp;$B$5),$C$27:$PN$27,("&gt;="&amp;$B$4),$C102:$PN102,TabAsistencias[[#Headers],[ME]])</f>
        <v>0</v>
      </c>
      <c r="RD102" s="314">
        <f>COUNTIFS($C$27:$PN$27,("&lt;"&amp;$B$5),$C$27:$PN$27,("&gt;="&amp;$B$4),$C102:$PN102,TabAsistencias[[#Headers],[DP]])</f>
        <v>0</v>
      </c>
      <c r="RE102" s="314">
        <f>COUNTIFS($C$27:$PN$27,("&lt;"&amp;$B$5),$C$27:$PN$27,("&gt;="&amp;$B$4),$C102:$PN102,TabAsistencias[[#Headers],[B]])</f>
        <v>0</v>
      </c>
      <c r="RF102" s="314">
        <f>COUNTIFS($C$27:$PN$27,("&lt;"&amp;$B$5),$C$27:$PN$27,("&gt;="&amp;$B$4),$C$28:$PN$28,1,$C102:$PN102,TabAsistencias[[#Headers],[1]])+
COUNTIFS($C$27:$PN$27,("&lt;"&amp;$B$5),$C$27:$PN$27,("&gt;="&amp;$B$4),$C$28:$PN$28,1,$C102:$PN102,TabAsistencias[[#Headers],[DO]])+
COUNTIFS($C$27:$PN$27,("&lt;"&amp;$B$5),$C$27:$PN$27,("&gt;="&amp;$B$4),$C$28:$PN$28,1,$C102:$PN102,TabAsistencias[[#Headers],[R]])+
COUNTIFS($C$27:$PN$27,("&lt;"&amp;$B$5),$C$27:$PN$27,("&gt;="&amp;$B$4),$C$28:$PN$28,1,$C102:$PN102,TabAsistencias[[#Headers],[NA]])+
COUNTIFS($C$27:$PN$27,("&lt;"&amp;$B$5),$C$27:$PN$27,("&gt;="&amp;$B$4),$C$28:$PN$28,1,$C102:$PN102,TabAsistencias[[#Headers],[DF]])+
COUNTIFS($C$27:$PN$27,("&lt;"&amp;$B$5),$C$27:$PN$27,("&gt;="&amp;$B$4),$C$28:$PN$28,1,$C102:$PN102,TabAsistencias[[#Headers],[3]])+
COUNTIFS($C$27:$PN$27,("&lt;"&amp;$B$5),$C$27:$PN$27,("&gt;="&amp;$B$4),$C$28:$PN$28,1,$C102:$PN102,TabAsistencias[[#Headers],[CP]])+
COUNTIFS($C$27:$PN$27,("&lt;"&amp;$B$5),$C$27:$PN$27,("&gt;="&amp;$B$4),$C$28:$PN$28,1,$C102:$PN102,TabAsistencias[[#Headers],[T/2]])</f>
        <v>11</v>
      </c>
      <c r="RG102" s="320" cm="1">
        <f t="array" ref="RG102">IFERROR(VLOOKUP(
DATEDIF((VLOOKUP(TabAsistencias[[#This Row],[ID]],TabEmpleados[],COLUMN(TabEmpleados[Fecha de alta NSS]),FALSE)),Asistencias!$B$3,"Y"),
TabFactorIntegracion[],COLUMN(TabFactorIntegracion[Días vacacionales
establecidos por ley]),FALSE),0)
-
COUNTIF($AH102:$PN102,TabAsistencias[[#Headers],[V]])</f>
        <v>12</v>
      </c>
    </row>
    <row r="103" spans="1:475" x14ac:dyDescent="0.25">
      <c r="A103" s="92">
        <f t="shared" si="435"/>
        <v>73</v>
      </c>
      <c r="B103" s="30" t="str" cm="1">
        <f t="array" ref="B103">VLOOKUP(TabAsistencias[[#This Row],[ID]],TabEmpleados[],COLUMN(TabEmpleados[Nombre]),FALSE)</f>
        <v>CORTES SILVA MONICA</v>
      </c>
      <c r="C103" s="36" t="s">
        <v>139</v>
      </c>
      <c r="D103" s="36" t="s">
        <v>139</v>
      </c>
      <c r="E103" s="36" t="s">
        <v>139</v>
      </c>
      <c r="F103" s="36" t="s">
        <v>139</v>
      </c>
      <c r="G103" s="36" t="s">
        <v>139</v>
      </c>
      <c r="H103" s="36" t="s">
        <v>139</v>
      </c>
      <c r="I103" s="36" t="s">
        <v>139</v>
      </c>
      <c r="J103" s="36" t="s">
        <v>139</v>
      </c>
      <c r="K103" s="36" t="s">
        <v>139</v>
      </c>
      <c r="L103" s="36" t="s">
        <v>139</v>
      </c>
      <c r="M103" s="36" t="s">
        <v>139</v>
      </c>
      <c r="N103" s="36" t="s">
        <v>139</v>
      </c>
      <c r="O103" s="36" t="s">
        <v>139</v>
      </c>
      <c r="P103" s="36" t="s">
        <v>139</v>
      </c>
      <c r="Q103" s="36" t="s">
        <v>139</v>
      </c>
      <c r="R103" s="36" t="s">
        <v>139</v>
      </c>
      <c r="S103" s="36" t="s">
        <v>139</v>
      </c>
      <c r="T103" s="36" t="s">
        <v>139</v>
      </c>
      <c r="U103" s="36" t="s">
        <v>139</v>
      </c>
      <c r="V103" s="36" t="s">
        <v>139</v>
      </c>
      <c r="W103" s="36" t="s">
        <v>139</v>
      </c>
      <c r="X103" s="36" t="s">
        <v>139</v>
      </c>
      <c r="Y103" s="36" t="s">
        <v>139</v>
      </c>
      <c r="Z103" s="36" t="s">
        <v>139</v>
      </c>
      <c r="AA103" s="36" t="s">
        <v>139</v>
      </c>
      <c r="AB103" s="36" t="s">
        <v>139</v>
      </c>
      <c r="AC103" s="36" t="s">
        <v>139</v>
      </c>
      <c r="AD103" s="36" t="s">
        <v>139</v>
      </c>
      <c r="AE103" s="36" t="s">
        <v>139</v>
      </c>
      <c r="AF103" s="36" t="s">
        <v>139</v>
      </c>
      <c r="AG103" s="36" t="s">
        <v>139</v>
      </c>
      <c r="AH103" s="36" t="s">
        <v>139</v>
      </c>
      <c r="AI103" s="36" t="s">
        <v>139</v>
      </c>
      <c r="AJ103" s="36" t="s">
        <v>139</v>
      </c>
      <c r="AK103" s="36" t="s">
        <v>139</v>
      </c>
      <c r="AL103" s="36" t="s">
        <v>139</v>
      </c>
      <c r="AM103" s="36" t="s">
        <v>139</v>
      </c>
      <c r="AN103" s="36" t="s">
        <v>139</v>
      </c>
      <c r="AO103" s="36" t="s">
        <v>139</v>
      </c>
      <c r="AP103" s="36" t="s">
        <v>139</v>
      </c>
      <c r="AQ103" s="36" t="s">
        <v>139</v>
      </c>
      <c r="AR103" s="36" t="s">
        <v>139</v>
      </c>
      <c r="AS103" s="36" t="s">
        <v>139</v>
      </c>
      <c r="AT103" s="36" t="s">
        <v>139</v>
      </c>
      <c r="AU103" s="36" t="s">
        <v>139</v>
      </c>
      <c r="AV103" s="36" t="s">
        <v>139</v>
      </c>
      <c r="AW103" s="36" t="s">
        <v>139</v>
      </c>
      <c r="AX103" s="36" t="s">
        <v>139</v>
      </c>
      <c r="AY103" s="36" t="s">
        <v>139</v>
      </c>
      <c r="AZ103" s="36" t="s">
        <v>139</v>
      </c>
      <c r="BA103" s="36" t="s">
        <v>139</v>
      </c>
      <c r="BB103" s="36" t="s">
        <v>139</v>
      </c>
      <c r="BC103" s="36" t="s">
        <v>139</v>
      </c>
      <c r="BD103" s="36" t="s">
        <v>139</v>
      </c>
      <c r="BE103" s="36" t="s">
        <v>139</v>
      </c>
      <c r="BF103" s="36" t="s">
        <v>139</v>
      </c>
      <c r="BG103" s="36" t="s">
        <v>139</v>
      </c>
      <c r="BH103" s="36" t="s">
        <v>139</v>
      </c>
      <c r="BI103" s="36" t="s">
        <v>139</v>
      </c>
      <c r="BJ103" s="36" t="s">
        <v>139</v>
      </c>
      <c r="BK103" s="36" t="s">
        <v>139</v>
      </c>
      <c r="BL103" s="36" t="s">
        <v>139</v>
      </c>
      <c r="BM103" s="36" t="s">
        <v>139</v>
      </c>
      <c r="BN103" s="36" t="s">
        <v>139</v>
      </c>
      <c r="BO103" s="36" t="s">
        <v>139</v>
      </c>
      <c r="BP103" s="36" t="s">
        <v>139</v>
      </c>
      <c r="BQ103" s="36" t="s">
        <v>139</v>
      </c>
      <c r="BR103" s="36" t="s">
        <v>139</v>
      </c>
      <c r="BS103" s="36" t="s">
        <v>139</v>
      </c>
      <c r="BT103" s="36" t="s">
        <v>139</v>
      </c>
      <c r="BU103" s="36" t="s">
        <v>139</v>
      </c>
      <c r="BV103" s="36" t="s">
        <v>139</v>
      </c>
      <c r="BW103" s="36" t="s">
        <v>139</v>
      </c>
      <c r="BX103" s="36" t="s">
        <v>139</v>
      </c>
      <c r="BY103" s="36" t="s">
        <v>139</v>
      </c>
      <c r="BZ103" s="36" t="s">
        <v>139</v>
      </c>
      <c r="CA103" s="36" t="s">
        <v>139</v>
      </c>
      <c r="CB103" s="36" t="s">
        <v>139</v>
      </c>
      <c r="CC103" s="36" t="s">
        <v>139</v>
      </c>
      <c r="CD103" s="36" t="s">
        <v>139</v>
      </c>
      <c r="CE103" s="36" t="s">
        <v>139</v>
      </c>
      <c r="CF103" s="36" t="s">
        <v>139</v>
      </c>
      <c r="CG103" s="36" t="s">
        <v>139</v>
      </c>
      <c r="CH103" s="36" t="s">
        <v>139</v>
      </c>
      <c r="CI103" s="36" t="s">
        <v>139</v>
      </c>
      <c r="CJ103" s="36" t="s">
        <v>139</v>
      </c>
      <c r="CK103" s="36" t="s">
        <v>139</v>
      </c>
      <c r="CL103" s="36" t="s">
        <v>139</v>
      </c>
      <c r="CM103" s="36" t="s">
        <v>139</v>
      </c>
      <c r="CN103" s="36" t="s">
        <v>139</v>
      </c>
      <c r="CO103" s="36" t="s">
        <v>139</v>
      </c>
      <c r="CP103" s="36" t="s">
        <v>139</v>
      </c>
      <c r="CQ103" s="36" t="s">
        <v>139</v>
      </c>
      <c r="CR103" s="36" t="s">
        <v>139</v>
      </c>
      <c r="CS103" s="36" t="s">
        <v>139</v>
      </c>
      <c r="CT103" s="36" t="s">
        <v>139</v>
      </c>
      <c r="CU103" s="36" t="s">
        <v>139</v>
      </c>
      <c r="CV103" s="36" t="s">
        <v>139</v>
      </c>
      <c r="CW103" s="36" t="s">
        <v>139</v>
      </c>
      <c r="CX103" s="36" t="s">
        <v>139</v>
      </c>
      <c r="CY103" s="36" t="s">
        <v>139</v>
      </c>
      <c r="CZ103" s="36" t="s">
        <v>139</v>
      </c>
      <c r="DA103" s="36" t="s">
        <v>139</v>
      </c>
      <c r="DB103" s="36" t="s">
        <v>139</v>
      </c>
      <c r="DC103" s="36" t="s">
        <v>139</v>
      </c>
      <c r="DD103" s="36" t="s">
        <v>139</v>
      </c>
      <c r="DE103" s="36" t="s">
        <v>139</v>
      </c>
      <c r="DF103" s="36" t="s">
        <v>139</v>
      </c>
      <c r="DG103" s="36" t="s">
        <v>139</v>
      </c>
      <c r="DH103" s="36" t="s">
        <v>139</v>
      </c>
      <c r="DI103" s="36" t="s">
        <v>139</v>
      </c>
      <c r="DJ103" s="36" t="s">
        <v>139</v>
      </c>
      <c r="DK103" s="36" t="s">
        <v>139</v>
      </c>
      <c r="DL103" s="36" t="s">
        <v>139</v>
      </c>
      <c r="DM103" s="36" t="s">
        <v>139</v>
      </c>
      <c r="DN103" s="36" t="s">
        <v>139</v>
      </c>
      <c r="DO103" s="36" t="s">
        <v>139</v>
      </c>
      <c r="DP103" s="36" t="s">
        <v>139</v>
      </c>
      <c r="DQ103" s="36" t="s">
        <v>139</v>
      </c>
      <c r="DR103" s="36" t="s">
        <v>139</v>
      </c>
      <c r="DS103" s="36" t="s">
        <v>139</v>
      </c>
      <c r="DT103" s="36" t="s">
        <v>139</v>
      </c>
      <c r="DU103" s="36" t="s">
        <v>139</v>
      </c>
      <c r="DV103" s="36" t="s">
        <v>139</v>
      </c>
      <c r="DW103" s="36" t="s">
        <v>139</v>
      </c>
      <c r="DX103" s="36" t="s">
        <v>139</v>
      </c>
      <c r="DY103" s="36" t="s">
        <v>139</v>
      </c>
      <c r="DZ103" s="36" t="s">
        <v>139</v>
      </c>
      <c r="EA103" s="36" t="s">
        <v>139</v>
      </c>
      <c r="EB103" s="36" t="s">
        <v>139</v>
      </c>
      <c r="EC103" s="36" t="s">
        <v>139</v>
      </c>
      <c r="ED103" s="36" t="s">
        <v>139</v>
      </c>
      <c r="EE103" s="36" t="s">
        <v>139</v>
      </c>
      <c r="EF103" s="36" t="s">
        <v>139</v>
      </c>
      <c r="EG103" s="36" t="s">
        <v>139</v>
      </c>
      <c r="EH103" s="36" t="s">
        <v>139</v>
      </c>
      <c r="EI103" s="36" t="s">
        <v>139</v>
      </c>
      <c r="EJ103" s="36" t="s">
        <v>139</v>
      </c>
      <c r="EK103" s="36" t="s">
        <v>139</v>
      </c>
      <c r="EL103" s="36" t="s">
        <v>139</v>
      </c>
      <c r="EM103" s="36" t="s">
        <v>139</v>
      </c>
      <c r="EN103" s="36" t="s">
        <v>139</v>
      </c>
      <c r="EO103" s="36" t="s">
        <v>139</v>
      </c>
      <c r="EP103" s="36" t="s">
        <v>139</v>
      </c>
      <c r="EQ103" s="36" t="s">
        <v>139</v>
      </c>
      <c r="ER103" s="36" t="s">
        <v>139</v>
      </c>
      <c r="ES103" s="36" t="s">
        <v>139</v>
      </c>
      <c r="ET103" s="36" t="s">
        <v>139</v>
      </c>
      <c r="EU103" s="36" t="s">
        <v>139</v>
      </c>
      <c r="EV103" s="36" t="s">
        <v>139</v>
      </c>
      <c r="EW103" s="36" t="s">
        <v>139</v>
      </c>
      <c r="EX103" s="36" t="s">
        <v>139</v>
      </c>
      <c r="EY103" s="36" t="s">
        <v>139</v>
      </c>
      <c r="EZ103" s="36" t="s">
        <v>139</v>
      </c>
      <c r="FA103" s="36" t="s">
        <v>139</v>
      </c>
      <c r="FB103" s="36" t="s">
        <v>139</v>
      </c>
      <c r="FC103" s="36" t="s">
        <v>139</v>
      </c>
      <c r="FD103" s="36" t="s">
        <v>139</v>
      </c>
      <c r="FE103" s="36" t="s">
        <v>139</v>
      </c>
      <c r="FF103" s="36" t="s">
        <v>139</v>
      </c>
      <c r="FG103" s="36" t="s">
        <v>139</v>
      </c>
      <c r="FH103" s="36" t="s">
        <v>139</v>
      </c>
      <c r="FI103" s="36" t="s">
        <v>139</v>
      </c>
      <c r="FJ103" s="36" t="s">
        <v>139</v>
      </c>
      <c r="FK103" s="36" t="s">
        <v>139</v>
      </c>
      <c r="FL103" s="36" t="s">
        <v>139</v>
      </c>
      <c r="FM103" s="36" t="s">
        <v>139</v>
      </c>
      <c r="FN103" s="36" t="s">
        <v>139</v>
      </c>
      <c r="FO103" s="36" t="s">
        <v>139</v>
      </c>
      <c r="FP103" s="36" t="s">
        <v>139</v>
      </c>
      <c r="FQ103" s="36" t="s">
        <v>139</v>
      </c>
      <c r="FR103" s="36" t="s">
        <v>139</v>
      </c>
      <c r="FS103" s="36" t="s">
        <v>139</v>
      </c>
      <c r="FT103" s="36" t="s">
        <v>139</v>
      </c>
      <c r="FU103" s="36" t="s">
        <v>139</v>
      </c>
      <c r="FV103" s="36" t="s">
        <v>139</v>
      </c>
      <c r="FW103" s="36" t="s">
        <v>139</v>
      </c>
      <c r="FX103" s="36" t="s">
        <v>139</v>
      </c>
      <c r="FY103" s="36" t="s">
        <v>139</v>
      </c>
      <c r="FZ103" s="36" t="s">
        <v>139</v>
      </c>
      <c r="GA103" s="36" t="s">
        <v>139</v>
      </c>
      <c r="GB103" s="36" t="s">
        <v>139</v>
      </c>
      <c r="GC103" s="36" t="s">
        <v>139</v>
      </c>
      <c r="GD103" s="36" t="s">
        <v>139</v>
      </c>
      <c r="GE103" s="36" t="s">
        <v>139</v>
      </c>
      <c r="GF103" s="36" t="s">
        <v>139</v>
      </c>
      <c r="GG103" s="36" t="s">
        <v>139</v>
      </c>
      <c r="GH103" s="36" t="s">
        <v>139</v>
      </c>
      <c r="GI103" s="36" t="s">
        <v>139</v>
      </c>
      <c r="GJ103" s="36" t="s">
        <v>139</v>
      </c>
      <c r="GK103" s="36" t="s">
        <v>139</v>
      </c>
      <c r="GL103" s="36" t="s">
        <v>139</v>
      </c>
      <c r="GM103" s="36" t="s">
        <v>139</v>
      </c>
      <c r="GN103" s="36" t="s">
        <v>139</v>
      </c>
      <c r="GO103" s="36" t="s">
        <v>139</v>
      </c>
      <c r="GP103" s="36" t="s">
        <v>139</v>
      </c>
      <c r="GQ103" s="36" t="s">
        <v>139</v>
      </c>
      <c r="GR103" s="36" t="s">
        <v>139</v>
      </c>
      <c r="GS103" s="36" t="s">
        <v>139</v>
      </c>
      <c r="GT103" s="36" t="s">
        <v>139</v>
      </c>
      <c r="GU103" s="36" t="s">
        <v>139</v>
      </c>
      <c r="GV103" s="36" t="s">
        <v>139</v>
      </c>
      <c r="GW103" s="36" t="s">
        <v>139</v>
      </c>
      <c r="GX103" s="36" t="s">
        <v>139</v>
      </c>
      <c r="GY103" s="36" t="s">
        <v>139</v>
      </c>
      <c r="GZ103" s="36" t="s">
        <v>139</v>
      </c>
      <c r="HA103" s="36" t="s">
        <v>139</v>
      </c>
      <c r="HB103" s="36" t="s">
        <v>139</v>
      </c>
      <c r="HC103" s="36" t="s">
        <v>139</v>
      </c>
      <c r="HD103" s="36" t="s">
        <v>139</v>
      </c>
      <c r="HE103" s="36" t="s">
        <v>139</v>
      </c>
      <c r="HF103" s="36" t="s">
        <v>139</v>
      </c>
      <c r="HG103" s="36" t="s">
        <v>139</v>
      </c>
      <c r="HH103" s="36" t="s">
        <v>139</v>
      </c>
      <c r="HI103" s="36" t="s">
        <v>139</v>
      </c>
      <c r="HJ103" s="36" t="s">
        <v>139</v>
      </c>
      <c r="HK103" s="36" t="s">
        <v>139</v>
      </c>
      <c r="HL103" s="36" t="s">
        <v>139</v>
      </c>
      <c r="HM103" s="36" t="s">
        <v>139</v>
      </c>
      <c r="HN103" s="36" t="s">
        <v>139</v>
      </c>
      <c r="HO103" s="36" t="s">
        <v>139</v>
      </c>
      <c r="HP103" s="36" t="s">
        <v>139</v>
      </c>
      <c r="HQ103" s="36" t="s">
        <v>139</v>
      </c>
      <c r="HR103" s="36" t="s">
        <v>139</v>
      </c>
      <c r="HS103" s="36" t="s">
        <v>139</v>
      </c>
      <c r="HT103" s="36" t="s">
        <v>139</v>
      </c>
      <c r="HU103" s="36" t="s">
        <v>139</v>
      </c>
      <c r="HV103" s="36" t="s">
        <v>139</v>
      </c>
      <c r="HW103" s="36" t="s">
        <v>139</v>
      </c>
      <c r="HX103" s="36" t="s">
        <v>139</v>
      </c>
      <c r="HY103" s="36" t="s">
        <v>139</v>
      </c>
      <c r="HZ103" s="36" t="s">
        <v>139</v>
      </c>
      <c r="IA103" s="36" t="s">
        <v>139</v>
      </c>
      <c r="IB103" s="36" t="s">
        <v>139</v>
      </c>
      <c r="IC103" s="36" t="s">
        <v>139</v>
      </c>
      <c r="ID103" s="36" t="s">
        <v>139</v>
      </c>
      <c r="IE103" s="36" t="s">
        <v>139</v>
      </c>
      <c r="IF103" s="36" t="s">
        <v>139</v>
      </c>
      <c r="IG103" s="36" t="s">
        <v>139</v>
      </c>
      <c r="IH103" s="36" t="s">
        <v>139</v>
      </c>
      <c r="II103" s="36" t="s">
        <v>139</v>
      </c>
      <c r="IJ103" s="36" t="s">
        <v>139</v>
      </c>
      <c r="IK103" s="36" t="s">
        <v>139</v>
      </c>
      <c r="IL103" s="36" t="s">
        <v>139</v>
      </c>
      <c r="IM103" s="36" t="s">
        <v>139</v>
      </c>
      <c r="IN103" s="36" t="s">
        <v>139</v>
      </c>
      <c r="IO103" s="36" t="s">
        <v>139</v>
      </c>
      <c r="IP103" s="36" t="s">
        <v>139</v>
      </c>
      <c r="IQ103" s="36" t="s">
        <v>139</v>
      </c>
      <c r="IR103" s="36" t="s">
        <v>139</v>
      </c>
      <c r="IS103" s="36" t="s">
        <v>139</v>
      </c>
      <c r="IT103" s="36" t="s">
        <v>139</v>
      </c>
      <c r="IU103" s="36" t="s">
        <v>139</v>
      </c>
      <c r="IV103" s="36" t="s">
        <v>139</v>
      </c>
      <c r="IW103" s="36" t="s">
        <v>139</v>
      </c>
      <c r="IX103" s="36" t="s">
        <v>139</v>
      </c>
      <c r="IY103" s="36" t="s">
        <v>139</v>
      </c>
      <c r="IZ103" s="36" t="s">
        <v>139</v>
      </c>
      <c r="JA103" s="36" t="s">
        <v>139</v>
      </c>
      <c r="JB103" s="36" t="s">
        <v>139</v>
      </c>
      <c r="JC103" s="36" t="s">
        <v>139</v>
      </c>
      <c r="JD103" s="36" t="s">
        <v>139</v>
      </c>
      <c r="JE103" s="36" t="s">
        <v>139</v>
      </c>
      <c r="JF103" s="36" t="s">
        <v>139</v>
      </c>
      <c r="JG103" s="36" t="s">
        <v>139</v>
      </c>
      <c r="JH103" s="36" t="s">
        <v>139</v>
      </c>
      <c r="JI103" s="36" t="s">
        <v>139</v>
      </c>
      <c r="JJ103" s="36" t="s">
        <v>139</v>
      </c>
      <c r="JK103" s="36" t="s">
        <v>139</v>
      </c>
      <c r="JL103" s="36" t="s">
        <v>139</v>
      </c>
      <c r="JM103" s="36" t="s">
        <v>139</v>
      </c>
      <c r="JN103" s="36" t="s">
        <v>139</v>
      </c>
      <c r="JO103" s="36" t="s">
        <v>139</v>
      </c>
      <c r="JP103" s="36" t="s">
        <v>139</v>
      </c>
      <c r="JQ103" s="36" t="s">
        <v>139</v>
      </c>
      <c r="JR103" s="36" t="s">
        <v>139</v>
      </c>
      <c r="JS103" s="36" t="s">
        <v>139</v>
      </c>
      <c r="JT103" s="36" t="s">
        <v>139</v>
      </c>
      <c r="JU103" s="36" t="s">
        <v>139</v>
      </c>
      <c r="JV103" s="36" t="s">
        <v>139</v>
      </c>
      <c r="JW103" s="36" t="s">
        <v>139</v>
      </c>
      <c r="JX103" s="36" t="s">
        <v>139</v>
      </c>
      <c r="JY103" s="36" t="s">
        <v>139</v>
      </c>
      <c r="JZ103" s="36" t="s">
        <v>139</v>
      </c>
      <c r="KA103" s="36" t="s">
        <v>139</v>
      </c>
      <c r="KB103" s="36" t="s">
        <v>139</v>
      </c>
      <c r="KC103" s="36" t="s">
        <v>139</v>
      </c>
      <c r="KD103" s="36" t="s">
        <v>139</v>
      </c>
      <c r="KE103" s="36" t="s">
        <v>139</v>
      </c>
      <c r="KF103" s="36" t="s">
        <v>139</v>
      </c>
      <c r="KG103" s="36" t="s">
        <v>139</v>
      </c>
      <c r="KH103" s="36" t="s">
        <v>139</v>
      </c>
      <c r="KI103" s="36" t="s">
        <v>139</v>
      </c>
      <c r="KJ103" s="36" t="s">
        <v>139</v>
      </c>
      <c r="KK103" s="36" t="s">
        <v>139</v>
      </c>
      <c r="KL103" s="36" t="s">
        <v>139</v>
      </c>
      <c r="KM103" s="36" t="s">
        <v>139</v>
      </c>
      <c r="KN103" s="36" t="s">
        <v>139</v>
      </c>
      <c r="KO103" s="36" t="s">
        <v>139</v>
      </c>
      <c r="KP103" s="36" t="s">
        <v>139</v>
      </c>
      <c r="KQ103" s="36" t="s">
        <v>139</v>
      </c>
      <c r="KR103" s="36" t="s">
        <v>139</v>
      </c>
      <c r="KS103" s="36" t="s">
        <v>139</v>
      </c>
      <c r="KT103" s="36" t="s">
        <v>139</v>
      </c>
      <c r="KU103" s="36" t="s">
        <v>139</v>
      </c>
      <c r="KV103" s="36" t="s">
        <v>139</v>
      </c>
      <c r="KW103" s="36" t="s">
        <v>139</v>
      </c>
      <c r="KX103" s="36" t="s">
        <v>139</v>
      </c>
      <c r="KY103" s="36" t="s">
        <v>139</v>
      </c>
      <c r="KZ103" s="36" t="s">
        <v>139</v>
      </c>
      <c r="LA103" s="36" t="s">
        <v>139</v>
      </c>
      <c r="LB103" s="36" t="s">
        <v>139</v>
      </c>
      <c r="LC103" s="36" t="s">
        <v>139</v>
      </c>
      <c r="LD103" s="36" t="s">
        <v>139</v>
      </c>
      <c r="LE103" s="36" t="s">
        <v>139</v>
      </c>
      <c r="LF103" s="36" t="s">
        <v>139</v>
      </c>
      <c r="LG103" s="36" t="s">
        <v>139</v>
      </c>
      <c r="LH103" s="36" t="s">
        <v>139</v>
      </c>
      <c r="LI103" s="36" t="s">
        <v>139</v>
      </c>
      <c r="LJ103" s="36" t="s">
        <v>139</v>
      </c>
      <c r="LK103" s="36" t="s">
        <v>139</v>
      </c>
      <c r="LL103" s="36" t="s">
        <v>139</v>
      </c>
      <c r="LM103" s="36" t="s">
        <v>139</v>
      </c>
      <c r="LN103" s="36" t="s">
        <v>139</v>
      </c>
      <c r="LO103" s="36" t="s">
        <v>139</v>
      </c>
      <c r="LP103" s="36" t="s">
        <v>139</v>
      </c>
      <c r="LQ103" s="36" t="s">
        <v>139</v>
      </c>
      <c r="LR103" s="36" t="s">
        <v>139</v>
      </c>
      <c r="LS103" s="36" t="s">
        <v>139</v>
      </c>
      <c r="LT103" s="36" t="s">
        <v>139</v>
      </c>
      <c r="LU103" s="36" t="s">
        <v>139</v>
      </c>
      <c r="LV103" s="36" t="s">
        <v>139</v>
      </c>
      <c r="LW103" s="36" t="s">
        <v>139</v>
      </c>
      <c r="LX103" s="36" t="s">
        <v>139</v>
      </c>
      <c r="LY103" s="36" t="s">
        <v>139</v>
      </c>
      <c r="LZ103" s="36" t="s">
        <v>139</v>
      </c>
      <c r="MA103" s="36" t="s">
        <v>139</v>
      </c>
      <c r="MB103" s="36" t="s">
        <v>139</v>
      </c>
      <c r="MC103" s="36" t="s">
        <v>139</v>
      </c>
      <c r="MD103" s="36" t="s">
        <v>139</v>
      </c>
      <c r="ME103" s="36" t="s">
        <v>139</v>
      </c>
      <c r="MF103" s="36" t="s">
        <v>139</v>
      </c>
      <c r="MG103" s="36" t="s">
        <v>139</v>
      </c>
      <c r="MH103" s="36" t="s">
        <v>139</v>
      </c>
      <c r="MI103" s="36" t="s">
        <v>139</v>
      </c>
      <c r="MJ103" s="36" t="s">
        <v>139</v>
      </c>
      <c r="MK103" s="36" t="s">
        <v>139</v>
      </c>
      <c r="ML103" s="36" t="s">
        <v>139</v>
      </c>
      <c r="MM103" s="36" t="s">
        <v>139</v>
      </c>
      <c r="MN103" s="36" t="s">
        <v>139</v>
      </c>
      <c r="MO103" s="36" t="s">
        <v>139</v>
      </c>
      <c r="MP103" s="36" t="s">
        <v>139</v>
      </c>
      <c r="MQ103" s="36" t="s">
        <v>139</v>
      </c>
      <c r="MR103" s="36" t="s">
        <v>139</v>
      </c>
      <c r="MS103" s="36" t="s">
        <v>139</v>
      </c>
      <c r="MT103" s="36" t="s">
        <v>139</v>
      </c>
      <c r="MU103" s="36" t="s">
        <v>139</v>
      </c>
      <c r="MV103" s="36" t="s">
        <v>139</v>
      </c>
      <c r="MW103" s="36" t="s">
        <v>139</v>
      </c>
      <c r="MX103" s="36" t="s">
        <v>139</v>
      </c>
      <c r="MY103" s="36" t="s">
        <v>139</v>
      </c>
      <c r="MZ103" s="36" t="s">
        <v>139</v>
      </c>
      <c r="NA103" s="36" t="s">
        <v>139</v>
      </c>
      <c r="NB103" s="36" t="s">
        <v>139</v>
      </c>
      <c r="NC103" s="36" t="s">
        <v>139</v>
      </c>
      <c r="ND103" s="36" t="s">
        <v>139</v>
      </c>
      <c r="NE103" s="36" t="s">
        <v>139</v>
      </c>
      <c r="NF103" s="36" t="s">
        <v>139</v>
      </c>
      <c r="NG103" s="36" t="s">
        <v>139</v>
      </c>
      <c r="NH103" s="36" t="s">
        <v>139</v>
      </c>
      <c r="NI103" s="36" t="s">
        <v>139</v>
      </c>
      <c r="NJ103" s="36" t="s">
        <v>139</v>
      </c>
      <c r="NK103" s="36" t="s">
        <v>139</v>
      </c>
      <c r="NL103" s="36" t="s">
        <v>139</v>
      </c>
      <c r="NM103" s="36" t="s">
        <v>139</v>
      </c>
      <c r="NN103" s="36" t="s">
        <v>139</v>
      </c>
      <c r="NO103" s="36" t="s">
        <v>139</v>
      </c>
      <c r="NP103" s="36" t="s">
        <v>139</v>
      </c>
      <c r="NQ103" s="36" t="s">
        <v>139</v>
      </c>
      <c r="NR103" s="36" t="s">
        <v>139</v>
      </c>
      <c r="NS103" s="36" t="s">
        <v>139</v>
      </c>
      <c r="NT103" s="36" t="s">
        <v>139</v>
      </c>
      <c r="NU103" s="36" t="s">
        <v>139</v>
      </c>
      <c r="NV103" s="36" t="s">
        <v>139</v>
      </c>
      <c r="NW103" s="36" t="s">
        <v>139</v>
      </c>
      <c r="NX103" s="36" t="s">
        <v>139</v>
      </c>
      <c r="NY103" s="36" t="s">
        <v>139</v>
      </c>
      <c r="NZ103" s="36" t="s">
        <v>139</v>
      </c>
      <c r="OA103" s="36" t="s">
        <v>139</v>
      </c>
      <c r="OB103" s="36" t="s">
        <v>139</v>
      </c>
      <c r="OC103" s="36" t="s">
        <v>139</v>
      </c>
      <c r="OD103" s="36" t="s">
        <v>139</v>
      </c>
      <c r="OE103" s="36" t="s">
        <v>139</v>
      </c>
      <c r="OF103" s="36" t="s">
        <v>139</v>
      </c>
      <c r="OG103" s="36" t="s">
        <v>139</v>
      </c>
      <c r="OH103" s="36" t="s">
        <v>139</v>
      </c>
      <c r="OI103" s="36" t="s">
        <v>139</v>
      </c>
      <c r="OJ103" s="36" t="s">
        <v>139</v>
      </c>
      <c r="OK103" s="36" t="s">
        <v>139</v>
      </c>
      <c r="OL103" s="36" t="s">
        <v>139</v>
      </c>
      <c r="OM103" s="36" t="s">
        <v>139</v>
      </c>
      <c r="ON103" s="36" t="s">
        <v>139</v>
      </c>
      <c r="OO103" s="36" t="s">
        <v>139</v>
      </c>
      <c r="OP103" s="36" t="s">
        <v>139</v>
      </c>
      <c r="OQ103" s="36" t="s">
        <v>139</v>
      </c>
      <c r="OR103" s="36" t="s">
        <v>139</v>
      </c>
      <c r="OS103" s="36" t="s">
        <v>139</v>
      </c>
      <c r="OT103" s="36" t="s">
        <v>139</v>
      </c>
      <c r="OU103" s="36" t="s">
        <v>139</v>
      </c>
      <c r="OV103" s="36" t="s">
        <v>139</v>
      </c>
      <c r="OW103" s="36" t="s">
        <v>139</v>
      </c>
      <c r="OX103" s="36" t="s">
        <v>139</v>
      </c>
      <c r="OY103" s="36" t="s">
        <v>139</v>
      </c>
      <c r="OZ103" s="36" t="s">
        <v>139</v>
      </c>
      <c r="PA103" s="36" t="s">
        <v>139</v>
      </c>
      <c r="PB103" s="36" t="s">
        <v>139</v>
      </c>
      <c r="PC103" s="36" t="s">
        <v>139</v>
      </c>
      <c r="PD103" s="36" t="s">
        <v>139</v>
      </c>
      <c r="PE103" s="36" t="s">
        <v>139</v>
      </c>
      <c r="PF103" s="36" t="s">
        <v>139</v>
      </c>
      <c r="PG103" s="36" t="s">
        <v>139</v>
      </c>
      <c r="PH103" s="36" t="s">
        <v>139</v>
      </c>
      <c r="PI103" s="36" t="s">
        <v>139</v>
      </c>
      <c r="PJ103" s="36" t="s">
        <v>139</v>
      </c>
      <c r="PK103" s="36" t="s">
        <v>139</v>
      </c>
      <c r="PL103" s="36" t="s">
        <v>139</v>
      </c>
      <c r="PM103" s="36" t="s">
        <v>139</v>
      </c>
      <c r="PN103" s="36" t="s">
        <v>139</v>
      </c>
      <c r="PO103" s="74">
        <f>COUNTIFS($C$27:$PN$27,("&lt;"&amp;$B$3),$C$27:$PN$27,("&gt;="&amp;$B$2),$C103:$PN103,TabAsistencias[[#Headers],[1]])</f>
        <v>30</v>
      </c>
      <c r="PP103" s="74">
        <f>COUNTIFS($C$27:$PN$27,("&lt;"&amp;$B$3),$C$27:$PN$27,("&gt;="&amp;$B$2),$C103:$PN103,TabAsistencias[[#Headers],[E]])</f>
        <v>0</v>
      </c>
      <c r="PQ103" s="74">
        <f>COUNTIFS($C$27:$PN$27,("&lt;"&amp;$B$3),$C$27:$PN$27,("&gt;="&amp;$B$2),$C103:$PN103,TabAsistencias[[#Headers],[DE]])</f>
        <v>0</v>
      </c>
      <c r="PR103" s="74">
        <f>COUNTIFS($C$27:$PN$27,("&lt;"&amp;$B$3),$C$27:$PN$27,("&gt;="&amp;$B$2),$C103:$PN103,TabAsistencias[[#Headers],[V]])</f>
        <v>0</v>
      </c>
      <c r="PS103" s="74">
        <f>COUNTIFS($C$27:$PN$27,("&lt;"&amp;$B$3),$C$27:$PN$27,("&gt;="&amp;$B$2),$C103:$PN103,TabAsistencias[[#Headers],[DO]])</f>
        <v>0</v>
      </c>
      <c r="PT103" s="74">
        <f>COUNTIFS($C$27:$PN$27,("&lt;"&amp;$B$3),$C$27:$PN$27,("&gt;="&amp;$B$2),$C103:$PN103,TabAsistencias[[#Headers],[P]])</f>
        <v>0</v>
      </c>
      <c r="PU103" s="74">
        <f>COUNTIFS($C$27:$PN$27,("&lt;"&amp;$B$3),$C$27:$PN$27,("&gt;="&amp;$B$2),$C103:$PN103,TabAsistencias[[#Headers],[F]])</f>
        <v>0</v>
      </c>
      <c r="PV103" s="74">
        <f>COUNTIFS($C$27:$PN$27,("&lt;"&amp;$B$3),$C$27:$PN$27,("&gt;="&amp;$B$2),$C103:$PN103,TabAsistencias[[#Headers],[R]])</f>
        <v>0</v>
      </c>
      <c r="PW103" s="74">
        <f>COUNTIFS($C$27:$PN$27,("&lt;"&amp;$B$3),$C$27:$PN$27,("&gt;="&amp;$B$2),$C103:$PN103,TabAsistencias[[#Headers],[PP]])</f>
        <v>0</v>
      </c>
      <c r="PX103" s="74">
        <f>COUNTIFS($C$27:$PN$27,("&lt;"&amp;$B$3),$C$27:$PN$27,("&gt;="&amp;$B$2),$C103:$PN103,TabAsistencias[[#Headers],[0]])</f>
        <v>0</v>
      </c>
      <c r="PY103" s="74">
        <f>COUNTIFS($C$27:$PN$27,("&lt;"&amp;$B$3),$C$27:$PN$27,("&gt;="&amp;$B$2),$C103:$PN103,TabAsistencias[[#Headers],[IG]])</f>
        <v>0</v>
      </c>
      <c r="PZ103" s="74">
        <f>COUNTIFS($C$27:$PN$27,("&lt;"&amp;$B$3),$C$27:$PN$27,("&gt;="&amp;$B$2),$C103:$PN103,TabAsistencias[[#Headers],[NA]])</f>
        <v>0</v>
      </c>
      <c r="QA103" s="74">
        <f>COUNTIFS($C$27:$PN$27,("&lt;"&amp;$B$3),$C$27:$PN$27,("&gt;="&amp;$B$2),$C103:$PN103,TabAsistencias[[#Headers],[DF]])</f>
        <v>0</v>
      </c>
      <c r="QB103" s="74">
        <f>COUNTIFS($C$27:$PN$27,("&lt;"&amp;$B$3),$C$27:$PN$27,("&gt;="&amp;$B$2),$C103:$PN103,TabAsistencias[[#Headers],[3]])</f>
        <v>0</v>
      </c>
      <c r="QC103" s="74">
        <f>COUNTIFS($C$27:$PN$27,("&lt;"&amp;$B$3),$C$27:$PN$27,("&gt;="&amp;$B$2),$C103:$PN103,TabAsistencias[[#Headers],[CP]])</f>
        <v>0</v>
      </c>
      <c r="QD103" s="74">
        <f>COUNTIFS($C$27:$PN$27,("&lt;"&amp;$B$3),$C$27:$PN$27,("&gt;="&amp;$B$2),$C103:$PN103,TabAsistencias[[#Headers],[I]])</f>
        <v>0</v>
      </c>
      <c r="QE103" s="74">
        <f>COUNTIFS($C$27:$PN$27,("&lt;"&amp;$B$3),$C$27:$PN$27,("&gt;="&amp;$B$2),$C103:$PN103,TabAsistencias[[#Headers],[T/2]])</f>
        <v>0</v>
      </c>
      <c r="QF103" s="74">
        <f>COUNTIFS($C$27:$PN$27,("&lt;"&amp;$B$3),$C$27:$PN$27,("&gt;="&amp;$B$2),$C103:$PN103,TabAsistencias[[#Headers],[ME]])</f>
        <v>0</v>
      </c>
      <c r="QG103" s="74">
        <f>COUNTIFS($C$27:$PN$27,("&lt;"&amp;$B$3),$C$27:$PN$27,("&gt;="&amp;$B$2),$C103:$PN103,TabAsistencias[[#Headers],[DP]])</f>
        <v>0</v>
      </c>
      <c r="QH103" s="74">
        <f>COUNTIFS($C$27:$PN$27,("&lt;"&amp;$B$3),$C$27:$PN$27,("&gt;="&amp;$B$2),$C103:$PN103,TabAsistencias[[#Headers],[B]])</f>
        <v>0</v>
      </c>
      <c r="QI103" s="74">
        <f>(TabAsistencias[[#This Row],[1]]*'Tablas de informacion'!$C$124)+(TabAsistencias[[#This Row],[E]]*'Tablas de informacion'!$C$125)+(TabAsistencias[[#This Row],[DE]]*'Tablas de informacion'!C$126)+(TabAsistencias[[#This Row],[V]]*'Tablas de informacion'!C$127)+(TabAsistencias[[#This Row],[DO]]*'Tablas de informacion'!C$128)+(TabAsistencias[[#This Row],[P]]*'Tablas de informacion'!C$129)+(TabAsistencias[[#This Row],[F]]*'Tablas de informacion'!C$130)+(TabAsistencias[[#This Row],[R]]*'Tablas de informacion'!C$131)+(TabAsistencias[[#This Row],[PP]]*'Tablas de informacion'!C$132)+(TabAsistencias[[#This Row],[0]]*'Tablas de informacion'!C$133)+(TabAsistencias[[#This Row],[IG]]*'Tablas de informacion'!C$134)+(TabAsistencias[[#This Row],[NA]]*'Tablas de informacion'!C$135)+(TabAsistencias[[#This Row],[DF]]*'Tablas de informacion'!C$136)+(TabAsistencias[[#This Row],[3]]*'Tablas de informacion'!C$137)+(TabAsistencias[[#This Row],[CP]]*'Tablas de informacion'!C$138)+(TabAsistencias[[#This Row],[I]]*'Tablas de informacion'!C$139)+(TabAsistencias[[#This Row],[T/2]]*'Tablas de informacion'!C$140)+(TabAsistencias[[#This Row],[ME]]*'Tablas de informacion'!C$141)+(TabAsistencias[[#This Row],[DP]]*'Tablas de informacion'!C$142)+(TabAsistencias[[#This Row],[B]]*'Tablas de informacion'!C$143)-INT(TabAsistencias[[#This Row],[R]]/3)</f>
        <v>30</v>
      </c>
      <c r="QJ103" s="74">
        <f>COUNTIFS($C$27:$PN$27,("&lt;"&amp;$B$3),$C$27:$PN$27,("&gt;="&amp;$B$2),$C$28:$PN$28,1,$C103:$PN103,TabAsistencias[[#Headers],[1]])+
COUNTIFS($C$27:$PN$27,("&lt;"&amp;$B$3),$C$27:$PN$27,("&gt;="&amp;$B$2),$C$28:$PN$28,1,$C103:$PN103,TabAsistencias[[#Headers],[DO]])+
COUNTIFS($C$27:$PN$27,("&lt;"&amp;$B$3),$C$27:$PN$27,("&gt;="&amp;$B$2),$C$28:$PN$28,1,$C103:$PN103,TabAsistencias[[#Headers],[R]])+
COUNTIFS($C$27:$PN$27,("&lt;"&amp;$B$3),$C$27:$PN$27,("&gt;="&amp;$B$2),$C$28:$PN$28,1,$C103:$PN103,TabAsistencias[[#Headers],[NA]])+
COUNTIFS($C$27:$PN$27,("&lt;"&amp;$B$3),$C$27:$PN$27,("&gt;="&amp;$B$2),$C$28:$PN$28,1,$C103:$PN103,TabAsistencias[[#Headers],[DF]])+
COUNTIFS($C$27:$PN$27,("&lt;"&amp;$B$3),$C$27:$PN$27,("&gt;="&amp;$B$2),$C$28:$PN$28,1,$C103:$PN103,TabAsistencias[[#Headers],[3]])+
COUNTIFS($C$27:$PN$27,("&lt;"&amp;$B$3),$C$27:$PN$27,("&gt;="&amp;$B$2),$C$28:$PN$28,1,$C103:$PN103,TabAsistencias[[#Headers],[CP]])+
COUNTIFS($C$27:$PN$27,("&lt;"&amp;$B$3),$C$27:$PN$27,("&gt;="&amp;$B$2),$C$28:$PN$28,1,$C103:$PN103,TabAsistencias[[#Headers],[T/2]])</f>
        <v>4</v>
      </c>
      <c r="QK103" s="315" cm="1">
        <f t="array" ref="QK103">IFERROR(VLOOKUP(
DATEDIF((VLOOKUP(TabAsistencias[[#This Row],[ID]],TabEmpleados[],COLUMN(TabEmpleados[Fecha de ingreso]),FALSE)),Asistencias!$B$3,"Y"),
TabFactorIntegracion[],COLUMN(TabFactorIntegracion[Días vacacionales
establecidos por ley]),FALSE),0)
-
COUNTIF($AH103:$PN103,TabAsistencias[[#Headers],[V]])</f>
        <v>12</v>
      </c>
      <c r="QL103" s="319">
        <f>SUM(TabAsistencias[[#This Row],[''1]],TabAsistencias[[#This Row],[''DE]],TabAsistencias[[#This Row],[''DO]],TabAsistencias[[#This Row],[''R]],TabAsistencias[[#This Row],[''NA]],TabAsistencias[[#This Row],[''DF]],TabAsistencias[[#This Row],[''3]],TabAsistencias[[#This Row],[''CP]],TabAsistencias[[#This Row],[''T/2]],TabAsistencias[[#This Row],[''DP]])</f>
        <v>73</v>
      </c>
      <c r="QM103" s="314">
        <f>COUNTIFS($C$27:$PN$27,("&lt;"&amp;$B$5),$C$27:$PN$27,("&gt;="&amp;$B$4),$C103:$PN103,TabAsistencias[[#Headers],[1]])</f>
        <v>73</v>
      </c>
      <c r="QN103" s="314">
        <f>COUNTIFS($C$27:$PN$27,("&lt;"&amp;$B$5),$C$27:$PN$27,("&gt;="&amp;$B$4),$C103:$PN103,TabAsistencias[[#Headers],[DE]])</f>
        <v>0</v>
      </c>
      <c r="QO103" s="314">
        <f>COUNTIFS($C$27:$PN$27,("&lt;"&amp;$B$5),$C$27:$PN$27,("&gt;="&amp;$B$4),$C103:$PN103,TabAsistencias[[#Headers],[V]])</f>
        <v>0</v>
      </c>
      <c r="QP103" s="314">
        <f>COUNTIFS($C$27:$PN$27,("&lt;"&amp;$B$5),$C$27:$PN$27,("&gt;="&amp;$B$4),$C103:$PN103,TabAsistencias[[#Headers],[DO]])</f>
        <v>0</v>
      </c>
      <c r="QQ103" s="314">
        <f>COUNTIFS($C$27:$PN$27,("&lt;"&amp;$B$5),$C$27:$PN$27,("&gt;="&amp;$B$4),$C103:$PN103,TabAsistencias[[#Headers],[P]])</f>
        <v>0</v>
      </c>
      <c r="QR103" s="314">
        <f>COUNTIFS($C$27:$PN$27,("&lt;"&amp;$B$5),$C$27:$PN$27,("&gt;="&amp;$B$4),$C103:$PN103,TabAsistencias[[#Headers],[F]])</f>
        <v>0</v>
      </c>
      <c r="QS103" s="314">
        <f>COUNTIFS($C$27:$PN$27,("&lt;"&amp;$B$5),$C$27:$PN$27,("&gt;="&amp;$B$4),$C103:$PN103,TabAsistencias[[#Headers],[R]])</f>
        <v>0</v>
      </c>
      <c r="QT103" s="314">
        <f>COUNTIFS($C$27:$PN$27,("&lt;"&amp;$B$5),$C$27:$PN$27,("&gt;="&amp;$B$4),$C103:$PN103,TabAsistencias[[#Headers],[PP]])</f>
        <v>0</v>
      </c>
      <c r="QU103" s="314">
        <f>COUNTIFS($C$27:$PN$27,("&lt;"&amp;$B$5),$C$27:$PN$27,("&gt;="&amp;$B$4),$C103:$PN103,TabAsistencias[[#Headers],[0]])</f>
        <v>0</v>
      </c>
      <c r="QV103" s="314">
        <f>COUNTIFS($C$27:$PN$27,("&lt;"&amp;$B$5),$C$27:$PN$27,("&gt;="&amp;$B$4),$C103:$PN103,TabAsistencias[[#Headers],[IG]])</f>
        <v>0</v>
      </c>
      <c r="QW103" s="314">
        <f>COUNTIFS($C$27:$PN$27,("&lt;"&amp;$B$5),$C$27:$PN$27,("&gt;="&amp;$B$4),$C103:$PN103,TabAsistencias[[#Headers],[NA]])</f>
        <v>0</v>
      </c>
      <c r="QX103" s="314">
        <f>COUNTIFS($C$27:$PN$27,("&lt;"&amp;$B$5),$C$27:$PN$27,("&gt;="&amp;$B$4),$C103:$PN103,TabAsistencias[[#Headers],[DF]])</f>
        <v>0</v>
      </c>
      <c r="QY103" s="314">
        <f>COUNTIFS($C$27:$PN$27,("&lt;"&amp;$B$5),$C$27:$PN$27,("&gt;="&amp;$B$4),$C103:$PN103,TabAsistencias[[#Headers],[3]])</f>
        <v>0</v>
      </c>
      <c r="QZ103" s="314">
        <f>COUNTIFS($C$27:$PN$27,("&lt;"&amp;$B$5),$C$27:$PN$27,("&gt;="&amp;$B$4),$C103:$PN103,TabAsistencias[[#Headers],[CP]])</f>
        <v>0</v>
      </c>
      <c r="RA103" s="314">
        <f>COUNTIFS($C$27:$PN$27,("&lt;"&amp;$B$5),$C$27:$PN$27,("&gt;="&amp;$B$4),$C103:$PN103,TabAsistencias[[#Headers],[I]])</f>
        <v>0</v>
      </c>
      <c r="RB103" s="314">
        <f>COUNTIFS($C$27:$PN$27,("&lt;"&amp;$B$5),$C$27:$PN$27,("&gt;="&amp;$B$4),$C103:$PN103,TabAsistencias[[#Headers],[T/2]])</f>
        <v>0</v>
      </c>
      <c r="RC103" s="314">
        <f>COUNTIFS($C$27:$PN$27,("&lt;"&amp;$B$5),$C$27:$PN$27,("&gt;="&amp;$B$4),$C103:$PN103,TabAsistencias[[#Headers],[ME]])</f>
        <v>0</v>
      </c>
      <c r="RD103" s="314">
        <f>COUNTIFS($C$27:$PN$27,("&lt;"&amp;$B$5),$C$27:$PN$27,("&gt;="&amp;$B$4),$C103:$PN103,TabAsistencias[[#Headers],[DP]])</f>
        <v>0</v>
      </c>
      <c r="RE103" s="314">
        <f>COUNTIFS($C$27:$PN$27,("&lt;"&amp;$B$5),$C$27:$PN$27,("&gt;="&amp;$B$4),$C103:$PN103,TabAsistencias[[#Headers],[B]])</f>
        <v>0</v>
      </c>
      <c r="RF103" s="314">
        <f>COUNTIFS($C$27:$PN$27,("&lt;"&amp;$B$5),$C$27:$PN$27,("&gt;="&amp;$B$4),$C$28:$PN$28,1,$C103:$PN103,TabAsistencias[[#Headers],[1]])+
COUNTIFS($C$27:$PN$27,("&lt;"&amp;$B$5),$C$27:$PN$27,("&gt;="&amp;$B$4),$C$28:$PN$28,1,$C103:$PN103,TabAsistencias[[#Headers],[DO]])+
COUNTIFS($C$27:$PN$27,("&lt;"&amp;$B$5),$C$27:$PN$27,("&gt;="&amp;$B$4),$C$28:$PN$28,1,$C103:$PN103,TabAsistencias[[#Headers],[R]])+
COUNTIFS($C$27:$PN$27,("&lt;"&amp;$B$5),$C$27:$PN$27,("&gt;="&amp;$B$4),$C$28:$PN$28,1,$C103:$PN103,TabAsistencias[[#Headers],[NA]])+
COUNTIFS($C$27:$PN$27,("&lt;"&amp;$B$5),$C$27:$PN$27,("&gt;="&amp;$B$4),$C$28:$PN$28,1,$C103:$PN103,TabAsistencias[[#Headers],[DF]])+
COUNTIFS($C$27:$PN$27,("&lt;"&amp;$B$5),$C$27:$PN$27,("&gt;="&amp;$B$4),$C$28:$PN$28,1,$C103:$PN103,TabAsistencias[[#Headers],[3]])+
COUNTIFS($C$27:$PN$27,("&lt;"&amp;$B$5),$C$27:$PN$27,("&gt;="&amp;$B$4),$C$28:$PN$28,1,$C103:$PN103,TabAsistencias[[#Headers],[CP]])+
COUNTIFS($C$27:$PN$27,("&lt;"&amp;$B$5),$C$27:$PN$27,("&gt;="&amp;$B$4),$C$28:$PN$28,1,$C103:$PN103,TabAsistencias[[#Headers],[T/2]])</f>
        <v>11</v>
      </c>
      <c r="RG103" s="320" cm="1">
        <f t="array" ref="RG103">IFERROR(VLOOKUP(
DATEDIF((VLOOKUP(TabAsistencias[[#This Row],[ID]],TabEmpleados[],COLUMN(TabEmpleados[Fecha de alta NSS]),FALSE)),Asistencias!$B$3,"Y"),
TabFactorIntegracion[],COLUMN(TabFactorIntegracion[Días vacacionales
establecidos por ley]),FALSE),0)
-
COUNTIF($AH103:$PN103,TabAsistencias[[#Headers],[V]])</f>
        <v>12</v>
      </c>
    </row>
    <row r="104" spans="1:475" x14ac:dyDescent="0.25">
      <c r="A104" s="92">
        <f t="shared" si="435"/>
        <v>74</v>
      </c>
      <c r="B104" s="30" t="str" cm="1">
        <f t="array" ref="B104">VLOOKUP(TabAsistencias[[#This Row],[ID]],TabEmpleados[],COLUMN(TabEmpleados[Nombre]),FALSE)</f>
        <v>SAMARIO PEREZ JESUS FELIPE</v>
      </c>
      <c r="C104" s="36" t="s">
        <v>139</v>
      </c>
      <c r="D104" s="36" t="s">
        <v>139</v>
      </c>
      <c r="E104" s="36" t="s">
        <v>139</v>
      </c>
      <c r="F104" s="36" t="s">
        <v>139</v>
      </c>
      <c r="G104" s="36" t="s">
        <v>139</v>
      </c>
      <c r="H104" s="36" t="s">
        <v>139</v>
      </c>
      <c r="I104" s="36" t="s">
        <v>139</v>
      </c>
      <c r="J104" s="36" t="s">
        <v>139</v>
      </c>
      <c r="K104" s="36" t="s">
        <v>139</v>
      </c>
      <c r="L104" s="36" t="s">
        <v>139</v>
      </c>
      <c r="M104" s="36" t="s">
        <v>139</v>
      </c>
      <c r="N104" s="36" t="s">
        <v>139</v>
      </c>
      <c r="O104" s="36" t="s">
        <v>139</v>
      </c>
      <c r="P104" s="36" t="s">
        <v>139</v>
      </c>
      <c r="Q104" s="36" t="s">
        <v>139</v>
      </c>
      <c r="R104" s="36" t="s">
        <v>139</v>
      </c>
      <c r="S104" s="36" t="s">
        <v>139</v>
      </c>
      <c r="T104" s="36" t="s">
        <v>139</v>
      </c>
      <c r="U104" s="36" t="s">
        <v>139</v>
      </c>
      <c r="V104" s="36" t="s">
        <v>139</v>
      </c>
      <c r="W104" s="36" t="s">
        <v>139</v>
      </c>
      <c r="X104" s="36" t="s">
        <v>139</v>
      </c>
      <c r="Y104" s="36" t="s">
        <v>139</v>
      </c>
      <c r="Z104" s="36" t="s">
        <v>139</v>
      </c>
      <c r="AA104" s="36" t="s">
        <v>139</v>
      </c>
      <c r="AB104" s="36" t="s">
        <v>139</v>
      </c>
      <c r="AC104" s="36" t="s">
        <v>139</v>
      </c>
      <c r="AD104" s="36" t="s">
        <v>139</v>
      </c>
      <c r="AE104" s="36" t="s">
        <v>139</v>
      </c>
      <c r="AF104" s="36" t="s">
        <v>139</v>
      </c>
      <c r="AG104" s="36" t="s">
        <v>139</v>
      </c>
      <c r="AH104" s="36" t="s">
        <v>139</v>
      </c>
      <c r="AI104" s="36" t="s">
        <v>139</v>
      </c>
      <c r="AJ104" s="36" t="s">
        <v>139</v>
      </c>
      <c r="AK104" s="36" t="s">
        <v>139</v>
      </c>
      <c r="AL104" s="36" t="s">
        <v>139</v>
      </c>
      <c r="AM104" s="36" t="s">
        <v>139</v>
      </c>
      <c r="AN104" s="36" t="s">
        <v>139</v>
      </c>
      <c r="AO104" s="36" t="s">
        <v>139</v>
      </c>
      <c r="AP104" s="36" t="s">
        <v>139</v>
      </c>
      <c r="AQ104" s="36" t="s">
        <v>139</v>
      </c>
      <c r="AR104" s="36" t="s">
        <v>139</v>
      </c>
      <c r="AS104" s="36" t="s">
        <v>139</v>
      </c>
      <c r="AT104" s="36" t="s">
        <v>139</v>
      </c>
      <c r="AU104" s="36" t="s">
        <v>139</v>
      </c>
      <c r="AV104" s="36" t="s">
        <v>139</v>
      </c>
      <c r="AW104" s="36" t="s">
        <v>139</v>
      </c>
      <c r="AX104" s="36" t="s">
        <v>139</v>
      </c>
      <c r="AY104" s="36" t="s">
        <v>139</v>
      </c>
      <c r="AZ104" s="36" t="s">
        <v>139</v>
      </c>
      <c r="BA104" s="36" t="s">
        <v>139</v>
      </c>
      <c r="BB104" s="36" t="s">
        <v>139</v>
      </c>
      <c r="BC104" s="36" t="s">
        <v>139</v>
      </c>
      <c r="BD104" s="36" t="s">
        <v>139</v>
      </c>
      <c r="BE104" s="36" t="s">
        <v>139</v>
      </c>
      <c r="BF104" s="36" t="s">
        <v>139</v>
      </c>
      <c r="BG104" s="36" t="s">
        <v>139</v>
      </c>
      <c r="BH104" s="36" t="s">
        <v>139</v>
      </c>
      <c r="BI104" s="36" t="s">
        <v>139</v>
      </c>
      <c r="BJ104" s="36" t="s">
        <v>139</v>
      </c>
      <c r="BK104" s="36" t="s">
        <v>139</v>
      </c>
      <c r="BL104" s="36" t="s">
        <v>139</v>
      </c>
      <c r="BM104" s="36" t="s">
        <v>139</v>
      </c>
      <c r="BN104" s="36" t="s">
        <v>139</v>
      </c>
      <c r="BO104" s="36" t="s">
        <v>139</v>
      </c>
      <c r="BP104" s="36" t="s">
        <v>139</v>
      </c>
      <c r="BQ104" s="36" t="s">
        <v>139</v>
      </c>
      <c r="BR104" s="36" t="s">
        <v>139</v>
      </c>
      <c r="BS104" s="36" t="s">
        <v>139</v>
      </c>
      <c r="BT104" s="36" t="s">
        <v>139</v>
      </c>
      <c r="BU104" s="36" t="s">
        <v>139</v>
      </c>
      <c r="BV104" s="36" t="s">
        <v>139</v>
      </c>
      <c r="BW104" s="36" t="s">
        <v>139</v>
      </c>
      <c r="BX104" s="36" t="s">
        <v>139</v>
      </c>
      <c r="BY104" s="36" t="s">
        <v>139</v>
      </c>
      <c r="BZ104" s="36" t="s">
        <v>139</v>
      </c>
      <c r="CA104" s="36" t="s">
        <v>139</v>
      </c>
      <c r="CB104" s="36" t="s">
        <v>139</v>
      </c>
      <c r="CC104" s="36" t="s">
        <v>139</v>
      </c>
      <c r="CD104" s="36" t="s">
        <v>139</v>
      </c>
      <c r="CE104" s="36" t="s">
        <v>139</v>
      </c>
      <c r="CF104" s="36" t="s">
        <v>139</v>
      </c>
      <c r="CG104" s="36" t="s">
        <v>139</v>
      </c>
      <c r="CH104" s="36" t="s">
        <v>139</v>
      </c>
      <c r="CI104" s="36" t="s">
        <v>139</v>
      </c>
      <c r="CJ104" s="36" t="s">
        <v>139</v>
      </c>
      <c r="CK104" s="36" t="s">
        <v>139</v>
      </c>
      <c r="CL104" s="36" t="s">
        <v>139</v>
      </c>
      <c r="CM104" s="36" t="s">
        <v>139</v>
      </c>
      <c r="CN104" s="36" t="s">
        <v>139</v>
      </c>
      <c r="CO104" s="36" t="s">
        <v>139</v>
      </c>
      <c r="CP104" s="36" t="s">
        <v>139</v>
      </c>
      <c r="CQ104" s="36" t="s">
        <v>139</v>
      </c>
      <c r="CR104" s="36" t="s">
        <v>139</v>
      </c>
      <c r="CS104" s="36" t="s">
        <v>139</v>
      </c>
      <c r="CT104" s="36" t="s">
        <v>139</v>
      </c>
      <c r="CU104" s="36" t="s">
        <v>139</v>
      </c>
      <c r="CV104" s="36" t="s">
        <v>139</v>
      </c>
      <c r="CW104" s="36" t="s">
        <v>139</v>
      </c>
      <c r="CX104" s="36" t="s">
        <v>139</v>
      </c>
      <c r="CY104" s="36" t="s">
        <v>139</v>
      </c>
      <c r="CZ104" s="36" t="s">
        <v>139</v>
      </c>
      <c r="DA104" s="36" t="s">
        <v>139</v>
      </c>
      <c r="DB104" s="36" t="s">
        <v>139</v>
      </c>
      <c r="DC104" s="36" t="s">
        <v>139</v>
      </c>
      <c r="DD104" s="36" t="s">
        <v>139</v>
      </c>
      <c r="DE104" s="36" t="s">
        <v>139</v>
      </c>
      <c r="DF104" s="36" t="s">
        <v>139</v>
      </c>
      <c r="DG104" s="36" t="s">
        <v>139</v>
      </c>
      <c r="DH104" s="36" t="s">
        <v>139</v>
      </c>
      <c r="DI104" s="36" t="s">
        <v>139</v>
      </c>
      <c r="DJ104" s="36" t="s">
        <v>139</v>
      </c>
      <c r="DK104" s="36" t="s">
        <v>139</v>
      </c>
      <c r="DL104" s="36" t="s">
        <v>139</v>
      </c>
      <c r="DM104" s="36" t="s">
        <v>139</v>
      </c>
      <c r="DN104" s="36" t="s">
        <v>139</v>
      </c>
      <c r="DO104" s="36" t="s">
        <v>139</v>
      </c>
      <c r="DP104" s="36" t="s">
        <v>139</v>
      </c>
      <c r="DQ104" s="36" t="s">
        <v>139</v>
      </c>
      <c r="DR104" s="36" t="s">
        <v>139</v>
      </c>
      <c r="DS104" s="36" t="s">
        <v>139</v>
      </c>
      <c r="DT104" s="36" t="s">
        <v>139</v>
      </c>
      <c r="DU104" s="36" t="s">
        <v>139</v>
      </c>
      <c r="DV104" s="36" t="s">
        <v>139</v>
      </c>
      <c r="DW104" s="36" t="s">
        <v>139</v>
      </c>
      <c r="DX104" s="36" t="s">
        <v>139</v>
      </c>
      <c r="DY104" s="36" t="s">
        <v>139</v>
      </c>
      <c r="DZ104" s="36" t="s">
        <v>139</v>
      </c>
      <c r="EA104" s="36" t="s">
        <v>139</v>
      </c>
      <c r="EB104" s="36" t="s">
        <v>139</v>
      </c>
      <c r="EC104" s="36" t="s">
        <v>139</v>
      </c>
      <c r="ED104" s="36" t="s">
        <v>139</v>
      </c>
      <c r="EE104" s="36" t="s">
        <v>139</v>
      </c>
      <c r="EF104" s="36" t="s">
        <v>139</v>
      </c>
      <c r="EG104" s="36" t="s">
        <v>139</v>
      </c>
      <c r="EH104" s="36" t="s">
        <v>139</v>
      </c>
      <c r="EI104" s="36" t="s">
        <v>139</v>
      </c>
      <c r="EJ104" s="36" t="s">
        <v>139</v>
      </c>
      <c r="EK104" s="36" t="s">
        <v>139</v>
      </c>
      <c r="EL104" s="36" t="s">
        <v>139</v>
      </c>
      <c r="EM104" s="36" t="s">
        <v>139</v>
      </c>
      <c r="EN104" s="36" t="s">
        <v>139</v>
      </c>
      <c r="EO104" s="36" t="s">
        <v>139</v>
      </c>
      <c r="EP104" s="36" t="s">
        <v>139</v>
      </c>
      <c r="EQ104" s="36" t="s">
        <v>139</v>
      </c>
      <c r="ER104" s="36" t="s">
        <v>139</v>
      </c>
      <c r="ES104" s="36" t="s">
        <v>139</v>
      </c>
      <c r="ET104" s="36" t="s">
        <v>139</v>
      </c>
      <c r="EU104" s="36" t="s">
        <v>139</v>
      </c>
      <c r="EV104" s="36" t="s">
        <v>139</v>
      </c>
      <c r="EW104" s="36" t="s">
        <v>139</v>
      </c>
      <c r="EX104" s="36" t="s">
        <v>139</v>
      </c>
      <c r="EY104" s="36" t="s">
        <v>139</v>
      </c>
      <c r="EZ104" s="36" t="s">
        <v>139</v>
      </c>
      <c r="FA104" s="36" t="s">
        <v>139</v>
      </c>
      <c r="FB104" s="36" t="s">
        <v>139</v>
      </c>
      <c r="FC104" s="36" t="s">
        <v>139</v>
      </c>
      <c r="FD104" s="36" t="s">
        <v>139</v>
      </c>
      <c r="FE104" s="36" t="s">
        <v>139</v>
      </c>
      <c r="FF104" s="36" t="s">
        <v>139</v>
      </c>
      <c r="FG104" s="36" t="s">
        <v>139</v>
      </c>
      <c r="FH104" s="36" t="s">
        <v>139</v>
      </c>
      <c r="FI104" s="36" t="s">
        <v>139</v>
      </c>
      <c r="FJ104" s="36" t="s">
        <v>139</v>
      </c>
      <c r="FK104" s="36" t="s">
        <v>139</v>
      </c>
      <c r="FL104" s="36" t="s">
        <v>139</v>
      </c>
      <c r="FM104" s="36" t="s">
        <v>139</v>
      </c>
      <c r="FN104" s="36" t="s">
        <v>139</v>
      </c>
      <c r="FO104" s="36" t="s">
        <v>139</v>
      </c>
      <c r="FP104" s="36" t="s">
        <v>139</v>
      </c>
      <c r="FQ104" s="36" t="s">
        <v>139</v>
      </c>
      <c r="FR104" s="36" t="s">
        <v>139</v>
      </c>
      <c r="FS104" s="36" t="s">
        <v>139</v>
      </c>
      <c r="FT104" s="36" t="s">
        <v>139</v>
      </c>
      <c r="FU104" s="36" t="s">
        <v>139</v>
      </c>
      <c r="FV104" s="36" t="s">
        <v>139</v>
      </c>
      <c r="FW104" s="36" t="s">
        <v>139</v>
      </c>
      <c r="FX104" s="36" t="s">
        <v>139</v>
      </c>
      <c r="FY104" s="36" t="s">
        <v>139</v>
      </c>
      <c r="FZ104" s="36" t="s">
        <v>139</v>
      </c>
      <c r="GA104" s="36" t="s">
        <v>139</v>
      </c>
      <c r="GB104" s="36" t="s">
        <v>139</v>
      </c>
      <c r="GC104" s="36" t="s">
        <v>139</v>
      </c>
      <c r="GD104" s="36" t="s">
        <v>139</v>
      </c>
      <c r="GE104" s="36" t="s">
        <v>139</v>
      </c>
      <c r="GF104" s="36" t="s">
        <v>139</v>
      </c>
      <c r="GG104" s="36" t="s">
        <v>139</v>
      </c>
      <c r="GH104" s="36" t="s">
        <v>139</v>
      </c>
      <c r="GI104" s="36" t="s">
        <v>139</v>
      </c>
      <c r="GJ104" s="36" t="s">
        <v>139</v>
      </c>
      <c r="GK104" s="36" t="s">
        <v>139</v>
      </c>
      <c r="GL104" s="36" t="s">
        <v>139</v>
      </c>
      <c r="GM104" s="36" t="s">
        <v>139</v>
      </c>
      <c r="GN104" s="36" t="s">
        <v>139</v>
      </c>
      <c r="GO104" s="36" t="s">
        <v>139</v>
      </c>
      <c r="GP104" s="36" t="s">
        <v>139</v>
      </c>
      <c r="GQ104" s="36" t="s">
        <v>139</v>
      </c>
      <c r="GR104" s="36" t="s">
        <v>139</v>
      </c>
      <c r="GS104" s="36" t="s">
        <v>139</v>
      </c>
      <c r="GT104" s="36" t="s">
        <v>139</v>
      </c>
      <c r="GU104" s="36" t="s">
        <v>139</v>
      </c>
      <c r="GV104" s="36" t="s">
        <v>139</v>
      </c>
      <c r="GW104" s="36" t="s">
        <v>139</v>
      </c>
      <c r="GX104" s="36" t="s">
        <v>139</v>
      </c>
      <c r="GY104" s="36" t="s">
        <v>139</v>
      </c>
      <c r="GZ104" s="36" t="s">
        <v>139</v>
      </c>
      <c r="HA104" s="36" t="s">
        <v>139</v>
      </c>
      <c r="HB104" s="36" t="s">
        <v>139</v>
      </c>
      <c r="HC104" s="36" t="s">
        <v>139</v>
      </c>
      <c r="HD104" s="36" t="s">
        <v>139</v>
      </c>
      <c r="HE104" s="36" t="s">
        <v>139</v>
      </c>
      <c r="HF104" s="36" t="s">
        <v>139</v>
      </c>
      <c r="HG104" s="36" t="s">
        <v>139</v>
      </c>
      <c r="HH104" s="36" t="s">
        <v>139</v>
      </c>
      <c r="HI104" s="36" t="s">
        <v>139</v>
      </c>
      <c r="HJ104" s="36" t="s">
        <v>139</v>
      </c>
      <c r="HK104" s="36" t="s">
        <v>139</v>
      </c>
      <c r="HL104" s="36" t="s">
        <v>139</v>
      </c>
      <c r="HM104" s="36" t="s">
        <v>139</v>
      </c>
      <c r="HN104" s="36" t="s">
        <v>139</v>
      </c>
      <c r="HO104" s="36" t="s">
        <v>139</v>
      </c>
      <c r="HP104" s="36" t="s">
        <v>139</v>
      </c>
      <c r="HQ104" s="36" t="s">
        <v>139</v>
      </c>
      <c r="HR104" s="36" t="s">
        <v>139</v>
      </c>
      <c r="HS104" s="36" t="s">
        <v>139</v>
      </c>
      <c r="HT104" s="36" t="s">
        <v>139</v>
      </c>
      <c r="HU104" s="36" t="s">
        <v>139</v>
      </c>
      <c r="HV104" s="36" t="s">
        <v>139</v>
      </c>
      <c r="HW104" s="36" t="s">
        <v>139</v>
      </c>
      <c r="HX104" s="36" t="s">
        <v>139</v>
      </c>
      <c r="HY104" s="36" t="s">
        <v>139</v>
      </c>
      <c r="HZ104" s="36" t="s">
        <v>139</v>
      </c>
      <c r="IA104" s="36" t="s">
        <v>139</v>
      </c>
      <c r="IB104" s="36" t="s">
        <v>139</v>
      </c>
      <c r="IC104" s="36" t="s">
        <v>139</v>
      </c>
      <c r="ID104" s="36" t="s">
        <v>139</v>
      </c>
      <c r="IE104" s="36" t="s">
        <v>139</v>
      </c>
      <c r="IF104" s="36" t="s">
        <v>139</v>
      </c>
      <c r="IG104" s="36" t="s">
        <v>139</v>
      </c>
      <c r="IH104" s="36" t="s">
        <v>139</v>
      </c>
      <c r="II104" s="36" t="s">
        <v>139</v>
      </c>
      <c r="IJ104" s="36" t="s">
        <v>139</v>
      </c>
      <c r="IK104" s="36" t="s">
        <v>139</v>
      </c>
      <c r="IL104" s="36" t="s">
        <v>139</v>
      </c>
      <c r="IM104" s="36" t="s">
        <v>139</v>
      </c>
      <c r="IN104" s="36" t="s">
        <v>139</v>
      </c>
      <c r="IO104" s="36" t="s">
        <v>139</v>
      </c>
      <c r="IP104" s="36" t="s">
        <v>139</v>
      </c>
      <c r="IQ104" s="36" t="s">
        <v>139</v>
      </c>
      <c r="IR104" s="36" t="s">
        <v>139</v>
      </c>
      <c r="IS104" s="36" t="s">
        <v>139</v>
      </c>
      <c r="IT104" s="36" t="s">
        <v>139</v>
      </c>
      <c r="IU104" s="36" t="s">
        <v>139</v>
      </c>
      <c r="IV104" s="36" t="s">
        <v>139</v>
      </c>
      <c r="IW104" s="36" t="s">
        <v>139</v>
      </c>
      <c r="IX104" s="36" t="s">
        <v>139</v>
      </c>
      <c r="IY104" s="36" t="s">
        <v>139</v>
      </c>
      <c r="IZ104" s="36" t="s">
        <v>139</v>
      </c>
      <c r="JA104" s="36" t="s">
        <v>139</v>
      </c>
      <c r="JB104" s="36" t="s">
        <v>139</v>
      </c>
      <c r="JC104" s="36" t="s">
        <v>139</v>
      </c>
      <c r="JD104" s="36" t="s">
        <v>139</v>
      </c>
      <c r="JE104" s="36" t="s">
        <v>139</v>
      </c>
      <c r="JF104" s="36" t="s">
        <v>139</v>
      </c>
      <c r="JG104" s="36" t="s">
        <v>139</v>
      </c>
      <c r="JH104" s="36" t="s">
        <v>139</v>
      </c>
      <c r="JI104" s="36" t="s">
        <v>139</v>
      </c>
      <c r="JJ104" s="36" t="s">
        <v>139</v>
      </c>
      <c r="JK104" s="36" t="s">
        <v>139</v>
      </c>
      <c r="JL104" s="36" t="s">
        <v>139</v>
      </c>
      <c r="JM104" s="36" t="s">
        <v>139</v>
      </c>
      <c r="JN104" s="36" t="s">
        <v>139</v>
      </c>
      <c r="JO104" s="36" t="s">
        <v>139</v>
      </c>
      <c r="JP104" s="36" t="s">
        <v>139</v>
      </c>
      <c r="JQ104" s="36" t="s">
        <v>139</v>
      </c>
      <c r="JR104" s="36" t="s">
        <v>139</v>
      </c>
      <c r="JS104" s="36" t="s">
        <v>139</v>
      </c>
      <c r="JT104" s="36" t="s">
        <v>139</v>
      </c>
      <c r="JU104" s="36" t="s">
        <v>139</v>
      </c>
      <c r="JV104" s="36" t="s">
        <v>139</v>
      </c>
      <c r="JW104" s="36" t="s">
        <v>139</v>
      </c>
      <c r="JX104" s="36" t="s">
        <v>139</v>
      </c>
      <c r="JY104" s="36" t="s">
        <v>139</v>
      </c>
      <c r="JZ104" s="36" t="s">
        <v>139</v>
      </c>
      <c r="KA104" s="36" t="s">
        <v>139</v>
      </c>
      <c r="KB104" s="36" t="s">
        <v>139</v>
      </c>
      <c r="KC104" s="36" t="s">
        <v>139</v>
      </c>
      <c r="KD104" s="36" t="s">
        <v>139</v>
      </c>
      <c r="KE104" s="36" t="s">
        <v>139</v>
      </c>
      <c r="KF104" s="36" t="s">
        <v>139</v>
      </c>
      <c r="KG104" s="36" t="s">
        <v>139</v>
      </c>
      <c r="KH104" s="36" t="s">
        <v>139</v>
      </c>
      <c r="KI104" s="36" t="s">
        <v>139</v>
      </c>
      <c r="KJ104" s="36" t="s">
        <v>139</v>
      </c>
      <c r="KK104" s="36" t="s">
        <v>139</v>
      </c>
      <c r="KL104" s="36" t="s">
        <v>139</v>
      </c>
      <c r="KM104" s="36" t="s">
        <v>139</v>
      </c>
      <c r="KN104" s="36" t="s">
        <v>139</v>
      </c>
      <c r="KO104" s="36" t="s">
        <v>139</v>
      </c>
      <c r="KP104" s="36" t="s">
        <v>139</v>
      </c>
      <c r="KQ104" s="36" t="s">
        <v>139</v>
      </c>
      <c r="KR104" s="36" t="s">
        <v>139</v>
      </c>
      <c r="KS104" s="36" t="s">
        <v>139</v>
      </c>
      <c r="KT104" s="36" t="s">
        <v>139</v>
      </c>
      <c r="KU104" s="36" t="s">
        <v>139</v>
      </c>
      <c r="KV104" s="36" t="s">
        <v>139</v>
      </c>
      <c r="KW104" s="36" t="s">
        <v>139</v>
      </c>
      <c r="KX104" s="36" t="s">
        <v>139</v>
      </c>
      <c r="KY104" s="36" t="s">
        <v>139</v>
      </c>
      <c r="KZ104" s="36" t="s">
        <v>139</v>
      </c>
      <c r="LA104" s="36" t="s">
        <v>139</v>
      </c>
      <c r="LB104" s="36" t="s">
        <v>139</v>
      </c>
      <c r="LC104" s="36" t="s">
        <v>139</v>
      </c>
      <c r="LD104" s="36" t="s">
        <v>139</v>
      </c>
      <c r="LE104" s="36" t="s">
        <v>139</v>
      </c>
      <c r="LF104" s="36" t="s">
        <v>139</v>
      </c>
      <c r="LG104" s="36" t="s">
        <v>139</v>
      </c>
      <c r="LH104" s="36" t="s">
        <v>139</v>
      </c>
      <c r="LI104" s="36" t="s">
        <v>139</v>
      </c>
      <c r="LJ104" s="36" t="s">
        <v>139</v>
      </c>
      <c r="LK104" s="36" t="s">
        <v>139</v>
      </c>
      <c r="LL104" s="36" t="s">
        <v>139</v>
      </c>
      <c r="LM104" s="36" t="s">
        <v>139</v>
      </c>
      <c r="LN104" s="36" t="s">
        <v>139</v>
      </c>
      <c r="LO104" s="36" t="s">
        <v>139</v>
      </c>
      <c r="LP104" s="36" t="s">
        <v>139</v>
      </c>
      <c r="LQ104" s="36" t="s">
        <v>139</v>
      </c>
      <c r="LR104" s="36" t="s">
        <v>139</v>
      </c>
      <c r="LS104" s="36" t="s">
        <v>139</v>
      </c>
      <c r="LT104" s="36" t="s">
        <v>139</v>
      </c>
      <c r="LU104" s="36" t="s">
        <v>139</v>
      </c>
      <c r="LV104" s="36" t="s">
        <v>139</v>
      </c>
      <c r="LW104" s="36" t="s">
        <v>139</v>
      </c>
      <c r="LX104" s="36" t="s">
        <v>139</v>
      </c>
      <c r="LY104" s="36" t="s">
        <v>139</v>
      </c>
      <c r="LZ104" s="36" t="s">
        <v>139</v>
      </c>
      <c r="MA104" s="36" t="s">
        <v>139</v>
      </c>
      <c r="MB104" s="36" t="s">
        <v>139</v>
      </c>
      <c r="MC104" s="36" t="s">
        <v>139</v>
      </c>
      <c r="MD104" s="36" t="s">
        <v>139</v>
      </c>
      <c r="ME104" s="36" t="s">
        <v>139</v>
      </c>
      <c r="MF104" s="36" t="s">
        <v>139</v>
      </c>
      <c r="MG104" s="36" t="s">
        <v>139</v>
      </c>
      <c r="MH104" s="36" t="s">
        <v>139</v>
      </c>
      <c r="MI104" s="36" t="s">
        <v>139</v>
      </c>
      <c r="MJ104" s="36" t="s">
        <v>139</v>
      </c>
      <c r="MK104" s="36" t="s">
        <v>139</v>
      </c>
      <c r="ML104" s="36" t="s">
        <v>139</v>
      </c>
      <c r="MM104" s="36" t="s">
        <v>139</v>
      </c>
      <c r="MN104" s="36" t="s">
        <v>139</v>
      </c>
      <c r="MO104" s="36" t="s">
        <v>139</v>
      </c>
      <c r="MP104" s="36" t="s">
        <v>139</v>
      </c>
      <c r="MQ104" s="36" t="s">
        <v>139</v>
      </c>
      <c r="MR104" s="36" t="s">
        <v>139</v>
      </c>
      <c r="MS104" s="36" t="s">
        <v>139</v>
      </c>
      <c r="MT104" s="36" t="s">
        <v>139</v>
      </c>
      <c r="MU104" s="36" t="s">
        <v>139</v>
      </c>
      <c r="MV104" s="36" t="s">
        <v>139</v>
      </c>
      <c r="MW104" s="36" t="s">
        <v>139</v>
      </c>
      <c r="MX104" s="36" t="s">
        <v>139</v>
      </c>
      <c r="MY104" s="36" t="s">
        <v>139</v>
      </c>
      <c r="MZ104" s="36" t="s">
        <v>139</v>
      </c>
      <c r="NA104" s="36" t="s">
        <v>139</v>
      </c>
      <c r="NB104" s="36" t="s">
        <v>139</v>
      </c>
      <c r="NC104" s="36" t="s">
        <v>139</v>
      </c>
      <c r="ND104" s="36" t="s">
        <v>139</v>
      </c>
      <c r="NE104" s="36" t="s">
        <v>139</v>
      </c>
      <c r="NF104" s="36" t="s">
        <v>139</v>
      </c>
      <c r="NG104" s="36" t="s">
        <v>139</v>
      </c>
      <c r="NH104" s="36" t="s">
        <v>139</v>
      </c>
      <c r="NI104" s="36" t="s">
        <v>139</v>
      </c>
      <c r="NJ104" s="36" t="s">
        <v>139</v>
      </c>
      <c r="NK104" s="36" t="s">
        <v>139</v>
      </c>
      <c r="NL104" s="36" t="s">
        <v>139</v>
      </c>
      <c r="NM104" s="36" t="s">
        <v>139</v>
      </c>
      <c r="NN104" s="36" t="s">
        <v>139</v>
      </c>
      <c r="NO104" s="36" t="s">
        <v>139</v>
      </c>
      <c r="NP104" s="36" t="s">
        <v>139</v>
      </c>
      <c r="NQ104" s="36" t="s">
        <v>139</v>
      </c>
      <c r="NR104" s="36" t="s">
        <v>139</v>
      </c>
      <c r="NS104" s="36" t="s">
        <v>139</v>
      </c>
      <c r="NT104" s="36" t="s">
        <v>139</v>
      </c>
      <c r="NU104" s="36" t="s">
        <v>139</v>
      </c>
      <c r="NV104" s="36" t="s">
        <v>139</v>
      </c>
      <c r="NW104" s="36" t="s">
        <v>139</v>
      </c>
      <c r="NX104" s="36" t="s">
        <v>139</v>
      </c>
      <c r="NY104" s="36" t="s">
        <v>139</v>
      </c>
      <c r="NZ104" s="36" t="s">
        <v>139</v>
      </c>
      <c r="OA104" s="36" t="s">
        <v>139</v>
      </c>
      <c r="OB104" s="36" t="s">
        <v>139</v>
      </c>
      <c r="OC104" s="36" t="s">
        <v>139</v>
      </c>
      <c r="OD104" s="36" t="s">
        <v>139</v>
      </c>
      <c r="OE104" s="36" t="s">
        <v>139</v>
      </c>
      <c r="OF104" s="36" t="s">
        <v>139</v>
      </c>
      <c r="OG104" s="36" t="s">
        <v>139</v>
      </c>
      <c r="OH104" s="36" t="s">
        <v>139</v>
      </c>
      <c r="OI104" s="36" t="s">
        <v>139</v>
      </c>
      <c r="OJ104" s="36" t="s">
        <v>139</v>
      </c>
      <c r="OK104" s="36" t="s">
        <v>139</v>
      </c>
      <c r="OL104" s="36" t="s">
        <v>139</v>
      </c>
      <c r="OM104" s="36" t="s">
        <v>139</v>
      </c>
      <c r="ON104" s="36" t="s">
        <v>139</v>
      </c>
      <c r="OO104" s="36" t="s">
        <v>139</v>
      </c>
      <c r="OP104" s="36" t="s">
        <v>139</v>
      </c>
      <c r="OQ104" s="36" t="s">
        <v>139</v>
      </c>
      <c r="OR104" s="36" t="s">
        <v>139</v>
      </c>
      <c r="OS104" s="36" t="s">
        <v>139</v>
      </c>
      <c r="OT104" s="36" t="s">
        <v>139</v>
      </c>
      <c r="OU104" s="36" t="s">
        <v>139</v>
      </c>
      <c r="OV104" s="36" t="s">
        <v>139</v>
      </c>
      <c r="OW104" s="36" t="s">
        <v>139</v>
      </c>
      <c r="OX104" s="36" t="s">
        <v>139</v>
      </c>
      <c r="OY104" s="36" t="s">
        <v>139</v>
      </c>
      <c r="OZ104" s="36" t="s">
        <v>139</v>
      </c>
      <c r="PA104" s="36" t="s">
        <v>139</v>
      </c>
      <c r="PB104" s="36" t="s">
        <v>139</v>
      </c>
      <c r="PC104" s="36" t="s">
        <v>139</v>
      </c>
      <c r="PD104" s="36" t="s">
        <v>139</v>
      </c>
      <c r="PE104" s="36" t="s">
        <v>139</v>
      </c>
      <c r="PF104" s="36" t="s">
        <v>139</v>
      </c>
      <c r="PG104" s="36" t="s">
        <v>139</v>
      </c>
      <c r="PH104" s="36" t="s">
        <v>139</v>
      </c>
      <c r="PI104" s="36" t="s">
        <v>139</v>
      </c>
      <c r="PJ104" s="36" t="s">
        <v>139</v>
      </c>
      <c r="PK104" s="36" t="s">
        <v>139</v>
      </c>
      <c r="PL104" s="36" t="s">
        <v>139</v>
      </c>
      <c r="PM104" s="36" t="s">
        <v>139</v>
      </c>
      <c r="PN104" s="36" t="s">
        <v>139</v>
      </c>
      <c r="PO104" s="74">
        <f>COUNTIFS($C$27:$PN$27,("&lt;"&amp;$B$3),$C$27:$PN$27,("&gt;="&amp;$B$2),$C104:$PN104,TabAsistencias[[#Headers],[1]])</f>
        <v>30</v>
      </c>
      <c r="PP104" s="74">
        <f>COUNTIFS($C$27:$PN$27,("&lt;"&amp;$B$3),$C$27:$PN$27,("&gt;="&amp;$B$2),$C104:$PN104,TabAsistencias[[#Headers],[E]])</f>
        <v>0</v>
      </c>
      <c r="PQ104" s="74">
        <f>COUNTIFS($C$27:$PN$27,("&lt;"&amp;$B$3),$C$27:$PN$27,("&gt;="&amp;$B$2),$C104:$PN104,TabAsistencias[[#Headers],[DE]])</f>
        <v>0</v>
      </c>
      <c r="PR104" s="74">
        <f>COUNTIFS($C$27:$PN$27,("&lt;"&amp;$B$3),$C$27:$PN$27,("&gt;="&amp;$B$2),$C104:$PN104,TabAsistencias[[#Headers],[V]])</f>
        <v>0</v>
      </c>
      <c r="PS104" s="74">
        <f>COUNTIFS($C$27:$PN$27,("&lt;"&amp;$B$3),$C$27:$PN$27,("&gt;="&amp;$B$2),$C104:$PN104,TabAsistencias[[#Headers],[DO]])</f>
        <v>0</v>
      </c>
      <c r="PT104" s="74">
        <f>COUNTIFS($C$27:$PN$27,("&lt;"&amp;$B$3),$C$27:$PN$27,("&gt;="&amp;$B$2),$C104:$PN104,TabAsistencias[[#Headers],[P]])</f>
        <v>0</v>
      </c>
      <c r="PU104" s="74">
        <f>COUNTIFS($C$27:$PN$27,("&lt;"&amp;$B$3),$C$27:$PN$27,("&gt;="&amp;$B$2),$C104:$PN104,TabAsistencias[[#Headers],[F]])</f>
        <v>0</v>
      </c>
      <c r="PV104" s="74">
        <f>COUNTIFS($C$27:$PN$27,("&lt;"&amp;$B$3),$C$27:$PN$27,("&gt;="&amp;$B$2),$C104:$PN104,TabAsistencias[[#Headers],[R]])</f>
        <v>0</v>
      </c>
      <c r="PW104" s="74">
        <f>COUNTIFS($C$27:$PN$27,("&lt;"&amp;$B$3),$C$27:$PN$27,("&gt;="&amp;$B$2),$C104:$PN104,TabAsistencias[[#Headers],[PP]])</f>
        <v>0</v>
      </c>
      <c r="PX104" s="74">
        <f>COUNTIFS($C$27:$PN$27,("&lt;"&amp;$B$3),$C$27:$PN$27,("&gt;="&amp;$B$2),$C104:$PN104,TabAsistencias[[#Headers],[0]])</f>
        <v>0</v>
      </c>
      <c r="PY104" s="74">
        <f>COUNTIFS($C$27:$PN$27,("&lt;"&amp;$B$3),$C$27:$PN$27,("&gt;="&amp;$B$2),$C104:$PN104,TabAsistencias[[#Headers],[IG]])</f>
        <v>0</v>
      </c>
      <c r="PZ104" s="74">
        <f>COUNTIFS($C$27:$PN$27,("&lt;"&amp;$B$3),$C$27:$PN$27,("&gt;="&amp;$B$2),$C104:$PN104,TabAsistencias[[#Headers],[NA]])</f>
        <v>0</v>
      </c>
      <c r="QA104" s="74">
        <f>COUNTIFS($C$27:$PN$27,("&lt;"&amp;$B$3),$C$27:$PN$27,("&gt;="&amp;$B$2),$C104:$PN104,TabAsistencias[[#Headers],[DF]])</f>
        <v>0</v>
      </c>
      <c r="QB104" s="74">
        <f>COUNTIFS($C$27:$PN$27,("&lt;"&amp;$B$3),$C$27:$PN$27,("&gt;="&amp;$B$2),$C104:$PN104,TabAsistencias[[#Headers],[3]])</f>
        <v>0</v>
      </c>
      <c r="QC104" s="74">
        <f>COUNTIFS($C$27:$PN$27,("&lt;"&amp;$B$3),$C$27:$PN$27,("&gt;="&amp;$B$2),$C104:$PN104,TabAsistencias[[#Headers],[CP]])</f>
        <v>0</v>
      </c>
      <c r="QD104" s="74">
        <f>COUNTIFS($C$27:$PN$27,("&lt;"&amp;$B$3),$C$27:$PN$27,("&gt;="&amp;$B$2),$C104:$PN104,TabAsistencias[[#Headers],[I]])</f>
        <v>0</v>
      </c>
      <c r="QE104" s="74">
        <f>COUNTIFS($C$27:$PN$27,("&lt;"&amp;$B$3),$C$27:$PN$27,("&gt;="&amp;$B$2),$C104:$PN104,TabAsistencias[[#Headers],[T/2]])</f>
        <v>0</v>
      </c>
      <c r="QF104" s="74">
        <f>COUNTIFS($C$27:$PN$27,("&lt;"&amp;$B$3),$C$27:$PN$27,("&gt;="&amp;$B$2),$C104:$PN104,TabAsistencias[[#Headers],[ME]])</f>
        <v>0</v>
      </c>
      <c r="QG104" s="74">
        <f>COUNTIFS($C$27:$PN$27,("&lt;"&amp;$B$3),$C$27:$PN$27,("&gt;="&amp;$B$2),$C104:$PN104,TabAsistencias[[#Headers],[DP]])</f>
        <v>0</v>
      </c>
      <c r="QH104" s="74">
        <f>COUNTIFS($C$27:$PN$27,("&lt;"&amp;$B$3),$C$27:$PN$27,("&gt;="&amp;$B$2),$C104:$PN104,TabAsistencias[[#Headers],[B]])</f>
        <v>0</v>
      </c>
      <c r="QI104" s="74">
        <f>(TabAsistencias[[#This Row],[1]]*'Tablas de informacion'!$C$124)+(TabAsistencias[[#This Row],[E]]*'Tablas de informacion'!$C$125)+(TabAsistencias[[#This Row],[DE]]*'Tablas de informacion'!C$126)+(TabAsistencias[[#This Row],[V]]*'Tablas de informacion'!C$127)+(TabAsistencias[[#This Row],[DO]]*'Tablas de informacion'!C$128)+(TabAsistencias[[#This Row],[P]]*'Tablas de informacion'!C$129)+(TabAsistencias[[#This Row],[F]]*'Tablas de informacion'!C$130)+(TabAsistencias[[#This Row],[R]]*'Tablas de informacion'!C$131)+(TabAsistencias[[#This Row],[PP]]*'Tablas de informacion'!C$132)+(TabAsistencias[[#This Row],[0]]*'Tablas de informacion'!C$133)+(TabAsistencias[[#This Row],[IG]]*'Tablas de informacion'!C$134)+(TabAsistencias[[#This Row],[NA]]*'Tablas de informacion'!C$135)+(TabAsistencias[[#This Row],[DF]]*'Tablas de informacion'!C$136)+(TabAsistencias[[#This Row],[3]]*'Tablas de informacion'!C$137)+(TabAsistencias[[#This Row],[CP]]*'Tablas de informacion'!C$138)+(TabAsistencias[[#This Row],[I]]*'Tablas de informacion'!C$139)+(TabAsistencias[[#This Row],[T/2]]*'Tablas de informacion'!C$140)+(TabAsistencias[[#This Row],[ME]]*'Tablas de informacion'!C$141)+(TabAsistencias[[#This Row],[DP]]*'Tablas de informacion'!C$142)+(TabAsistencias[[#This Row],[B]]*'Tablas de informacion'!C$143)-INT(TabAsistencias[[#This Row],[R]]/3)</f>
        <v>30</v>
      </c>
      <c r="QJ104" s="74">
        <f>COUNTIFS($C$27:$PN$27,("&lt;"&amp;$B$3),$C$27:$PN$27,("&gt;="&amp;$B$2),$C$28:$PN$28,1,$C104:$PN104,TabAsistencias[[#Headers],[1]])+
COUNTIFS($C$27:$PN$27,("&lt;"&amp;$B$3),$C$27:$PN$27,("&gt;="&amp;$B$2),$C$28:$PN$28,1,$C104:$PN104,TabAsistencias[[#Headers],[DO]])+
COUNTIFS($C$27:$PN$27,("&lt;"&amp;$B$3),$C$27:$PN$27,("&gt;="&amp;$B$2),$C$28:$PN$28,1,$C104:$PN104,TabAsistencias[[#Headers],[R]])+
COUNTIFS($C$27:$PN$27,("&lt;"&amp;$B$3),$C$27:$PN$27,("&gt;="&amp;$B$2),$C$28:$PN$28,1,$C104:$PN104,TabAsistencias[[#Headers],[NA]])+
COUNTIFS($C$27:$PN$27,("&lt;"&amp;$B$3),$C$27:$PN$27,("&gt;="&amp;$B$2),$C$28:$PN$28,1,$C104:$PN104,TabAsistencias[[#Headers],[DF]])+
COUNTIFS($C$27:$PN$27,("&lt;"&amp;$B$3),$C$27:$PN$27,("&gt;="&amp;$B$2),$C$28:$PN$28,1,$C104:$PN104,TabAsistencias[[#Headers],[3]])+
COUNTIFS($C$27:$PN$27,("&lt;"&amp;$B$3),$C$27:$PN$27,("&gt;="&amp;$B$2),$C$28:$PN$28,1,$C104:$PN104,TabAsistencias[[#Headers],[CP]])+
COUNTIFS($C$27:$PN$27,("&lt;"&amp;$B$3),$C$27:$PN$27,("&gt;="&amp;$B$2),$C$28:$PN$28,1,$C104:$PN104,TabAsistencias[[#Headers],[T/2]])</f>
        <v>4</v>
      </c>
      <c r="QK104" s="315" cm="1">
        <f t="array" ref="QK104">IFERROR(VLOOKUP(
DATEDIF((VLOOKUP(TabAsistencias[[#This Row],[ID]],TabEmpleados[],COLUMN(TabEmpleados[Fecha de ingreso]),FALSE)),Asistencias!$B$3,"Y"),
TabFactorIntegracion[],COLUMN(TabFactorIntegracion[Días vacacionales
establecidos por ley]),FALSE),0)
-
COUNTIF($AH104:$PN104,TabAsistencias[[#Headers],[V]])</f>
        <v>12</v>
      </c>
      <c r="QL104" s="319">
        <f>SUM(TabAsistencias[[#This Row],[''1]],TabAsistencias[[#This Row],[''DE]],TabAsistencias[[#This Row],[''DO]],TabAsistencias[[#This Row],[''R]],TabAsistencias[[#This Row],[''NA]],TabAsistencias[[#This Row],[''DF]],TabAsistencias[[#This Row],[''3]],TabAsistencias[[#This Row],[''CP]],TabAsistencias[[#This Row],[''T/2]],TabAsistencias[[#This Row],[''DP]])</f>
        <v>73</v>
      </c>
      <c r="QM104" s="314">
        <f>COUNTIFS($C$27:$PN$27,("&lt;"&amp;$B$5),$C$27:$PN$27,("&gt;="&amp;$B$4),$C104:$PN104,TabAsistencias[[#Headers],[1]])</f>
        <v>73</v>
      </c>
      <c r="QN104" s="314">
        <f>COUNTIFS($C$27:$PN$27,("&lt;"&amp;$B$5),$C$27:$PN$27,("&gt;="&amp;$B$4),$C104:$PN104,TabAsistencias[[#Headers],[DE]])</f>
        <v>0</v>
      </c>
      <c r="QO104" s="314">
        <f>COUNTIFS($C$27:$PN$27,("&lt;"&amp;$B$5),$C$27:$PN$27,("&gt;="&amp;$B$4),$C104:$PN104,TabAsistencias[[#Headers],[V]])</f>
        <v>0</v>
      </c>
      <c r="QP104" s="314">
        <f>COUNTIFS($C$27:$PN$27,("&lt;"&amp;$B$5),$C$27:$PN$27,("&gt;="&amp;$B$4),$C104:$PN104,TabAsistencias[[#Headers],[DO]])</f>
        <v>0</v>
      </c>
      <c r="QQ104" s="314">
        <f>COUNTIFS($C$27:$PN$27,("&lt;"&amp;$B$5),$C$27:$PN$27,("&gt;="&amp;$B$4),$C104:$PN104,TabAsistencias[[#Headers],[P]])</f>
        <v>0</v>
      </c>
      <c r="QR104" s="314">
        <f>COUNTIFS($C$27:$PN$27,("&lt;"&amp;$B$5),$C$27:$PN$27,("&gt;="&amp;$B$4),$C104:$PN104,TabAsistencias[[#Headers],[F]])</f>
        <v>0</v>
      </c>
      <c r="QS104" s="314">
        <f>COUNTIFS($C$27:$PN$27,("&lt;"&amp;$B$5),$C$27:$PN$27,("&gt;="&amp;$B$4),$C104:$PN104,TabAsistencias[[#Headers],[R]])</f>
        <v>0</v>
      </c>
      <c r="QT104" s="314">
        <f>COUNTIFS($C$27:$PN$27,("&lt;"&amp;$B$5),$C$27:$PN$27,("&gt;="&amp;$B$4),$C104:$PN104,TabAsistencias[[#Headers],[PP]])</f>
        <v>0</v>
      </c>
      <c r="QU104" s="314">
        <f>COUNTIFS($C$27:$PN$27,("&lt;"&amp;$B$5),$C$27:$PN$27,("&gt;="&amp;$B$4),$C104:$PN104,TabAsistencias[[#Headers],[0]])</f>
        <v>0</v>
      </c>
      <c r="QV104" s="314">
        <f>COUNTIFS($C$27:$PN$27,("&lt;"&amp;$B$5),$C$27:$PN$27,("&gt;="&amp;$B$4),$C104:$PN104,TabAsistencias[[#Headers],[IG]])</f>
        <v>0</v>
      </c>
      <c r="QW104" s="314">
        <f>COUNTIFS($C$27:$PN$27,("&lt;"&amp;$B$5),$C$27:$PN$27,("&gt;="&amp;$B$4),$C104:$PN104,TabAsistencias[[#Headers],[NA]])</f>
        <v>0</v>
      </c>
      <c r="QX104" s="314">
        <f>COUNTIFS($C$27:$PN$27,("&lt;"&amp;$B$5),$C$27:$PN$27,("&gt;="&amp;$B$4),$C104:$PN104,TabAsistencias[[#Headers],[DF]])</f>
        <v>0</v>
      </c>
      <c r="QY104" s="314">
        <f>COUNTIFS($C$27:$PN$27,("&lt;"&amp;$B$5),$C$27:$PN$27,("&gt;="&amp;$B$4),$C104:$PN104,TabAsistencias[[#Headers],[3]])</f>
        <v>0</v>
      </c>
      <c r="QZ104" s="314">
        <f>COUNTIFS($C$27:$PN$27,("&lt;"&amp;$B$5),$C$27:$PN$27,("&gt;="&amp;$B$4),$C104:$PN104,TabAsistencias[[#Headers],[CP]])</f>
        <v>0</v>
      </c>
      <c r="RA104" s="314">
        <f>COUNTIFS($C$27:$PN$27,("&lt;"&amp;$B$5),$C$27:$PN$27,("&gt;="&amp;$B$4),$C104:$PN104,TabAsistencias[[#Headers],[I]])</f>
        <v>0</v>
      </c>
      <c r="RB104" s="314">
        <f>COUNTIFS($C$27:$PN$27,("&lt;"&amp;$B$5),$C$27:$PN$27,("&gt;="&amp;$B$4),$C104:$PN104,TabAsistencias[[#Headers],[T/2]])</f>
        <v>0</v>
      </c>
      <c r="RC104" s="314">
        <f>COUNTIFS($C$27:$PN$27,("&lt;"&amp;$B$5),$C$27:$PN$27,("&gt;="&amp;$B$4),$C104:$PN104,TabAsistencias[[#Headers],[ME]])</f>
        <v>0</v>
      </c>
      <c r="RD104" s="314">
        <f>COUNTIFS($C$27:$PN$27,("&lt;"&amp;$B$5),$C$27:$PN$27,("&gt;="&amp;$B$4),$C104:$PN104,TabAsistencias[[#Headers],[DP]])</f>
        <v>0</v>
      </c>
      <c r="RE104" s="314">
        <f>COUNTIFS($C$27:$PN$27,("&lt;"&amp;$B$5),$C$27:$PN$27,("&gt;="&amp;$B$4),$C104:$PN104,TabAsistencias[[#Headers],[B]])</f>
        <v>0</v>
      </c>
      <c r="RF104" s="314">
        <f>COUNTIFS($C$27:$PN$27,("&lt;"&amp;$B$5),$C$27:$PN$27,("&gt;="&amp;$B$4),$C$28:$PN$28,1,$C104:$PN104,TabAsistencias[[#Headers],[1]])+
COUNTIFS($C$27:$PN$27,("&lt;"&amp;$B$5),$C$27:$PN$27,("&gt;="&amp;$B$4),$C$28:$PN$28,1,$C104:$PN104,TabAsistencias[[#Headers],[DO]])+
COUNTIFS($C$27:$PN$27,("&lt;"&amp;$B$5),$C$27:$PN$27,("&gt;="&amp;$B$4),$C$28:$PN$28,1,$C104:$PN104,TabAsistencias[[#Headers],[R]])+
COUNTIFS($C$27:$PN$27,("&lt;"&amp;$B$5),$C$27:$PN$27,("&gt;="&amp;$B$4),$C$28:$PN$28,1,$C104:$PN104,TabAsistencias[[#Headers],[NA]])+
COUNTIFS($C$27:$PN$27,("&lt;"&amp;$B$5),$C$27:$PN$27,("&gt;="&amp;$B$4),$C$28:$PN$28,1,$C104:$PN104,TabAsistencias[[#Headers],[DF]])+
COUNTIFS($C$27:$PN$27,("&lt;"&amp;$B$5),$C$27:$PN$27,("&gt;="&amp;$B$4),$C$28:$PN$28,1,$C104:$PN104,TabAsistencias[[#Headers],[3]])+
COUNTIFS($C$27:$PN$27,("&lt;"&amp;$B$5),$C$27:$PN$27,("&gt;="&amp;$B$4),$C$28:$PN$28,1,$C104:$PN104,TabAsistencias[[#Headers],[CP]])+
COUNTIFS($C$27:$PN$27,("&lt;"&amp;$B$5),$C$27:$PN$27,("&gt;="&amp;$B$4),$C$28:$PN$28,1,$C104:$PN104,TabAsistencias[[#Headers],[T/2]])</f>
        <v>11</v>
      </c>
      <c r="RG104" s="320" cm="1">
        <f t="array" ref="RG104">IFERROR(VLOOKUP(
DATEDIF((VLOOKUP(TabAsistencias[[#This Row],[ID]],TabEmpleados[],COLUMN(TabEmpleados[Fecha de alta NSS]),FALSE)),Asistencias!$B$3,"Y"),
TabFactorIntegracion[],COLUMN(TabFactorIntegracion[Días vacacionales
establecidos por ley]),FALSE),0)
-
COUNTIF($AH104:$PN104,TabAsistencias[[#Headers],[V]])</f>
        <v>12</v>
      </c>
    </row>
    <row r="105" spans="1:475" ht="15.75" thickBot="1" x14ac:dyDescent="0.3">
      <c r="A105" s="94">
        <f t="shared" si="435"/>
        <v>75</v>
      </c>
      <c r="B105" s="30" t="str" cm="1">
        <f t="array" ref="B105">VLOOKUP(TabAsistencias[[#This Row],[ID]],TabEmpleados[],COLUMN(TabEmpleados[Nombre]),FALSE)</f>
        <v xml:space="preserve">RUIZ MIJANGOS ISABEL </v>
      </c>
      <c r="C105" s="36" t="s">
        <v>139</v>
      </c>
      <c r="D105" s="36" t="s">
        <v>139</v>
      </c>
      <c r="E105" s="36" t="s">
        <v>139</v>
      </c>
      <c r="F105" s="36" t="s">
        <v>139</v>
      </c>
      <c r="G105" s="36" t="s">
        <v>139</v>
      </c>
      <c r="H105" s="36" t="s">
        <v>139</v>
      </c>
      <c r="I105" s="36" t="s">
        <v>139</v>
      </c>
      <c r="J105" s="36" t="s">
        <v>139</v>
      </c>
      <c r="K105" s="36" t="s">
        <v>139</v>
      </c>
      <c r="L105" s="36" t="s">
        <v>139</v>
      </c>
      <c r="M105" s="36" t="s">
        <v>139</v>
      </c>
      <c r="N105" s="36" t="s">
        <v>139</v>
      </c>
      <c r="O105" s="36" t="s">
        <v>139</v>
      </c>
      <c r="P105" s="36" t="s">
        <v>139</v>
      </c>
      <c r="Q105" s="36" t="s">
        <v>139</v>
      </c>
      <c r="R105" s="36" t="s">
        <v>139</v>
      </c>
      <c r="S105" s="36" t="s">
        <v>139</v>
      </c>
      <c r="T105" s="36" t="s">
        <v>139</v>
      </c>
      <c r="U105" s="36" t="s">
        <v>139</v>
      </c>
      <c r="V105" s="36" t="s">
        <v>139</v>
      </c>
      <c r="W105" s="36" t="s">
        <v>139</v>
      </c>
      <c r="X105" s="36" t="s">
        <v>139</v>
      </c>
      <c r="Y105" s="36" t="s">
        <v>139</v>
      </c>
      <c r="Z105" s="36" t="s">
        <v>139</v>
      </c>
      <c r="AA105" s="36" t="s">
        <v>139</v>
      </c>
      <c r="AB105" s="36" t="s">
        <v>139</v>
      </c>
      <c r="AC105" s="36" t="s">
        <v>139</v>
      </c>
      <c r="AD105" s="36" t="s">
        <v>139</v>
      </c>
      <c r="AE105" s="36" t="s">
        <v>139</v>
      </c>
      <c r="AF105" s="36" t="s">
        <v>139</v>
      </c>
      <c r="AG105" s="36" t="s">
        <v>139</v>
      </c>
      <c r="AH105" s="36" t="s">
        <v>139</v>
      </c>
      <c r="AI105" s="36" t="s">
        <v>139</v>
      </c>
      <c r="AJ105" s="36" t="s">
        <v>139</v>
      </c>
      <c r="AK105" s="36" t="s">
        <v>139</v>
      </c>
      <c r="AL105" s="36" t="s">
        <v>139</v>
      </c>
      <c r="AM105" s="36" t="s">
        <v>139</v>
      </c>
      <c r="AN105" s="36" t="s">
        <v>139</v>
      </c>
      <c r="AO105" s="36" t="s">
        <v>139</v>
      </c>
      <c r="AP105" s="36" t="s">
        <v>139</v>
      </c>
      <c r="AQ105" s="36" t="s">
        <v>139</v>
      </c>
      <c r="AR105" s="36" t="s">
        <v>139</v>
      </c>
      <c r="AS105" s="36" t="s">
        <v>139</v>
      </c>
      <c r="AT105" s="36" t="s">
        <v>139</v>
      </c>
      <c r="AU105" s="36" t="s">
        <v>139</v>
      </c>
      <c r="AV105" s="36" t="s">
        <v>139</v>
      </c>
      <c r="AW105" s="36" t="s">
        <v>139</v>
      </c>
      <c r="AX105" s="36" t="s">
        <v>139</v>
      </c>
      <c r="AY105" s="36" t="s">
        <v>139</v>
      </c>
      <c r="AZ105" s="36" t="s">
        <v>139</v>
      </c>
      <c r="BA105" s="36" t="s">
        <v>139</v>
      </c>
      <c r="BB105" s="36" t="s">
        <v>139</v>
      </c>
      <c r="BC105" s="36" t="s">
        <v>139</v>
      </c>
      <c r="BD105" s="36" t="s">
        <v>139</v>
      </c>
      <c r="BE105" s="36" t="s">
        <v>139</v>
      </c>
      <c r="BF105" s="36" t="s">
        <v>139</v>
      </c>
      <c r="BG105" s="36" t="s">
        <v>139</v>
      </c>
      <c r="BH105" s="36" t="s">
        <v>139</v>
      </c>
      <c r="BI105" s="36" t="s">
        <v>139</v>
      </c>
      <c r="BJ105" s="36" t="s">
        <v>139</v>
      </c>
      <c r="BK105" s="36" t="s">
        <v>139</v>
      </c>
      <c r="BL105" s="36" t="s">
        <v>139</v>
      </c>
      <c r="BM105" s="36" t="s">
        <v>139</v>
      </c>
      <c r="BN105" s="36" t="s">
        <v>139</v>
      </c>
      <c r="BO105" s="36" t="s">
        <v>139</v>
      </c>
      <c r="BP105" s="36" t="s">
        <v>139</v>
      </c>
      <c r="BQ105" s="36" t="s">
        <v>139</v>
      </c>
      <c r="BR105" s="36" t="s">
        <v>139</v>
      </c>
      <c r="BS105" s="36" t="s">
        <v>139</v>
      </c>
      <c r="BT105" s="36" t="s">
        <v>139</v>
      </c>
      <c r="BU105" s="36" t="s">
        <v>139</v>
      </c>
      <c r="BV105" s="36" t="s">
        <v>139</v>
      </c>
      <c r="BW105" s="36" t="s">
        <v>139</v>
      </c>
      <c r="BX105" s="36" t="s">
        <v>139</v>
      </c>
      <c r="BY105" s="36" t="s">
        <v>139</v>
      </c>
      <c r="BZ105" s="36" t="s">
        <v>139</v>
      </c>
      <c r="CA105" s="36" t="s">
        <v>139</v>
      </c>
      <c r="CB105" s="36" t="s">
        <v>139</v>
      </c>
      <c r="CC105" s="36" t="s">
        <v>139</v>
      </c>
      <c r="CD105" s="36" t="s">
        <v>139</v>
      </c>
      <c r="CE105" s="36" t="s">
        <v>139</v>
      </c>
      <c r="CF105" s="36" t="s">
        <v>139</v>
      </c>
      <c r="CG105" s="36" t="s">
        <v>139</v>
      </c>
      <c r="CH105" s="36" t="s">
        <v>139</v>
      </c>
      <c r="CI105" s="36" t="s">
        <v>139</v>
      </c>
      <c r="CJ105" s="36" t="s">
        <v>139</v>
      </c>
      <c r="CK105" s="36" t="s">
        <v>139</v>
      </c>
      <c r="CL105" s="36" t="s">
        <v>139</v>
      </c>
      <c r="CM105" s="36" t="s">
        <v>139</v>
      </c>
      <c r="CN105" s="36" t="s">
        <v>139</v>
      </c>
      <c r="CO105" s="36" t="s">
        <v>139</v>
      </c>
      <c r="CP105" s="36" t="s">
        <v>139</v>
      </c>
      <c r="CQ105" s="36" t="s">
        <v>139</v>
      </c>
      <c r="CR105" s="36" t="s">
        <v>139</v>
      </c>
      <c r="CS105" s="36" t="s">
        <v>139</v>
      </c>
      <c r="CT105" s="36" t="s">
        <v>139</v>
      </c>
      <c r="CU105" s="36" t="s">
        <v>139</v>
      </c>
      <c r="CV105" s="36" t="s">
        <v>139</v>
      </c>
      <c r="CW105" s="36" t="s">
        <v>139</v>
      </c>
      <c r="CX105" s="36" t="s">
        <v>139</v>
      </c>
      <c r="CY105" s="36" t="s">
        <v>139</v>
      </c>
      <c r="CZ105" s="36" t="s">
        <v>139</v>
      </c>
      <c r="DA105" s="36" t="s">
        <v>139</v>
      </c>
      <c r="DB105" s="36" t="s">
        <v>139</v>
      </c>
      <c r="DC105" s="36" t="s">
        <v>139</v>
      </c>
      <c r="DD105" s="36" t="s">
        <v>139</v>
      </c>
      <c r="DE105" s="36" t="s">
        <v>139</v>
      </c>
      <c r="DF105" s="36" t="s">
        <v>139</v>
      </c>
      <c r="DG105" s="36" t="s">
        <v>139</v>
      </c>
      <c r="DH105" s="36" t="s">
        <v>139</v>
      </c>
      <c r="DI105" s="36" t="s">
        <v>139</v>
      </c>
      <c r="DJ105" s="36" t="s">
        <v>139</v>
      </c>
      <c r="DK105" s="36" t="s">
        <v>139</v>
      </c>
      <c r="DL105" s="36" t="s">
        <v>139</v>
      </c>
      <c r="DM105" s="36" t="s">
        <v>139</v>
      </c>
      <c r="DN105" s="36" t="s">
        <v>139</v>
      </c>
      <c r="DO105" s="36" t="s">
        <v>139</v>
      </c>
      <c r="DP105" s="36" t="s">
        <v>139</v>
      </c>
      <c r="DQ105" s="36" t="s">
        <v>139</v>
      </c>
      <c r="DR105" s="36" t="s">
        <v>139</v>
      </c>
      <c r="DS105" s="36" t="s">
        <v>139</v>
      </c>
      <c r="DT105" s="36" t="s">
        <v>139</v>
      </c>
      <c r="DU105" s="36" t="s">
        <v>139</v>
      </c>
      <c r="DV105" s="36" t="s">
        <v>139</v>
      </c>
      <c r="DW105" s="36" t="s">
        <v>139</v>
      </c>
      <c r="DX105" s="36" t="s">
        <v>139</v>
      </c>
      <c r="DY105" s="36" t="s">
        <v>139</v>
      </c>
      <c r="DZ105" s="36" t="s">
        <v>139</v>
      </c>
      <c r="EA105" s="36" t="s">
        <v>139</v>
      </c>
      <c r="EB105" s="36" t="s">
        <v>139</v>
      </c>
      <c r="EC105" s="36" t="s">
        <v>139</v>
      </c>
      <c r="ED105" s="36" t="s">
        <v>139</v>
      </c>
      <c r="EE105" s="36" t="s">
        <v>139</v>
      </c>
      <c r="EF105" s="36" t="s">
        <v>139</v>
      </c>
      <c r="EG105" s="36" t="s">
        <v>139</v>
      </c>
      <c r="EH105" s="36" t="s">
        <v>139</v>
      </c>
      <c r="EI105" s="36" t="s">
        <v>139</v>
      </c>
      <c r="EJ105" s="36" t="s">
        <v>139</v>
      </c>
      <c r="EK105" s="36" t="s">
        <v>139</v>
      </c>
      <c r="EL105" s="36" t="s">
        <v>139</v>
      </c>
      <c r="EM105" s="36" t="s">
        <v>139</v>
      </c>
      <c r="EN105" s="36" t="s">
        <v>139</v>
      </c>
      <c r="EO105" s="36" t="s">
        <v>139</v>
      </c>
      <c r="EP105" s="36" t="s">
        <v>139</v>
      </c>
      <c r="EQ105" s="36" t="s">
        <v>139</v>
      </c>
      <c r="ER105" s="36" t="s">
        <v>139</v>
      </c>
      <c r="ES105" s="36" t="s">
        <v>139</v>
      </c>
      <c r="ET105" s="36" t="s">
        <v>139</v>
      </c>
      <c r="EU105" s="36" t="s">
        <v>139</v>
      </c>
      <c r="EV105" s="36" t="s">
        <v>139</v>
      </c>
      <c r="EW105" s="36" t="s">
        <v>139</v>
      </c>
      <c r="EX105" s="36" t="s">
        <v>139</v>
      </c>
      <c r="EY105" s="36" t="s">
        <v>139</v>
      </c>
      <c r="EZ105" s="36" t="s">
        <v>139</v>
      </c>
      <c r="FA105" s="36" t="s">
        <v>139</v>
      </c>
      <c r="FB105" s="36" t="s">
        <v>139</v>
      </c>
      <c r="FC105" s="36" t="s">
        <v>139</v>
      </c>
      <c r="FD105" s="36" t="s">
        <v>139</v>
      </c>
      <c r="FE105" s="36" t="s">
        <v>139</v>
      </c>
      <c r="FF105" s="36" t="s">
        <v>139</v>
      </c>
      <c r="FG105" s="36" t="s">
        <v>139</v>
      </c>
      <c r="FH105" s="36" t="s">
        <v>139</v>
      </c>
      <c r="FI105" s="36" t="s">
        <v>139</v>
      </c>
      <c r="FJ105" s="36" t="s">
        <v>139</v>
      </c>
      <c r="FK105" s="36" t="s">
        <v>139</v>
      </c>
      <c r="FL105" s="36" t="s">
        <v>139</v>
      </c>
      <c r="FM105" s="36" t="s">
        <v>139</v>
      </c>
      <c r="FN105" s="36" t="s">
        <v>139</v>
      </c>
      <c r="FO105" s="36" t="s">
        <v>139</v>
      </c>
      <c r="FP105" s="36" t="s">
        <v>139</v>
      </c>
      <c r="FQ105" s="36" t="s">
        <v>139</v>
      </c>
      <c r="FR105" s="36" t="s">
        <v>139</v>
      </c>
      <c r="FS105" s="36" t="s">
        <v>139</v>
      </c>
      <c r="FT105" s="36" t="s">
        <v>139</v>
      </c>
      <c r="FU105" s="36" t="s">
        <v>139</v>
      </c>
      <c r="FV105" s="36" t="s">
        <v>139</v>
      </c>
      <c r="FW105" s="36" t="s">
        <v>139</v>
      </c>
      <c r="FX105" s="36" t="s">
        <v>139</v>
      </c>
      <c r="FY105" s="36" t="s">
        <v>139</v>
      </c>
      <c r="FZ105" s="36" t="s">
        <v>139</v>
      </c>
      <c r="GA105" s="36" t="s">
        <v>139</v>
      </c>
      <c r="GB105" s="36" t="s">
        <v>139</v>
      </c>
      <c r="GC105" s="36" t="s">
        <v>139</v>
      </c>
      <c r="GD105" s="36" t="s">
        <v>139</v>
      </c>
      <c r="GE105" s="36" t="s">
        <v>139</v>
      </c>
      <c r="GF105" s="36" t="s">
        <v>139</v>
      </c>
      <c r="GG105" s="36" t="s">
        <v>139</v>
      </c>
      <c r="GH105" s="36" t="s">
        <v>139</v>
      </c>
      <c r="GI105" s="36" t="s">
        <v>139</v>
      </c>
      <c r="GJ105" s="36" t="s">
        <v>139</v>
      </c>
      <c r="GK105" s="36" t="s">
        <v>139</v>
      </c>
      <c r="GL105" s="36" t="s">
        <v>139</v>
      </c>
      <c r="GM105" s="36" t="s">
        <v>139</v>
      </c>
      <c r="GN105" s="36" t="s">
        <v>139</v>
      </c>
      <c r="GO105" s="36" t="s">
        <v>139</v>
      </c>
      <c r="GP105" s="36" t="s">
        <v>139</v>
      </c>
      <c r="GQ105" s="36" t="s">
        <v>139</v>
      </c>
      <c r="GR105" s="36" t="s">
        <v>139</v>
      </c>
      <c r="GS105" s="36" t="s">
        <v>139</v>
      </c>
      <c r="GT105" s="36" t="s">
        <v>139</v>
      </c>
      <c r="GU105" s="36" t="s">
        <v>139</v>
      </c>
      <c r="GV105" s="36" t="s">
        <v>139</v>
      </c>
      <c r="GW105" s="36" t="s">
        <v>139</v>
      </c>
      <c r="GX105" s="36" t="s">
        <v>139</v>
      </c>
      <c r="GY105" s="36" t="s">
        <v>139</v>
      </c>
      <c r="GZ105" s="36" t="s">
        <v>139</v>
      </c>
      <c r="HA105" s="36" t="s">
        <v>139</v>
      </c>
      <c r="HB105" s="36" t="s">
        <v>139</v>
      </c>
      <c r="HC105" s="36" t="s">
        <v>139</v>
      </c>
      <c r="HD105" s="36" t="s">
        <v>139</v>
      </c>
      <c r="HE105" s="36" t="s">
        <v>139</v>
      </c>
      <c r="HF105" s="36" t="s">
        <v>139</v>
      </c>
      <c r="HG105" s="36" t="s">
        <v>139</v>
      </c>
      <c r="HH105" s="36" t="s">
        <v>139</v>
      </c>
      <c r="HI105" s="36" t="s">
        <v>139</v>
      </c>
      <c r="HJ105" s="36" t="s">
        <v>139</v>
      </c>
      <c r="HK105" s="36" t="s">
        <v>139</v>
      </c>
      <c r="HL105" s="36" t="s">
        <v>139</v>
      </c>
      <c r="HM105" s="36" t="s">
        <v>139</v>
      </c>
      <c r="HN105" s="36" t="s">
        <v>139</v>
      </c>
      <c r="HO105" s="36" t="s">
        <v>139</v>
      </c>
      <c r="HP105" s="36" t="s">
        <v>139</v>
      </c>
      <c r="HQ105" s="36" t="s">
        <v>139</v>
      </c>
      <c r="HR105" s="36" t="s">
        <v>139</v>
      </c>
      <c r="HS105" s="36" t="s">
        <v>139</v>
      </c>
      <c r="HT105" s="36" t="s">
        <v>139</v>
      </c>
      <c r="HU105" s="36" t="s">
        <v>139</v>
      </c>
      <c r="HV105" s="36" t="s">
        <v>139</v>
      </c>
      <c r="HW105" s="36" t="s">
        <v>139</v>
      </c>
      <c r="HX105" s="36" t="s">
        <v>139</v>
      </c>
      <c r="HY105" s="36" t="s">
        <v>139</v>
      </c>
      <c r="HZ105" s="36" t="s">
        <v>139</v>
      </c>
      <c r="IA105" s="36" t="s">
        <v>139</v>
      </c>
      <c r="IB105" s="36" t="s">
        <v>139</v>
      </c>
      <c r="IC105" s="36" t="s">
        <v>139</v>
      </c>
      <c r="ID105" s="36" t="s">
        <v>139</v>
      </c>
      <c r="IE105" s="36" t="s">
        <v>139</v>
      </c>
      <c r="IF105" s="36" t="s">
        <v>139</v>
      </c>
      <c r="IG105" s="36" t="s">
        <v>139</v>
      </c>
      <c r="IH105" s="36" t="s">
        <v>139</v>
      </c>
      <c r="II105" s="36" t="s">
        <v>139</v>
      </c>
      <c r="IJ105" s="36" t="s">
        <v>139</v>
      </c>
      <c r="IK105" s="36" t="s">
        <v>139</v>
      </c>
      <c r="IL105" s="36" t="s">
        <v>139</v>
      </c>
      <c r="IM105" s="36" t="s">
        <v>139</v>
      </c>
      <c r="IN105" s="36" t="s">
        <v>139</v>
      </c>
      <c r="IO105" s="36" t="s">
        <v>139</v>
      </c>
      <c r="IP105" s="36" t="s">
        <v>139</v>
      </c>
      <c r="IQ105" s="36" t="s">
        <v>139</v>
      </c>
      <c r="IR105" s="36" t="s">
        <v>139</v>
      </c>
      <c r="IS105" s="36" t="s">
        <v>139</v>
      </c>
      <c r="IT105" s="36" t="s">
        <v>139</v>
      </c>
      <c r="IU105" s="36" t="s">
        <v>139</v>
      </c>
      <c r="IV105" s="36" t="s">
        <v>139</v>
      </c>
      <c r="IW105" s="36" t="s">
        <v>139</v>
      </c>
      <c r="IX105" s="36" t="s">
        <v>139</v>
      </c>
      <c r="IY105" s="36" t="s">
        <v>139</v>
      </c>
      <c r="IZ105" s="36" t="s">
        <v>139</v>
      </c>
      <c r="JA105" s="36" t="s">
        <v>139</v>
      </c>
      <c r="JB105" s="36" t="s">
        <v>139</v>
      </c>
      <c r="JC105" s="36" t="s">
        <v>139</v>
      </c>
      <c r="JD105" s="36" t="s">
        <v>139</v>
      </c>
      <c r="JE105" s="36" t="s">
        <v>139</v>
      </c>
      <c r="JF105" s="36" t="s">
        <v>139</v>
      </c>
      <c r="JG105" s="36" t="s">
        <v>139</v>
      </c>
      <c r="JH105" s="36" t="s">
        <v>139</v>
      </c>
      <c r="JI105" s="36" t="s">
        <v>139</v>
      </c>
      <c r="JJ105" s="36" t="s">
        <v>139</v>
      </c>
      <c r="JK105" s="36" t="s">
        <v>139</v>
      </c>
      <c r="JL105" s="36" t="s">
        <v>139</v>
      </c>
      <c r="JM105" s="36" t="s">
        <v>139</v>
      </c>
      <c r="JN105" s="36" t="s">
        <v>139</v>
      </c>
      <c r="JO105" s="36" t="s">
        <v>139</v>
      </c>
      <c r="JP105" s="36" t="s">
        <v>139</v>
      </c>
      <c r="JQ105" s="36" t="s">
        <v>139</v>
      </c>
      <c r="JR105" s="36" t="s">
        <v>139</v>
      </c>
      <c r="JS105" s="36" t="s">
        <v>139</v>
      </c>
      <c r="JT105" s="36" t="s">
        <v>139</v>
      </c>
      <c r="JU105" s="36" t="s">
        <v>139</v>
      </c>
      <c r="JV105" s="36" t="s">
        <v>139</v>
      </c>
      <c r="JW105" s="36" t="s">
        <v>139</v>
      </c>
      <c r="JX105" s="36" t="s">
        <v>139</v>
      </c>
      <c r="JY105" s="36" t="s">
        <v>139</v>
      </c>
      <c r="JZ105" s="36" t="s">
        <v>139</v>
      </c>
      <c r="KA105" s="36" t="s">
        <v>139</v>
      </c>
      <c r="KB105" s="36" t="s">
        <v>139</v>
      </c>
      <c r="KC105" s="36" t="s">
        <v>139</v>
      </c>
      <c r="KD105" s="36" t="s">
        <v>139</v>
      </c>
      <c r="KE105" s="36" t="s">
        <v>139</v>
      </c>
      <c r="KF105" s="36" t="s">
        <v>139</v>
      </c>
      <c r="KG105" s="36" t="s">
        <v>139</v>
      </c>
      <c r="KH105" s="36" t="s">
        <v>139</v>
      </c>
      <c r="KI105" s="36" t="s">
        <v>139</v>
      </c>
      <c r="KJ105" s="36" t="s">
        <v>139</v>
      </c>
      <c r="KK105" s="36" t="s">
        <v>139</v>
      </c>
      <c r="KL105" s="36" t="s">
        <v>139</v>
      </c>
      <c r="KM105" s="36" t="s">
        <v>139</v>
      </c>
      <c r="KN105" s="36" t="s">
        <v>139</v>
      </c>
      <c r="KO105" s="36" t="s">
        <v>139</v>
      </c>
      <c r="KP105" s="36" t="s">
        <v>139</v>
      </c>
      <c r="KQ105" s="36" t="s">
        <v>139</v>
      </c>
      <c r="KR105" s="36" t="s">
        <v>139</v>
      </c>
      <c r="KS105" s="36" t="s">
        <v>139</v>
      </c>
      <c r="KT105" s="36" t="s">
        <v>139</v>
      </c>
      <c r="KU105" s="36" t="s">
        <v>139</v>
      </c>
      <c r="KV105" s="36" t="s">
        <v>139</v>
      </c>
      <c r="KW105" s="36" t="s">
        <v>139</v>
      </c>
      <c r="KX105" s="36" t="s">
        <v>139</v>
      </c>
      <c r="KY105" s="36" t="s">
        <v>139</v>
      </c>
      <c r="KZ105" s="36" t="s">
        <v>139</v>
      </c>
      <c r="LA105" s="36" t="s">
        <v>139</v>
      </c>
      <c r="LB105" s="36" t="s">
        <v>139</v>
      </c>
      <c r="LC105" s="36" t="s">
        <v>139</v>
      </c>
      <c r="LD105" s="36" t="s">
        <v>139</v>
      </c>
      <c r="LE105" s="36" t="s">
        <v>139</v>
      </c>
      <c r="LF105" s="36" t="s">
        <v>139</v>
      </c>
      <c r="LG105" s="36" t="s">
        <v>139</v>
      </c>
      <c r="LH105" s="36" t="s">
        <v>139</v>
      </c>
      <c r="LI105" s="36" t="s">
        <v>139</v>
      </c>
      <c r="LJ105" s="36" t="s">
        <v>139</v>
      </c>
      <c r="LK105" s="36" t="s">
        <v>139</v>
      </c>
      <c r="LL105" s="36" t="s">
        <v>139</v>
      </c>
      <c r="LM105" s="36" t="s">
        <v>139</v>
      </c>
      <c r="LN105" s="36" t="s">
        <v>139</v>
      </c>
      <c r="LO105" s="36" t="s">
        <v>139</v>
      </c>
      <c r="LP105" s="36" t="s">
        <v>139</v>
      </c>
      <c r="LQ105" s="36" t="s">
        <v>139</v>
      </c>
      <c r="LR105" s="36" t="s">
        <v>139</v>
      </c>
      <c r="LS105" s="36" t="s">
        <v>139</v>
      </c>
      <c r="LT105" s="36" t="s">
        <v>139</v>
      </c>
      <c r="LU105" s="36" t="s">
        <v>139</v>
      </c>
      <c r="LV105" s="36" t="s">
        <v>139</v>
      </c>
      <c r="LW105" s="36" t="s">
        <v>139</v>
      </c>
      <c r="LX105" s="36" t="s">
        <v>139</v>
      </c>
      <c r="LY105" s="36" t="s">
        <v>139</v>
      </c>
      <c r="LZ105" s="36" t="s">
        <v>139</v>
      </c>
      <c r="MA105" s="36" t="s">
        <v>139</v>
      </c>
      <c r="MB105" s="36" t="s">
        <v>139</v>
      </c>
      <c r="MC105" s="36" t="s">
        <v>139</v>
      </c>
      <c r="MD105" s="36" t="s">
        <v>139</v>
      </c>
      <c r="ME105" s="36" t="s">
        <v>139</v>
      </c>
      <c r="MF105" s="36" t="s">
        <v>139</v>
      </c>
      <c r="MG105" s="36" t="s">
        <v>139</v>
      </c>
      <c r="MH105" s="36" t="s">
        <v>139</v>
      </c>
      <c r="MI105" s="36" t="s">
        <v>139</v>
      </c>
      <c r="MJ105" s="36" t="s">
        <v>139</v>
      </c>
      <c r="MK105" s="36" t="s">
        <v>139</v>
      </c>
      <c r="ML105" s="36" t="s">
        <v>139</v>
      </c>
      <c r="MM105" s="36" t="s">
        <v>139</v>
      </c>
      <c r="MN105" s="36" t="s">
        <v>139</v>
      </c>
      <c r="MO105" s="36" t="s">
        <v>139</v>
      </c>
      <c r="MP105" s="36" t="s">
        <v>139</v>
      </c>
      <c r="MQ105" s="36" t="s">
        <v>139</v>
      </c>
      <c r="MR105" s="36" t="s">
        <v>139</v>
      </c>
      <c r="MS105" s="36" t="s">
        <v>139</v>
      </c>
      <c r="MT105" s="36" t="s">
        <v>139</v>
      </c>
      <c r="MU105" s="36" t="s">
        <v>139</v>
      </c>
      <c r="MV105" s="36" t="s">
        <v>139</v>
      </c>
      <c r="MW105" s="36" t="s">
        <v>139</v>
      </c>
      <c r="MX105" s="36" t="s">
        <v>139</v>
      </c>
      <c r="MY105" s="36" t="s">
        <v>139</v>
      </c>
      <c r="MZ105" s="36" t="s">
        <v>139</v>
      </c>
      <c r="NA105" s="36" t="s">
        <v>139</v>
      </c>
      <c r="NB105" s="36" t="s">
        <v>139</v>
      </c>
      <c r="NC105" s="36" t="s">
        <v>139</v>
      </c>
      <c r="ND105" s="36" t="s">
        <v>139</v>
      </c>
      <c r="NE105" s="36" t="s">
        <v>139</v>
      </c>
      <c r="NF105" s="36" t="s">
        <v>139</v>
      </c>
      <c r="NG105" s="36" t="s">
        <v>139</v>
      </c>
      <c r="NH105" s="36" t="s">
        <v>139</v>
      </c>
      <c r="NI105" s="36" t="s">
        <v>139</v>
      </c>
      <c r="NJ105" s="36" t="s">
        <v>139</v>
      </c>
      <c r="NK105" s="36" t="s">
        <v>139</v>
      </c>
      <c r="NL105" s="36" t="s">
        <v>139</v>
      </c>
      <c r="NM105" s="36" t="s">
        <v>139</v>
      </c>
      <c r="NN105" s="36" t="s">
        <v>139</v>
      </c>
      <c r="NO105" s="36" t="s">
        <v>139</v>
      </c>
      <c r="NP105" s="36" t="s">
        <v>139</v>
      </c>
      <c r="NQ105" s="36" t="s">
        <v>139</v>
      </c>
      <c r="NR105" s="36" t="s">
        <v>139</v>
      </c>
      <c r="NS105" s="36" t="s">
        <v>139</v>
      </c>
      <c r="NT105" s="36" t="s">
        <v>139</v>
      </c>
      <c r="NU105" s="36" t="s">
        <v>139</v>
      </c>
      <c r="NV105" s="36" t="s">
        <v>139</v>
      </c>
      <c r="NW105" s="36" t="s">
        <v>139</v>
      </c>
      <c r="NX105" s="36" t="s">
        <v>139</v>
      </c>
      <c r="NY105" s="36" t="s">
        <v>139</v>
      </c>
      <c r="NZ105" s="36" t="s">
        <v>139</v>
      </c>
      <c r="OA105" s="36" t="s">
        <v>139</v>
      </c>
      <c r="OB105" s="36" t="s">
        <v>139</v>
      </c>
      <c r="OC105" s="36" t="s">
        <v>139</v>
      </c>
      <c r="OD105" s="36" t="s">
        <v>139</v>
      </c>
      <c r="OE105" s="36" t="s">
        <v>139</v>
      </c>
      <c r="OF105" s="36" t="s">
        <v>139</v>
      </c>
      <c r="OG105" s="36" t="s">
        <v>139</v>
      </c>
      <c r="OH105" s="36" t="s">
        <v>139</v>
      </c>
      <c r="OI105" s="36" t="s">
        <v>139</v>
      </c>
      <c r="OJ105" s="36" t="s">
        <v>139</v>
      </c>
      <c r="OK105" s="36" t="s">
        <v>139</v>
      </c>
      <c r="OL105" s="36" t="s">
        <v>139</v>
      </c>
      <c r="OM105" s="36" t="s">
        <v>139</v>
      </c>
      <c r="ON105" s="36" t="s">
        <v>139</v>
      </c>
      <c r="OO105" s="36" t="s">
        <v>139</v>
      </c>
      <c r="OP105" s="36" t="s">
        <v>139</v>
      </c>
      <c r="OQ105" s="36" t="s">
        <v>139</v>
      </c>
      <c r="OR105" s="36" t="s">
        <v>139</v>
      </c>
      <c r="OS105" s="36" t="s">
        <v>139</v>
      </c>
      <c r="OT105" s="36" t="s">
        <v>139</v>
      </c>
      <c r="OU105" s="36" t="s">
        <v>139</v>
      </c>
      <c r="OV105" s="36" t="s">
        <v>139</v>
      </c>
      <c r="OW105" s="36" t="s">
        <v>139</v>
      </c>
      <c r="OX105" s="36" t="s">
        <v>139</v>
      </c>
      <c r="OY105" s="36" t="s">
        <v>139</v>
      </c>
      <c r="OZ105" s="36" t="s">
        <v>139</v>
      </c>
      <c r="PA105" s="36" t="s">
        <v>139</v>
      </c>
      <c r="PB105" s="36" t="s">
        <v>139</v>
      </c>
      <c r="PC105" s="36" t="s">
        <v>139</v>
      </c>
      <c r="PD105" s="36" t="s">
        <v>139</v>
      </c>
      <c r="PE105" s="36" t="s">
        <v>139</v>
      </c>
      <c r="PF105" s="36" t="s">
        <v>139</v>
      </c>
      <c r="PG105" s="36" t="s">
        <v>139</v>
      </c>
      <c r="PH105" s="36" t="s">
        <v>139</v>
      </c>
      <c r="PI105" s="36" t="s">
        <v>139</v>
      </c>
      <c r="PJ105" s="36" t="s">
        <v>139</v>
      </c>
      <c r="PK105" s="36" t="s">
        <v>139</v>
      </c>
      <c r="PL105" s="36" t="s">
        <v>139</v>
      </c>
      <c r="PM105" s="36" t="s">
        <v>139</v>
      </c>
      <c r="PN105" s="36" t="s">
        <v>139</v>
      </c>
      <c r="PO105" s="74">
        <f>COUNTIFS($C$27:$PN$27,("&lt;"&amp;$B$3),$C$27:$PN$27,("&gt;="&amp;$B$2),$C105:$PN105,TabAsistencias[[#Headers],[1]])</f>
        <v>30</v>
      </c>
      <c r="PP105" s="74">
        <f>COUNTIFS($C$27:$PN$27,("&lt;"&amp;$B$3),$C$27:$PN$27,("&gt;="&amp;$B$2),$C105:$PN105,TabAsistencias[[#Headers],[E]])</f>
        <v>0</v>
      </c>
      <c r="PQ105" s="74">
        <f>COUNTIFS($C$27:$PN$27,("&lt;"&amp;$B$3),$C$27:$PN$27,("&gt;="&amp;$B$2),$C105:$PN105,TabAsistencias[[#Headers],[DE]])</f>
        <v>0</v>
      </c>
      <c r="PR105" s="74">
        <f>COUNTIFS($C$27:$PN$27,("&lt;"&amp;$B$3),$C$27:$PN$27,("&gt;="&amp;$B$2),$C105:$PN105,TabAsistencias[[#Headers],[V]])</f>
        <v>0</v>
      </c>
      <c r="PS105" s="74">
        <f>COUNTIFS($C$27:$PN$27,("&lt;"&amp;$B$3),$C$27:$PN$27,("&gt;="&amp;$B$2),$C105:$PN105,TabAsistencias[[#Headers],[DO]])</f>
        <v>0</v>
      </c>
      <c r="PT105" s="74">
        <f>COUNTIFS($C$27:$PN$27,("&lt;"&amp;$B$3),$C$27:$PN$27,("&gt;="&amp;$B$2),$C105:$PN105,TabAsistencias[[#Headers],[P]])</f>
        <v>0</v>
      </c>
      <c r="PU105" s="74">
        <f>COUNTIFS($C$27:$PN$27,("&lt;"&amp;$B$3),$C$27:$PN$27,("&gt;="&amp;$B$2),$C105:$PN105,TabAsistencias[[#Headers],[F]])</f>
        <v>0</v>
      </c>
      <c r="PV105" s="74">
        <f>COUNTIFS($C$27:$PN$27,("&lt;"&amp;$B$3),$C$27:$PN$27,("&gt;="&amp;$B$2),$C105:$PN105,TabAsistencias[[#Headers],[R]])</f>
        <v>0</v>
      </c>
      <c r="PW105" s="74">
        <f>COUNTIFS($C$27:$PN$27,("&lt;"&amp;$B$3),$C$27:$PN$27,("&gt;="&amp;$B$2),$C105:$PN105,TabAsistencias[[#Headers],[PP]])</f>
        <v>0</v>
      </c>
      <c r="PX105" s="74">
        <f>COUNTIFS($C$27:$PN$27,("&lt;"&amp;$B$3),$C$27:$PN$27,("&gt;="&amp;$B$2),$C105:$PN105,TabAsistencias[[#Headers],[0]])</f>
        <v>0</v>
      </c>
      <c r="PY105" s="74">
        <f>COUNTIFS($C$27:$PN$27,("&lt;"&amp;$B$3),$C$27:$PN$27,("&gt;="&amp;$B$2),$C105:$PN105,TabAsistencias[[#Headers],[IG]])</f>
        <v>0</v>
      </c>
      <c r="PZ105" s="74">
        <f>COUNTIFS($C$27:$PN$27,("&lt;"&amp;$B$3),$C$27:$PN$27,("&gt;="&amp;$B$2),$C105:$PN105,TabAsistencias[[#Headers],[NA]])</f>
        <v>0</v>
      </c>
      <c r="QA105" s="74">
        <f>COUNTIFS($C$27:$PN$27,("&lt;"&amp;$B$3),$C$27:$PN$27,("&gt;="&amp;$B$2),$C105:$PN105,TabAsistencias[[#Headers],[DF]])</f>
        <v>0</v>
      </c>
      <c r="QB105" s="74">
        <f>COUNTIFS($C$27:$PN$27,("&lt;"&amp;$B$3),$C$27:$PN$27,("&gt;="&amp;$B$2),$C105:$PN105,TabAsistencias[[#Headers],[3]])</f>
        <v>0</v>
      </c>
      <c r="QC105" s="74">
        <f>COUNTIFS($C$27:$PN$27,("&lt;"&amp;$B$3),$C$27:$PN$27,("&gt;="&amp;$B$2),$C105:$PN105,TabAsistencias[[#Headers],[CP]])</f>
        <v>0</v>
      </c>
      <c r="QD105" s="74">
        <f>COUNTIFS($C$27:$PN$27,("&lt;"&amp;$B$3),$C$27:$PN$27,("&gt;="&amp;$B$2),$C105:$PN105,TabAsistencias[[#Headers],[I]])</f>
        <v>0</v>
      </c>
      <c r="QE105" s="74">
        <f>COUNTIFS($C$27:$PN$27,("&lt;"&amp;$B$3),$C$27:$PN$27,("&gt;="&amp;$B$2),$C105:$PN105,TabAsistencias[[#Headers],[T/2]])</f>
        <v>0</v>
      </c>
      <c r="QF105" s="74">
        <f>COUNTIFS($C$27:$PN$27,("&lt;"&amp;$B$3),$C$27:$PN$27,("&gt;="&amp;$B$2),$C105:$PN105,TabAsistencias[[#Headers],[ME]])</f>
        <v>0</v>
      </c>
      <c r="QG105" s="74">
        <f>COUNTIFS($C$27:$PN$27,("&lt;"&amp;$B$3),$C$27:$PN$27,("&gt;="&amp;$B$2),$C105:$PN105,TabAsistencias[[#Headers],[DP]])</f>
        <v>0</v>
      </c>
      <c r="QH105" s="74">
        <f>COUNTIFS($C$27:$PN$27,("&lt;"&amp;$B$3),$C$27:$PN$27,("&gt;="&amp;$B$2),$C105:$PN105,TabAsistencias[[#Headers],[B]])</f>
        <v>0</v>
      </c>
      <c r="QI105" s="74">
        <f>(TabAsistencias[[#This Row],[1]]*'Tablas de informacion'!$C$124)+(TabAsistencias[[#This Row],[E]]*'Tablas de informacion'!$C$125)+(TabAsistencias[[#This Row],[DE]]*'Tablas de informacion'!C$126)+(TabAsistencias[[#This Row],[V]]*'Tablas de informacion'!C$127)+(TabAsistencias[[#This Row],[DO]]*'Tablas de informacion'!C$128)+(TabAsistencias[[#This Row],[P]]*'Tablas de informacion'!C$129)+(TabAsistencias[[#This Row],[F]]*'Tablas de informacion'!C$130)+(TabAsistencias[[#This Row],[R]]*'Tablas de informacion'!C$131)+(TabAsistencias[[#This Row],[PP]]*'Tablas de informacion'!C$132)+(TabAsistencias[[#This Row],[0]]*'Tablas de informacion'!C$133)+(TabAsistencias[[#This Row],[IG]]*'Tablas de informacion'!C$134)+(TabAsistencias[[#This Row],[NA]]*'Tablas de informacion'!C$135)+(TabAsistencias[[#This Row],[DF]]*'Tablas de informacion'!C$136)+(TabAsistencias[[#This Row],[3]]*'Tablas de informacion'!C$137)+(TabAsistencias[[#This Row],[CP]]*'Tablas de informacion'!C$138)+(TabAsistencias[[#This Row],[I]]*'Tablas de informacion'!C$139)+(TabAsistencias[[#This Row],[T/2]]*'Tablas de informacion'!C$140)+(TabAsistencias[[#This Row],[ME]]*'Tablas de informacion'!C$141)+(TabAsistencias[[#This Row],[DP]]*'Tablas de informacion'!C$142)+(TabAsistencias[[#This Row],[B]]*'Tablas de informacion'!C$143)-INT(TabAsistencias[[#This Row],[R]]/3)</f>
        <v>30</v>
      </c>
      <c r="QJ105" s="74">
        <f>COUNTIFS($C$27:$PN$27,("&lt;"&amp;$B$3),$C$27:$PN$27,("&gt;="&amp;$B$2),$C$28:$PN$28,1,$C105:$PN105,TabAsistencias[[#Headers],[1]])+
COUNTIFS($C$27:$PN$27,("&lt;"&amp;$B$3),$C$27:$PN$27,("&gt;="&amp;$B$2),$C$28:$PN$28,1,$C105:$PN105,TabAsistencias[[#Headers],[DO]])+
COUNTIFS($C$27:$PN$27,("&lt;"&amp;$B$3),$C$27:$PN$27,("&gt;="&amp;$B$2),$C$28:$PN$28,1,$C105:$PN105,TabAsistencias[[#Headers],[R]])+
COUNTIFS($C$27:$PN$27,("&lt;"&amp;$B$3),$C$27:$PN$27,("&gt;="&amp;$B$2),$C$28:$PN$28,1,$C105:$PN105,TabAsistencias[[#Headers],[NA]])+
COUNTIFS($C$27:$PN$27,("&lt;"&amp;$B$3),$C$27:$PN$27,("&gt;="&amp;$B$2),$C$28:$PN$28,1,$C105:$PN105,TabAsistencias[[#Headers],[DF]])+
COUNTIFS($C$27:$PN$27,("&lt;"&amp;$B$3),$C$27:$PN$27,("&gt;="&amp;$B$2),$C$28:$PN$28,1,$C105:$PN105,TabAsistencias[[#Headers],[3]])+
COUNTIFS($C$27:$PN$27,("&lt;"&amp;$B$3),$C$27:$PN$27,("&gt;="&amp;$B$2),$C$28:$PN$28,1,$C105:$PN105,TabAsistencias[[#Headers],[CP]])+
COUNTIFS($C$27:$PN$27,("&lt;"&amp;$B$3),$C$27:$PN$27,("&gt;="&amp;$B$2),$C$28:$PN$28,1,$C105:$PN105,TabAsistencias[[#Headers],[T/2]])</f>
        <v>4</v>
      </c>
      <c r="QK105" s="315" cm="1">
        <f t="array" ref="QK105">IFERROR(VLOOKUP(
DATEDIF((VLOOKUP(TabAsistencias[[#This Row],[ID]],TabEmpleados[],COLUMN(TabEmpleados[Fecha de ingreso]),FALSE)),Asistencias!$B$3,"Y"),
TabFactorIntegracion[],COLUMN(TabFactorIntegracion[Días vacacionales
establecidos por ley]),FALSE),0)
-
COUNTIF($AH105:$PN105,TabAsistencias[[#Headers],[V]])</f>
        <v>0</v>
      </c>
      <c r="QL105" s="321">
        <f>SUM(TabAsistencias[[#This Row],[''1]],TabAsistencias[[#This Row],[''DE]],TabAsistencias[[#This Row],[''DO]],TabAsistencias[[#This Row],[''R]],TabAsistencias[[#This Row],[''NA]],TabAsistencias[[#This Row],[''DF]],TabAsistencias[[#This Row],[''3]],TabAsistencias[[#This Row],[''CP]],TabAsistencias[[#This Row],[''T/2]],TabAsistencias[[#This Row],[''DP]])</f>
        <v>73</v>
      </c>
      <c r="QM105" s="322">
        <f>COUNTIFS($C$27:$PN$27,("&lt;"&amp;$B$5),$C$27:$PN$27,("&gt;="&amp;$B$4),$C105:$PN105,TabAsistencias[[#Headers],[1]])</f>
        <v>73</v>
      </c>
      <c r="QN105" s="322">
        <f>COUNTIFS($C$27:$PN$27,("&lt;"&amp;$B$5),$C$27:$PN$27,("&gt;="&amp;$B$4),$C105:$PN105,TabAsistencias[[#Headers],[DE]])</f>
        <v>0</v>
      </c>
      <c r="QO105" s="322">
        <f>COUNTIFS($C$27:$PN$27,("&lt;"&amp;$B$5),$C$27:$PN$27,("&gt;="&amp;$B$4),$C105:$PN105,TabAsistencias[[#Headers],[V]])</f>
        <v>0</v>
      </c>
      <c r="QP105" s="322">
        <f>COUNTIFS($C$27:$PN$27,("&lt;"&amp;$B$5),$C$27:$PN$27,("&gt;="&amp;$B$4),$C105:$PN105,TabAsistencias[[#Headers],[DO]])</f>
        <v>0</v>
      </c>
      <c r="QQ105" s="322">
        <f>COUNTIFS($C$27:$PN$27,("&lt;"&amp;$B$5),$C$27:$PN$27,("&gt;="&amp;$B$4),$C105:$PN105,TabAsistencias[[#Headers],[P]])</f>
        <v>0</v>
      </c>
      <c r="QR105" s="322">
        <f>COUNTIFS($C$27:$PN$27,("&lt;"&amp;$B$5),$C$27:$PN$27,("&gt;="&amp;$B$4),$C105:$PN105,TabAsistencias[[#Headers],[F]])</f>
        <v>0</v>
      </c>
      <c r="QS105" s="322">
        <f>COUNTIFS($C$27:$PN$27,("&lt;"&amp;$B$5),$C$27:$PN$27,("&gt;="&amp;$B$4),$C105:$PN105,TabAsistencias[[#Headers],[R]])</f>
        <v>0</v>
      </c>
      <c r="QT105" s="322">
        <f>COUNTIFS($C$27:$PN$27,("&lt;"&amp;$B$5),$C$27:$PN$27,("&gt;="&amp;$B$4),$C105:$PN105,TabAsistencias[[#Headers],[PP]])</f>
        <v>0</v>
      </c>
      <c r="QU105" s="322">
        <f>COUNTIFS($C$27:$PN$27,("&lt;"&amp;$B$5),$C$27:$PN$27,("&gt;="&amp;$B$4),$C105:$PN105,TabAsistencias[[#Headers],[0]])</f>
        <v>0</v>
      </c>
      <c r="QV105" s="322">
        <f>COUNTIFS($C$27:$PN$27,("&lt;"&amp;$B$5),$C$27:$PN$27,("&gt;="&amp;$B$4),$C105:$PN105,TabAsistencias[[#Headers],[IG]])</f>
        <v>0</v>
      </c>
      <c r="QW105" s="322">
        <f>COUNTIFS($C$27:$PN$27,("&lt;"&amp;$B$5),$C$27:$PN$27,("&gt;="&amp;$B$4),$C105:$PN105,TabAsistencias[[#Headers],[NA]])</f>
        <v>0</v>
      </c>
      <c r="QX105" s="322">
        <f>COUNTIFS($C$27:$PN$27,("&lt;"&amp;$B$5),$C$27:$PN$27,("&gt;="&amp;$B$4),$C105:$PN105,TabAsistencias[[#Headers],[DF]])</f>
        <v>0</v>
      </c>
      <c r="QY105" s="322">
        <f>COUNTIFS($C$27:$PN$27,("&lt;"&amp;$B$5),$C$27:$PN$27,("&gt;="&amp;$B$4),$C105:$PN105,TabAsistencias[[#Headers],[3]])</f>
        <v>0</v>
      </c>
      <c r="QZ105" s="322">
        <f>COUNTIFS($C$27:$PN$27,("&lt;"&amp;$B$5),$C$27:$PN$27,("&gt;="&amp;$B$4),$C105:$PN105,TabAsistencias[[#Headers],[CP]])</f>
        <v>0</v>
      </c>
      <c r="RA105" s="322">
        <f>COUNTIFS($C$27:$PN$27,("&lt;"&amp;$B$5),$C$27:$PN$27,("&gt;="&amp;$B$4),$C105:$PN105,TabAsistencias[[#Headers],[I]])</f>
        <v>0</v>
      </c>
      <c r="RB105" s="322">
        <f>COUNTIFS($C$27:$PN$27,("&lt;"&amp;$B$5),$C$27:$PN$27,("&gt;="&amp;$B$4),$C105:$PN105,TabAsistencias[[#Headers],[T/2]])</f>
        <v>0</v>
      </c>
      <c r="RC105" s="322">
        <f>COUNTIFS($C$27:$PN$27,("&lt;"&amp;$B$5),$C$27:$PN$27,("&gt;="&amp;$B$4),$C105:$PN105,TabAsistencias[[#Headers],[ME]])</f>
        <v>0</v>
      </c>
      <c r="RD105" s="322">
        <f>COUNTIFS($C$27:$PN$27,("&lt;"&amp;$B$5),$C$27:$PN$27,("&gt;="&amp;$B$4),$C105:$PN105,TabAsistencias[[#Headers],[DP]])</f>
        <v>0</v>
      </c>
      <c r="RE105" s="322">
        <f>COUNTIFS($C$27:$PN$27,("&lt;"&amp;$B$5),$C$27:$PN$27,("&gt;="&amp;$B$4),$C105:$PN105,TabAsistencias[[#Headers],[B]])</f>
        <v>0</v>
      </c>
      <c r="RF105" s="322">
        <f>COUNTIFS($C$27:$PN$27,("&lt;"&amp;$B$5),$C$27:$PN$27,("&gt;="&amp;$B$4),$C$28:$PN$28,1,$C105:$PN105,TabAsistencias[[#Headers],[1]])+
COUNTIFS($C$27:$PN$27,("&lt;"&amp;$B$5),$C$27:$PN$27,("&gt;="&amp;$B$4),$C$28:$PN$28,1,$C105:$PN105,TabAsistencias[[#Headers],[DO]])+
COUNTIFS($C$27:$PN$27,("&lt;"&amp;$B$5),$C$27:$PN$27,("&gt;="&amp;$B$4),$C$28:$PN$28,1,$C105:$PN105,TabAsistencias[[#Headers],[R]])+
COUNTIFS($C$27:$PN$27,("&lt;"&amp;$B$5),$C$27:$PN$27,("&gt;="&amp;$B$4),$C$28:$PN$28,1,$C105:$PN105,TabAsistencias[[#Headers],[NA]])+
COUNTIFS($C$27:$PN$27,("&lt;"&amp;$B$5),$C$27:$PN$27,("&gt;="&amp;$B$4),$C$28:$PN$28,1,$C105:$PN105,TabAsistencias[[#Headers],[DF]])+
COUNTIFS($C$27:$PN$27,("&lt;"&amp;$B$5),$C$27:$PN$27,("&gt;="&amp;$B$4),$C$28:$PN$28,1,$C105:$PN105,TabAsistencias[[#Headers],[3]])+
COUNTIFS($C$27:$PN$27,("&lt;"&amp;$B$5),$C$27:$PN$27,("&gt;="&amp;$B$4),$C$28:$PN$28,1,$C105:$PN105,TabAsistencias[[#Headers],[CP]])+
COUNTIFS($C$27:$PN$27,("&lt;"&amp;$B$5),$C$27:$PN$27,("&gt;="&amp;$B$4),$C$28:$PN$28,1,$C105:$PN105,TabAsistencias[[#Headers],[T/2]])</f>
        <v>11</v>
      </c>
      <c r="RG105" s="323" cm="1">
        <f t="array" ref="RG105">IFERROR(VLOOKUP(
DATEDIF((VLOOKUP(TabAsistencias[[#This Row],[ID]],TabEmpleados[],COLUMN(TabEmpleados[Fecha de alta NSS]),FALSE)),Asistencias!$B$3,"Y"),
TabFactorIntegracion[],COLUMN(TabFactorIntegracion[Días vacacionales
establecidos por ley]),FALSE),0)
-
COUNTIF($AH105:$PN105,TabAsistencias[[#Headers],[V]])</f>
        <v>0</v>
      </c>
    </row>
  </sheetData>
  <mergeCells count="3">
    <mergeCell ref="QQ29:QR29"/>
    <mergeCell ref="QX29:QY29"/>
    <mergeCell ref="QL25:RF25"/>
  </mergeCells>
  <phoneticPr fontId="7" type="noConversion"/>
  <conditionalFormatting sqref="PO30:QH30 A6:A25 QM30:RE30 C31:PN105">
    <cfRule type="expression" dxfId="626" priority="106">
      <formula>A$28=1</formula>
    </cfRule>
  </conditionalFormatting>
  <conditionalFormatting sqref="A31:A105">
    <cfRule type="duplicateValues" dxfId="625" priority="22"/>
  </conditionalFormatting>
  <dataValidations count="5">
    <dataValidation type="list" allowBlank="1" showInputMessage="1" showErrorMessage="1" errorTitle="Error" error="Consultar la columna A4 a A23" sqref="C31:PN105" xr:uid="{9DEEF535-82CF-4D9C-9689-AD33A01CC795}">
      <formula1>$A$6:$A$25</formula1>
    </dataValidation>
    <dataValidation type="date" allowBlank="1" showInputMessage="1" showErrorMessage="1" sqref="B2" xr:uid="{F33B69CE-6D2F-488E-901B-8E10A606FC4D}">
      <formula1>DATE($B$1-1,12,1)</formula1>
      <formula2>DATE($B$1+1,1,31)</formula2>
    </dataValidation>
    <dataValidation type="date" allowBlank="1" showInputMessage="1" showErrorMessage="1" errorTitle="Fecha inadecuada" error="Asigna una fecha posterior dentro del rango." sqref="B3" xr:uid="{E52A45FF-0DD9-43A7-ABC3-FB3725E03728}">
      <formula1>$B$2</formula1>
      <formula2>DATE($B$1+1,1,31)</formula2>
    </dataValidation>
    <dataValidation type="date" allowBlank="1" showInputMessage="1" showErrorMessage="1" errorTitle="Fecha inadecuada" error="Asigna una fecha posterior dentro del rango." sqref="B4" xr:uid="{36EC28B6-4787-4475-B323-5D6AAEE6D8D8}">
      <formula1>DATE($B$1-1,12,1)</formula1>
      <formula2>DATE($B$1+1,1,31)</formula2>
    </dataValidation>
    <dataValidation type="date" allowBlank="1" showInputMessage="1" showErrorMessage="1" errorTitle="Fecha inadecuada" error="Asigna una fecha posterior dentro del rango." sqref="B5" xr:uid="{117BA57E-BA9B-43DA-A68C-E59D0C5AE38B}">
      <formula1>$B$4</formula1>
      <formula2>DATE($B$1+1,1,31)</formula2>
    </dataValidation>
  </dataValidations>
  <pageMargins left="0.7" right="0.7" top="0.75" bottom="0.75" header="0.3" footer="0.3"/>
  <pageSetup orientation="portrait" r:id="rId1"/>
  <ignoredErrors>
    <ignoredError sqref="C37:OH105 C32:P34 AT31:OH34 Q31:AS31 C31:D31 F31:P31 Q34:AG34 Q32:AG32 AI32:AS32 Q33:AG33 AI33:AS33 AI34:AS34 C35:AG35 AI35:OH35 C36:AG36 AI36:OH36" numberStoredAsText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Botón5_Haga_clic_en">
                <anchor moveWithCells="1" sizeWithCells="1">
                  <from>
                    <xdr:col>1</xdr:col>
                    <xdr:colOff>1581150</xdr:colOff>
                    <xdr:row>0</xdr:row>
                    <xdr:rowOff>171450</xdr:rowOff>
                  </from>
                  <to>
                    <xdr:col>1</xdr:col>
                    <xdr:colOff>2686050</xdr:colOff>
                    <xdr:row>2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beginsWith" priority="86" operator="beginsWith" id="{59444A23-CCD6-4CE2-9994-65549DDE0925}">
            <xm:f>LEFT(A6,LEN($A$16))=$A$16</xm:f>
            <xm:f>$A$16</xm:f>
            <x14:dxf>
              <fill>
                <patternFill>
                  <bgColor rgb="FFD40A87"/>
                </patternFill>
              </fill>
            </x14:dxf>
          </x14:cfRule>
          <x14:cfRule type="containsText" priority="87" operator="containsText" id="{C2751527-9A1F-4C38-A97D-DE890A1B86B9}">
            <xm:f>NOT(ISERROR(SEARCH($A$25,A6)))</xm:f>
            <xm:f>$A$25</xm:f>
            <x14:dxf>
              <fill>
                <patternFill>
                  <bgColor theme="7" tint="-0.24994659260841701"/>
                </patternFill>
              </fill>
            </x14:dxf>
          </x14:cfRule>
          <x14:cfRule type="containsText" priority="88" operator="containsText" id="{86257E0A-F7FD-4845-94C1-31374CDCA40C}">
            <xm:f>NOT(ISERROR(SEARCH($A$24,A6)))</xm:f>
            <xm:f>$A$24</xm:f>
            <x14:dxf>
              <fill>
                <patternFill>
                  <bgColor rgb="FFE2005B"/>
                </patternFill>
              </fill>
            </x14:dxf>
          </x14:cfRule>
          <x14:cfRule type="containsText" priority="89" operator="containsText" id="{55309AFB-9818-4D56-BF8B-6038D0A2709A}">
            <xm:f>NOT(ISERROR(SEARCH($A$23,A6)))</xm:f>
            <xm:f>$A$23</xm:f>
            <x14:dxf>
              <fill>
                <patternFill>
                  <bgColor rgb="FFAEF8DC"/>
                </patternFill>
              </fill>
            </x14:dxf>
          </x14:cfRule>
          <x14:cfRule type="containsText" priority="90" operator="containsText" id="{E20FD73D-CA81-46B9-91AE-18E66E22B5F9}">
            <xm:f>NOT(ISERROR(SEARCH($A$22,A6)))</xm:f>
            <xm:f>$A$22</xm:f>
            <x14:dxf>
              <fill>
                <patternFill>
                  <bgColor rgb="FFA3A3E1"/>
                </patternFill>
              </fill>
            </x14:dxf>
          </x14:cfRule>
          <x14:cfRule type="containsText" priority="91" operator="containsText" id="{BBE6CEE1-1023-44DD-BBE1-559C94457187}">
            <xm:f>NOT(ISERROR(SEARCH($A$21,A6)))</xm:f>
            <xm:f>$A$21</xm:f>
            <x14:dxf>
              <fill>
                <patternFill>
                  <bgColor rgb="FFF3A5E2"/>
                </patternFill>
              </fill>
            </x14:dxf>
          </x14:cfRule>
          <x14:cfRule type="containsText" priority="92" operator="containsText" id="{4D76B289-B8FB-4FE0-BB8D-81FCA23FE95D}">
            <xm:f>NOT(ISERROR(SEARCH($A$18,A6)))</xm:f>
            <xm:f>$A$18</xm:f>
            <x14:dxf>
              <font>
                <color theme="1"/>
              </font>
              <fill>
                <patternFill>
                  <bgColor rgb="FFFFC000"/>
                </patternFill>
              </fill>
            </x14:dxf>
          </x14:cfRule>
          <x14:cfRule type="containsText" priority="93" operator="containsText" id="{70F7D7FE-4783-48CD-A515-75C50E9F0E34}">
            <xm:f>NOT(ISERROR(SEARCH($A$17,A6)))</xm:f>
            <xm:f>$A$17</xm:f>
            <x14:dxf>
              <fill>
                <patternFill>
                  <bgColor rgb="FFBAE9FE"/>
                </patternFill>
              </fill>
            </x14:dxf>
          </x14:cfRule>
          <x14:cfRule type="containsText" priority="94" operator="containsText" id="{723B4E3D-690C-48B1-A071-1DFE00F4484F}">
            <xm:f>NOT(ISERROR(SEARCH($A$15,A6)))</xm:f>
            <xm:f>$A$15</xm:f>
            <x14:dxf>
              <fill>
                <patternFill>
                  <bgColor rgb="FF7030A0"/>
                </patternFill>
              </fill>
            </x14:dxf>
          </x14:cfRule>
          <x14:cfRule type="containsText" priority="95" operator="containsText" id="{F5184C30-7C83-42EB-8D77-9A1B36A413EA}">
            <xm:f>NOT(ISERROR(SEARCH($A$14,A6)))</xm:f>
            <xm:f>$A$14</xm:f>
            <x14:dxf>
              <fill>
                <patternFill>
                  <bgColor rgb="FF17BB7D"/>
                </patternFill>
              </fill>
            </x14:dxf>
          </x14:cfRule>
          <x14:cfRule type="containsText" priority="96" operator="containsText" id="{0E9815E9-B180-42B7-8FED-3F543D4BE01E}">
            <xm:f>NOT(ISERROR(SEARCH($A$13,A6)))</xm:f>
            <xm:f>$A$13</xm:f>
            <x14:dxf>
              <font>
                <color rgb="FFFF0000"/>
              </font>
              <fill>
                <patternFill>
                  <bgColor theme="0"/>
                </patternFill>
              </fill>
            </x14:dxf>
          </x14:cfRule>
          <x14:cfRule type="containsText" priority="97" operator="containsText" id="{3FF58370-5B65-4C34-B75F-473E6A7429C0}">
            <xm:f>NOT(ISERROR(SEARCH($A$20,A6)))</xm:f>
            <xm:f>$A$20</xm:f>
            <x14:dxf>
              <fill>
                <patternFill>
                  <bgColor theme="5" tint="0.59996337778862885"/>
                </patternFill>
              </fill>
            </x14:dxf>
          </x14:cfRule>
          <x14:cfRule type="containsText" priority="98" operator="containsText" id="{BE6E5558-47BF-4EE9-95C1-2233A5DD74B3}">
            <xm:f>NOT(ISERROR(SEARCH($A$10,A6)))</xm:f>
            <xm:f>$A$10</xm:f>
            <x14:dxf>
              <fill>
                <patternFill>
                  <bgColor rgb="FFFFFF00"/>
                </patternFill>
              </fill>
            </x14:dxf>
          </x14:cfRule>
          <x14:cfRule type="containsText" priority="99" operator="containsText" id="{13D8EBD5-B558-4AA5-A382-B003FF9B7D9D}">
            <xm:f>NOT(ISERROR(SEARCH($A$19,A6)))</xm:f>
            <xm:f>$A$19</xm:f>
            <x14:dxf>
              <fill>
                <patternFill>
                  <bgColor theme="0" tint="-0.34998626667073579"/>
                </patternFill>
              </fill>
            </x14:dxf>
          </x14:cfRule>
          <x14:cfRule type="containsText" priority="100" operator="containsText" id="{5A90BFF9-B9ED-4357-ACDF-CE635E73A96F}">
            <xm:f>NOT(ISERROR(SEARCH($A$9,A6)))</xm:f>
            <xm:f>$A$9</xm:f>
            <x14:dxf>
              <fill>
                <patternFill>
                  <bgColor theme="5" tint="-0.499984740745262"/>
                </patternFill>
              </fill>
            </x14:dxf>
          </x14:cfRule>
          <x14:cfRule type="containsText" priority="101" operator="containsText" id="{00FC55EF-8507-4DE4-A7CF-C21601118C5F}">
            <xm:f>NOT(ISERROR(SEARCH($A$8,A6)))</xm:f>
            <xm:f>$A$8</xm:f>
            <x14:dxf>
              <fill>
                <patternFill>
                  <bgColor rgb="FF00B0F0"/>
                </patternFill>
              </fill>
            </x14:dxf>
          </x14:cfRule>
          <x14:cfRule type="containsText" priority="102" operator="containsText" id="{8AFE6C5D-8EB2-41C1-BBC8-B7F453BE121B}">
            <xm:f>NOT(ISERROR(SEARCH($A$6,A6)))</xm:f>
            <xm:f>$A$6</xm:f>
            <x14:dxf>
              <fill>
                <patternFill>
                  <bgColor theme="9" tint="0.79998168889431442"/>
                </patternFill>
              </fill>
            </x14:dxf>
          </x14:cfRule>
          <x14:cfRule type="containsText" priority="103" operator="containsText" id="{4F0F9314-1FAD-4F2E-8F48-58A82D70C248}">
            <xm:f>NOT(ISERROR(SEARCH($A$7,A6)))</xm:f>
            <xm:f>$A$7</xm:f>
            <x14:dxf>
              <fill>
                <patternFill>
                  <bgColor rgb="FF009E47"/>
                </patternFill>
              </fill>
            </x14:dxf>
          </x14:cfRule>
          <x14:cfRule type="containsText" priority="104" operator="containsText" id="{1ACA8BC8-6617-44B3-BF10-C9623F2E3331}">
            <xm:f>NOT(ISERROR(SEARCH($A$12,A6)))</xm:f>
            <xm:f>$A$12</xm:f>
            <x14:dxf>
              <font>
                <color theme="0"/>
              </font>
              <fill>
                <patternFill>
                  <bgColor theme="1"/>
                </patternFill>
              </fill>
            </x14:dxf>
          </x14:cfRule>
          <x14:cfRule type="containsText" priority="105" operator="containsText" id="{EE48B61C-103A-4F34-BAEE-BB0CD7998F0F}">
            <xm:f>NOT(ISERROR(SEARCH($A$11,A6)))</xm:f>
            <xm:f>$A$11</xm:f>
            <x14:dxf>
              <fill>
                <patternFill>
                  <bgColor theme="4" tint="0.59996337778862885"/>
                </patternFill>
              </fill>
            </x14:dxf>
          </x14:cfRule>
          <xm:sqref>PO30:QH30 A6:A25 QM30:RE30 C31:PN105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697D08-0750-425B-941C-33F36C5AF3C7}">
  <sheetPr codeName="Hoja5">
    <tabColor rgb="FF92D050"/>
  </sheetPr>
  <dimension ref="A1:J11"/>
  <sheetViews>
    <sheetView workbookViewId="0">
      <pane ySplit="1" topLeftCell="A2" activePane="bottomLeft" state="frozen"/>
      <selection pane="bottomLeft" activeCell="C5" sqref="C5"/>
    </sheetView>
  </sheetViews>
  <sheetFormatPr baseColWidth="10" defaultRowHeight="15" x14ac:dyDescent="0.25"/>
  <cols>
    <col min="1" max="2" width="6.7109375" style="148" customWidth="1"/>
    <col min="3" max="3" width="31.7109375" bestFit="1" customWidth="1"/>
    <col min="4" max="4" width="15" bestFit="1" customWidth="1"/>
    <col min="6" max="6" width="23.85546875" customWidth="1"/>
    <col min="7" max="7" width="9.7109375" style="2" customWidth="1"/>
    <col min="8" max="8" width="13" customWidth="1"/>
    <col min="9" max="9" width="16.7109375" style="165" customWidth="1"/>
    <col min="10" max="10" width="16.85546875" bestFit="1" customWidth="1"/>
  </cols>
  <sheetData>
    <row r="1" spans="1:10" s="56" customFormat="1" ht="26.45" customHeight="1" x14ac:dyDescent="0.25">
      <c r="A1" s="149" t="s">
        <v>209</v>
      </c>
      <c r="B1" s="149" t="s">
        <v>322</v>
      </c>
      <c r="C1" s="150" t="s">
        <v>0</v>
      </c>
      <c r="D1" s="150" t="s">
        <v>310</v>
      </c>
      <c r="E1" s="150" t="s">
        <v>210</v>
      </c>
      <c r="F1" s="150" t="s">
        <v>211</v>
      </c>
      <c r="G1" s="154" t="s">
        <v>313</v>
      </c>
      <c r="H1" s="153" t="s">
        <v>308</v>
      </c>
      <c r="I1" s="164" t="s">
        <v>320</v>
      </c>
      <c r="J1" s="163" t="s">
        <v>314</v>
      </c>
    </row>
    <row r="2" spans="1:10" ht="15.75" x14ac:dyDescent="0.25">
      <c r="A2" s="158">
        <v>1</v>
      </c>
      <c r="B2" s="158">
        <f>_xlfn.XLOOKUP(TabDescuentos[[#This Row],[Nombre]],TabEmpleados[Nombre],TabEmpleados[ID],0,0,1)</f>
        <v>1</v>
      </c>
      <c r="C2" s="150" t="s">
        <v>1</v>
      </c>
      <c r="D2" s="150" t="s">
        <v>312</v>
      </c>
      <c r="E2" s="155">
        <v>200</v>
      </c>
      <c r="F2" s="150" t="s">
        <v>374</v>
      </c>
      <c r="G2" s="156" t="s">
        <v>317</v>
      </c>
      <c r="H2" s="157">
        <f t="shared" ref="H2:H9" ca="1" si="0">TODAY()</f>
        <v>45034</v>
      </c>
      <c r="I2" s="162">
        <f>SUMIFS(TabPagos[Monto de pago],TabPagos[NUM de Descuento],TabDescuentos[[#This Row],[NUM]])</f>
        <v>0</v>
      </c>
      <c r="J2" s="275">
        <f>TabDescuentos[[#This Row],[Catidad]]-TabDescuentos[[#This Row],[Pagos Realizados]]</f>
        <v>200</v>
      </c>
    </row>
    <row r="3" spans="1:10" ht="15.75" x14ac:dyDescent="0.25">
      <c r="A3" s="158">
        <v>2</v>
      </c>
      <c r="B3" s="158">
        <f>_xlfn.XLOOKUP(TabDescuentos[[#This Row],[Nombre]],TabEmpleados[Nombre],TabEmpleados[ID],0,0,1)</f>
        <v>3</v>
      </c>
      <c r="C3" s="150" t="s">
        <v>3</v>
      </c>
      <c r="D3" s="150" t="s">
        <v>312</v>
      </c>
      <c r="E3" s="155">
        <v>200</v>
      </c>
      <c r="F3" s="150" t="s">
        <v>321</v>
      </c>
      <c r="G3" s="156" t="s">
        <v>317</v>
      </c>
      <c r="H3" s="157">
        <f t="shared" ca="1" si="0"/>
        <v>45034</v>
      </c>
      <c r="I3" s="162">
        <f>SUMIFS(TabPagos[Monto de pago],TabPagos[NUM de Descuento],TabDescuentos[[#This Row],[NUM]])</f>
        <v>145</v>
      </c>
      <c r="J3" s="275">
        <f>TabDescuentos[[#This Row],[Catidad]]-TabDescuentos[[#This Row],[Pagos Realizados]]</f>
        <v>55</v>
      </c>
    </row>
    <row r="4" spans="1:10" ht="15.75" x14ac:dyDescent="0.25">
      <c r="A4" s="158">
        <v>3</v>
      </c>
      <c r="B4" s="158">
        <f>_xlfn.XLOOKUP(TabDescuentos[[#This Row],[Nombre]],TabEmpleados[Nombre],TabEmpleados[ID],0,0,1)</f>
        <v>4</v>
      </c>
      <c r="C4" s="150" t="s">
        <v>4</v>
      </c>
      <c r="D4" s="150" t="s">
        <v>312</v>
      </c>
      <c r="E4" s="155">
        <v>400</v>
      </c>
      <c r="F4" s="150" t="s">
        <v>321</v>
      </c>
      <c r="G4" s="156" t="s">
        <v>317</v>
      </c>
      <c r="H4" s="157">
        <f t="shared" ca="1" si="0"/>
        <v>45034</v>
      </c>
      <c r="I4" s="162">
        <f>SUMIFS(TabPagos[Monto de pago],TabPagos[NUM de Descuento],TabDescuentos[[#This Row],[NUM]])</f>
        <v>400</v>
      </c>
      <c r="J4" s="275">
        <f>TabDescuentos[[#This Row],[Catidad]]-TabDescuentos[[#This Row],[Pagos Realizados]]</f>
        <v>0</v>
      </c>
    </row>
    <row r="5" spans="1:10" ht="15.75" x14ac:dyDescent="0.25">
      <c r="A5" s="158">
        <v>4</v>
      </c>
      <c r="B5" s="158">
        <f>_xlfn.XLOOKUP(TabDescuentos[[#This Row],[Nombre]],TabEmpleados[Nombre],TabEmpleados[ID],0,0,1)</f>
        <v>5</v>
      </c>
      <c r="C5" s="150" t="s">
        <v>5</v>
      </c>
      <c r="D5" s="150" t="s">
        <v>312</v>
      </c>
      <c r="E5" s="155">
        <v>800</v>
      </c>
      <c r="F5" s="150" t="s">
        <v>321</v>
      </c>
      <c r="G5" s="156" t="s">
        <v>317</v>
      </c>
      <c r="H5" s="157">
        <f t="shared" ca="1" si="0"/>
        <v>45034</v>
      </c>
      <c r="I5" s="162">
        <f>SUMIFS(TabPagos[Monto de pago],TabPagos[NUM de Descuento],TabDescuentos[[#This Row],[NUM]])</f>
        <v>100</v>
      </c>
      <c r="J5" s="275">
        <f>TabDescuentos[[#This Row],[Catidad]]-TabDescuentos[[#This Row],[Pagos Realizados]]</f>
        <v>700</v>
      </c>
    </row>
    <row r="6" spans="1:10" ht="15.75" x14ac:dyDescent="0.25">
      <c r="A6" s="158">
        <v>5</v>
      </c>
      <c r="B6" s="158">
        <f>_xlfn.XLOOKUP(TabDescuentos[[#This Row],[Nombre]],TabEmpleados[Nombre],TabEmpleados[ID],0,0,1)</f>
        <v>6</v>
      </c>
      <c r="C6" s="150" t="s">
        <v>6</v>
      </c>
      <c r="D6" s="150" t="s">
        <v>312</v>
      </c>
      <c r="E6" s="155">
        <v>1600</v>
      </c>
      <c r="F6" s="150" t="s">
        <v>321</v>
      </c>
      <c r="G6" s="156" t="s">
        <v>317</v>
      </c>
      <c r="H6" s="157">
        <f t="shared" ca="1" si="0"/>
        <v>45034</v>
      </c>
      <c r="I6" s="162">
        <f>SUMIFS(TabPagos[Monto de pago],TabPagos[NUM de Descuento],TabDescuentos[[#This Row],[NUM]])</f>
        <v>0</v>
      </c>
      <c r="J6" s="275">
        <f>TabDescuentos[[#This Row],[Catidad]]-TabDescuentos[[#This Row],[Pagos Realizados]]</f>
        <v>1600</v>
      </c>
    </row>
    <row r="7" spans="1:10" ht="15.75" x14ac:dyDescent="0.25">
      <c r="A7" s="158">
        <v>6</v>
      </c>
      <c r="B7" s="158">
        <f>_xlfn.XLOOKUP(TabDescuentos[[#This Row],[Nombre]],TabEmpleados[Nombre],TabEmpleados[ID],0,0,1)</f>
        <v>7</v>
      </c>
      <c r="C7" s="150" t="s">
        <v>7</v>
      </c>
      <c r="D7" s="150" t="s">
        <v>377</v>
      </c>
      <c r="E7" s="155">
        <v>3200</v>
      </c>
      <c r="F7" s="150" t="s">
        <v>529</v>
      </c>
      <c r="G7" s="156" t="s">
        <v>317</v>
      </c>
      <c r="H7" s="157">
        <f t="shared" ca="1" si="0"/>
        <v>45034</v>
      </c>
      <c r="I7" s="162">
        <f>SUMIFS(TabPagos[Monto de pago],TabPagos[NUM de Descuento],TabDescuentos[[#This Row],[NUM]])</f>
        <v>242</v>
      </c>
      <c r="J7" s="275">
        <f>TabDescuentos[[#This Row],[Catidad]]-TabDescuentos[[#This Row],[Pagos Realizados]]</f>
        <v>2958</v>
      </c>
    </row>
    <row r="8" spans="1:10" ht="15.75" x14ac:dyDescent="0.25">
      <c r="A8" s="158">
        <v>7</v>
      </c>
      <c r="B8" s="158">
        <f>_xlfn.XLOOKUP(TabDescuentos[[#This Row],[Nombre]],TabEmpleados[Nombre],TabEmpleados[ID],0,0,1)</f>
        <v>8</v>
      </c>
      <c r="C8" s="150" t="s">
        <v>8</v>
      </c>
      <c r="D8" s="150" t="s">
        <v>312</v>
      </c>
      <c r="E8" s="155">
        <v>6400</v>
      </c>
      <c r="F8" s="150" t="s">
        <v>321</v>
      </c>
      <c r="G8" s="156" t="s">
        <v>317</v>
      </c>
      <c r="H8" s="157">
        <f t="shared" ca="1" si="0"/>
        <v>45034</v>
      </c>
      <c r="I8" s="162">
        <f>SUMIFS(TabPagos[Monto de pago],TabPagos[NUM de Descuento],TabDescuentos[[#This Row],[NUM]])</f>
        <v>0</v>
      </c>
      <c r="J8" s="275">
        <f>TabDescuentos[[#This Row],[Catidad]]-TabDescuentos[[#This Row],[Pagos Realizados]]</f>
        <v>6400</v>
      </c>
    </row>
    <row r="9" spans="1:10" ht="15.75" x14ac:dyDescent="0.25">
      <c r="A9" s="158">
        <v>8</v>
      </c>
      <c r="B9" s="158">
        <f>_xlfn.XLOOKUP(TabDescuentos[[#This Row],[Nombre]],TabEmpleados[Nombre],TabEmpleados[ID],0,0,1)</f>
        <v>10</v>
      </c>
      <c r="C9" s="150" t="s">
        <v>10</v>
      </c>
      <c r="D9" s="150" t="s">
        <v>311</v>
      </c>
      <c r="E9" s="155">
        <v>200</v>
      </c>
      <c r="F9" s="150" t="s">
        <v>319</v>
      </c>
      <c r="G9" s="156" t="s">
        <v>317</v>
      </c>
      <c r="H9" s="157">
        <f t="shared" ca="1" si="0"/>
        <v>45034</v>
      </c>
      <c r="I9" s="162">
        <f>SUMIFS(TabPagos[Monto de pago],TabPagos[NUM de Descuento],TabDescuentos[[#This Row],[NUM]])</f>
        <v>65</v>
      </c>
      <c r="J9" s="275">
        <f>TabDescuentos[[#This Row],[Catidad]]-TabDescuentos[[#This Row],[Pagos Realizados]]</f>
        <v>135</v>
      </c>
    </row>
    <row r="10" spans="1:10" ht="15.75" x14ac:dyDescent="0.25">
      <c r="A10" s="158">
        <v>9</v>
      </c>
      <c r="B10" s="158">
        <f>_xlfn.XLOOKUP(TabDescuentos[[#This Row],[Nombre]],TabEmpleados[Nombre],TabEmpleados[ID],0,0,1)</f>
        <v>1</v>
      </c>
      <c r="C10" s="150" t="s">
        <v>1</v>
      </c>
      <c r="D10" s="150" t="s">
        <v>311</v>
      </c>
      <c r="E10" s="155">
        <v>800</v>
      </c>
      <c r="F10" s="150" t="s">
        <v>373</v>
      </c>
      <c r="G10" s="156" t="s">
        <v>317</v>
      </c>
      <c r="H10" s="157">
        <f ca="1">TODAY()</f>
        <v>45034</v>
      </c>
      <c r="I10" s="162">
        <f>SUMIFS(TabPagos[Monto de pago],TabPagos[NUM de Descuento],TabDescuentos[[#This Row],[NUM]])</f>
        <v>0</v>
      </c>
      <c r="J10" s="275">
        <f>TabDescuentos[[#This Row],[Catidad]]-TabDescuentos[[#This Row],[Pagos Realizados]]</f>
        <v>800</v>
      </c>
    </row>
    <row r="11" spans="1:10" ht="15.75" x14ac:dyDescent="0.25">
      <c r="A11" s="158">
        <v>10</v>
      </c>
      <c r="B11" s="158">
        <f>_xlfn.XLOOKUP(TabDescuentos[[#This Row],[Nombre]],TabEmpleados[Nombre],TabEmpleados[ID],0,0,1)</f>
        <v>3</v>
      </c>
      <c r="C11" s="150" t="s">
        <v>3</v>
      </c>
      <c r="D11" s="150" t="s">
        <v>311</v>
      </c>
      <c r="E11" s="155">
        <v>210</v>
      </c>
      <c r="F11" s="150" t="s">
        <v>375</v>
      </c>
      <c r="G11" s="156" t="s">
        <v>317</v>
      </c>
      <c r="H11" s="157">
        <f ca="1">TODAY()</f>
        <v>45034</v>
      </c>
      <c r="I11" s="162">
        <f>SUMIFS(TabPagos[Monto de pago],TabPagos[NUM de Descuento],TabDescuentos[[#This Row],[NUM]])</f>
        <v>0</v>
      </c>
      <c r="J11" s="275">
        <f>TabDescuentos[[#This Row],[Catidad]]-TabDescuentos[[#This Row],[Pagos Realizados]]</f>
        <v>210</v>
      </c>
    </row>
  </sheetData>
  <protectedRanges>
    <protectedRange sqref="H2:H11" name="Fecha de aplicacion"/>
    <protectedRange sqref="G2:G11" name="N de ticket"/>
    <protectedRange sqref="F2:F11" name="Descripcion"/>
    <protectedRange sqref="E2:E11" name="Cantidad"/>
    <protectedRange sqref="D2:D11" name="Tipo"/>
    <protectedRange sqref="C2:C11" name="Nombre"/>
  </protectedRanges>
  <dataValidations count="2">
    <dataValidation type="list" allowBlank="1" showInputMessage="1" showErrorMessage="1" sqref="D2:D11" xr:uid="{448FE443-EFD6-42D2-983A-7F472929ACFD}">
      <formula1>"Vale, Nota de remisión, CxC, Otro..."</formula1>
    </dataValidation>
    <dataValidation type="list" allowBlank="1" showInputMessage="1" showErrorMessage="1" sqref="C2:C11" xr:uid="{2D8C796E-B6F9-456B-B6E6-74767E26486E}">
      <formula1>ListaEmpleados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56" r:id="rId3" name="Button 40">
              <controlPr defaultSize="0" print="0" autoFill="0" autoPict="0" macro="[0]!AgregarDescuento">
                <anchor moveWithCells="1">
                  <from>
                    <xdr:col>10</xdr:col>
                    <xdr:colOff>152400</xdr:colOff>
                    <xdr:row>0</xdr:row>
                    <xdr:rowOff>19050</xdr:rowOff>
                  </from>
                  <to>
                    <xdr:col>11</xdr:col>
                    <xdr:colOff>514350</xdr:colOff>
                    <xdr:row>0</xdr:row>
                    <xdr:rowOff>304800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932D3C-76E4-4305-B51C-FD45C0A1FDA6}">
  <sheetPr codeName="Hoja9">
    <tabColor rgb="FF92D050"/>
  </sheetPr>
  <dimension ref="A1:I9"/>
  <sheetViews>
    <sheetView workbookViewId="0">
      <pane ySplit="1" topLeftCell="A2" activePane="bottomLeft" state="frozen"/>
      <selection pane="bottomLeft" activeCell="E9" sqref="E9"/>
    </sheetView>
  </sheetViews>
  <sheetFormatPr baseColWidth="10" defaultRowHeight="15" x14ac:dyDescent="0.25"/>
  <cols>
    <col min="2" max="2" width="31.42578125" bestFit="1" customWidth="1"/>
    <col min="3" max="3" width="31.42578125" customWidth="1"/>
    <col min="4" max="4" width="16.28515625" customWidth="1"/>
    <col min="5" max="5" width="12" style="148" customWidth="1"/>
    <col min="6" max="6" width="10.28515625" customWidth="1"/>
    <col min="7" max="7" width="14.28515625" bestFit="1" customWidth="1"/>
    <col min="8" max="8" width="19.28515625" bestFit="1" customWidth="1"/>
  </cols>
  <sheetData>
    <row r="1" spans="1:9" s="2" customFormat="1" ht="30.6" customHeight="1" x14ac:dyDescent="0.25">
      <c r="A1" s="149" t="s">
        <v>322</v>
      </c>
      <c r="B1" s="152" t="s">
        <v>0</v>
      </c>
      <c r="C1" s="152" t="s">
        <v>211</v>
      </c>
      <c r="D1" s="151" t="s">
        <v>314</v>
      </c>
      <c r="E1" s="166" t="s">
        <v>315</v>
      </c>
      <c r="F1" s="154" t="s">
        <v>316</v>
      </c>
      <c r="G1" s="154" t="s">
        <v>318</v>
      </c>
    </row>
    <row r="2" spans="1:9" x14ac:dyDescent="0.25">
      <c r="A2" s="149" cm="1">
        <f t="array" ref="A2">VLOOKUP(TabPagos[[#This Row],[NUM de Descuento]],TabDescuentos[],COLUMN(TabDescuentos[id]),FALSE)</f>
        <v>10</v>
      </c>
      <c r="B2" s="152" t="str" cm="1">
        <f t="array" ref="B2">VLOOKUP(TabPagos[[#This Row],[NUM de Descuento]],TabDescuentos[],COLUMN(TabDescuentos[Nombre]),FALSE)</f>
        <v>GALVAN HERNANDEZ FLOR SILVANA</v>
      </c>
      <c r="C2" s="152" t="str" cm="1">
        <f t="array" ref="C2">VLOOKUP(TabPagos[[#This Row],[NUM de Descuento]],TabDescuentos[],COLUMN(TabDescuentos[Tipo]),FALSE) &amp;": "&amp; VLOOKUP(TabPagos[[#This Row],[NUM de Descuento]],TabDescuentos[],COLUMN(TabDescuentos[Descripcion]),FALSE)</f>
        <v>Nota de remisión: Platos</v>
      </c>
      <c r="D2" s="167" cm="1">
        <f t="array" ref="D2">VLOOKUP(TabPagos[[#This Row],[NUM de Descuento]],TabDescuentos[],COLUMN(TabDescuentos[Saldo pendiente]),FALSE)</f>
        <v>135</v>
      </c>
      <c r="E2" s="159">
        <v>44940</v>
      </c>
      <c r="F2" s="160">
        <v>65</v>
      </c>
      <c r="G2" s="161">
        <v>8</v>
      </c>
      <c r="I2" s="141"/>
    </row>
    <row r="3" spans="1:9" x14ac:dyDescent="0.25">
      <c r="A3" s="149" cm="1">
        <f t="array" ref="A3">VLOOKUP(TabPagos[[#This Row],[NUM de Descuento]],TabDescuentos[],COLUMN(TabDescuentos[id]),FALSE)</f>
        <v>3</v>
      </c>
      <c r="B3" s="152" t="str" cm="1">
        <f t="array" ref="B3">VLOOKUP(TabPagos[[#This Row],[NUM de Descuento]],TabDescuentos[],COLUMN(TabDescuentos[Nombre]),FALSE)</f>
        <v xml:space="preserve">GALAN SANCHEZ BRENDA LETICIA </v>
      </c>
      <c r="C3" s="152" t="str" cm="1">
        <f t="array" ref="C3">VLOOKUP(TabPagos[[#This Row],[NUM de Descuento]],TabDescuentos[],COLUMN(TabDescuentos[Tipo]),FALSE) &amp;": "&amp; VLOOKUP(TabPagos[[#This Row],[NUM de Descuento]],TabDescuentos[],COLUMN(TabDescuentos[Descripcion]),FALSE)</f>
        <v>Vale: ---</v>
      </c>
      <c r="D3" s="167" cm="1">
        <f t="array" ref="D3">VLOOKUP(TabPagos[[#This Row],[NUM de Descuento]],TabDescuentos[],COLUMN(TabDescuentos[Saldo pendiente]),FALSE)</f>
        <v>55</v>
      </c>
      <c r="E3" s="159">
        <v>44939</v>
      </c>
      <c r="F3" s="160">
        <v>56</v>
      </c>
      <c r="G3" s="161">
        <v>2</v>
      </c>
    </row>
    <row r="4" spans="1:9" x14ac:dyDescent="0.25">
      <c r="A4" s="149" cm="1">
        <f t="array" ref="A4">VLOOKUP(TabPagos[[#This Row],[NUM de Descuento]],TabDescuentos[],COLUMN(TabDescuentos[id]),FALSE)</f>
        <v>7</v>
      </c>
      <c r="B4" s="152" t="str" cm="1">
        <f t="array" ref="B4">VLOOKUP(TabPagos[[#This Row],[NUM de Descuento]],TabDescuentos[],COLUMN(TabDescuentos[Nombre]),FALSE)</f>
        <v>GONZALEZ DURAN EDER</v>
      </c>
      <c r="C4" s="152" t="str" cm="1">
        <f t="array" ref="C4">VLOOKUP(TabPagos[[#This Row],[NUM de Descuento]],TabDescuentos[],COLUMN(TabDescuentos[Tipo]),FALSE) &amp;": "&amp; VLOOKUP(TabPagos[[#This Row],[NUM de Descuento]],TabDescuentos[],COLUMN(TabDescuentos[Descripcion]),FALSE)</f>
        <v>Otro...: Prestamo de caja</v>
      </c>
      <c r="D4" s="167" cm="1">
        <f t="array" ref="D4">VLOOKUP(TabPagos[[#This Row],[NUM de Descuento]],TabDescuentos[],COLUMN(TabDescuentos[Saldo pendiente]),FALSE)</f>
        <v>2958</v>
      </c>
      <c r="E4" s="159">
        <v>44928</v>
      </c>
      <c r="F4" s="160">
        <v>100</v>
      </c>
      <c r="G4" s="161">
        <v>6</v>
      </c>
    </row>
    <row r="5" spans="1:9" x14ac:dyDescent="0.25">
      <c r="A5" s="149" cm="1">
        <f t="array" ref="A5">VLOOKUP(TabPagos[[#This Row],[NUM de Descuento]],TabDescuentos[],COLUMN(TabDescuentos[id]),FALSE)</f>
        <v>7</v>
      </c>
      <c r="B5" s="152" t="str" cm="1">
        <f t="array" ref="B5">VLOOKUP(TabPagos[[#This Row],[NUM de Descuento]],TabDescuentos[],COLUMN(TabDescuentos[Nombre]),FALSE)</f>
        <v>GONZALEZ DURAN EDER</v>
      </c>
      <c r="C5" s="152" t="str" cm="1">
        <f t="array" ref="C5">VLOOKUP(TabPagos[[#This Row],[NUM de Descuento]],TabDescuentos[],COLUMN(TabDescuentos[Tipo]),FALSE) &amp;": "&amp; VLOOKUP(TabPagos[[#This Row],[NUM de Descuento]],TabDescuentos[],COLUMN(TabDescuentos[Descripcion]),FALSE)</f>
        <v>Otro...: Prestamo de caja</v>
      </c>
      <c r="D5" s="167" cm="1">
        <f t="array" ref="D5">VLOOKUP(TabPagos[[#This Row],[NUM de Descuento]],TabDescuentos[],COLUMN(TabDescuentos[Saldo pendiente]),FALSE)</f>
        <v>2958</v>
      </c>
      <c r="E5" s="159">
        <v>44929</v>
      </c>
      <c r="F5" s="160">
        <v>62</v>
      </c>
      <c r="G5" s="161">
        <v>6</v>
      </c>
    </row>
    <row r="6" spans="1:9" x14ac:dyDescent="0.25">
      <c r="A6" s="149" cm="1">
        <f t="array" ref="A6">VLOOKUP(TabPagos[[#This Row],[NUM de Descuento]],TabDescuentos[],COLUMN(TabDescuentos[id]),FALSE)</f>
        <v>7</v>
      </c>
      <c r="B6" s="152" t="str" cm="1">
        <f t="array" ref="B6">VLOOKUP(TabPagos[[#This Row],[NUM de Descuento]],TabDescuentos[],COLUMN(TabDescuentos[Nombre]),FALSE)</f>
        <v>GONZALEZ DURAN EDER</v>
      </c>
      <c r="C6" s="152" t="str" cm="1">
        <f t="array" ref="C6">VLOOKUP(TabPagos[[#This Row],[NUM de Descuento]],TabDescuentos[],COLUMN(TabDescuentos[Tipo]),FALSE) &amp;": "&amp; VLOOKUP(TabPagos[[#This Row],[NUM de Descuento]],TabDescuentos[],COLUMN(TabDescuentos[Descripcion]),FALSE)</f>
        <v>Otro...: Prestamo de caja</v>
      </c>
      <c r="D6" s="167" cm="1">
        <f t="array" ref="D6">VLOOKUP(TabPagos[[#This Row],[NUM de Descuento]],TabDescuentos[],COLUMN(TabDescuentos[Saldo pendiente]),FALSE)</f>
        <v>2958</v>
      </c>
      <c r="E6" s="159">
        <v>44930</v>
      </c>
      <c r="F6" s="160">
        <v>80</v>
      </c>
      <c r="G6" s="161">
        <v>6</v>
      </c>
    </row>
    <row r="7" spans="1:9" x14ac:dyDescent="0.25">
      <c r="A7" s="149" cm="1">
        <f t="array" ref="A7">VLOOKUP(TabPagos[[#This Row],[NUM de Descuento]],TabDescuentos[],COLUMN(TabDescuentos[id]),FALSE)</f>
        <v>3</v>
      </c>
      <c r="B7" s="152" t="str" cm="1">
        <f t="array" ref="B7">VLOOKUP(TabPagos[[#This Row],[NUM de Descuento]],TabDescuentos[],COLUMN(TabDescuentos[Nombre]),FALSE)</f>
        <v xml:space="preserve">GALAN SANCHEZ BRENDA LETICIA </v>
      </c>
      <c r="C7" s="152" t="str" cm="1">
        <f t="array" ref="C7">VLOOKUP(TabPagos[[#This Row],[NUM de Descuento]],TabDescuentos[],COLUMN(TabDescuentos[Tipo]),FALSE) &amp;": "&amp; VLOOKUP(TabPagos[[#This Row],[NUM de Descuento]],TabDescuentos[],COLUMN(TabDescuentos[Descripcion]),FALSE)</f>
        <v>Vale: ---</v>
      </c>
      <c r="D7" s="167" cm="1">
        <f t="array" ref="D7">VLOOKUP(TabPagos[[#This Row],[NUM de Descuento]],TabDescuentos[],COLUMN(TabDescuentos[Saldo pendiente]),FALSE)</f>
        <v>55</v>
      </c>
      <c r="E7" s="159">
        <v>44928</v>
      </c>
      <c r="F7" s="160">
        <v>89</v>
      </c>
      <c r="G7" s="161">
        <v>2</v>
      </c>
    </row>
    <row r="8" spans="1:9" x14ac:dyDescent="0.25">
      <c r="A8" s="149" cm="1">
        <f t="array" ref="A8">VLOOKUP(TabPagos[[#This Row],[NUM de Descuento]],TabDescuentos[],COLUMN(TabDescuentos[id]),FALSE)</f>
        <v>5</v>
      </c>
      <c r="B8" s="152" t="str" cm="1">
        <f t="array" ref="B8">VLOOKUP(TabPagos[[#This Row],[NUM de Descuento]],TabDescuentos[],COLUMN(TabDescuentos[Nombre]),FALSE)</f>
        <v>LOPEZ CRUZ LAURA</v>
      </c>
      <c r="C8" s="152" t="str" cm="1">
        <f t="array" ref="C8">VLOOKUP(TabPagos[[#This Row],[NUM de Descuento]],TabDescuentos[],COLUMN(TabDescuentos[Tipo]),FALSE) &amp;": "&amp; VLOOKUP(TabPagos[[#This Row],[NUM de Descuento]],TabDescuentos[],COLUMN(TabDescuentos[Descripcion]),FALSE)</f>
        <v>Vale: ---</v>
      </c>
      <c r="D8" s="167" cm="1">
        <f t="array" ref="D8">VLOOKUP(TabPagos[[#This Row],[NUM de Descuento]],TabDescuentos[],COLUMN(TabDescuentos[Saldo pendiente]),FALSE)</f>
        <v>700</v>
      </c>
      <c r="E8" s="159">
        <v>44929</v>
      </c>
      <c r="F8" s="160">
        <v>100</v>
      </c>
      <c r="G8" s="161">
        <v>4</v>
      </c>
    </row>
    <row r="9" spans="1:9" x14ac:dyDescent="0.25">
      <c r="A9" s="149" cm="1">
        <f t="array" ref="A9">VLOOKUP(TabPagos[[#This Row],[NUM de Descuento]],TabDescuentos[],COLUMN(TabDescuentos[id]),FALSE)</f>
        <v>4</v>
      </c>
      <c r="B9" s="152" t="str" cm="1">
        <f t="array" ref="B9">VLOOKUP(TabPagos[[#This Row],[NUM de Descuento]],TabDescuentos[],COLUMN(TabDescuentos[Nombre]),FALSE)</f>
        <v>HERNANDEZ MORALES CITLALI ITZEL</v>
      </c>
      <c r="C9" s="152" t="str" cm="1">
        <f t="array" ref="C9">VLOOKUP(TabPagos[[#This Row],[NUM de Descuento]],TabDescuentos[],COLUMN(TabDescuentos[Tipo]),FALSE) &amp;": "&amp; VLOOKUP(TabPagos[[#This Row],[NUM de Descuento]],TabDescuentos[],COLUMN(TabDescuentos[Descripcion]),FALSE)</f>
        <v>Vale: ---</v>
      </c>
      <c r="D9" s="167" cm="1">
        <f t="array" ref="D9">VLOOKUP(TabPagos[[#This Row],[NUM de Descuento]],TabDescuentos[],COLUMN(TabDescuentos[Saldo pendiente]),FALSE)</f>
        <v>0</v>
      </c>
      <c r="E9" s="159">
        <f ca="1">TODAY()</f>
        <v>45034</v>
      </c>
      <c r="F9" s="160">
        <v>400</v>
      </c>
      <c r="G9" s="161">
        <v>3</v>
      </c>
    </row>
  </sheetData>
  <protectedRanges>
    <protectedRange sqref="G2:G9" name="NumDescuento"/>
    <protectedRange sqref="F2:F9" name="MontoPagp"/>
    <protectedRange sqref="E2:E9" name="FechaPago"/>
  </protectedRanges>
  <dataValidations count="1">
    <dataValidation type="list" allowBlank="1" showInputMessage="1" showErrorMessage="1" sqref="G2:G9" xr:uid="{4CA5F338-6167-4C06-BC6D-027BDB70FB92}">
      <formula1>NUMDescuento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79" r:id="rId3" name="Button 15">
              <controlPr defaultSize="0" print="0" autoFill="0" autoPict="0" macro="[0]!Agregar_PAGO">
                <anchor moveWithCells="1" sizeWithCells="1">
                  <from>
                    <xdr:col>7</xdr:col>
                    <xdr:colOff>104775</xdr:colOff>
                    <xdr:row>0</xdr:row>
                    <xdr:rowOff>28575</xdr:rowOff>
                  </from>
                  <to>
                    <xdr:col>7</xdr:col>
                    <xdr:colOff>1304925</xdr:colOff>
                    <xdr:row>0</xdr:row>
                    <xdr:rowOff>361950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C540CE-8356-43E2-BFEC-02F7CC43B8B6}">
  <sheetPr codeName="Hoja7">
    <tabColor rgb="FF0070C0"/>
  </sheetPr>
  <dimension ref="A1:J15"/>
  <sheetViews>
    <sheetView topLeftCell="B1" workbookViewId="0">
      <pane ySplit="1" topLeftCell="A2" activePane="bottomLeft" state="frozen"/>
      <selection pane="bottomLeft" activeCell="D10" sqref="D10"/>
    </sheetView>
  </sheetViews>
  <sheetFormatPr baseColWidth="10" defaultRowHeight="15" x14ac:dyDescent="0.25"/>
  <cols>
    <col min="1" max="2" width="6.7109375" style="148" customWidth="1"/>
    <col min="3" max="3" width="31.7109375" bestFit="1" customWidth="1"/>
    <col min="4" max="4" width="15" bestFit="1" customWidth="1"/>
    <col min="5" max="5" width="12.28515625" bestFit="1" customWidth="1"/>
    <col min="6" max="6" width="23.85546875" customWidth="1"/>
    <col min="7" max="7" width="9.7109375" style="2" customWidth="1"/>
    <col min="8" max="8" width="13" customWidth="1"/>
    <col min="9" max="9" width="16.7109375" style="165" customWidth="1"/>
    <col min="10" max="10" width="16.85546875" bestFit="1" customWidth="1"/>
  </cols>
  <sheetData>
    <row r="1" spans="1:10" s="56" customFormat="1" ht="26.45" customHeight="1" x14ac:dyDescent="0.25">
      <c r="A1" s="149" t="s">
        <v>209</v>
      </c>
      <c r="B1" s="149" t="s">
        <v>322</v>
      </c>
      <c r="C1" s="150" t="s">
        <v>0</v>
      </c>
      <c r="D1" s="150" t="s">
        <v>310</v>
      </c>
      <c r="E1" s="150" t="s">
        <v>210</v>
      </c>
      <c r="F1" s="150" t="s">
        <v>211</v>
      </c>
      <c r="G1" s="154" t="s">
        <v>383</v>
      </c>
      <c r="H1" s="153" t="s">
        <v>308</v>
      </c>
      <c r="I1" s="164" t="s">
        <v>320</v>
      </c>
      <c r="J1" s="163" t="s">
        <v>314</v>
      </c>
    </row>
    <row r="2" spans="1:10" ht="15.75" x14ac:dyDescent="0.25">
      <c r="A2" s="158">
        <v>1</v>
      </c>
      <c r="B2" s="158">
        <f>_xlfn.XLOOKUP(TabDescuentosFiscal[[#This Row],[Nombre]],TabEmpleados[Nombre],TabEmpleados[ID],0,0,1)</f>
        <v>1</v>
      </c>
      <c r="C2" s="150" t="s">
        <v>1</v>
      </c>
      <c r="D2" s="150" t="s">
        <v>376</v>
      </c>
      <c r="E2" s="155">
        <v>200</v>
      </c>
      <c r="F2" s="150" t="s">
        <v>378</v>
      </c>
      <c r="G2" s="156" t="s">
        <v>317</v>
      </c>
      <c r="H2" s="157">
        <f t="shared" ref="H2:H9" ca="1" si="0">TODAY()</f>
        <v>45034</v>
      </c>
      <c r="I2" s="162">
        <f>SUMIFS(TabPagosFiscal[Monto de pago],TabPagosFiscal[NUM de Descuento],TabDescuentosFiscal[[#This Row],[NUM]])</f>
        <v>0</v>
      </c>
      <c r="J2" s="275">
        <f>TabDescuentosFiscal[[#This Row],[Catidad]]-TabDescuentosFiscal[[#This Row],[Pagos Realizados]]</f>
        <v>200</v>
      </c>
    </row>
    <row r="3" spans="1:10" ht="15.75" x14ac:dyDescent="0.25">
      <c r="A3" s="158">
        <v>2</v>
      </c>
      <c r="B3" s="158">
        <f>_xlfn.XLOOKUP(TabDescuentosFiscal[[#This Row],[Nombre]],TabEmpleados[Nombre],TabEmpleados[ID],0,0,1)</f>
        <v>3</v>
      </c>
      <c r="C3" s="150" t="s">
        <v>3</v>
      </c>
      <c r="D3" s="150" t="s">
        <v>377</v>
      </c>
      <c r="E3" s="155">
        <v>200</v>
      </c>
      <c r="F3" s="150" t="s">
        <v>321</v>
      </c>
      <c r="G3" s="156" t="s">
        <v>317</v>
      </c>
      <c r="H3" s="157">
        <f t="shared" ca="1" si="0"/>
        <v>45034</v>
      </c>
      <c r="I3" s="162">
        <f>SUMIFS(TabPagosFiscal[Monto de pago],TabPagosFiscal[NUM de Descuento],TabDescuentosFiscal[[#This Row],[NUM]])</f>
        <v>62</v>
      </c>
      <c r="J3" s="275">
        <f>TabDescuentosFiscal[[#This Row],[Catidad]]-TabDescuentosFiscal[[#This Row],[Pagos Realizados]]</f>
        <v>138</v>
      </c>
    </row>
    <row r="4" spans="1:10" ht="15.75" x14ac:dyDescent="0.25">
      <c r="A4" s="158">
        <v>3</v>
      </c>
      <c r="B4" s="158">
        <f>_xlfn.XLOOKUP(TabDescuentosFiscal[[#This Row],[Nombre]],TabEmpleados[Nombre],TabEmpleados[ID],0,0,1)</f>
        <v>4</v>
      </c>
      <c r="C4" s="150" t="s">
        <v>4</v>
      </c>
      <c r="D4" s="150" t="s">
        <v>377</v>
      </c>
      <c r="E4" s="155">
        <v>400</v>
      </c>
      <c r="F4" s="150" t="s">
        <v>321</v>
      </c>
      <c r="G4" s="156" t="s">
        <v>317</v>
      </c>
      <c r="H4" s="157">
        <f t="shared" ca="1" si="0"/>
        <v>45034</v>
      </c>
      <c r="I4" s="162">
        <f>SUMIFS(TabPagosFiscal[Monto de pago],TabPagosFiscal[NUM de Descuento],TabDescuentosFiscal[[#This Row],[NUM]])</f>
        <v>0</v>
      </c>
      <c r="J4" s="275">
        <f>TabDescuentosFiscal[[#This Row],[Catidad]]-TabDescuentosFiscal[[#This Row],[Pagos Realizados]]</f>
        <v>400</v>
      </c>
    </row>
    <row r="5" spans="1:10" ht="15.75" x14ac:dyDescent="0.25">
      <c r="A5" s="158">
        <v>4</v>
      </c>
      <c r="B5" s="158">
        <f>_xlfn.XLOOKUP(TabDescuentosFiscal[[#This Row],[Nombre]],TabEmpleados[Nombre],TabEmpleados[ID],0,0,1)</f>
        <v>5</v>
      </c>
      <c r="C5" s="150" t="s">
        <v>5</v>
      </c>
      <c r="D5" s="150" t="s">
        <v>377</v>
      </c>
      <c r="E5" s="155">
        <v>800</v>
      </c>
      <c r="F5" s="150" t="s">
        <v>321</v>
      </c>
      <c r="G5" s="156" t="s">
        <v>317</v>
      </c>
      <c r="H5" s="157">
        <f t="shared" ca="1" si="0"/>
        <v>45034</v>
      </c>
      <c r="I5" s="162">
        <f>SUMIFS(TabPagosFiscal[Monto de pago],TabPagosFiscal[NUM de Descuento],TabDescuentosFiscal[[#This Row],[NUM]])</f>
        <v>500</v>
      </c>
      <c r="J5" s="275">
        <f>TabDescuentosFiscal[[#This Row],[Catidad]]-TabDescuentosFiscal[[#This Row],[Pagos Realizados]]</f>
        <v>300</v>
      </c>
    </row>
    <row r="6" spans="1:10" ht="15.75" x14ac:dyDescent="0.25">
      <c r="A6" s="158">
        <v>5</v>
      </c>
      <c r="B6" s="158">
        <f>_xlfn.XLOOKUP(TabDescuentosFiscal[[#This Row],[Nombre]],TabEmpleados[Nombre],TabEmpleados[ID],0,0,1)</f>
        <v>6</v>
      </c>
      <c r="C6" s="150" t="s">
        <v>6</v>
      </c>
      <c r="D6" s="150" t="s">
        <v>376</v>
      </c>
      <c r="E6" s="155">
        <v>1600</v>
      </c>
      <c r="F6" s="150" t="s">
        <v>321</v>
      </c>
      <c r="G6" s="156" t="s">
        <v>317</v>
      </c>
      <c r="H6" s="157">
        <f t="shared" ca="1" si="0"/>
        <v>45034</v>
      </c>
      <c r="I6" s="162">
        <f>SUMIFS(TabPagosFiscal[Monto de pago],TabPagosFiscal[NUM de Descuento],TabDescuentosFiscal[[#This Row],[NUM]])</f>
        <v>0</v>
      </c>
      <c r="J6" s="275">
        <f>TabDescuentosFiscal[[#This Row],[Catidad]]-TabDescuentosFiscal[[#This Row],[Pagos Realizados]]</f>
        <v>1600</v>
      </c>
    </row>
    <row r="7" spans="1:10" ht="15.75" x14ac:dyDescent="0.25">
      <c r="A7" s="158">
        <v>6</v>
      </c>
      <c r="B7" s="158">
        <f>_xlfn.XLOOKUP(TabDescuentosFiscal[[#This Row],[Nombre]],TabEmpleados[Nombre],TabEmpleados[ID],0,0,1)</f>
        <v>7</v>
      </c>
      <c r="C7" s="150" t="s">
        <v>7</v>
      </c>
      <c r="D7" s="150" t="s">
        <v>377</v>
      </c>
      <c r="E7" s="155">
        <v>3200</v>
      </c>
      <c r="F7" s="150" t="s">
        <v>427</v>
      </c>
      <c r="G7" s="156" t="s">
        <v>317</v>
      </c>
      <c r="H7" s="157">
        <f t="shared" ca="1" si="0"/>
        <v>45034</v>
      </c>
      <c r="I7" s="162">
        <f>SUMIFS(TabPagosFiscal[Monto de pago],TabPagosFiscal[NUM de Descuento],TabDescuentosFiscal[[#This Row],[NUM]])</f>
        <v>1048</v>
      </c>
      <c r="J7" s="275">
        <f>TabDescuentosFiscal[[#This Row],[Catidad]]-TabDescuentosFiscal[[#This Row],[Pagos Realizados]]</f>
        <v>2152</v>
      </c>
    </row>
    <row r="8" spans="1:10" ht="15.75" x14ac:dyDescent="0.25">
      <c r="A8" s="158">
        <v>7</v>
      </c>
      <c r="B8" s="158">
        <f>_xlfn.XLOOKUP(TabDescuentosFiscal[[#This Row],[Nombre]],TabEmpleados[Nombre],TabEmpleados[ID],0,0,1)</f>
        <v>8</v>
      </c>
      <c r="C8" s="150" t="s">
        <v>8</v>
      </c>
      <c r="D8" s="150" t="s">
        <v>376</v>
      </c>
      <c r="E8" s="155">
        <v>6400</v>
      </c>
      <c r="F8" s="150" t="s">
        <v>321</v>
      </c>
      <c r="G8" s="156" t="s">
        <v>317</v>
      </c>
      <c r="H8" s="157">
        <f t="shared" ca="1" si="0"/>
        <v>45034</v>
      </c>
      <c r="I8" s="162">
        <f>SUMIFS(TabPagosFiscal[Monto de pago],TabPagosFiscal[NUM de Descuento],TabDescuentosFiscal[[#This Row],[NUM]])</f>
        <v>0</v>
      </c>
      <c r="J8" s="275">
        <f>TabDescuentosFiscal[[#This Row],[Catidad]]-TabDescuentosFiscal[[#This Row],[Pagos Realizados]]</f>
        <v>6400</v>
      </c>
    </row>
    <row r="9" spans="1:10" ht="15.75" x14ac:dyDescent="0.25">
      <c r="A9" s="158">
        <v>8</v>
      </c>
      <c r="B9" s="158">
        <f>_xlfn.XLOOKUP(TabDescuentosFiscal[[#This Row],[Nombre]],TabEmpleados[Nombre],TabEmpleados[ID],0,0,1)</f>
        <v>10</v>
      </c>
      <c r="C9" s="150" t="s">
        <v>10</v>
      </c>
      <c r="D9" s="150" t="s">
        <v>377</v>
      </c>
      <c r="E9" s="155">
        <v>200</v>
      </c>
      <c r="F9" s="150" t="s">
        <v>379</v>
      </c>
      <c r="G9" s="156" t="s">
        <v>317</v>
      </c>
      <c r="H9" s="157">
        <f t="shared" ca="1" si="0"/>
        <v>45034</v>
      </c>
      <c r="I9" s="162">
        <f>SUMIFS(TabPagosFiscal[Monto de pago],TabPagosFiscal[NUM de Descuento],TabDescuentosFiscal[[#This Row],[NUM]])</f>
        <v>65</v>
      </c>
      <c r="J9" s="275">
        <f>TabDescuentosFiscal[[#This Row],[Catidad]]-TabDescuentosFiscal[[#This Row],[Pagos Realizados]]</f>
        <v>135</v>
      </c>
    </row>
    <row r="10" spans="1:10" ht="15.75" x14ac:dyDescent="0.25">
      <c r="A10" s="158">
        <v>9</v>
      </c>
      <c r="B10" s="158">
        <f>_xlfn.XLOOKUP(TabDescuentosFiscal[[#This Row],[Nombre]],TabEmpleados[Nombre],TabEmpleados[ID],0,0,1)</f>
        <v>1</v>
      </c>
      <c r="C10" s="150" t="s">
        <v>1</v>
      </c>
      <c r="D10" s="150" t="s">
        <v>395</v>
      </c>
      <c r="E10" s="155">
        <v>6846</v>
      </c>
      <c r="F10" s="150" t="s">
        <v>397</v>
      </c>
      <c r="G10" s="156">
        <v>0</v>
      </c>
      <c r="H10" s="157">
        <v>44850</v>
      </c>
      <c r="I10" s="162">
        <f>SUMIFS(TabPagosFiscal[Monto de pago],TabPagosFiscal[NUM de Descuento],TabDescuentosFiscal[[#This Row],[NUM]])</f>
        <v>0</v>
      </c>
      <c r="J10" s="275">
        <f>TabDescuentosFiscal[[#This Row],[Catidad]]-TabDescuentosFiscal[[#This Row],[Pagos Realizados]]</f>
        <v>6846</v>
      </c>
    </row>
    <row r="11" spans="1:10" ht="15.75" x14ac:dyDescent="0.25">
      <c r="A11" s="158">
        <v>10</v>
      </c>
      <c r="B11" s="158">
        <f>_xlfn.XLOOKUP(TabDescuentosFiscal[[#This Row],[Nombre]],TabEmpleados[Nombre],TabEmpleados[ID],0,0,1)</f>
        <v>3</v>
      </c>
      <c r="C11" s="150" t="s">
        <v>3</v>
      </c>
      <c r="D11" s="150" t="s">
        <v>377</v>
      </c>
      <c r="E11" s="155">
        <v>210</v>
      </c>
      <c r="F11" s="150" t="s">
        <v>379</v>
      </c>
      <c r="G11" s="156" t="s">
        <v>317</v>
      </c>
      <c r="H11" s="157">
        <f t="shared" ref="H11:H14" ca="1" si="1">TODAY()</f>
        <v>45034</v>
      </c>
      <c r="I11" s="162">
        <f>SUMIFS(TabPagosFiscal[Monto de pago],TabPagosFiscal[NUM de Descuento],TabDescuentosFiscal[[#This Row],[NUM]])</f>
        <v>0</v>
      </c>
      <c r="J11" s="275">
        <f>TabDescuentosFiscal[[#This Row],[Catidad]]-TabDescuentosFiscal[[#This Row],[Pagos Realizados]]</f>
        <v>210</v>
      </c>
    </row>
    <row r="12" spans="1:10" ht="15.75" x14ac:dyDescent="0.25">
      <c r="A12" s="158">
        <v>11</v>
      </c>
      <c r="B12" s="158">
        <f>_xlfn.XLOOKUP(TabDescuentosFiscal[[#This Row],[Nombre]],TabEmpleados[Nombre],TabEmpleados[ID],0,0,1)</f>
        <v>3</v>
      </c>
      <c r="C12" s="150" t="s">
        <v>3</v>
      </c>
      <c r="D12" s="150" t="s">
        <v>377</v>
      </c>
      <c r="E12" s="155">
        <v>8981</v>
      </c>
      <c r="F12" s="150" t="s">
        <v>379</v>
      </c>
      <c r="G12" s="156">
        <v>8946</v>
      </c>
      <c r="H12" s="157">
        <f t="shared" ca="1" si="1"/>
        <v>45034</v>
      </c>
      <c r="I12" s="162">
        <f>SUMIFS(TabPagosFiscal[Monto de pago],TabPagosFiscal[NUM de Descuento],TabDescuentosFiscal[[#This Row],[NUM]])</f>
        <v>100</v>
      </c>
      <c r="J12" s="275">
        <f>TabDescuentosFiscal[[#This Row],[Catidad]]-TabDescuentosFiscal[[#This Row],[Pagos Realizados]]</f>
        <v>8881</v>
      </c>
    </row>
    <row r="13" spans="1:10" ht="15.75" x14ac:dyDescent="0.25">
      <c r="A13" s="158">
        <v>12</v>
      </c>
      <c r="B13" s="158">
        <f>_xlfn.XLOOKUP(TabDescuentosFiscal[[#This Row],[Nombre]],TabEmpleados[Nombre],TabEmpleados[ID],0,0,1)</f>
        <v>7</v>
      </c>
      <c r="C13" s="150" t="s">
        <v>7</v>
      </c>
      <c r="D13" s="150" t="s">
        <v>377</v>
      </c>
      <c r="E13" s="155">
        <v>564</v>
      </c>
      <c r="F13" s="150" t="s">
        <v>379</v>
      </c>
      <c r="G13" s="156" t="s">
        <v>317</v>
      </c>
      <c r="H13" s="157">
        <f t="shared" ca="1" si="1"/>
        <v>45034</v>
      </c>
      <c r="I13" s="162">
        <f>SUMIFS(TabPagosFiscal[Monto de pago],TabPagosFiscal[NUM de Descuento],TabDescuentosFiscal[[#This Row],[NUM]])</f>
        <v>100</v>
      </c>
      <c r="J13" s="275">
        <f>TabDescuentosFiscal[[#This Row],[Catidad]]-TabDescuentosFiscal[[#This Row],[Pagos Realizados]]</f>
        <v>464</v>
      </c>
    </row>
    <row r="14" spans="1:10" ht="15.75" x14ac:dyDescent="0.25">
      <c r="A14" s="158">
        <v>13</v>
      </c>
      <c r="B14" s="158">
        <f>_xlfn.XLOOKUP(TabDescuentosFiscal[[#This Row],[Nombre]],TabEmpleados[Nombre],TabEmpleados[ID],0,0,1)</f>
        <v>5</v>
      </c>
      <c r="C14" s="150" t="s">
        <v>5</v>
      </c>
      <c r="D14" s="150" t="s">
        <v>377</v>
      </c>
      <c r="E14" s="155">
        <v>65654</v>
      </c>
      <c r="F14" s="150" t="s">
        <v>379</v>
      </c>
      <c r="G14" s="156" t="s">
        <v>317</v>
      </c>
      <c r="H14" s="157">
        <f t="shared" ca="1" si="1"/>
        <v>45034</v>
      </c>
      <c r="I14" s="162">
        <f>SUMIFS(TabPagosFiscal[Monto de pago],TabPagosFiscal[NUM de Descuento],TabDescuentosFiscal[[#This Row],[NUM]])</f>
        <v>45</v>
      </c>
      <c r="J14" s="275">
        <f>TabDescuentosFiscal[[#This Row],[Catidad]]-TabDescuentosFiscal[[#This Row],[Pagos Realizados]]</f>
        <v>65609</v>
      </c>
    </row>
    <row r="15" spans="1:10" ht="15.75" x14ac:dyDescent="0.25">
      <c r="A15" s="158">
        <v>14</v>
      </c>
      <c r="B15" s="158">
        <f>_xlfn.XLOOKUP(TabDescuentosFiscal[[#This Row],[Nombre]],TabEmpleados[Nombre],TabEmpleados[ID],0,0,1)</f>
        <v>9</v>
      </c>
      <c r="C15" s="150" t="s">
        <v>9</v>
      </c>
      <c r="D15" s="150" t="s">
        <v>395</v>
      </c>
      <c r="E15" s="155">
        <v>90000</v>
      </c>
      <c r="F15" s="150" t="s">
        <v>396</v>
      </c>
      <c r="G15" s="156" t="s">
        <v>317</v>
      </c>
      <c r="H15" s="157">
        <v>44850</v>
      </c>
      <c r="I15" s="162">
        <f>SUMIFS(TabPagosFiscal[Monto de pago],TabPagosFiscal[NUM de Descuento],TabDescuentosFiscal[[#This Row],[NUM]])</f>
        <v>604.88</v>
      </c>
      <c r="J15" s="275">
        <f>TabDescuentosFiscal[[#This Row],[Catidad]]-TabDescuentosFiscal[[#This Row],[Pagos Realizados]]</f>
        <v>89395.12</v>
      </c>
    </row>
  </sheetData>
  <protectedRanges>
    <protectedRange sqref="H2:H15" name="Fecha de aplicacion"/>
    <protectedRange sqref="G2:G15" name="N de ticket"/>
    <protectedRange sqref="F2:F15" name="Descripcion"/>
    <protectedRange sqref="E2:E15" name="Cantidad"/>
    <protectedRange sqref="D2:D15" name="Tipo"/>
    <protectedRange sqref="C2:C15" name="Nombre"/>
  </protectedRanges>
  <dataValidations count="2">
    <dataValidation type="list" allowBlank="1" showInputMessage="1" showErrorMessage="1" sqref="D2:D15" xr:uid="{04BC5BA1-59F4-4537-90D9-BA9B3C050524}">
      <formula1>"Préstamo FONACOT, Préstamo Infonavit (PORC), Otro..."</formula1>
    </dataValidation>
    <dataValidation type="list" allowBlank="1" showInputMessage="1" showErrorMessage="1" sqref="C2:C15" xr:uid="{895220B0-508A-434F-A926-46A9431DF391}">
      <formula1>ListaEmpleados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3" name="Button 1">
              <controlPr defaultSize="0" print="0" autoFill="0" autoPict="0" macro="[0]!AgregarDescuentoF">
                <anchor moveWithCells="1">
                  <from>
                    <xdr:col>10</xdr:col>
                    <xdr:colOff>152400</xdr:colOff>
                    <xdr:row>0</xdr:row>
                    <xdr:rowOff>19050</xdr:rowOff>
                  </from>
                  <to>
                    <xdr:col>11</xdr:col>
                    <xdr:colOff>514350</xdr:colOff>
                    <xdr:row>0</xdr:row>
                    <xdr:rowOff>304800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707F2-425A-4F35-8C9D-C86902EAE866}">
  <sheetPr codeName="Hoja11">
    <tabColor rgb="FF0070C0"/>
  </sheetPr>
  <dimension ref="A1:I12"/>
  <sheetViews>
    <sheetView workbookViewId="0">
      <pane ySplit="1" topLeftCell="A2" activePane="bottomLeft" state="frozen"/>
      <selection pane="bottomLeft" activeCell="A13" sqref="A13:G13"/>
    </sheetView>
  </sheetViews>
  <sheetFormatPr baseColWidth="10" defaultRowHeight="15" x14ac:dyDescent="0.25"/>
  <cols>
    <col min="2" max="2" width="31.42578125" bestFit="1" customWidth="1"/>
    <col min="3" max="3" width="31.42578125" customWidth="1"/>
    <col min="4" max="4" width="16.28515625" customWidth="1"/>
    <col min="5" max="5" width="12" style="148" customWidth="1"/>
    <col min="6" max="6" width="11.7109375" customWidth="1"/>
    <col min="7" max="7" width="14.28515625" bestFit="1" customWidth="1"/>
    <col min="8" max="8" width="19.28515625" bestFit="1" customWidth="1"/>
  </cols>
  <sheetData>
    <row r="1" spans="1:9" s="2" customFormat="1" ht="30.6" customHeight="1" x14ac:dyDescent="0.25">
      <c r="A1" s="149" t="s">
        <v>322</v>
      </c>
      <c r="B1" s="152" t="s">
        <v>0</v>
      </c>
      <c r="C1" s="152" t="s">
        <v>211</v>
      </c>
      <c r="D1" s="151" t="s">
        <v>314</v>
      </c>
      <c r="E1" s="166" t="s">
        <v>315</v>
      </c>
      <c r="F1" s="154" t="s">
        <v>316</v>
      </c>
      <c r="G1" s="154" t="s">
        <v>318</v>
      </c>
    </row>
    <row r="2" spans="1:9" x14ac:dyDescent="0.25">
      <c r="A2" s="149" cm="1">
        <f t="array" ref="A2">VLOOKUP(TabPagosFiscal[[#This Row],[NUM de Descuento]],TabDescuentosFiscal[],COLUMN(TabDescuentosFiscal[id]),FALSE)</f>
        <v>10</v>
      </c>
      <c r="B2" s="152" t="str" cm="1">
        <f t="array" ref="B2">VLOOKUP(TabPagosFiscal[[#This Row],[NUM de Descuento]],TabDescuentosFiscal[],COLUMN(TabDescuentosFiscal[Nombre]),FALSE)</f>
        <v>GALVAN HERNANDEZ FLOR SILVANA</v>
      </c>
      <c r="C2" s="152" t="str" cm="1">
        <f t="array" ref="C2">VLOOKUP(TabPagosFiscal[[#This Row],[NUM de Descuento]],TabDescuentosFiscal[],COLUMN(TabDescuentosFiscal[Tipo]),FALSE) &amp;": "&amp; VLOOKUP(TabPagosFiscal[[#This Row],[NUM de Descuento]],TabDescuentosFiscal[],COLUMN(TabDescuentosFiscal[Descripcion]),FALSE)</f>
        <v>Otro...: Pension</v>
      </c>
      <c r="D2" s="167" cm="1">
        <f t="array" ref="D2">VLOOKUP(TabPagosFiscal[[#This Row],[NUM de Descuento]],TabDescuentosFiscal[],COLUMN(TabDescuentosFiscal[Saldo pendiente]),FALSE)</f>
        <v>135</v>
      </c>
      <c r="E2" s="159">
        <v>44940</v>
      </c>
      <c r="F2" s="160">
        <v>65</v>
      </c>
      <c r="G2" s="161">
        <v>8</v>
      </c>
      <c r="I2" s="141"/>
    </row>
    <row r="3" spans="1:9" x14ac:dyDescent="0.25">
      <c r="A3" s="149" cm="1">
        <f t="array" ref="A3">VLOOKUP(TabPagosFiscal[[#This Row],[NUM de Descuento]],TabDescuentosFiscal[],COLUMN(TabDescuentosFiscal[id]),FALSE)</f>
        <v>3</v>
      </c>
      <c r="B3" s="152" t="str" cm="1">
        <f t="array" ref="B3">VLOOKUP(TabPagosFiscal[[#This Row],[NUM de Descuento]],TabDescuentosFiscal[],COLUMN(TabDescuentosFiscal[Nombre]),FALSE)</f>
        <v xml:space="preserve">GALAN SANCHEZ BRENDA LETICIA </v>
      </c>
      <c r="C3" s="152" t="str" cm="1">
        <f t="array" ref="C3">VLOOKUP(TabPagosFiscal[[#This Row],[NUM de Descuento]],TabDescuentosFiscal[],COLUMN(TabDescuentosFiscal[Tipo]),FALSE) &amp;": "&amp; VLOOKUP(TabPagosFiscal[[#This Row],[NUM de Descuento]],TabDescuentosFiscal[],COLUMN(TabDescuentosFiscal[Descripcion]),FALSE)</f>
        <v>Otro...: ---</v>
      </c>
      <c r="D3" s="167" cm="1">
        <f t="array" ref="D3">VLOOKUP(TabPagosFiscal[[#This Row],[NUM de Descuento]],TabDescuentosFiscal[],COLUMN(TabDescuentosFiscal[Saldo pendiente]),FALSE)</f>
        <v>138</v>
      </c>
      <c r="E3" s="159">
        <v>44939</v>
      </c>
      <c r="F3" s="160">
        <v>50</v>
      </c>
      <c r="G3" s="161">
        <v>2</v>
      </c>
    </row>
    <row r="4" spans="1:9" x14ac:dyDescent="0.25">
      <c r="A4" s="149" cm="1">
        <f t="array" ref="A4">VLOOKUP(TabPagosFiscal[[#This Row],[NUM de Descuento]],TabDescuentosFiscal[],COLUMN(TabDescuentosFiscal[id]),FALSE)</f>
        <v>7</v>
      </c>
      <c r="B4" s="152" t="str" cm="1">
        <f t="array" ref="B4">VLOOKUP(TabPagosFiscal[[#This Row],[NUM de Descuento]],TabDescuentosFiscal[],COLUMN(TabDescuentosFiscal[Nombre]),FALSE)</f>
        <v>GONZALEZ DURAN EDER</v>
      </c>
      <c r="C4" s="152" t="str" cm="1">
        <f t="array" ref="C4">VLOOKUP(TabPagosFiscal[[#This Row],[NUM de Descuento]],TabDescuentosFiscal[],COLUMN(TabDescuentosFiscal[Tipo]),FALSE) &amp;": "&amp; VLOOKUP(TabPagosFiscal[[#This Row],[NUM de Descuento]],TabDescuentosFiscal[],COLUMN(TabDescuentosFiscal[Descripcion]),FALSE)</f>
        <v>Otro...: Pension</v>
      </c>
      <c r="D4" s="167" cm="1">
        <f t="array" ref="D4">VLOOKUP(TabPagosFiscal[[#This Row],[NUM de Descuento]],TabDescuentosFiscal[],COLUMN(TabDescuentosFiscal[Saldo pendiente]),FALSE)</f>
        <v>464</v>
      </c>
      <c r="E4" s="159">
        <v>44928</v>
      </c>
      <c r="F4" s="160">
        <v>100</v>
      </c>
      <c r="G4" s="161">
        <v>12</v>
      </c>
    </row>
    <row r="5" spans="1:9" x14ac:dyDescent="0.25">
      <c r="A5" s="149" cm="1">
        <f t="array" ref="A5">VLOOKUP(TabPagosFiscal[[#This Row],[NUM de Descuento]],TabDescuentosFiscal[],COLUMN(TabDescuentosFiscal[id]),FALSE)</f>
        <v>7</v>
      </c>
      <c r="B5" s="152" t="str" cm="1">
        <f t="array" ref="B5">VLOOKUP(TabPagosFiscal[[#This Row],[NUM de Descuento]],TabDescuentosFiscal[],COLUMN(TabDescuentosFiscal[Nombre]),FALSE)</f>
        <v>GONZALEZ DURAN EDER</v>
      </c>
      <c r="C5" s="152" t="str" cm="1">
        <f t="array" ref="C5">VLOOKUP(TabPagosFiscal[[#This Row],[NUM de Descuento]],TabDescuentosFiscal[],COLUMN(TabDescuentosFiscal[Tipo]),FALSE) &amp;": "&amp; VLOOKUP(TabPagosFiscal[[#This Row],[NUM de Descuento]],TabDescuentosFiscal[],COLUMN(TabDescuentosFiscal[Descripcion]),FALSE)</f>
        <v>Otro...: Caso 1</v>
      </c>
      <c r="D5" s="167" cm="1">
        <f t="array" ref="D5">VLOOKUP(TabPagosFiscal[[#This Row],[NUM de Descuento]],TabDescuentosFiscal[],COLUMN(TabDescuentosFiscal[Saldo pendiente]),FALSE)</f>
        <v>2152</v>
      </c>
      <c r="E5" s="159">
        <v>44929</v>
      </c>
      <c r="F5" s="160">
        <v>465</v>
      </c>
      <c r="G5" s="161">
        <v>6</v>
      </c>
    </row>
    <row r="6" spans="1:9" x14ac:dyDescent="0.25">
      <c r="A6" s="149" cm="1">
        <f t="array" ref="A6">VLOOKUP(TabPagosFiscal[[#This Row],[NUM de Descuento]],TabDescuentosFiscal[],COLUMN(TabDescuentosFiscal[id]),FALSE)</f>
        <v>7</v>
      </c>
      <c r="B6" s="152" t="str" cm="1">
        <f t="array" ref="B6">VLOOKUP(TabPagosFiscal[[#This Row],[NUM de Descuento]],TabDescuentosFiscal[],COLUMN(TabDescuentosFiscal[Nombre]),FALSE)</f>
        <v>GONZALEZ DURAN EDER</v>
      </c>
      <c r="C6" s="152" t="str" cm="1">
        <f t="array" ref="C6">VLOOKUP(TabPagosFiscal[[#This Row],[NUM de Descuento]],TabDescuentosFiscal[],COLUMN(TabDescuentosFiscal[Tipo]),FALSE) &amp;": "&amp; VLOOKUP(TabPagosFiscal[[#This Row],[NUM de Descuento]],TabDescuentosFiscal[],COLUMN(TabDescuentosFiscal[Descripcion]),FALSE)</f>
        <v>Otro...: Caso 1</v>
      </c>
      <c r="D6" s="167" cm="1">
        <f t="array" ref="D6">VLOOKUP(TabPagosFiscal[[#This Row],[NUM de Descuento]],TabDescuentosFiscal[],COLUMN(TabDescuentosFiscal[Saldo pendiente]),FALSE)</f>
        <v>2152</v>
      </c>
      <c r="E6" s="159">
        <v>44930</v>
      </c>
      <c r="F6" s="160">
        <v>80</v>
      </c>
      <c r="G6" s="161">
        <v>6</v>
      </c>
    </row>
    <row r="7" spans="1:9" x14ac:dyDescent="0.25">
      <c r="A7" s="149" cm="1">
        <f t="array" ref="A7">VLOOKUP(TabPagosFiscal[[#This Row],[NUM de Descuento]],TabDescuentosFiscal[],COLUMN(TabDescuentosFiscal[id]),FALSE)</f>
        <v>3</v>
      </c>
      <c r="B7" s="152" t="str" cm="1">
        <f t="array" ref="B7">VLOOKUP(TabPagosFiscal[[#This Row],[NUM de Descuento]],TabDescuentosFiscal[],COLUMN(TabDescuentosFiscal[Nombre]),FALSE)</f>
        <v xml:space="preserve">GALAN SANCHEZ BRENDA LETICIA </v>
      </c>
      <c r="C7" s="152" t="str" cm="1">
        <f t="array" ref="C7">VLOOKUP(TabPagosFiscal[[#This Row],[NUM de Descuento]],TabDescuentosFiscal[],COLUMN(TabDescuentosFiscal[Tipo]),FALSE) &amp;": "&amp; VLOOKUP(TabPagosFiscal[[#This Row],[NUM de Descuento]],TabDescuentosFiscal[],COLUMN(TabDescuentosFiscal[Descripcion]),FALSE)</f>
        <v>Otro...: ---</v>
      </c>
      <c r="D7" s="167" cm="1">
        <f t="array" ref="D7">VLOOKUP(TabPagosFiscal[[#This Row],[NUM de Descuento]],TabDescuentosFiscal[],COLUMN(TabDescuentosFiscal[Saldo pendiente]),FALSE)</f>
        <v>138</v>
      </c>
      <c r="E7" s="159">
        <v>44928</v>
      </c>
      <c r="F7" s="160">
        <v>12</v>
      </c>
      <c r="G7" s="161">
        <v>2</v>
      </c>
    </row>
    <row r="8" spans="1:9" x14ac:dyDescent="0.25">
      <c r="A8" s="149" cm="1">
        <f t="array" ref="A8">VLOOKUP(TabPagosFiscal[[#This Row],[NUM de Descuento]],TabDescuentosFiscal[],COLUMN(TabDescuentosFiscal[id]),FALSE)</f>
        <v>3</v>
      </c>
      <c r="B8" s="152" t="str" cm="1">
        <f t="array" ref="B8">VLOOKUP(TabPagosFiscal[[#This Row],[NUM de Descuento]],TabDescuentosFiscal[],COLUMN(TabDescuentosFiscal[Nombre]),FALSE)</f>
        <v xml:space="preserve">GALAN SANCHEZ BRENDA LETICIA </v>
      </c>
      <c r="C8" s="152" t="str" cm="1">
        <f t="array" ref="C8">VLOOKUP(TabPagosFiscal[[#This Row],[NUM de Descuento]],TabDescuentosFiscal[],COLUMN(TabDescuentosFiscal[Tipo]),FALSE) &amp;": "&amp; VLOOKUP(TabPagosFiscal[[#This Row],[NUM de Descuento]],TabDescuentosFiscal[],COLUMN(TabDescuentosFiscal[Descripcion]),FALSE)</f>
        <v>Otro...: Pension</v>
      </c>
      <c r="D8" s="167" cm="1">
        <f t="array" ref="D8">VLOOKUP(TabPagosFiscal[[#This Row],[NUM de Descuento]],TabDescuentosFiscal[],COLUMN(TabDescuentosFiscal[Saldo pendiente]),FALSE)</f>
        <v>8881</v>
      </c>
      <c r="E8" s="159">
        <v>44929</v>
      </c>
      <c r="F8" s="160">
        <v>100</v>
      </c>
      <c r="G8" s="161">
        <v>11</v>
      </c>
    </row>
    <row r="9" spans="1:9" x14ac:dyDescent="0.25">
      <c r="A9" s="149" cm="1">
        <f t="array" ref="A9">VLOOKUP(TabPagosFiscal[[#This Row],[NUM de Descuento]],TabDescuentosFiscal[],COLUMN(TabDescuentosFiscal[id]),FALSE)</f>
        <v>5</v>
      </c>
      <c r="B9" s="152" t="str" cm="1">
        <f t="array" ref="B9">VLOOKUP(TabPagosFiscal[[#This Row],[NUM de Descuento]],TabDescuentosFiscal[],COLUMN(TabDescuentosFiscal[Nombre]),FALSE)</f>
        <v>LOPEZ CRUZ LAURA</v>
      </c>
      <c r="C9" s="152" t="str" cm="1">
        <f t="array" ref="C9">VLOOKUP(TabPagosFiscal[[#This Row],[NUM de Descuento]],TabDescuentosFiscal[],COLUMN(TabDescuentosFiscal[Tipo]),FALSE) &amp;": "&amp; VLOOKUP(TabPagosFiscal[[#This Row],[NUM de Descuento]],TabDescuentosFiscal[],COLUMN(TabDescuentosFiscal[Descripcion]),FALSE)</f>
        <v>Otro...: Pension</v>
      </c>
      <c r="D9" s="167" cm="1">
        <f t="array" ref="D9">VLOOKUP(TabPagosFiscal[[#This Row],[NUM de Descuento]],TabDescuentosFiscal[],COLUMN(TabDescuentosFiscal[Saldo pendiente]),FALSE)</f>
        <v>65609</v>
      </c>
      <c r="E9" s="159">
        <v>44927</v>
      </c>
      <c r="F9" s="160">
        <v>45</v>
      </c>
      <c r="G9" s="161">
        <v>13</v>
      </c>
    </row>
    <row r="10" spans="1:9" x14ac:dyDescent="0.25">
      <c r="A10" s="149" cm="1">
        <f t="array" ref="A10">VLOOKUP(TabPagosFiscal[[#This Row],[NUM de Descuento]],TabDescuentosFiscal[],COLUMN(TabDescuentosFiscal[id]),FALSE)</f>
        <v>9</v>
      </c>
      <c r="B10" s="152" t="str" cm="1">
        <f t="array" ref="B10">VLOOKUP(TabPagosFiscal[[#This Row],[NUM de Descuento]],TabDescuentosFiscal[],COLUMN(TabDescuentosFiscal[Nombre]),FALSE)</f>
        <v xml:space="preserve">ANTONIO LOPEZ JAVIER </v>
      </c>
      <c r="C10" s="152" t="str" cm="1">
        <f t="array" ref="C10">VLOOKUP(TabPagosFiscal[[#This Row],[NUM de Descuento]],TabDescuentosFiscal[],COLUMN(TabDescuentosFiscal[Tipo]),FALSE) &amp;": "&amp; VLOOKUP(TabPagosFiscal[[#This Row],[NUM de Descuento]],TabDescuentosFiscal[],COLUMN(TabDescuentosFiscal[Descripcion]),FALSE)</f>
        <v>Préstamo Infonavit (PORC): Prestamo de casa</v>
      </c>
      <c r="D10" s="167" cm="1">
        <f t="array" ref="D10">VLOOKUP(TabPagosFiscal[[#This Row],[NUM de Descuento]],TabDescuentosFiscal[],COLUMN(TabDescuentosFiscal[Saldo pendiente]),FALSE)</f>
        <v>89395.12</v>
      </c>
      <c r="E10" s="159">
        <v>44883</v>
      </c>
      <c r="F10" s="160">
        <v>604.88</v>
      </c>
      <c r="G10" s="161">
        <v>14</v>
      </c>
    </row>
    <row r="11" spans="1:9" x14ac:dyDescent="0.25">
      <c r="A11" s="149">
        <f>VLOOKUP(TabPagosFiscal[[#This Row],[NUM de Descuento]],TabDescuentosFiscal[],COLUMN(TabDescuentosFiscal[id]),FALSE)</f>
        <v>7</v>
      </c>
      <c r="B11" s="152" t="str">
        <f>VLOOKUP(TabPagosFiscal[[#This Row],[NUM de Descuento]],TabDescuentosFiscal[],COLUMN(TabDescuentosFiscal[Nombre]),FALSE)</f>
        <v>GONZALEZ DURAN EDER</v>
      </c>
      <c r="C11" s="152" t="str">
        <f>VLOOKUP(TabPagosFiscal[[#This Row],[NUM de Descuento]],TabDescuentosFiscal[],COLUMN(TabDescuentosFiscal[Tipo]),FALSE) &amp;": "&amp; VLOOKUP(TabPagosFiscal[[#This Row],[NUM de Descuento]],TabDescuentosFiscal[],COLUMN(TabDescuentosFiscal[Descripcion]),FALSE)</f>
        <v>Otro...: Caso 1</v>
      </c>
      <c r="D11" s="167">
        <f>VLOOKUP(TabPagosFiscal[[#This Row],[NUM de Descuento]],TabDescuentosFiscal[],COLUMN(TabDescuentosFiscal[Saldo pendiente]),FALSE)</f>
        <v>2152</v>
      </c>
      <c r="E11" s="159">
        <f ca="1">TODAY()</f>
        <v>45034</v>
      </c>
      <c r="F11" s="160">
        <v>503</v>
      </c>
      <c r="G11" s="161">
        <v>6</v>
      </c>
    </row>
    <row r="12" spans="1:9" x14ac:dyDescent="0.25">
      <c r="A12" s="149">
        <f>VLOOKUP(TabPagosFiscal[[#This Row],[NUM de Descuento]],TabDescuentosFiscal[],COLUMN(TabDescuentosFiscal[id]),FALSE)</f>
        <v>5</v>
      </c>
      <c r="B12" s="152" t="str">
        <f>VLOOKUP(TabPagosFiscal[[#This Row],[NUM de Descuento]],TabDescuentosFiscal[],COLUMN(TabDescuentosFiscal[Nombre]),FALSE)</f>
        <v>LOPEZ CRUZ LAURA</v>
      </c>
      <c r="C12" s="152" t="str">
        <f>VLOOKUP(TabPagosFiscal[[#This Row],[NUM de Descuento]],TabDescuentosFiscal[],COLUMN(TabDescuentosFiscal[Tipo]),FALSE) &amp;": "&amp; VLOOKUP(TabPagosFiscal[[#This Row],[NUM de Descuento]],TabDescuentosFiscal[],COLUMN(TabDescuentosFiscal[Descripcion]),FALSE)</f>
        <v>Otro...: ---</v>
      </c>
      <c r="D12" s="167">
        <f>VLOOKUP(TabPagosFiscal[[#This Row],[NUM de Descuento]],TabDescuentosFiscal[],COLUMN(TabDescuentosFiscal[Saldo pendiente]),FALSE)</f>
        <v>300</v>
      </c>
      <c r="E12" s="159">
        <f ca="1">TODAY()</f>
        <v>45034</v>
      </c>
      <c r="F12" s="160">
        <v>500</v>
      </c>
      <c r="G12" s="161">
        <v>4</v>
      </c>
    </row>
  </sheetData>
  <sheetProtection sheet="1" objects="1" scenarios="1"/>
  <protectedRanges>
    <protectedRange sqref="G2:G10 G11 G12" name="NumDescuento"/>
    <protectedRange sqref="F2:F10 F11 F12" name="MontoPagp"/>
    <protectedRange sqref="E2:E10 E11 E12" name="FechaPago"/>
  </protectedRanges>
  <dataValidations count="1">
    <dataValidation type="list" allowBlank="1" showInputMessage="1" showErrorMessage="1" sqref="G2:G12" xr:uid="{3991390D-BCBB-424F-B080-666E2B089CDE}">
      <formula1>NUMDescuentoFiscal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3" name="Button 1">
              <controlPr defaultSize="0" print="0" autoFill="0" autoPict="0" macro="[0]!Agregar_PAGOF">
                <anchor moveWithCells="1" sizeWithCells="1">
                  <from>
                    <xdr:col>7</xdr:col>
                    <xdr:colOff>104775</xdr:colOff>
                    <xdr:row>0</xdr:row>
                    <xdr:rowOff>28575</xdr:rowOff>
                  </from>
                  <to>
                    <xdr:col>7</xdr:col>
                    <xdr:colOff>1304925</xdr:colOff>
                    <xdr:row>0</xdr:row>
                    <xdr:rowOff>361950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63A440-B841-43AE-8646-1D7FA44D357B}">
  <sheetPr codeName="Hoja10">
    <tabColor rgb="FF0070C0"/>
  </sheetPr>
  <dimension ref="A1:T77"/>
  <sheetViews>
    <sheetView workbookViewId="0">
      <pane xSplit="2" ySplit="1" topLeftCell="C48" activePane="bottomRight" state="frozen"/>
      <selection pane="topRight" activeCell="C1" sqref="C1"/>
      <selection pane="bottomLeft" activeCell="A2" sqref="A2"/>
      <selection pane="bottomRight" activeCell="M3" sqref="M3"/>
    </sheetView>
  </sheetViews>
  <sheetFormatPr baseColWidth="10" defaultRowHeight="15" x14ac:dyDescent="0.25"/>
  <cols>
    <col min="1" max="1" width="4.7109375" bestFit="1" customWidth="1"/>
    <col min="2" max="2" width="31.7109375" customWidth="1"/>
    <col min="3" max="3" width="10.7109375" bestFit="1" customWidth="1"/>
    <col min="4" max="4" width="14.5703125" customWidth="1"/>
    <col min="5" max="5" width="5.5703125" customWidth="1"/>
    <col min="6" max="6" width="13.7109375" customWidth="1"/>
    <col min="7" max="7" width="11.7109375" customWidth="1"/>
    <col min="8" max="8" width="11.85546875" customWidth="1"/>
    <col min="9" max="9" width="12.28515625" customWidth="1"/>
    <col min="10" max="11" width="13.140625" customWidth="1"/>
    <col min="12" max="12" width="13.85546875" customWidth="1"/>
    <col min="13" max="13" width="25.7109375" customWidth="1"/>
    <col min="14" max="14" width="11.28515625" bestFit="1" customWidth="1"/>
    <col min="15" max="15" width="12.28515625" bestFit="1" customWidth="1"/>
    <col min="16" max="16" width="17.140625" customWidth="1"/>
    <col min="17" max="17" width="12.28515625" customWidth="1"/>
    <col min="18" max="18" width="12.5703125" customWidth="1"/>
    <col min="19" max="20" width="11.5703125" hidden="1" customWidth="1"/>
  </cols>
  <sheetData>
    <row r="1" spans="1:20" s="168" customFormat="1" ht="25.15" customHeight="1" thickBot="1" x14ac:dyDescent="0.3">
      <c r="A1" s="354" t="s">
        <v>349</v>
      </c>
      <c r="B1" s="355"/>
      <c r="C1" s="355"/>
      <c r="D1" s="355"/>
      <c r="E1" s="355"/>
      <c r="F1" s="355"/>
      <c r="G1" s="355"/>
      <c r="H1" s="355"/>
      <c r="I1" s="355"/>
      <c r="J1" s="355"/>
      <c r="K1" s="355"/>
      <c r="L1" s="355"/>
      <c r="M1" s="355"/>
      <c r="N1" s="355"/>
      <c r="O1" s="355"/>
      <c r="P1" s="356"/>
      <c r="Q1" s="240">
        <v>1</v>
      </c>
      <c r="R1" s="241" t="s">
        <v>409</v>
      </c>
    </row>
    <row r="2" spans="1:20" s="169" customFormat="1" ht="45.6" customHeight="1" x14ac:dyDescent="0.25">
      <c r="A2" s="205" t="s">
        <v>322</v>
      </c>
      <c r="B2" s="151" t="s">
        <v>0</v>
      </c>
      <c r="C2" s="151" t="s">
        <v>344</v>
      </c>
      <c r="D2" s="151" t="s">
        <v>360</v>
      </c>
      <c r="E2" s="151" t="s">
        <v>279</v>
      </c>
      <c r="F2" s="206" t="s">
        <v>231</v>
      </c>
      <c r="G2" s="151" t="s">
        <v>334</v>
      </c>
      <c r="H2" s="151" t="s">
        <v>352</v>
      </c>
      <c r="I2" s="151" t="s">
        <v>391</v>
      </c>
      <c r="J2" s="151" t="s">
        <v>390</v>
      </c>
      <c r="K2" s="151" t="s">
        <v>384</v>
      </c>
      <c r="L2" s="151" t="s">
        <v>341</v>
      </c>
      <c r="M2" s="166" t="s">
        <v>342</v>
      </c>
      <c r="N2" s="151" t="s">
        <v>365</v>
      </c>
      <c r="O2" s="151" t="s">
        <v>366</v>
      </c>
      <c r="P2" s="234" t="s">
        <v>353</v>
      </c>
      <c r="Q2" s="151" t="s">
        <v>408</v>
      </c>
      <c r="R2" s="151" t="s">
        <v>364</v>
      </c>
      <c r="S2" s="151" t="s">
        <v>368</v>
      </c>
      <c r="T2" s="151" t="s">
        <v>369</v>
      </c>
    </row>
    <row r="3" spans="1:20" x14ac:dyDescent="0.25">
      <c r="A3" s="176">
        <v>1</v>
      </c>
      <c r="B3" t="str" cm="1">
        <f t="array" ref="B3">VLOOKUP(TabDesSalariosFiscal[[#This Row],[id]],TabEmpleados[],COLUMN(TabEmpleados[Nombre]),FALSE)</f>
        <v>RUIZ OLMEDO ALEJANDRO AMADO</v>
      </c>
      <c r="C3" s="148" cm="1">
        <f t="array" ref="C3">IF(VLOOKUP(TabDesSalariosFiscal[[#This Row],[id]],TabEmpleados[],COLUMN(TabEmpleados[Fecha de alta NSS]),FALSE)&lt;&gt;"",
VLOOKUP(TabDesSalariosFiscal[[#This Row],[id]],TabAsistencias[],COLUMN(TabAsistencias[''Total de dias laborados]),FALSE),
0)</f>
        <v>73</v>
      </c>
      <c r="D3" s="179" cm="1">
        <f t="array" ref="D3">(VLOOKUP(TabDesSalariosFiscal[[#This Row],[id]],TabEmpleados[],COLUMN(TabEmpleados[SD Fiscal]),FALSE))*
TabDesSalariosFiscal[[#This Row],[Dias Lab.]]</f>
        <v>133225</v>
      </c>
      <c r="E3" s="180" cm="1">
        <f t="array" ref="E3">IF(VLOOKUP(TabDesSalariosFiscal[[#This Row],[id]],TabEmpleados[],COLUMN(TabEmpleados[Fecha de alta NSS]),FALSE)&lt;&gt;"",
IF(DATEDIF((VLOOKUP(TabDesSalariosFiscal[[#This Row],[id]],TabEmpleados[],COLUMN(TabEmpleados[Fecha de alta NSS]),FALSE)),'Tablas de informacion'!N$8,"Y")=0,1,
DATEDIF((VLOOKUP(TabDesSalariosFiscal[[#This Row],[id]],TabEmpleados[],COLUMN(TabEmpleados[Fecha de alta NSS]),FALSE)),'Tablas de informacion'!N$8,"Y")),0)</f>
        <v>1</v>
      </c>
      <c r="F3" s="181" cm="1">
        <f t="array" ref="F3">IFERROR((VLOOKUP(TabDesSalariosFiscal[[#This Row],[id]],TabEmpleados[],COLUMN(TabEmpleados[SD Fiscal]),FALSE))*
(VLOOKUP(TabDesSalariosFiscal[[#This Row],[Años]],TabFactorIntegracion[],COLUMN(TabFactorIntegracion[% de prima 
vacacional y dominical]),FALSE))*
IF((VLOOKUP(TabDesSalariosFiscal[[#This Row],[id]],TabAsistencias[],COLUMN(TabAsistencias[''Prima dominical]),FALSE))&lt;DominicalFiscal,(VLOOKUP(TabDesSalariosFiscal[[#This Row],[id]],TabAsistencias[],COLUMN(TabAsistencias[''Total de dias laborados]),FALSE)),DominicalFiscal)*
(VLOOKUP((VLOOKUP(TabDesSalariosFiscal[[#This Row],[id]],TabEmpleados[],COLUMN(TabEmpleados[Puesto]),FALSE)),TabPuestos[],COLUMN(TabPuestos[PRIMA DOMINICAL]),FALSE)),0)</f>
        <v>0</v>
      </c>
      <c r="G3" s="182" cm="1">
        <f t="array" ref="G3">IFERROR((VLOOKUP(TabDesSalariosFiscal[[#This Row],[id]],TabEmpleados[],COLUMN(TabEmpleados[SD Fiscal]),FALSE))*
(VLOOKUP(TabDesSalariosFiscal[[#This Row],[Años]],TabFactorIntegracion[],COLUMN(TabFactorIntegracion[% de prima 
vacacional y dominical]),FALSE))*
((VLOOKUP(TabDesSalariosFiscal[[#This Row],[id]],TabAsistencias[],COLUMN(TabAsistencias[''V]),FALSE))),0)</f>
        <v>0</v>
      </c>
      <c r="H3" s="183" cm="1">
        <f t="array" ref="H3">IFERROR(VLOOKUP(TabDesSalariosFiscal[[#This Row],[id]],TabCuotasIMSS[],COLUMN(TabCuotasIMSS[S.B.C./S.D.I.]),FALSE),0)</f>
        <v>1915</v>
      </c>
      <c r="I3" s="184">
        <f>IFERROR(TabDesSalariosFiscal[[#This Row],[S.B.C]]*Bono*TabDesSalariosFiscal[[#This Row],[Dias Lab.]],0)</f>
        <v>13979.5</v>
      </c>
      <c r="J3" s="184">
        <f>IFERROR(TabDesSalariosFiscal[[#This Row],[S.B.C]]*Bono*TabDesSalariosFiscal[[#This Row],[Dias Lab.]],0)</f>
        <v>13979.5</v>
      </c>
      <c r="K3" s="232" cm="1">
        <f t="array" ref="K3">(VLOOKUP(TabDesSalariosFiscal[[#This Row],[id]],TabEmpleados[],COLUMN(TabEmpleados[SD Fiscal]),FALSE))*(VLOOKUP(TabDesSalariosFiscal[[#This Row],[id]],TabAsistencias[],COLUMN(TabAsistencias[''DF]),FALSE))*2</f>
        <v>0</v>
      </c>
      <c r="L3" s="185">
        <f>-1*(SUMIFS(TabPagosFiscal[Monto de pago],TabPagosFiscal[id],TabDesSalariosFiscal[[#This Row],[id]],TabPagosFiscal[Fecha de pago],"&gt;="&amp;Asistencias!$B$2,TabPagosFiscal[Fecha de pago],"&lt;"&amp;Asistencias!$B$3))</f>
        <v>0</v>
      </c>
      <c r="M3" t="str" cm="1">
        <f t="array" ref="M3">getDescripcion(TabDesSalariosFiscal[[#This Row],[id]],"Descuentos-PagosFiscal","TabPagosFiscal",Asistencias!$B$2,Asistencias!$B$3)</f>
        <v/>
      </c>
      <c r="N3" s="186" cm="1">
        <f t="array" ref="N3">IFERROR(-1*(VLOOKUP(TabDesSalariosFiscal[[#This Row],[id]],TabCuotasIMSS[],COLUMN(TabCuotasIMSS[TOTAL
OBRERO19]),FALSE)),0)</f>
        <v>-3795.0225299999997</v>
      </c>
      <c r="O3" s="187" cm="1">
        <f t="array" ref="O3">IFERROR(-1*(VLOOKUP(TabDesSalariosFiscal[[#This Row],[id]],TabImpuestos[],COLUMN(TabImpuestos[Total ISR]),FALSE)),0)</f>
        <v>-49908.152600000001</v>
      </c>
      <c r="P3" s="188">
        <f>IFERROR(TabDesSalariosFiscal[[#This Row],[Subtotal Fiscal]]+TabDesSalariosFiscal[[#This Row],[Prima dominical]]+TabDesSalariosFiscal[[#This Row],[Prima vacacional]]+TabDesSalariosFiscal[[#This Row],[Bono Asistencia]]+TabDesSalariosFiscal[[#This Row],[Bono Puntualidad]]+TabDesSalariosFiscal[[#This Row],[Dia Festivo/ Descanso]]+TabDesSalariosFiscal[[#This Row],[Descuentos]]+TabDesSalariosFiscal[[#This Row],[IMSS]]+TabDesSalariosFiscal[[#This Row],[ISR]],0)</f>
        <v>107480.82487000001</v>
      </c>
      <c r="Q3" s="187" cm="1">
        <f t="array" ref="Q3">IFERROR(IF('Desglose Salarios Fiscal'!$Q$1=1,-1*(IF((VLOOKUP(TabDesSalariosFiscal[[#This Row],[id]],TabImpuestos[],COLUMN(TabImpuestos[ISR de Aguinaldo 1]),FALSE))&lt;0,0,(VLOOKUP(TabDesSalariosFiscal[[#This Row],[id]],TabImpuestos[],COLUMN(TabImpuestos[ISR de Aguinaldo 1]),FALSE)))),0),0)</f>
        <v>-8198.9717999999993</v>
      </c>
      <c r="R3" s="55" cm="1">
        <f t="array" ref="R3">IFERROR(IF('Desglose Salarios Fiscal'!$Q$1=1,(VLOOKUP(TabDesSalariosFiscal[[#This Row],[id]],TabEmpleados[],COLUMN(TabEmpleados[SD Fiscal]),FALSE)*TabDesSalariosFiscal[[#This Row],[Dias de aguinaldo fiscal2]])+TabDesSalariosFiscal[[#This Row],[ISR Aguinaldo]],0),0)</f>
        <v>19176.028200000001</v>
      </c>
      <c r="S3" cm="1">
        <f t="array" ref="S3">IF(YEAR(VLOOKUP(TabDesSalariosFiscal[[#This Row],[id]],TabEmpleados[],COLUMN(TabEmpleados[Fecha de alta NSS]),FALSE))&lt;AñoActual,'Tablas de informacion'!$N$13,_xlfn.DAYS(DATE(AñoActual+1,MONTH(1),DAY(1))-DAY(1),(VLOOKUP(TabDesSalariosFiscal[[#This Row],[id]],TabEmpleados[],COLUMN(TabEmpleados[Fecha de alta NSS]),FALSE))))</f>
        <v>365</v>
      </c>
      <c r="T3" cm="1">
        <f t="array" ref="T3">IFERROR(TabDesSalariosFiscal[[#This Row],[Dias de aguinaldo Fiscal1]]*VLOOKUP(TabDesSalariosFiscal[[#This Row],[Años]],TabFactorIntegracion[],COLUMN(TabFactorIntegracion[Días de
aguinaldo]),FALSE)/'Tablas de informacion'!$N$13,0)</f>
        <v>15</v>
      </c>
    </row>
    <row r="4" spans="1:20" x14ac:dyDescent="0.25">
      <c r="A4" s="176">
        <v>2</v>
      </c>
      <c r="B4" t="str" cm="1">
        <f t="array" ref="B4">VLOOKUP(TabDesSalariosFiscal[[#This Row],[id]],TabEmpleados[],COLUMN(TabEmpleados[Nombre]),FALSE)</f>
        <v>RUIZ OLMEDO MARCO ANTONIO</v>
      </c>
      <c r="C4" s="148" cm="1">
        <f t="array" ref="C4">IF(VLOOKUP(TabDesSalariosFiscal[[#This Row],[id]],TabEmpleados[],COLUMN(TabEmpleados[Fecha de alta NSS]),FALSE)&lt;&gt;"",
VLOOKUP(TabDesSalariosFiscal[[#This Row],[id]],TabAsistencias[],COLUMN(TabAsistencias[''Total de dias laborados]),FALSE),
0)</f>
        <v>73</v>
      </c>
      <c r="D4" s="179" cm="1">
        <f t="array" ref="D4">(VLOOKUP(TabDesSalariosFiscal[[#This Row],[id]],TabEmpleados[],COLUMN(TabEmpleados[SD Fiscal]),FALSE))*
TabDesSalariosFiscal[[#This Row],[Dias Lab.]]</f>
        <v>133225</v>
      </c>
      <c r="E4" s="180" cm="1">
        <f t="array" ref="E4">IF(VLOOKUP(TabDesSalariosFiscal[[#This Row],[id]],TabEmpleados[],COLUMN(TabEmpleados[Fecha de alta NSS]),FALSE)&lt;&gt;"",
IF(DATEDIF((VLOOKUP(TabDesSalariosFiscal[[#This Row],[id]],TabEmpleados[],COLUMN(TabEmpleados[Fecha de alta NSS]),FALSE)),'Tablas de informacion'!N$8,"Y")=0,1,
DATEDIF((VLOOKUP(TabDesSalariosFiscal[[#This Row],[id]],TabEmpleados[],COLUMN(TabEmpleados[Fecha de alta NSS]),FALSE)),'Tablas de informacion'!N$8,"Y")),0)</f>
        <v>5</v>
      </c>
      <c r="F4" s="181" cm="1">
        <f t="array" ref="F4">IFERROR((VLOOKUP(TabDesSalariosFiscal[[#This Row],[id]],TabEmpleados[],COLUMN(TabEmpleados[SD Fiscal]),FALSE))*
(VLOOKUP(TabDesSalariosFiscal[[#This Row],[Años]],TabFactorIntegracion[],COLUMN(TabFactorIntegracion[% de prima 
vacacional y dominical]),FALSE))*
IF((VLOOKUP(TabDesSalariosFiscal[[#This Row],[id]],TabAsistencias[],COLUMN(TabAsistencias[''Prima dominical]),FALSE))&lt;DominicalFiscal,(VLOOKUP(TabDesSalariosFiscal[[#This Row],[id]],TabAsistencias[],COLUMN(TabAsistencias[''Total de dias laborados]),FALSE)),DominicalFiscal)*
(VLOOKUP((VLOOKUP(TabDesSalariosFiscal[[#This Row],[id]],TabEmpleados[],COLUMN(TabEmpleados[Puesto]),FALSE)),TabPuestos[],COLUMN(TabPuestos[PRIMA DOMINICAL]),FALSE)),0)</f>
        <v>0</v>
      </c>
      <c r="G4" s="182" cm="1">
        <f t="array" ref="G4">IFERROR((VLOOKUP(TabDesSalariosFiscal[[#This Row],[id]],TabEmpleados[],COLUMN(TabEmpleados[SD Fiscal]),FALSE))*
(VLOOKUP(TabDesSalariosFiscal[[#This Row],[Años]],TabFactorIntegracion[],COLUMN(TabFactorIntegracion[% de prima 
vacacional y dominical]),FALSE))*
((VLOOKUP(TabDesSalariosFiscal[[#This Row],[id]],TabAsistencias[],COLUMN(TabAsistencias[''V]),FALSE))),0)</f>
        <v>0</v>
      </c>
      <c r="H4" s="183" cm="1">
        <f t="array" ref="H4">IFERROR(VLOOKUP(TabDesSalariosFiscal[[#This Row],[id]],TabCuotasIMSS[],COLUMN(TabCuotasIMSS[S.B.C./S.D.I.]),FALSE),0)</f>
        <v>2077.0225</v>
      </c>
      <c r="I4" s="184">
        <f>IFERROR(TabDesSalariosFiscal[[#This Row],[S.B.C]]*Bono*TabDesSalariosFiscal[[#This Row],[Dias Lab.]],0)</f>
        <v>15162.264250000002</v>
      </c>
      <c r="J4" s="184">
        <f>IFERROR(TabDesSalariosFiscal[[#This Row],[S.B.C]]*Bono*TabDesSalariosFiscal[[#This Row],[Dias Lab.]],0)</f>
        <v>15162.264250000002</v>
      </c>
      <c r="K4" s="232" cm="1">
        <f t="array" ref="K4">(VLOOKUP(TabDesSalariosFiscal[[#This Row],[id]],TabEmpleados[],COLUMN(TabEmpleados[SD Fiscal]),FALSE))*(VLOOKUP(TabDesSalariosFiscal[[#This Row],[id]],TabAsistencias[],COLUMN(TabAsistencias[''DF]),FALSE))*2</f>
        <v>0</v>
      </c>
      <c r="L4" s="185">
        <f>-1*(SUMIFS(TabPagosFiscal[Monto de pago],TabPagosFiscal[id],TabDesSalariosFiscal[[#This Row],[id]],TabPagosFiscal[Fecha de pago],"&gt;="&amp;Asistencias!$B$2,TabPagosFiscal[Fecha de pago],"&lt;"&amp;Asistencias!$B$3))</f>
        <v>0</v>
      </c>
      <c r="M4" t="str" cm="1">
        <f t="array" ref="M4">getDescripcion(TabDesSalariosFiscal[[#This Row],[id]],"Descuentos-PagosFiscal","TabPagosFiscal",Asistencias!$B$2,Asistencias!$B$3)</f>
        <v/>
      </c>
      <c r="N4" s="186" cm="1">
        <f t="array" ref="N4">IFERROR(-1*(VLOOKUP(TabDesSalariosFiscal[[#This Row],[id]],TabCuotasIMSS[],COLUMN(TabCuotasIMSS[TOTAL
OBRERO19]),FALSE)),0)</f>
        <v>-4123.2396093750003</v>
      </c>
      <c r="O4" s="187" cm="1">
        <f t="array" ref="O4">IFERROR(-1*(VLOOKUP(TabDesSalariosFiscal[[#This Row],[id]],TabImpuestos[],COLUMN(TabImpuestos[Total ISR]),FALSE)),0)</f>
        <v>-50712.432290000012</v>
      </c>
      <c r="P4" s="188">
        <f>IFERROR(TabDesSalariosFiscal[[#This Row],[Subtotal Fiscal]]+TabDesSalariosFiscal[[#This Row],[Prima dominical]]+TabDesSalariosFiscal[[#This Row],[Prima vacacional]]+TabDesSalariosFiscal[[#This Row],[Bono Asistencia]]+TabDesSalariosFiscal[[#This Row],[Bono Puntualidad]]+TabDesSalariosFiscal[[#This Row],[Dia Festivo/ Descanso]]+TabDesSalariosFiscal[[#This Row],[Descuentos]]+TabDesSalariosFiscal[[#This Row],[IMSS]]+TabDesSalariosFiscal[[#This Row],[ISR]],0)</f>
        <v>108713.85660062499</v>
      </c>
      <c r="Q4" s="187" cm="1">
        <f t="array" ref="Q4">IFERROR(IF('Desglose Salarios Fiscal'!$Q$1=1,-1*(IF((VLOOKUP(TabDesSalariosFiscal[[#This Row],[id]],TabImpuestos[],COLUMN(TabImpuestos[ISR de Aguinaldo 1]),FALSE))&lt;0,0,(VLOOKUP(TabDesSalariosFiscal[[#This Row],[id]],TabImpuestos[],COLUMN(TabImpuestos[ISR de Aguinaldo 1]),FALSE)))),0),0)</f>
        <v>-8198.9717999999993</v>
      </c>
      <c r="R4" s="55" cm="1">
        <f t="array" ref="R4">IFERROR(IF('Desglose Salarios Fiscal'!$Q$1=1,(VLOOKUP(TabDesSalariosFiscal[[#This Row],[id]],TabEmpleados[],COLUMN(TabEmpleados[SD Fiscal]),FALSE)*TabDesSalariosFiscal[[#This Row],[Dias de aguinaldo fiscal2]])+TabDesSalariosFiscal[[#This Row],[ISR Aguinaldo]],0),0)</f>
        <v>19176.028200000001</v>
      </c>
      <c r="S4" cm="1">
        <f t="array" ref="S4">IF(YEAR(VLOOKUP(TabDesSalariosFiscal[[#This Row],[id]],TabEmpleados[],COLUMN(TabEmpleados[Fecha de alta NSS]),FALSE))&lt;AñoActual,'Tablas de informacion'!$N$13,_xlfn.DAYS(DATE(AñoActual+1,MONTH(1),DAY(1))-DAY(1),(VLOOKUP(TabDesSalariosFiscal[[#This Row],[id]],TabEmpleados[],COLUMN(TabEmpleados[Fecha de alta NSS]),FALSE))))</f>
        <v>365</v>
      </c>
      <c r="T4" cm="1">
        <f t="array" ref="T4">IFERROR(TabDesSalariosFiscal[[#This Row],[Dias de aguinaldo Fiscal1]]*VLOOKUP(TabDesSalariosFiscal[[#This Row],[Años]],TabFactorIntegracion[],COLUMN(TabFactorIntegracion[Días de
aguinaldo]),FALSE)/'Tablas de informacion'!$N$13,0)</f>
        <v>15</v>
      </c>
    </row>
    <row r="5" spans="1:20" x14ac:dyDescent="0.25">
      <c r="A5" s="176">
        <v>3</v>
      </c>
      <c r="B5" t="str" cm="1">
        <f t="array" ref="B5">VLOOKUP(TabDesSalariosFiscal[[#This Row],[id]],TabEmpleados[],COLUMN(TabEmpleados[Nombre]),FALSE)</f>
        <v xml:space="preserve">GALAN SANCHEZ BRENDA LETICIA </v>
      </c>
      <c r="C5" s="148" cm="1">
        <f t="array" ref="C5">IF(VLOOKUP(TabDesSalariosFiscal[[#This Row],[id]],TabEmpleados[],COLUMN(TabEmpleados[Fecha de alta NSS]),FALSE)&lt;&gt;"",
VLOOKUP(TabDesSalariosFiscal[[#This Row],[id]],TabAsistencias[],COLUMN(TabAsistencias[''Total de dias laborados]),FALSE),
0)</f>
        <v>73</v>
      </c>
      <c r="D5" s="179" cm="1">
        <f t="array" ref="D5">(VLOOKUP(TabDesSalariosFiscal[[#This Row],[id]],TabEmpleados[],COLUMN(TabEmpleados[SD Fiscal]),FALSE))*
TabDesSalariosFiscal[[#This Row],[Dias Lab.]]</f>
        <v>18980</v>
      </c>
      <c r="E5" s="180" cm="1">
        <f t="array" ref="E5">IF(VLOOKUP(TabDesSalariosFiscal[[#This Row],[id]],TabEmpleados[],COLUMN(TabEmpleados[Fecha de alta NSS]),FALSE)&lt;&gt;"",
IF(DATEDIF((VLOOKUP(TabDesSalariosFiscal[[#This Row],[id]],TabEmpleados[],COLUMN(TabEmpleados[Fecha de alta NSS]),FALSE)),'Tablas de informacion'!N$8,"Y")=0,1,
DATEDIF((VLOOKUP(TabDesSalariosFiscal[[#This Row],[id]],TabEmpleados[],COLUMN(TabEmpleados[Fecha de alta NSS]),FALSE)),'Tablas de informacion'!N$8,"Y")),0)</f>
        <v>2</v>
      </c>
      <c r="F5" s="181" cm="1">
        <f t="array" ref="F5">IFERROR((VLOOKUP(TabDesSalariosFiscal[[#This Row],[id]],TabEmpleados[],COLUMN(TabEmpleados[SD Fiscal]),FALSE))*
(VLOOKUP(TabDesSalariosFiscal[[#This Row],[Años]],TabFactorIntegracion[],COLUMN(TabFactorIntegracion[% de prima 
vacacional y dominical]),FALSE))*
IF((VLOOKUP(TabDesSalariosFiscal[[#This Row],[id]],TabAsistencias[],COLUMN(TabAsistencias[''Prima dominical]),FALSE))&lt;DominicalFiscal,(VLOOKUP(TabDesSalariosFiscal[[#This Row],[id]],TabAsistencias[],COLUMN(TabAsistencias[''Total de dias laborados]),FALSE)),DominicalFiscal)*
(VLOOKUP((VLOOKUP(TabDesSalariosFiscal[[#This Row],[id]],TabEmpleados[],COLUMN(TabEmpleados[Puesto]),FALSE)),TabPuestos[],COLUMN(TabPuestos[PRIMA DOMINICAL]),FALSE)),0)</f>
        <v>0</v>
      </c>
      <c r="G5" s="182" cm="1">
        <f t="array" ref="G5">IFERROR((VLOOKUP(TabDesSalariosFiscal[[#This Row],[id]],TabEmpleados[],COLUMN(TabEmpleados[SD Fiscal]),FALSE))*
(VLOOKUP(TabDesSalariosFiscal[[#This Row],[Años]],TabFactorIntegracion[],COLUMN(TabFactorIntegracion[% de prima 
vacacional y dominical]),FALSE))*
((VLOOKUP(TabDesSalariosFiscal[[#This Row],[id]],TabAsistencias[],COLUMN(TabAsistencias[''V]),FALSE))),0)</f>
        <v>0</v>
      </c>
      <c r="H5" s="183" cm="1">
        <f t="array" ref="H5">IFERROR(VLOOKUP(TabDesSalariosFiscal[[#This Row],[id]],TabCuotasIMSS[],COLUMN(TabCuotasIMSS[S.B.C./S.D.I.]),FALSE),0)</f>
        <v>273.17808219178085</v>
      </c>
      <c r="I5" s="184">
        <f>IFERROR(TabDesSalariosFiscal[[#This Row],[S.B.C]]*Bono*TabDesSalariosFiscal[[#This Row],[Dias Lab.]],0)</f>
        <v>1994.2000000000003</v>
      </c>
      <c r="J5" s="184">
        <f>IFERROR(TabDesSalariosFiscal[[#This Row],[S.B.C]]*Bono*TabDesSalariosFiscal[[#This Row],[Dias Lab.]],0)</f>
        <v>1994.2000000000003</v>
      </c>
      <c r="K5" s="232" cm="1">
        <f t="array" ref="K5">(VLOOKUP(TabDesSalariosFiscal[[#This Row],[id]],TabEmpleados[],COLUMN(TabEmpleados[SD Fiscal]),FALSE))*(VLOOKUP(TabDesSalariosFiscal[[#This Row],[id]],TabAsistencias[],COLUMN(TabAsistencias[''DF]),FALSE))*2</f>
        <v>0</v>
      </c>
      <c r="L5" s="185">
        <f>-1*(SUMIFS(TabPagosFiscal[Monto de pago],TabPagosFiscal[id],TabDesSalariosFiscal[[#This Row],[id]],TabPagosFiscal[Fecha de pago],"&gt;="&amp;Asistencias!$B$2,TabPagosFiscal[Fecha de pago],"&lt;"&amp;Asistencias!$B$3))</f>
        <v>0</v>
      </c>
      <c r="M5" t="str" cm="1">
        <f t="array" ref="M5">getDescripcion(TabDesSalariosFiscal[[#This Row],[id]],"Descuentos-PagosFiscal","TabPagosFiscal",Asistencias!$B$2,Asistencias!$B$3)</f>
        <v/>
      </c>
      <c r="N5" s="186" cm="1">
        <f t="array" ref="N5">IFERROR(-1*(VLOOKUP(TabDesSalariosFiscal[[#This Row],[id]],TabCuotasIMSS[],COLUMN(TabCuotasIMSS[TOTAL
OBRERO19]),FALSE)),0)</f>
        <v>-473.6225</v>
      </c>
      <c r="O5" s="187" cm="1">
        <f t="array" ref="O5">IFERROR(-1*(VLOOKUP(TabDesSalariosFiscal[[#This Row],[id]],TabImpuestos[],COLUMN(TabImpuestos[Total ISR]),FALSE)),0)</f>
        <v>-4246.224768</v>
      </c>
      <c r="P5" s="188">
        <f>IFERROR(TabDesSalariosFiscal[[#This Row],[Subtotal Fiscal]]+TabDesSalariosFiscal[[#This Row],[Prima dominical]]+TabDesSalariosFiscal[[#This Row],[Prima vacacional]]+TabDesSalariosFiscal[[#This Row],[Bono Asistencia]]+TabDesSalariosFiscal[[#This Row],[Bono Puntualidad]]+TabDesSalariosFiscal[[#This Row],[Dia Festivo/ Descanso]]+TabDesSalariosFiscal[[#This Row],[Descuentos]]+TabDesSalariosFiscal[[#This Row],[IMSS]]+TabDesSalariosFiscal[[#This Row],[ISR]],0)</f>
        <v>18248.552732</v>
      </c>
      <c r="Q5" s="187" cm="1">
        <f t="array" ref="Q5">IFERROR(IF('Desglose Salarios Fiscal'!$Q$1=1,-1*(IF((VLOOKUP(TabDesSalariosFiscal[[#This Row],[id]],TabImpuestos[],COLUMN(TabImpuestos[ISR de Aguinaldo 1]),FALSE))&lt;0,0,(VLOOKUP(TabDesSalariosFiscal[[#This Row],[id]],TabImpuestos[],COLUMN(TabImpuestos[ISR de Aguinaldo 1]),FALSE)))),0),0)</f>
        <v>-216.46224000000007</v>
      </c>
      <c r="R5" s="55" cm="1">
        <f t="array" ref="R5">IFERROR(IF('Desglose Salarios Fiscal'!$Q$1=1,(VLOOKUP(TabDesSalariosFiscal[[#This Row],[id]],TabEmpleados[],COLUMN(TabEmpleados[SD Fiscal]),FALSE)*TabDesSalariosFiscal[[#This Row],[Dias de aguinaldo fiscal2]])+TabDesSalariosFiscal[[#This Row],[ISR Aguinaldo]],0),0)</f>
        <v>3683.5377600000002</v>
      </c>
      <c r="S5" cm="1">
        <f t="array" ref="S5">IF(YEAR(VLOOKUP(TabDesSalariosFiscal[[#This Row],[id]],TabEmpleados[],COLUMN(TabEmpleados[Fecha de alta NSS]),FALSE))&lt;AñoActual,'Tablas de informacion'!$N$13,_xlfn.DAYS(DATE(AñoActual+1,MONTH(1),DAY(1))-DAY(1),(VLOOKUP(TabDesSalariosFiscal[[#This Row],[id]],TabEmpleados[],COLUMN(TabEmpleados[Fecha de alta NSS]),FALSE))))</f>
        <v>365</v>
      </c>
      <c r="T5" cm="1">
        <f t="array" ref="T5">IFERROR(TabDesSalariosFiscal[[#This Row],[Dias de aguinaldo Fiscal1]]*VLOOKUP(TabDesSalariosFiscal[[#This Row],[Años]],TabFactorIntegracion[],COLUMN(TabFactorIntegracion[Días de
aguinaldo]),FALSE)/'Tablas de informacion'!$N$13,0)</f>
        <v>15</v>
      </c>
    </row>
    <row r="6" spans="1:20" x14ac:dyDescent="0.25">
      <c r="A6" s="176">
        <v>4</v>
      </c>
      <c r="B6" t="str" cm="1">
        <f t="array" ref="B6">VLOOKUP(TabDesSalariosFiscal[[#This Row],[id]],TabEmpleados[],COLUMN(TabEmpleados[Nombre]),FALSE)</f>
        <v>HERNANDEZ MORALES CITLALI ITZEL</v>
      </c>
      <c r="C6" s="148" cm="1">
        <f t="array" ref="C6">IF(VLOOKUP(TabDesSalariosFiscal[[#This Row],[id]],TabEmpleados[],COLUMN(TabEmpleados[Fecha de alta NSS]),FALSE)&lt;&gt;"",
VLOOKUP(TabDesSalariosFiscal[[#This Row],[id]],TabAsistencias[],COLUMN(TabAsistencias[''Total de dias laborados]),FALSE),
0)</f>
        <v>72</v>
      </c>
      <c r="D6" s="179" cm="1">
        <f t="array" ref="D6">(VLOOKUP(TabDesSalariosFiscal[[#This Row],[id]],TabEmpleados[],COLUMN(TabEmpleados[SD Fiscal]),FALSE))*
TabDesSalariosFiscal[[#This Row],[Dias Lab.]]</f>
        <v>15031.44</v>
      </c>
      <c r="E6" s="180" cm="1">
        <f t="array" ref="E6">IF(VLOOKUP(TabDesSalariosFiscal[[#This Row],[id]],TabEmpleados[],COLUMN(TabEmpleados[Fecha de alta NSS]),FALSE)&lt;&gt;"",
IF(DATEDIF((VLOOKUP(TabDesSalariosFiscal[[#This Row],[id]],TabEmpleados[],COLUMN(TabEmpleados[Fecha de alta NSS]),FALSE)),'Tablas de informacion'!N$8,"Y")=0,1,
DATEDIF((VLOOKUP(TabDesSalariosFiscal[[#This Row],[id]],TabEmpleados[],COLUMN(TabEmpleados[Fecha de alta NSS]),FALSE)),'Tablas de informacion'!N$8,"Y")),0)</f>
        <v>1</v>
      </c>
      <c r="F6" s="181" cm="1">
        <f t="array" ref="F6">IFERROR((VLOOKUP(TabDesSalariosFiscal[[#This Row],[id]],TabEmpleados[],COLUMN(TabEmpleados[SD Fiscal]),FALSE))*
(VLOOKUP(TabDesSalariosFiscal[[#This Row],[Años]],TabFactorIntegracion[],COLUMN(TabFactorIntegracion[% de prima 
vacacional y dominical]),FALSE))*
IF((VLOOKUP(TabDesSalariosFiscal[[#This Row],[id]],TabAsistencias[],COLUMN(TabAsistencias[''Prima dominical]),FALSE))&lt;DominicalFiscal,(VLOOKUP(TabDesSalariosFiscal[[#This Row],[id]],TabAsistencias[],COLUMN(TabAsistencias[''Total de dias laborados]),FALSE)),DominicalFiscal)*
(VLOOKUP((VLOOKUP(TabDesSalariosFiscal[[#This Row],[id]],TabEmpleados[],COLUMN(TabEmpleados[Puesto]),FALSE)),TabPuestos[],COLUMN(TabPuestos[PRIMA DOMINICAL]),FALSE)),0)</f>
        <v>0</v>
      </c>
      <c r="G6" s="182" cm="1">
        <f t="array" ref="G6">IFERROR((VLOOKUP(TabDesSalariosFiscal[[#This Row],[id]],TabEmpleados[],COLUMN(TabEmpleados[SD Fiscal]),FALSE))*
(VLOOKUP(TabDesSalariosFiscal[[#This Row],[Años]],TabFactorIntegracion[],COLUMN(TabFactorIntegracion[% de prima 
vacacional y dominical]),FALSE))*
((VLOOKUP(TabDesSalariosFiscal[[#This Row],[id]],TabAsistencias[],COLUMN(TabAsistencias[''V]),FALSE))),0)</f>
        <v>0</v>
      </c>
      <c r="H6" s="183" cm="1">
        <f t="array" ref="H6">IFERROR(VLOOKUP(TabDesSalariosFiscal[[#This Row],[id]],TabCuotasIMSS[],COLUMN(TabCuotasIMSS[S.B.C./S.D.I.]),FALSE),0)</f>
        <v>236.4560478493151</v>
      </c>
      <c r="I6" s="184">
        <f>IFERROR(TabDesSalariosFiscal[[#This Row],[S.B.C]]*Bono*TabDesSalariosFiscal[[#This Row],[Dias Lab.]],0)</f>
        <v>1702.4835445150688</v>
      </c>
      <c r="J6" s="184">
        <f>IFERROR(TabDesSalariosFiscal[[#This Row],[S.B.C]]*Bono*TabDesSalariosFiscal[[#This Row],[Dias Lab.]],0)</f>
        <v>1702.4835445150688</v>
      </c>
      <c r="K6" s="232" cm="1">
        <f t="array" ref="K6">(VLOOKUP(TabDesSalariosFiscal[[#This Row],[id]],TabEmpleados[],COLUMN(TabEmpleados[SD Fiscal]),FALSE))*(VLOOKUP(TabDesSalariosFiscal[[#This Row],[id]],TabAsistencias[],COLUMN(TabAsistencias[''DF]),FALSE))*2</f>
        <v>0</v>
      </c>
      <c r="L6" s="185">
        <f>-1*(SUMIFS(TabPagosFiscal[Monto de pago],TabPagosFiscal[id],TabDesSalariosFiscal[[#This Row],[id]],TabPagosFiscal[Fecha de pago],"&gt;="&amp;Asistencias!$B$2,TabPagosFiscal[Fecha de pago],"&lt;"&amp;Asistencias!$B$3))</f>
        <v>0</v>
      </c>
      <c r="M6" t="str" cm="1">
        <f t="array" ref="M6">getDescripcion(TabDesSalariosFiscal[[#This Row],[id]],"Descuentos-PagosFiscal","TabPagosFiscal",Asistencias!$B$2,Asistencias!$B$3)</f>
        <v/>
      </c>
      <c r="N6" s="186" cm="1">
        <f t="array" ref="N6">IFERROR(-1*(VLOOKUP(TabDesSalariosFiscal[[#This Row],[id]],TabCuotasIMSS[],COLUMN(TabCuotasIMSS[TOTAL
OBRERO19]),FALSE)),0)</f>
        <v>-404.33984182232876</v>
      </c>
      <c r="O6" s="187" cm="1">
        <f t="array" ref="O6">IFERROR(-1*(VLOOKUP(TabDesSalariosFiscal[[#This Row],[id]],TabImpuestos[],COLUMN(TabImpuestos[Total ISR]),FALSE)),0)</f>
        <v>-3180.3000353398884</v>
      </c>
      <c r="P6" s="188">
        <f>IFERROR(TabDesSalariosFiscal[[#This Row],[Subtotal Fiscal]]+TabDesSalariosFiscal[[#This Row],[Prima dominical]]+TabDesSalariosFiscal[[#This Row],[Prima vacacional]]+TabDesSalariosFiscal[[#This Row],[Bono Asistencia]]+TabDesSalariosFiscal[[#This Row],[Bono Puntualidad]]+TabDesSalariosFiscal[[#This Row],[Dia Festivo/ Descanso]]+TabDesSalariosFiscal[[#This Row],[Descuentos]]+TabDesSalariosFiscal[[#This Row],[IMSS]]+TabDesSalariosFiscal[[#This Row],[ISR]],0)</f>
        <v>14851.767211867918</v>
      </c>
      <c r="Q6" s="187" cm="1">
        <f t="array" ref="Q6">IFERROR(IF('Desglose Salarios Fiscal'!$Q$1=1,-1*(IF((VLOOKUP(TabDesSalariosFiscal[[#This Row],[id]],TabImpuestos[],COLUMN(TabImpuestos[ISR de Aguinaldo 1]),FALSE))&lt;0,0,(VLOOKUP(TabDesSalariosFiscal[[#This Row],[id]],TabImpuestos[],COLUMN(TabImpuestos[ISR de Aguinaldo 1]),FALSE)))),0),0)</f>
        <v>-43.121961600000077</v>
      </c>
      <c r="R6" s="55" cm="1">
        <f t="array" ref="R6">IFERROR(IF('Desglose Salarios Fiscal'!$Q$1=1,(VLOOKUP(TabDesSalariosFiscal[[#This Row],[id]],TabEmpleados[],COLUMN(TabEmpleados[SD Fiscal]),FALSE)*TabDesSalariosFiscal[[#This Row],[Dias de aguinaldo fiscal2]])+TabDesSalariosFiscal[[#This Row],[ISR Aguinaldo]],0),0)</f>
        <v>3088.4280384000003</v>
      </c>
      <c r="S6" cm="1">
        <f t="array" ref="S6">IF(YEAR(VLOOKUP(TabDesSalariosFiscal[[#This Row],[id]],TabEmpleados[],COLUMN(TabEmpleados[Fecha de alta NSS]),FALSE))&lt;AñoActual,'Tablas de informacion'!$N$13,_xlfn.DAYS(DATE(AñoActual+1,MONTH(1),DAY(1))-DAY(1),(VLOOKUP(TabDesSalariosFiscal[[#This Row],[id]],TabEmpleados[],COLUMN(TabEmpleados[Fecha de alta NSS]),FALSE))))</f>
        <v>365</v>
      </c>
      <c r="T6" cm="1">
        <f t="array" ref="T6">IFERROR(TabDesSalariosFiscal[[#This Row],[Dias de aguinaldo Fiscal1]]*VLOOKUP(TabDesSalariosFiscal[[#This Row],[Años]],TabFactorIntegracion[],COLUMN(TabFactorIntegracion[Días de
aguinaldo]),FALSE)/'Tablas de informacion'!$N$13,0)</f>
        <v>15</v>
      </c>
    </row>
    <row r="7" spans="1:20" x14ac:dyDescent="0.25">
      <c r="A7" s="176">
        <v>5</v>
      </c>
      <c r="B7" t="str" cm="1">
        <f t="array" ref="B7">VLOOKUP(TabDesSalariosFiscal[[#This Row],[id]],TabEmpleados[],COLUMN(TabEmpleados[Nombre]),FALSE)</f>
        <v>LOPEZ CRUZ LAURA</v>
      </c>
      <c r="C7" s="148" cm="1">
        <f t="array" ref="C7">IF(VLOOKUP(TabDesSalariosFiscal[[#This Row],[id]],TabEmpleados[],COLUMN(TabEmpleados[Fecha de alta NSS]),FALSE)&lt;&gt;"",
VLOOKUP(TabDesSalariosFiscal[[#This Row],[id]],TabAsistencias[],COLUMN(TabAsistencias[''Total de dias laborados]),FALSE),
0)</f>
        <v>72</v>
      </c>
      <c r="D7" s="179" cm="1">
        <f t="array" ref="D7">(VLOOKUP(TabDesSalariosFiscal[[#This Row],[id]],TabEmpleados[],COLUMN(TabEmpleados[SD Fiscal]),FALSE))*
TabDesSalariosFiscal[[#This Row],[Dias Lab.]]</f>
        <v>15840</v>
      </c>
      <c r="E7" s="180" cm="1">
        <f t="array" ref="E7">IF(VLOOKUP(TabDesSalariosFiscal[[#This Row],[id]],TabEmpleados[],COLUMN(TabEmpleados[Fecha de alta NSS]),FALSE)&lt;&gt;"",
IF(DATEDIF((VLOOKUP(TabDesSalariosFiscal[[#This Row],[id]],TabEmpleados[],COLUMN(TabEmpleados[Fecha de alta NSS]),FALSE)),'Tablas de informacion'!N$8,"Y")=0,1,
DATEDIF((VLOOKUP(TabDesSalariosFiscal[[#This Row],[id]],TabEmpleados[],COLUMN(TabEmpleados[Fecha de alta NSS]),FALSE)),'Tablas de informacion'!N$8,"Y")),0)</f>
        <v>2</v>
      </c>
      <c r="F7" s="181" cm="1">
        <f t="array" ref="F7">IFERROR((VLOOKUP(TabDesSalariosFiscal[[#This Row],[id]],TabEmpleados[],COLUMN(TabEmpleados[SD Fiscal]),FALSE))*
(VLOOKUP(TabDesSalariosFiscal[[#This Row],[Años]],TabFactorIntegracion[],COLUMN(TabFactorIntegracion[% de prima 
vacacional y dominical]),FALSE))*
IF((VLOOKUP(TabDesSalariosFiscal[[#This Row],[id]],TabAsistencias[],COLUMN(TabAsistencias[''Prima dominical]),FALSE))&lt;DominicalFiscal,(VLOOKUP(TabDesSalariosFiscal[[#This Row],[id]],TabAsistencias[],COLUMN(TabAsistencias[''Total de dias laborados]),FALSE)),DominicalFiscal)*
(VLOOKUP((VLOOKUP(TabDesSalariosFiscal[[#This Row],[id]],TabEmpleados[],COLUMN(TabEmpleados[Puesto]),FALSE)),TabPuestos[],COLUMN(TabPuestos[PRIMA DOMINICAL]),FALSE)),0)</f>
        <v>55</v>
      </c>
      <c r="G7" s="182" cm="1">
        <f t="array" ref="G7">IFERROR((VLOOKUP(TabDesSalariosFiscal[[#This Row],[id]],TabEmpleados[],COLUMN(TabEmpleados[SD Fiscal]),FALSE))*
(VLOOKUP(TabDesSalariosFiscal[[#This Row],[Años]],TabFactorIntegracion[],COLUMN(TabFactorIntegracion[% de prima 
vacacional y dominical]),FALSE))*
((VLOOKUP(TabDesSalariosFiscal[[#This Row],[id]],TabAsistencias[],COLUMN(TabAsistencias[''V]),FALSE))),0)</f>
        <v>55</v>
      </c>
      <c r="H7" s="183" cm="1">
        <f t="array" ref="H7">IFERROR(VLOOKUP(TabDesSalariosFiscal[[#This Row],[id]],TabCuotasIMSS[],COLUMN(TabCuotasIMSS[S.B.C./S.D.I.]),FALSE),0)</f>
        <v>253.46983561643833</v>
      </c>
      <c r="I7" s="184">
        <f>IFERROR(TabDesSalariosFiscal[[#This Row],[S.B.C]]*Bono*TabDesSalariosFiscal[[#This Row],[Dias Lab.]],0)</f>
        <v>1824.9828164383562</v>
      </c>
      <c r="J7" s="184">
        <f>IFERROR(TabDesSalariosFiscal[[#This Row],[S.B.C]]*Bono*TabDesSalariosFiscal[[#This Row],[Dias Lab.]],0)</f>
        <v>1824.9828164383562</v>
      </c>
      <c r="K7" s="232" cm="1">
        <f t="array" ref="K7">(VLOOKUP(TabDesSalariosFiscal[[#This Row],[id]],TabEmpleados[],COLUMN(TabEmpleados[SD Fiscal]),FALSE))*(VLOOKUP(TabDesSalariosFiscal[[#This Row],[id]],TabAsistencias[],COLUMN(TabAsistencias[''DF]),FALSE))*2</f>
        <v>0</v>
      </c>
      <c r="L7" s="185">
        <f ca="1">-1*(SUMIFS(TabPagosFiscal[Monto de pago],TabPagosFiscal[id],TabDesSalariosFiscal[[#This Row],[id]],TabPagosFiscal[Fecha de pago],"&gt;="&amp;Asistencias!$B$2,TabPagosFiscal[Fecha de pago],"&lt;"&amp;Asistencias!$B$3))</f>
        <v>0</v>
      </c>
      <c r="M7" t="str" cm="1">
        <f t="array" aca="1" ref="M7" ca="1">getDescripcion(TabDesSalariosFiscal[[#This Row],[id]],"Descuentos-PagosFiscal","TabPagosFiscal",Asistencias!$B$2,Asistencias!$B$3)</f>
        <v/>
      </c>
      <c r="N7" s="186" cm="1">
        <f t="array" ref="N7">IFERROR(-1*(VLOOKUP(TabDesSalariosFiscal[[#This Row],[id]],TabCuotasIMSS[],COLUMN(TabCuotasIMSS[TOTAL
OBRERO19]),FALSE)),0)</f>
        <v>-433.43341890410949</v>
      </c>
      <c r="O7" s="187" cm="1">
        <f t="array" ref="O7">IFERROR(-1*(VLOOKUP(TabDesSalariosFiscal[[#This Row],[id]],TabImpuestos[],COLUMN(TabImpuestos[Total ISR]),FALSE)),0)</f>
        <v>-3428.0970048526037</v>
      </c>
      <c r="P7" s="188">
        <f ca="1">IFERROR(TabDesSalariosFiscal[[#This Row],[Subtotal Fiscal]]+TabDesSalariosFiscal[[#This Row],[Prima dominical]]+TabDesSalariosFiscal[[#This Row],[Prima vacacional]]+TabDesSalariosFiscal[[#This Row],[Bono Asistencia]]+TabDesSalariosFiscal[[#This Row],[Bono Puntualidad]]+TabDesSalariosFiscal[[#This Row],[Dia Festivo/ Descanso]]+TabDesSalariosFiscal[[#This Row],[Descuentos]]+TabDesSalariosFiscal[[#This Row],[IMSS]]+TabDesSalariosFiscal[[#This Row],[ISR]],0)</f>
        <v>15738.435209120002</v>
      </c>
      <c r="Q7" s="187" cm="1">
        <f t="array" ref="Q7">IFERROR(IF('Desglose Salarios Fiscal'!$Q$1=1,-1*(IF((VLOOKUP(TabDesSalariosFiscal[[#This Row],[id]],TabImpuestos[],COLUMN(TabImpuestos[ISR de Aguinaldo 1]),FALSE))&lt;0,0,(VLOOKUP(TabDesSalariosFiscal[[#This Row],[id]],TabImpuestos[],COLUMN(TabImpuestos[ISR de Aguinaldo 1]),FALSE)))),0),0)</f>
        <v>-74.081279999999992</v>
      </c>
      <c r="R7" s="55" cm="1">
        <f t="array" ref="R7">IFERROR(IF('Desglose Salarios Fiscal'!$Q$1=1,(VLOOKUP(TabDesSalariosFiscal[[#This Row],[id]],TabEmpleados[],COLUMN(TabEmpleados[SD Fiscal]),FALSE)*TabDesSalariosFiscal[[#This Row],[Dias de aguinaldo fiscal2]])+TabDesSalariosFiscal[[#This Row],[ISR Aguinaldo]],0),0)</f>
        <v>3225.9187200000001</v>
      </c>
      <c r="S7" cm="1">
        <f t="array" ref="S7">IF(YEAR(VLOOKUP(TabDesSalariosFiscal[[#This Row],[id]],TabEmpleados[],COLUMN(TabEmpleados[Fecha de alta NSS]),FALSE))&lt;AñoActual,'Tablas de informacion'!$N$13,_xlfn.DAYS(DATE(AñoActual+1,MONTH(1),DAY(1))-DAY(1),(VLOOKUP(TabDesSalariosFiscal[[#This Row],[id]],TabEmpleados[],COLUMN(TabEmpleados[Fecha de alta NSS]),FALSE))))</f>
        <v>365</v>
      </c>
      <c r="T7" cm="1">
        <f t="array" ref="T7">IFERROR(TabDesSalariosFiscal[[#This Row],[Dias de aguinaldo Fiscal1]]*VLOOKUP(TabDesSalariosFiscal[[#This Row],[Años]],TabFactorIntegracion[],COLUMN(TabFactorIntegracion[Días de
aguinaldo]),FALSE)/'Tablas de informacion'!$N$13,0)</f>
        <v>15</v>
      </c>
    </row>
    <row r="8" spans="1:20" x14ac:dyDescent="0.25">
      <c r="A8" s="176">
        <v>6</v>
      </c>
      <c r="B8" t="str" cm="1">
        <f t="array" ref="B8">VLOOKUP(TabDesSalariosFiscal[[#This Row],[id]],TabEmpleados[],COLUMN(TabEmpleados[Nombre]),FALSE)</f>
        <v>CAMACHO RAMIREZ ARELI</v>
      </c>
      <c r="C8" s="148" cm="1">
        <f t="array" ref="C8">IF(VLOOKUP(TabDesSalariosFiscal[[#This Row],[id]],TabEmpleados[],COLUMN(TabEmpleados[Fecha de alta NSS]),FALSE)&lt;&gt;"",
VLOOKUP(TabDesSalariosFiscal[[#This Row],[id]],TabAsistencias[],COLUMN(TabAsistencias[''Total de dias laborados]),FALSE),
0)</f>
        <v>72</v>
      </c>
      <c r="D8" s="179" cm="1">
        <f t="array" ref="D8">(VLOOKUP(TabDesSalariosFiscal[[#This Row],[id]],TabEmpleados[],COLUMN(TabEmpleados[SD Fiscal]),FALSE))*
TabDesSalariosFiscal[[#This Row],[Dias Lab.]]</f>
        <v>15031.44</v>
      </c>
      <c r="E8" s="180" cm="1">
        <f t="array" ref="E8">IF(VLOOKUP(TabDesSalariosFiscal[[#This Row],[id]],TabEmpleados[],COLUMN(TabEmpleados[Fecha de alta NSS]),FALSE)&lt;&gt;"",
IF(DATEDIF((VLOOKUP(TabDesSalariosFiscal[[#This Row],[id]],TabEmpleados[],COLUMN(TabEmpleados[Fecha de alta NSS]),FALSE)),'Tablas de informacion'!N$8,"Y")=0,1,
DATEDIF((VLOOKUP(TabDesSalariosFiscal[[#This Row],[id]],TabEmpleados[],COLUMN(TabEmpleados[Fecha de alta NSS]),FALSE)),'Tablas de informacion'!N$8,"Y")),0)</f>
        <v>1</v>
      </c>
      <c r="F8" s="181" cm="1">
        <f t="array" ref="F8">IFERROR((VLOOKUP(TabDesSalariosFiscal[[#This Row],[id]],TabEmpleados[],COLUMN(TabEmpleados[SD Fiscal]),FALSE))*
(VLOOKUP(TabDesSalariosFiscal[[#This Row],[Años]],TabFactorIntegracion[],COLUMN(TabFactorIntegracion[% de prima 
vacacional y dominical]),FALSE))*
IF((VLOOKUP(TabDesSalariosFiscal[[#This Row],[id]],TabAsistencias[],COLUMN(TabAsistencias[''Prima dominical]),FALSE))&lt;DominicalFiscal,(VLOOKUP(TabDesSalariosFiscal[[#This Row],[id]],TabAsistencias[],COLUMN(TabAsistencias[''Total de dias laborados]),FALSE)),DominicalFiscal)*
(VLOOKUP((VLOOKUP(TabDesSalariosFiscal[[#This Row],[id]],TabEmpleados[],COLUMN(TabEmpleados[Puesto]),FALSE)),TabPuestos[],COLUMN(TabPuestos[PRIMA DOMINICAL]),FALSE)),0)</f>
        <v>0</v>
      </c>
      <c r="G8" s="182" cm="1">
        <f t="array" ref="G8">IFERROR((VLOOKUP(TabDesSalariosFiscal[[#This Row],[id]],TabEmpleados[],COLUMN(TabEmpleados[SD Fiscal]),FALSE))*
(VLOOKUP(TabDesSalariosFiscal[[#This Row],[Años]],TabFactorIntegracion[],COLUMN(TabFactorIntegracion[% de prima 
vacacional y dominical]),FALSE))*
((VLOOKUP(TabDesSalariosFiscal[[#This Row],[id]],TabAsistencias[],COLUMN(TabAsistencias[''V]),FALSE))),0)</f>
        <v>52.192500000000003</v>
      </c>
      <c r="H8" s="183" cm="1">
        <f t="array" ref="H8">IFERROR(VLOOKUP(TabDesSalariosFiscal[[#This Row],[id]],TabCuotasIMSS[],COLUMN(TabCuotasIMSS[S.B.C./S.D.I.]),FALSE),0)</f>
        <v>236.4560478493151</v>
      </c>
      <c r="I8" s="184">
        <f>IFERROR(TabDesSalariosFiscal[[#This Row],[S.B.C]]*Bono*TabDesSalariosFiscal[[#This Row],[Dias Lab.]],0)</f>
        <v>1702.4835445150688</v>
      </c>
      <c r="J8" s="184">
        <f>IFERROR(TabDesSalariosFiscal[[#This Row],[S.B.C]]*Bono*TabDesSalariosFiscal[[#This Row],[Dias Lab.]],0)</f>
        <v>1702.4835445150688</v>
      </c>
      <c r="K8" s="232" cm="1">
        <f t="array" ref="K8">(VLOOKUP(TabDesSalariosFiscal[[#This Row],[id]],TabEmpleados[],COLUMN(TabEmpleados[SD Fiscal]),FALSE))*(VLOOKUP(TabDesSalariosFiscal[[#This Row],[id]],TabAsistencias[],COLUMN(TabAsistencias[''DF]),FALSE))*2</f>
        <v>0</v>
      </c>
      <c r="L8" s="185">
        <f>-1*(SUMIFS(TabPagosFiscal[Monto de pago],TabPagosFiscal[id],TabDesSalariosFiscal[[#This Row],[id]],TabPagosFiscal[Fecha de pago],"&gt;="&amp;Asistencias!$B$2,TabPagosFiscal[Fecha de pago],"&lt;"&amp;Asistencias!$B$3))</f>
        <v>0</v>
      </c>
      <c r="M8" t="str" cm="1">
        <f t="array" ref="M8">getDescripcion(TabDesSalariosFiscal[[#This Row],[id]],"Descuentos-PagosFiscal","TabPagosFiscal",Asistencias!$B$2,Asistencias!$B$3)</f>
        <v/>
      </c>
      <c r="N8" s="186" cm="1">
        <f t="array" ref="N8">IFERROR(-1*(VLOOKUP(TabDesSalariosFiscal[[#This Row],[id]],TabCuotasIMSS[],COLUMN(TabCuotasIMSS[TOTAL
OBRERO19]),FALSE)),0)</f>
        <v>-404.33984182232876</v>
      </c>
      <c r="O8" s="187" cm="1">
        <f t="array" ref="O8">IFERROR(-1*(VLOOKUP(TabDesSalariosFiscal[[#This Row],[id]],TabImpuestos[],COLUMN(TabImpuestos[Total ISR]),FALSE)),0)</f>
        <v>-3180.3000353398884</v>
      </c>
      <c r="P8" s="188">
        <f>IFERROR(TabDesSalariosFiscal[[#This Row],[Subtotal Fiscal]]+TabDesSalariosFiscal[[#This Row],[Prima dominical]]+TabDesSalariosFiscal[[#This Row],[Prima vacacional]]+TabDesSalariosFiscal[[#This Row],[Bono Asistencia]]+TabDesSalariosFiscal[[#This Row],[Bono Puntualidad]]+TabDesSalariosFiscal[[#This Row],[Dia Festivo/ Descanso]]+TabDesSalariosFiscal[[#This Row],[Descuentos]]+TabDesSalariosFiscal[[#This Row],[IMSS]]+TabDesSalariosFiscal[[#This Row],[ISR]],0)</f>
        <v>14903.959711867916</v>
      </c>
      <c r="Q8" s="187" cm="1">
        <f t="array" ref="Q8">IFERROR(IF('Desglose Salarios Fiscal'!$Q$1=1,-1*(IF((VLOOKUP(TabDesSalariosFiscal[[#This Row],[id]],TabImpuestos[],COLUMN(TabImpuestos[ISR de Aguinaldo 1]),FALSE))&lt;0,0,(VLOOKUP(TabDesSalariosFiscal[[#This Row],[id]],TabImpuestos[],COLUMN(TabImpuestos[ISR de Aguinaldo 1]),FALSE)))),0),0)</f>
        <v>-43.121961600000077</v>
      </c>
      <c r="R8" s="55" cm="1">
        <f t="array" ref="R8">IFERROR(IF('Desglose Salarios Fiscal'!$Q$1=1,(VLOOKUP(TabDesSalariosFiscal[[#This Row],[id]],TabEmpleados[],COLUMN(TabEmpleados[SD Fiscal]),FALSE)*TabDesSalariosFiscal[[#This Row],[Dias de aguinaldo fiscal2]])+TabDesSalariosFiscal[[#This Row],[ISR Aguinaldo]],0),0)</f>
        <v>3088.4280384000003</v>
      </c>
      <c r="S8" cm="1">
        <f t="array" ref="S8">IF(YEAR(VLOOKUP(TabDesSalariosFiscal[[#This Row],[id]],TabEmpleados[],COLUMN(TabEmpleados[Fecha de alta NSS]),FALSE))&lt;AñoActual,'Tablas de informacion'!$N$13,_xlfn.DAYS(DATE(AñoActual+1,MONTH(1),DAY(1))-DAY(1),(VLOOKUP(TabDesSalariosFiscal[[#This Row],[id]],TabEmpleados[],COLUMN(TabEmpleados[Fecha de alta NSS]),FALSE))))</f>
        <v>365</v>
      </c>
      <c r="T8" cm="1">
        <f t="array" ref="T8">IFERROR(TabDesSalariosFiscal[[#This Row],[Dias de aguinaldo Fiscal1]]*VLOOKUP(TabDesSalariosFiscal[[#This Row],[Años]],TabFactorIntegracion[],COLUMN(TabFactorIntegracion[Días de
aguinaldo]),FALSE)/'Tablas de informacion'!$N$13,0)</f>
        <v>15</v>
      </c>
    </row>
    <row r="9" spans="1:20" x14ac:dyDescent="0.25">
      <c r="A9" s="176">
        <v>7</v>
      </c>
      <c r="B9" t="str" cm="1">
        <f t="array" ref="B9">VLOOKUP(TabDesSalariosFiscal[[#This Row],[id]],TabEmpleados[],COLUMN(TabEmpleados[Nombre]),FALSE)</f>
        <v>GONZALEZ DURAN EDER</v>
      </c>
      <c r="C9" s="148" cm="1">
        <f t="array" ref="C9">IF(VLOOKUP(TabDesSalariosFiscal[[#This Row],[id]],TabEmpleados[],COLUMN(TabEmpleados[Fecha de alta NSS]),FALSE)&lt;&gt;"",
VLOOKUP(TabDesSalariosFiscal[[#This Row],[id]],TabAsistencias[],COLUMN(TabAsistencias[''Total de dias laborados]),FALSE),
0)</f>
        <v>73</v>
      </c>
      <c r="D9" s="179" cm="1">
        <f t="array" ref="D9">(VLOOKUP(TabDesSalariosFiscal[[#This Row],[id]],TabEmpleados[],COLUMN(TabEmpleados[SD Fiscal]),FALSE))*
TabDesSalariosFiscal[[#This Row],[Dias Lab.]]</f>
        <v>8029.9999854000007</v>
      </c>
      <c r="E9" s="180" cm="1">
        <f t="array" ref="E9">IF(VLOOKUP(TabDesSalariosFiscal[[#This Row],[id]],TabEmpleados[],COLUMN(TabEmpleados[Fecha de alta NSS]),FALSE)&lt;&gt;"",
IF(DATEDIF((VLOOKUP(TabDesSalariosFiscal[[#This Row],[id]],TabEmpleados[],COLUMN(TabEmpleados[Fecha de alta NSS]),FALSE)),'Tablas de informacion'!N$8,"Y")=0,1,
DATEDIF((VLOOKUP(TabDesSalariosFiscal[[#This Row],[id]],TabEmpleados[],COLUMN(TabEmpleados[Fecha de alta NSS]),FALSE)),'Tablas de informacion'!N$8,"Y")),0)</f>
        <v>1</v>
      </c>
      <c r="F9" s="181" cm="1">
        <f t="array" ref="F9">IFERROR((VLOOKUP(TabDesSalariosFiscal[[#This Row],[id]],TabEmpleados[],COLUMN(TabEmpleados[SD Fiscal]),FALSE))*
(VLOOKUP(TabDesSalariosFiscal[[#This Row],[Años]],TabFactorIntegracion[],COLUMN(TabFactorIntegracion[% de prima 
vacacional y dominical]),FALSE))*
IF((VLOOKUP(TabDesSalariosFiscal[[#This Row],[id]],TabAsistencias[],COLUMN(TabAsistencias[''Prima dominical]),FALSE))&lt;DominicalFiscal,(VLOOKUP(TabDesSalariosFiscal[[#This Row],[id]],TabAsistencias[],COLUMN(TabAsistencias[''Total de dias laborados]),FALSE)),DominicalFiscal)*
(VLOOKUP((VLOOKUP(TabDesSalariosFiscal[[#This Row],[id]],TabEmpleados[],COLUMN(TabEmpleados[Puesto]),FALSE)),TabPuestos[],COLUMN(TabPuestos[PRIMA DOMINICAL]),FALSE)),0)</f>
        <v>0</v>
      </c>
      <c r="G9" s="182" cm="1">
        <f t="array" ref="G9">IFERROR((VLOOKUP(TabDesSalariosFiscal[[#This Row],[id]],TabEmpleados[],COLUMN(TabEmpleados[SD Fiscal]),FALSE))*
(VLOOKUP(TabDesSalariosFiscal[[#This Row],[Años]],TabFactorIntegracion[],COLUMN(TabFactorIntegracion[% de prima 
vacacional y dominical]),FALSE))*
((VLOOKUP(TabDesSalariosFiscal[[#This Row],[id]],TabAsistencias[],COLUMN(TabAsistencias[''V]),FALSE))),0)</f>
        <v>0</v>
      </c>
      <c r="H9" s="183" cm="1">
        <f t="array" ref="H9">IFERROR(VLOOKUP(TabDesSalariosFiscal[[#This Row],[id]],TabCuotasIMSS[],COLUMN(TabCuotasIMSS[S.B.C./S.D.I.]),FALSE),0)</f>
        <v>115.42465732438357</v>
      </c>
      <c r="I9" s="184">
        <f>IFERROR(TabDesSalariosFiscal[[#This Row],[S.B.C]]*Bono*TabDesSalariosFiscal[[#This Row],[Dias Lab.]],0)</f>
        <v>842.59999846800019</v>
      </c>
      <c r="J9" s="184">
        <f>IFERROR(TabDesSalariosFiscal[[#This Row],[S.B.C]]*Bono*TabDesSalariosFiscal[[#This Row],[Dias Lab.]],0)</f>
        <v>842.59999846800019</v>
      </c>
      <c r="K9" s="232" cm="1">
        <f t="array" ref="K9">(VLOOKUP(TabDesSalariosFiscal[[#This Row],[id]],TabEmpleados[],COLUMN(TabEmpleados[SD Fiscal]),FALSE))*(VLOOKUP(TabDesSalariosFiscal[[#This Row],[id]],TabAsistencias[],COLUMN(TabAsistencias[''DF]),FALSE))*2</f>
        <v>0</v>
      </c>
      <c r="L9" s="185">
        <f ca="1">-1*(SUMIFS(TabPagosFiscal[Monto de pago],TabPagosFiscal[id],TabDesSalariosFiscal[[#This Row],[id]],TabPagosFiscal[Fecha de pago],"&gt;="&amp;Asistencias!$B$2,TabPagosFiscal[Fecha de pago],"&lt;"&amp;Asistencias!$B$3))</f>
        <v>0</v>
      </c>
      <c r="M9" t="str" cm="1">
        <f t="array" aca="1" ref="M9" ca="1">getDescripcion(TabDesSalariosFiscal[[#This Row],[id]],"Descuentos-PagosFiscal","TabPagosFiscal",Asistencias!$B$2,Asistencias!$B$3)</f>
        <v/>
      </c>
      <c r="N9" s="186" cm="1">
        <f t="array" ref="N9">IFERROR(-1*(VLOOKUP(TabDesSalariosFiscal[[#This Row],[id]],TabCuotasIMSS[],COLUMN(TabCuotasIMSS[TOTAL
OBRERO19]),FALSE)),0)</f>
        <v>0</v>
      </c>
      <c r="O9" s="187" cm="1">
        <f t="array" ref="O9">IFERROR(-1*(VLOOKUP(TabDesSalariosFiscal[[#This Row],[id]],TabImpuestos[],COLUMN(TabImpuestos[Total ISR]),FALSE)),0)</f>
        <v>-1252.1047402269696</v>
      </c>
      <c r="P9" s="188">
        <f ca="1">IFERROR(TabDesSalariosFiscal[[#This Row],[Subtotal Fiscal]]+TabDesSalariosFiscal[[#This Row],[Prima dominical]]+TabDesSalariosFiscal[[#This Row],[Prima vacacional]]+TabDesSalariosFiscal[[#This Row],[Bono Asistencia]]+TabDesSalariosFiscal[[#This Row],[Bono Puntualidad]]+TabDesSalariosFiscal[[#This Row],[Dia Festivo/ Descanso]]+TabDesSalariosFiscal[[#This Row],[Descuentos]]+TabDesSalariosFiscal[[#This Row],[IMSS]]+TabDesSalariosFiscal[[#This Row],[ISR]],0)</f>
        <v>8463.0952421090296</v>
      </c>
      <c r="Q9" s="187" cm="1">
        <f t="array" ref="Q9">IFERROR(IF('Desglose Salarios Fiscal'!$Q$1=1,-1*(IF((VLOOKUP(TabDesSalariosFiscal[[#This Row],[id]],TabImpuestos[],COLUMN(TabImpuestos[ISR de Aguinaldo 1]),FALSE))&lt;0,0,(VLOOKUP(TabDesSalariosFiscal[[#This Row],[id]],TabImpuestos[],COLUMN(TabImpuestos[ISR de Aguinaldo 1]),FALSE)))),0),0)</f>
        <v>0</v>
      </c>
      <c r="R9" s="55" cm="1">
        <f t="array" ref="R9">IFERROR(IF('Desglose Salarios Fiscal'!$Q$1=1,(VLOOKUP(TabDesSalariosFiscal[[#This Row],[id]],TabEmpleados[],COLUMN(TabEmpleados[SD Fiscal]),FALSE)*TabDesSalariosFiscal[[#This Row],[Dias de aguinaldo fiscal2]])+TabDesSalariosFiscal[[#This Row],[ISR Aguinaldo]],0),0)</f>
        <v>1649.9999970000001</v>
      </c>
      <c r="S9" cm="1">
        <f t="array" ref="S9">IF(YEAR(VLOOKUP(TabDesSalariosFiscal[[#This Row],[id]],TabEmpleados[],COLUMN(TabEmpleados[Fecha de alta NSS]),FALSE))&lt;AñoActual,'Tablas de informacion'!$N$13,_xlfn.DAYS(DATE(AñoActual+1,MONTH(1),DAY(1))-DAY(1),(VLOOKUP(TabDesSalariosFiscal[[#This Row],[id]],TabEmpleados[],COLUMN(TabEmpleados[Fecha de alta NSS]),FALSE))))</f>
        <v>365</v>
      </c>
      <c r="T9" cm="1">
        <f t="array" ref="T9">IFERROR(TabDesSalariosFiscal[[#This Row],[Dias de aguinaldo Fiscal1]]*VLOOKUP(TabDesSalariosFiscal[[#This Row],[Años]],TabFactorIntegracion[],COLUMN(TabFactorIntegracion[Días de
aguinaldo]),FALSE)/'Tablas de informacion'!$N$13,0)</f>
        <v>15</v>
      </c>
    </row>
    <row r="10" spans="1:20" x14ac:dyDescent="0.25">
      <c r="A10" s="176">
        <v>8</v>
      </c>
      <c r="B10" t="str" cm="1">
        <f t="array" ref="B10">VLOOKUP(TabDesSalariosFiscal[[#This Row],[id]],TabEmpleados[],COLUMN(TabEmpleados[Nombre]),FALSE)</f>
        <v>REYES JARQUIN DANIEL</v>
      </c>
      <c r="C10" s="148" cm="1">
        <f t="array" ref="C10">IF(VLOOKUP(TabDesSalariosFiscal[[#This Row],[id]],TabEmpleados[],COLUMN(TabEmpleados[Fecha de alta NSS]),FALSE)&lt;&gt;"",
VLOOKUP(TabDesSalariosFiscal[[#This Row],[id]],TabAsistencias[],COLUMN(TabAsistencias[''Total de dias laborados]),FALSE),
0)</f>
        <v>73</v>
      </c>
      <c r="D10" s="179" cm="1">
        <f t="array" ref="D10">(VLOOKUP(TabDesSalariosFiscal[[#This Row],[id]],TabEmpleados[],COLUMN(TabEmpleados[SD Fiscal]),FALSE))*
TabDesSalariosFiscal[[#This Row],[Dias Lab.]]</f>
        <v>6204.9999992699995</v>
      </c>
      <c r="E10" s="180" cm="1">
        <f t="array" ref="E10">IF(VLOOKUP(TabDesSalariosFiscal[[#This Row],[id]],TabEmpleados[],COLUMN(TabEmpleados[Fecha de alta NSS]),FALSE)&lt;&gt;"",
IF(DATEDIF((VLOOKUP(TabDesSalariosFiscal[[#This Row],[id]],TabEmpleados[],COLUMN(TabEmpleados[Fecha de alta NSS]),FALSE)),'Tablas de informacion'!N$8,"Y")=0,1,
DATEDIF((VLOOKUP(TabDesSalariosFiscal[[#This Row],[id]],TabEmpleados[],COLUMN(TabEmpleados[Fecha de alta NSS]),FALSE)),'Tablas de informacion'!N$8,"Y")),0)</f>
        <v>1</v>
      </c>
      <c r="F10" s="181" cm="1">
        <f t="array" ref="F10">IFERROR((VLOOKUP(TabDesSalariosFiscal[[#This Row],[id]],TabEmpleados[],COLUMN(TabEmpleados[SD Fiscal]),FALSE))*
(VLOOKUP(TabDesSalariosFiscal[[#This Row],[Años]],TabFactorIntegracion[],COLUMN(TabFactorIntegracion[% de prima 
vacacional y dominical]),FALSE))*
IF((VLOOKUP(TabDesSalariosFiscal[[#This Row],[id]],TabAsistencias[],COLUMN(TabAsistencias[''Prima dominical]),FALSE))&lt;DominicalFiscal,(VLOOKUP(TabDesSalariosFiscal[[#This Row],[id]],TabAsistencias[],COLUMN(TabAsistencias[''Total de dias laborados]),FALSE)),DominicalFiscal)*
(VLOOKUP((VLOOKUP(TabDesSalariosFiscal[[#This Row],[id]],TabEmpleados[],COLUMN(TabEmpleados[Puesto]),FALSE)),TabPuestos[],COLUMN(TabPuestos[PRIMA DOMINICAL]),FALSE)),0)</f>
        <v>0</v>
      </c>
      <c r="G10" s="182" cm="1">
        <f t="array" ref="G10">IFERROR((VLOOKUP(TabDesSalariosFiscal[[#This Row],[id]],TabEmpleados[],COLUMN(TabEmpleados[SD Fiscal]),FALSE))*
(VLOOKUP(TabDesSalariosFiscal[[#This Row],[Años]],TabFactorIntegracion[],COLUMN(TabFactorIntegracion[% de prima 
vacacional y dominical]),FALSE))*
((VLOOKUP(TabDesSalariosFiscal[[#This Row],[id]],TabAsistencias[],COLUMN(TabAsistencias[''V]),FALSE))),0)</f>
        <v>0</v>
      </c>
      <c r="H10" s="183" cm="1">
        <f t="array" ref="H10">IFERROR(VLOOKUP(TabDesSalariosFiscal[[#This Row],[id]],TabCuotasIMSS[],COLUMN(TabCuotasIMSS[S.B.C./S.D.I.]),FALSE),0)</f>
        <v>89.19178081142465</v>
      </c>
      <c r="I10" s="184">
        <f>IFERROR(TabDesSalariosFiscal[[#This Row],[S.B.C]]*Bono*TabDesSalariosFiscal[[#This Row],[Dias Lab.]],0)</f>
        <v>651.09999992339999</v>
      </c>
      <c r="J10" s="184">
        <f>IFERROR(TabDesSalariosFiscal[[#This Row],[S.B.C]]*Bono*TabDesSalariosFiscal[[#This Row],[Dias Lab.]],0)</f>
        <v>651.09999992339999</v>
      </c>
      <c r="K10" s="232" cm="1">
        <f t="array" ref="K10">(VLOOKUP(TabDesSalariosFiscal[[#This Row],[id]],TabEmpleados[],COLUMN(TabEmpleados[SD Fiscal]),FALSE))*(VLOOKUP(TabDesSalariosFiscal[[#This Row],[id]],TabAsistencias[],COLUMN(TabAsistencias[''DF]),FALSE))*2</f>
        <v>0</v>
      </c>
      <c r="L10" s="185">
        <f>-1*(SUMIFS(TabPagosFiscal[Monto de pago],TabPagosFiscal[id],TabDesSalariosFiscal[[#This Row],[id]],TabPagosFiscal[Fecha de pago],"&gt;="&amp;Asistencias!$B$2,TabPagosFiscal[Fecha de pago],"&lt;"&amp;Asistencias!$B$3))</f>
        <v>0</v>
      </c>
      <c r="M10" t="str" cm="1">
        <f t="array" ref="M10">getDescripcion(TabDesSalariosFiscal[[#This Row],[id]],"Descuentos-PagosFiscal","TabPagosFiscal",Asistencias!$B$2,Asistencias!$B$3)</f>
        <v/>
      </c>
      <c r="N10" s="186" cm="1">
        <f t="array" ref="N10">IFERROR(-1*(VLOOKUP(TabDesSalariosFiscal[[#This Row],[id]],TabCuotasIMSS[],COLUMN(TabCuotasIMSS[TOTAL
OBRERO19]),FALSE)),0)</f>
        <v>0</v>
      </c>
      <c r="O10" s="187" cm="1">
        <f t="array" ref="O10">IFERROR(-1*(VLOOKUP(TabDesSalariosFiscal[[#This Row],[id]],TabImpuestos[],COLUMN(TabImpuestos[Total ISR]),FALSE)),0)</f>
        <v>-785.14068784173037</v>
      </c>
      <c r="P10" s="188">
        <f>IFERROR(TabDesSalariosFiscal[[#This Row],[Subtotal Fiscal]]+TabDesSalariosFiscal[[#This Row],[Prima dominical]]+TabDesSalariosFiscal[[#This Row],[Prima vacacional]]+TabDesSalariosFiscal[[#This Row],[Bono Asistencia]]+TabDesSalariosFiscal[[#This Row],[Bono Puntualidad]]+TabDesSalariosFiscal[[#This Row],[Dia Festivo/ Descanso]]+TabDesSalariosFiscal[[#This Row],[Descuentos]]+TabDesSalariosFiscal[[#This Row],[IMSS]]+TabDesSalariosFiscal[[#This Row],[ISR]],0)</f>
        <v>6722.0593112750694</v>
      </c>
      <c r="Q10" s="187" cm="1">
        <f t="array" ref="Q10">IFERROR(IF('Desglose Salarios Fiscal'!$Q$1=1,-1*(IF((VLOOKUP(TabDesSalariosFiscal[[#This Row],[id]],TabImpuestos[],COLUMN(TabImpuestos[ISR de Aguinaldo 1]),FALSE))&lt;0,0,(VLOOKUP(TabDesSalariosFiscal[[#This Row],[id]],TabImpuestos[],COLUMN(TabImpuestos[ISR de Aguinaldo 1]),FALSE)))),0),0)</f>
        <v>0</v>
      </c>
      <c r="R10" s="55" cm="1">
        <f t="array" ref="R10">IFERROR(IF('Desglose Salarios Fiscal'!$Q$1=1,(VLOOKUP(TabDesSalariosFiscal[[#This Row],[id]],TabEmpleados[],COLUMN(TabEmpleados[SD Fiscal]),FALSE)*TabDesSalariosFiscal[[#This Row],[Dias de aguinaldo fiscal2]])+TabDesSalariosFiscal[[#This Row],[ISR Aguinaldo]],0),0)</f>
        <v>1274.9999998499998</v>
      </c>
      <c r="S10" cm="1">
        <f t="array" ref="S10">IF(YEAR(VLOOKUP(TabDesSalariosFiscal[[#This Row],[id]],TabEmpleados[],COLUMN(TabEmpleados[Fecha de alta NSS]),FALSE))&lt;AñoActual,'Tablas de informacion'!$N$13,_xlfn.DAYS(DATE(AñoActual+1,MONTH(1),DAY(1))-DAY(1),(VLOOKUP(TabDesSalariosFiscal[[#This Row],[id]],TabEmpleados[],COLUMN(TabEmpleados[Fecha de alta NSS]),FALSE))))</f>
        <v>365</v>
      </c>
      <c r="T10" cm="1">
        <f t="array" ref="T10">IFERROR(TabDesSalariosFiscal[[#This Row],[Dias de aguinaldo Fiscal1]]*VLOOKUP(TabDesSalariosFiscal[[#This Row],[Años]],TabFactorIntegracion[],COLUMN(TabFactorIntegracion[Días de
aguinaldo]),FALSE)/'Tablas de informacion'!$N$13,0)</f>
        <v>15</v>
      </c>
    </row>
    <row r="11" spans="1:20" x14ac:dyDescent="0.25">
      <c r="A11" s="176">
        <v>9</v>
      </c>
      <c r="B11" t="str" cm="1">
        <f t="array" ref="B11">VLOOKUP(TabDesSalariosFiscal[[#This Row],[id]],TabEmpleados[],COLUMN(TabEmpleados[Nombre]),FALSE)</f>
        <v xml:space="preserve">ANTONIO LOPEZ JAVIER </v>
      </c>
      <c r="C11" s="148" cm="1">
        <f t="array" ref="C11">IF(VLOOKUP(TabDesSalariosFiscal[[#This Row],[id]],TabEmpleados[],COLUMN(TabEmpleados[Fecha de alta NSS]),FALSE)&lt;&gt;"",
VLOOKUP(TabDesSalariosFiscal[[#This Row],[id]],TabAsistencias[],COLUMN(TabAsistencias[''Total de dias laborados]),FALSE),
0)</f>
        <v>0</v>
      </c>
      <c r="D11" s="179" cm="1">
        <f t="array" ref="D11">(VLOOKUP(TabDesSalariosFiscal[[#This Row],[id]],TabEmpleados[],COLUMN(TabEmpleados[SD Fiscal]),FALSE))*
TabDesSalariosFiscal[[#This Row],[Dias Lab.]]</f>
        <v>0</v>
      </c>
      <c r="E11" s="180" cm="1">
        <f t="array" ref="E11">IF(VLOOKUP(TabDesSalariosFiscal[[#This Row],[id]],TabEmpleados[],COLUMN(TabEmpleados[Fecha de alta NSS]),FALSE)&lt;&gt;"",
IF(DATEDIF((VLOOKUP(TabDesSalariosFiscal[[#This Row],[id]],TabEmpleados[],COLUMN(TabEmpleados[Fecha de alta NSS]),FALSE)),'Tablas de informacion'!N$8,"Y")=0,1,
DATEDIF((VLOOKUP(TabDesSalariosFiscal[[#This Row],[id]],TabEmpleados[],COLUMN(TabEmpleados[Fecha de alta NSS]),FALSE)),'Tablas de informacion'!N$8,"Y")),0)</f>
        <v>0</v>
      </c>
      <c r="F11" s="181" cm="1">
        <f t="array" ref="F11">IFERROR((VLOOKUP(TabDesSalariosFiscal[[#This Row],[id]],TabEmpleados[],COLUMN(TabEmpleados[SD Fiscal]),FALSE))*
(VLOOKUP(TabDesSalariosFiscal[[#This Row],[Años]],TabFactorIntegracion[],COLUMN(TabFactorIntegracion[% de prima 
vacacional y dominical]),FALSE))*
IF((VLOOKUP(TabDesSalariosFiscal[[#This Row],[id]],TabAsistencias[],COLUMN(TabAsistencias[''Prima dominical]),FALSE))&lt;DominicalFiscal,(VLOOKUP(TabDesSalariosFiscal[[#This Row],[id]],TabAsistencias[],COLUMN(TabAsistencias[''Total de dias laborados]),FALSE)),DominicalFiscal)*
(VLOOKUP((VLOOKUP(TabDesSalariosFiscal[[#This Row],[id]],TabEmpleados[],COLUMN(TabEmpleados[Puesto]),FALSE)),TabPuestos[],COLUMN(TabPuestos[PRIMA DOMINICAL]),FALSE)),0)</f>
        <v>0</v>
      </c>
      <c r="G11" s="182" cm="1">
        <f t="array" ref="G11">IFERROR((VLOOKUP(TabDesSalariosFiscal[[#This Row],[id]],TabEmpleados[],COLUMN(TabEmpleados[SD Fiscal]),FALSE))*
(VLOOKUP(TabDesSalariosFiscal[[#This Row],[Años]],TabFactorIntegracion[],COLUMN(TabFactorIntegracion[% de prima 
vacacional y dominical]),FALSE))*
((VLOOKUP(TabDesSalariosFiscal[[#This Row],[id]],TabAsistencias[],COLUMN(TabAsistencias[''V]),FALSE))),0)</f>
        <v>0</v>
      </c>
      <c r="H11" s="183" cm="1">
        <f t="array" ref="H11">IFERROR(VLOOKUP(TabDesSalariosFiscal[[#This Row],[id]],TabCuotasIMSS[],COLUMN(TabCuotasIMSS[S.B.C./S.D.I.]),FALSE),0)</f>
        <v>0</v>
      </c>
      <c r="I11" s="184">
        <f>IFERROR(TabDesSalariosFiscal[[#This Row],[S.B.C]]*Bono*TabDesSalariosFiscal[[#This Row],[Dias Lab.]],0)</f>
        <v>0</v>
      </c>
      <c r="J11" s="184">
        <f>IFERROR(TabDesSalariosFiscal[[#This Row],[S.B.C]]*Bono*TabDesSalariosFiscal[[#This Row],[Dias Lab.]],0)</f>
        <v>0</v>
      </c>
      <c r="K11" s="232" cm="1">
        <f t="array" ref="K11">(VLOOKUP(TabDesSalariosFiscal[[#This Row],[id]],TabEmpleados[],COLUMN(TabEmpleados[SD Fiscal]),FALSE))*(VLOOKUP(TabDesSalariosFiscal[[#This Row],[id]],TabAsistencias[],COLUMN(TabAsistencias[''DF]),FALSE))*2</f>
        <v>0</v>
      </c>
      <c r="L11" s="185">
        <f>-1*(SUMIFS(TabPagosFiscal[Monto de pago],TabPagosFiscal[id],TabDesSalariosFiscal[[#This Row],[id]],TabPagosFiscal[Fecha de pago],"&gt;="&amp;Asistencias!$B$2,TabPagosFiscal[Fecha de pago],"&lt;"&amp;Asistencias!$B$3))</f>
        <v>0</v>
      </c>
      <c r="M11" t="str" cm="1">
        <f t="array" ref="M11">getDescripcion(TabDesSalariosFiscal[[#This Row],[id]],"Descuentos-PagosFiscal","TabPagosFiscal",Asistencias!$B$2,Asistencias!$B$3)</f>
        <v/>
      </c>
      <c r="N11" s="186" cm="1">
        <f t="array" ref="N11">IFERROR(-1*(VLOOKUP(TabDesSalariosFiscal[[#This Row],[id]],TabCuotasIMSS[],COLUMN(TabCuotasIMSS[TOTAL
OBRERO19]),FALSE)),0)</f>
        <v>0</v>
      </c>
      <c r="O11" s="187" cm="1">
        <f t="array" ref="O11">IFERROR(-1*(VLOOKUP(TabDesSalariosFiscal[[#This Row],[id]],TabImpuestos[],COLUMN(TabImpuestos[Total ISR]),FALSE)),0)</f>
        <v>0</v>
      </c>
      <c r="P11" s="188">
        <f>IFERROR(TabDesSalariosFiscal[[#This Row],[Subtotal Fiscal]]+TabDesSalariosFiscal[[#This Row],[Prima dominical]]+TabDesSalariosFiscal[[#This Row],[Prima vacacional]]+TabDesSalariosFiscal[[#This Row],[Bono Asistencia]]+TabDesSalariosFiscal[[#This Row],[Bono Puntualidad]]+TabDesSalariosFiscal[[#This Row],[Dia Festivo/ Descanso]]+TabDesSalariosFiscal[[#This Row],[Descuentos]]+TabDesSalariosFiscal[[#This Row],[IMSS]]+TabDesSalariosFiscal[[#This Row],[ISR]],0)</f>
        <v>0</v>
      </c>
      <c r="Q11" s="187" cm="1">
        <f t="array" ref="Q11">IFERROR(IF('Desglose Salarios Fiscal'!$Q$1=1,-1*(IF((VLOOKUP(TabDesSalariosFiscal[[#This Row],[id]],TabImpuestos[],COLUMN(TabImpuestos[ISR de Aguinaldo 1]),FALSE))&lt;0,0,(VLOOKUP(TabDesSalariosFiscal[[#This Row],[id]],TabImpuestos[],COLUMN(TabImpuestos[ISR de Aguinaldo 1]),FALSE)))),0),0)</f>
        <v>0</v>
      </c>
      <c r="R11" s="55" cm="1">
        <f t="array" ref="R11">IFERROR(IF('Desglose Salarios Fiscal'!$Q$1=1,(VLOOKUP(TabDesSalariosFiscal[[#This Row],[id]],TabEmpleados[],COLUMN(TabEmpleados[SD Fiscal]),FALSE)*TabDesSalariosFiscal[[#This Row],[Dias de aguinaldo fiscal2]])+TabDesSalariosFiscal[[#This Row],[ISR Aguinaldo]],0),0)</f>
        <v>0</v>
      </c>
      <c r="S11" cm="1">
        <f t="array" ref="S11">IF(YEAR(VLOOKUP(TabDesSalariosFiscal[[#This Row],[id]],TabEmpleados[],COLUMN(TabEmpleados[Fecha de alta NSS]),FALSE))&lt;AñoActual,'Tablas de informacion'!$N$13,_xlfn.DAYS(DATE(AñoActual+1,MONTH(1),DAY(1))-DAY(1),(VLOOKUP(TabDesSalariosFiscal[[#This Row],[id]],TabEmpleados[],COLUMN(TabEmpleados[Fecha de alta NSS]),FALSE))))</f>
        <v>365</v>
      </c>
      <c r="T11" cm="1">
        <f t="array" ref="T11">IFERROR(TabDesSalariosFiscal[[#This Row],[Dias de aguinaldo Fiscal1]]*VLOOKUP(TabDesSalariosFiscal[[#This Row],[Años]],TabFactorIntegracion[],COLUMN(TabFactorIntegracion[Días de
aguinaldo]),FALSE)/'Tablas de informacion'!$N$13,0)</f>
        <v>0</v>
      </c>
    </row>
    <row r="12" spans="1:20" x14ac:dyDescent="0.25">
      <c r="A12" s="176">
        <v>10</v>
      </c>
      <c r="B12" t="str" cm="1">
        <f t="array" ref="B12">VLOOKUP(TabDesSalariosFiscal[[#This Row],[id]],TabEmpleados[],COLUMN(TabEmpleados[Nombre]),FALSE)</f>
        <v>GALVAN HERNANDEZ FLOR SILVANA</v>
      </c>
      <c r="C12" s="148" cm="1">
        <f t="array" ref="C12">IF(VLOOKUP(TabDesSalariosFiscal[[#This Row],[id]],TabEmpleados[],COLUMN(TabEmpleados[Fecha de alta NSS]),FALSE)&lt;&gt;"",
VLOOKUP(TabDesSalariosFiscal[[#This Row],[id]],TabAsistencias[],COLUMN(TabAsistencias[''Total de dias laborados]),FALSE),
0)</f>
        <v>73</v>
      </c>
      <c r="D12" s="179" cm="1">
        <f t="array" ref="D12">(VLOOKUP(TabDesSalariosFiscal[[#This Row],[id]],TabEmpleados[],COLUMN(TabEmpleados[SD Fiscal]),FALSE))*
TabDesSalariosFiscal[[#This Row],[Dias Lab.]]</f>
        <v>5475</v>
      </c>
      <c r="E12" s="180" cm="1">
        <f t="array" ref="E12">IF(VLOOKUP(TabDesSalariosFiscal[[#This Row],[id]],TabEmpleados[],COLUMN(TabEmpleados[Fecha de alta NSS]),FALSE)&lt;&gt;"",
IF(DATEDIF((VLOOKUP(TabDesSalariosFiscal[[#This Row],[id]],TabEmpleados[],COLUMN(TabEmpleados[Fecha de alta NSS]),FALSE)),'Tablas de informacion'!N$8,"Y")=0,1,
DATEDIF((VLOOKUP(TabDesSalariosFiscal[[#This Row],[id]],TabEmpleados[],COLUMN(TabEmpleados[Fecha de alta NSS]),FALSE)),'Tablas de informacion'!N$8,"Y")),0)</f>
        <v>1</v>
      </c>
      <c r="F12" s="181" cm="1">
        <f t="array" ref="F12">IFERROR((VLOOKUP(TabDesSalariosFiscal[[#This Row],[id]],TabEmpleados[],COLUMN(TabEmpleados[SD Fiscal]),FALSE))*
(VLOOKUP(TabDesSalariosFiscal[[#This Row],[Años]],TabFactorIntegracion[],COLUMN(TabFactorIntegracion[% de prima 
vacacional y dominical]),FALSE))*
IF((VLOOKUP(TabDesSalariosFiscal[[#This Row],[id]],TabAsistencias[],COLUMN(TabAsistencias[''Prima dominical]),FALSE))&lt;DominicalFiscal,(VLOOKUP(TabDesSalariosFiscal[[#This Row],[id]],TabAsistencias[],COLUMN(TabAsistencias[''Total de dias laborados]),FALSE)),DominicalFiscal)*
(VLOOKUP((VLOOKUP(TabDesSalariosFiscal[[#This Row],[id]],TabEmpleados[],COLUMN(TabEmpleados[Puesto]),FALSE)),TabPuestos[],COLUMN(TabPuestos[PRIMA DOMINICAL]),FALSE)),0)</f>
        <v>18.75</v>
      </c>
      <c r="G12" s="182" cm="1">
        <f t="array" ref="G12">IFERROR((VLOOKUP(TabDesSalariosFiscal[[#This Row],[id]],TabEmpleados[],COLUMN(TabEmpleados[SD Fiscal]),FALSE))*
(VLOOKUP(TabDesSalariosFiscal[[#This Row],[Años]],TabFactorIntegracion[],COLUMN(TabFactorIntegracion[% de prima 
vacacional y dominical]),FALSE))*
((VLOOKUP(TabDesSalariosFiscal[[#This Row],[id]],TabAsistencias[],COLUMN(TabAsistencias[''V]),FALSE))),0)</f>
        <v>0</v>
      </c>
      <c r="H12" s="183" cm="1">
        <f t="array" ref="H12">IFERROR(VLOOKUP(TabDesSalariosFiscal[[#This Row],[id]],TabCuotasIMSS[],COLUMN(TabCuotasIMSS[S.B.C./S.D.I.]),FALSE),0)</f>
        <v>86.307431506849312</v>
      </c>
      <c r="I12" s="184">
        <f>IFERROR(TabDesSalariosFiscal[[#This Row],[S.B.C]]*Bono*TabDesSalariosFiscal[[#This Row],[Dias Lab.]],0)</f>
        <v>630.04425000000003</v>
      </c>
      <c r="J12" s="184">
        <f>IFERROR(TabDesSalariosFiscal[[#This Row],[S.B.C]]*Bono*TabDesSalariosFiscal[[#This Row],[Dias Lab.]],0)</f>
        <v>630.04425000000003</v>
      </c>
      <c r="K12" s="232" cm="1">
        <f t="array" ref="K12">(VLOOKUP(TabDesSalariosFiscal[[#This Row],[id]],TabEmpleados[],COLUMN(TabEmpleados[SD Fiscal]),FALSE))*(VLOOKUP(TabDesSalariosFiscal[[#This Row],[id]],TabAsistencias[],COLUMN(TabAsistencias[''DF]),FALSE))*2</f>
        <v>0</v>
      </c>
      <c r="L12" s="185">
        <f>-1*(SUMIFS(TabPagosFiscal[Monto de pago],TabPagosFiscal[id],TabDesSalariosFiscal[[#This Row],[id]],TabPagosFiscal[Fecha de pago],"&gt;="&amp;Asistencias!$B$2,TabPagosFiscal[Fecha de pago],"&lt;"&amp;Asistencias!$B$3))</f>
        <v>0</v>
      </c>
      <c r="M12" t="str" cm="1">
        <f t="array" ref="M12">getDescripcion(TabDesSalariosFiscal[[#This Row],[id]],"Descuentos-PagosFiscal","TabPagosFiscal",Asistencias!$B$2,Asistencias!$B$3)</f>
        <v/>
      </c>
      <c r="N12" s="186" cm="1">
        <f t="array" ref="N12">IFERROR(-1*(VLOOKUP(TabDesSalariosFiscal[[#This Row],[id]],TabCuotasIMSS[],COLUMN(TabCuotasIMSS[TOTAL
OBRERO19]),FALSE)),0)</f>
        <v>0</v>
      </c>
      <c r="O12" s="187" cm="1">
        <f t="array" ref="O12">IFERROR(-1*(VLOOKUP(TabDesSalariosFiscal[[#This Row],[id]],TabImpuestos[],COLUMN(TabImpuestos[Total ISR]),FALSE)),0)</f>
        <v>-646.77830719999986</v>
      </c>
      <c r="P12" s="188">
        <f>IFERROR(TabDesSalariosFiscal[[#This Row],[Subtotal Fiscal]]+TabDesSalariosFiscal[[#This Row],[Prima dominical]]+TabDesSalariosFiscal[[#This Row],[Prima vacacional]]+TabDesSalariosFiscal[[#This Row],[Bono Asistencia]]+TabDesSalariosFiscal[[#This Row],[Bono Puntualidad]]+TabDesSalariosFiscal[[#This Row],[Dia Festivo/ Descanso]]+TabDesSalariosFiscal[[#This Row],[Descuentos]]+TabDesSalariosFiscal[[#This Row],[IMSS]]+TabDesSalariosFiscal[[#This Row],[ISR]],0)</f>
        <v>6107.0601927999996</v>
      </c>
      <c r="Q12" s="187" cm="1">
        <f t="array" ref="Q12">IFERROR(IF('Desglose Salarios Fiscal'!$Q$1=1,-1*(IF((VLOOKUP(TabDesSalariosFiscal[[#This Row],[id]],TabImpuestos[],COLUMN(TabImpuestos[ISR de Aguinaldo 1]),FALSE))&lt;0,0,(VLOOKUP(TabDesSalariosFiscal[[#This Row],[id]],TabImpuestos[],COLUMN(TabImpuestos[ISR de Aguinaldo 1]),FALSE)))),0),0)</f>
        <v>0</v>
      </c>
      <c r="R12" s="55" cm="1">
        <f t="array" ref="R12">IFERROR(IF('Desglose Salarios Fiscal'!$Q$1=1,(VLOOKUP(TabDesSalariosFiscal[[#This Row],[id]],TabEmpleados[],COLUMN(TabEmpleados[SD Fiscal]),FALSE)*TabDesSalariosFiscal[[#This Row],[Dias de aguinaldo fiscal2]])+TabDesSalariosFiscal[[#This Row],[ISR Aguinaldo]],0),0)</f>
        <v>1125</v>
      </c>
      <c r="S12" cm="1">
        <f t="array" ref="S12">IF(YEAR(VLOOKUP(TabDesSalariosFiscal[[#This Row],[id]],TabEmpleados[],COLUMN(TabEmpleados[Fecha de alta NSS]),FALSE))&lt;AñoActual,'Tablas de informacion'!$N$13,_xlfn.DAYS(DATE(AñoActual+1,MONTH(1),DAY(1))-DAY(1),(VLOOKUP(TabDesSalariosFiscal[[#This Row],[id]],TabEmpleados[],COLUMN(TabEmpleados[Fecha de alta NSS]),FALSE))))</f>
        <v>365</v>
      </c>
      <c r="T12" cm="1">
        <f t="array" ref="T12">IFERROR(TabDesSalariosFiscal[[#This Row],[Dias de aguinaldo Fiscal1]]*VLOOKUP(TabDesSalariosFiscal[[#This Row],[Años]],TabFactorIntegracion[],COLUMN(TabFactorIntegracion[Días de
aguinaldo]),FALSE)/'Tablas de informacion'!$N$13,0)</f>
        <v>15</v>
      </c>
    </row>
    <row r="13" spans="1:20" x14ac:dyDescent="0.25">
      <c r="A13" s="176">
        <v>11</v>
      </c>
      <c r="B13" t="str" cm="1">
        <f t="array" ref="B13">VLOOKUP(TabDesSalariosFiscal[[#This Row],[id]],TabEmpleados[],COLUMN(TabEmpleados[Nombre]),FALSE)</f>
        <v>VELASCO TEAHULOS MARIA ASUNCION</v>
      </c>
      <c r="C13" s="148" cm="1">
        <f t="array" ref="C13">IF(VLOOKUP(TabDesSalariosFiscal[[#This Row],[id]],TabEmpleados[],COLUMN(TabEmpleados[Fecha de alta NSS]),FALSE)&lt;&gt;"",
VLOOKUP(TabDesSalariosFiscal[[#This Row],[id]],TabAsistencias[],COLUMN(TabAsistencias[''Total de dias laborados]),FALSE),
0)</f>
        <v>73</v>
      </c>
      <c r="D13" s="179" cm="1">
        <f t="array" ref="D13">(VLOOKUP(TabDesSalariosFiscal[[#This Row],[id]],TabEmpleados[],COLUMN(TabEmpleados[SD Fiscal]),FALSE))*
TabDesSalariosFiscal[[#This Row],[Dias Lab.]]</f>
        <v>9855</v>
      </c>
      <c r="E13" s="180" cm="1">
        <f t="array" ref="E13">IF(VLOOKUP(TabDesSalariosFiscal[[#This Row],[id]],TabEmpleados[],COLUMN(TabEmpleados[Fecha de alta NSS]),FALSE)&lt;&gt;"",
IF(DATEDIF((VLOOKUP(TabDesSalariosFiscal[[#This Row],[id]],TabEmpleados[],COLUMN(TabEmpleados[Fecha de alta NSS]),FALSE)),'Tablas de informacion'!N$8,"Y")=0,1,
DATEDIF((VLOOKUP(TabDesSalariosFiscal[[#This Row],[id]],TabEmpleados[],COLUMN(TabEmpleados[Fecha de alta NSS]),FALSE)),'Tablas de informacion'!N$8,"Y")),0)</f>
        <v>1</v>
      </c>
      <c r="F13" s="181" cm="1">
        <f t="array" ref="F13">IFERROR((VLOOKUP(TabDesSalariosFiscal[[#This Row],[id]],TabEmpleados[],COLUMN(TabEmpleados[SD Fiscal]),FALSE))*
(VLOOKUP(TabDesSalariosFiscal[[#This Row],[Años]],TabFactorIntegracion[],COLUMN(TabFactorIntegracion[% de prima 
vacacional y dominical]),FALSE))*
IF((VLOOKUP(TabDesSalariosFiscal[[#This Row],[id]],TabAsistencias[],COLUMN(TabAsistencias[''Prima dominical]),FALSE))&lt;DominicalFiscal,(VLOOKUP(TabDesSalariosFiscal[[#This Row],[id]],TabAsistencias[],COLUMN(TabAsistencias[''Total de dias laborados]),FALSE)),DominicalFiscal)*
(VLOOKUP((VLOOKUP(TabDesSalariosFiscal[[#This Row],[id]],TabEmpleados[],COLUMN(TabEmpleados[Puesto]),FALSE)),TabPuestos[],COLUMN(TabPuestos[PRIMA DOMINICAL]),FALSE)),0)</f>
        <v>33.75</v>
      </c>
      <c r="G13" s="182" cm="1">
        <f t="array" ref="G13">IFERROR((VLOOKUP(TabDesSalariosFiscal[[#This Row],[id]],TabEmpleados[],COLUMN(TabEmpleados[SD Fiscal]),FALSE))*
(VLOOKUP(TabDesSalariosFiscal[[#This Row],[Años]],TabFactorIntegracion[],COLUMN(TabFactorIntegracion[% de prima 
vacacional y dominical]),FALSE))*
((VLOOKUP(TabDesSalariosFiscal[[#This Row],[id]],TabAsistencias[],COLUMN(TabAsistencias[''V]),FALSE))),0)</f>
        <v>0</v>
      </c>
      <c r="H13" s="183" cm="1">
        <f t="array" ref="H13">IFERROR(VLOOKUP(TabDesSalariosFiscal[[#This Row],[id]],TabCuotasIMSS[],COLUMN(TabCuotasIMSS[S.B.C./S.D.I.]),FALSE),0)</f>
        <v>155.35337671232878</v>
      </c>
      <c r="I13" s="184">
        <f>IFERROR(TabDesSalariosFiscal[[#This Row],[S.B.C]]*Bono*TabDesSalariosFiscal[[#This Row],[Dias Lab.]],0)</f>
        <v>1134.0796500000001</v>
      </c>
      <c r="J13" s="184">
        <f>IFERROR(TabDesSalariosFiscal[[#This Row],[S.B.C]]*Bono*TabDesSalariosFiscal[[#This Row],[Dias Lab.]],0)</f>
        <v>1134.0796500000001</v>
      </c>
      <c r="K13" s="232" cm="1">
        <f t="array" ref="K13">(VLOOKUP(TabDesSalariosFiscal[[#This Row],[id]],TabEmpleados[],COLUMN(TabEmpleados[SD Fiscal]),FALSE))*(VLOOKUP(TabDesSalariosFiscal[[#This Row],[id]],TabAsistencias[],COLUMN(TabAsistencias[''DF]),FALSE))*2</f>
        <v>0</v>
      </c>
      <c r="L13" s="185">
        <f>-1*(SUMIFS(TabPagosFiscal[Monto de pago],TabPagosFiscal[id],TabDesSalariosFiscal[[#This Row],[id]],TabPagosFiscal[Fecha de pago],"&gt;="&amp;Asistencias!$B$2,TabPagosFiscal[Fecha de pago],"&lt;"&amp;Asistencias!$B$3))</f>
        <v>0</v>
      </c>
      <c r="M13" t="str" cm="1">
        <f t="array" ref="M13">getDescripcion(TabDesSalariosFiscal[[#This Row],[id]],"Descuentos-PagosFiscal","TabPagosFiscal",Asistencias!$B$2,Asistencias!$B$3)</f>
        <v/>
      </c>
      <c r="N13" s="186" cm="1">
        <f t="array" ref="N13">IFERROR(-1*(VLOOKUP(TabDesSalariosFiscal[[#This Row],[id]],TabCuotasIMSS[],COLUMN(TabCuotasIMSS[TOTAL
OBRERO19]),FALSE)),0)</f>
        <v>0</v>
      </c>
      <c r="O13" s="187" cm="1">
        <f t="array" ref="O13">IFERROR(-1*(VLOOKUP(TabDesSalariosFiscal[[#This Row],[id]],TabImpuestos[],COLUMN(TabImpuestos[Total ISR]),FALSE)),0)</f>
        <v>-1766.4448504799998</v>
      </c>
      <c r="P13" s="188">
        <f>IFERROR(TabDesSalariosFiscal[[#This Row],[Subtotal Fiscal]]+TabDesSalariosFiscal[[#This Row],[Prima dominical]]+TabDesSalariosFiscal[[#This Row],[Prima vacacional]]+TabDesSalariosFiscal[[#This Row],[Bono Asistencia]]+TabDesSalariosFiscal[[#This Row],[Bono Puntualidad]]+TabDesSalariosFiscal[[#This Row],[Dia Festivo/ Descanso]]+TabDesSalariosFiscal[[#This Row],[Descuentos]]+TabDesSalariosFiscal[[#This Row],[IMSS]]+TabDesSalariosFiscal[[#This Row],[ISR]],0)</f>
        <v>10390.464449519999</v>
      </c>
      <c r="Q13" s="187" cm="1">
        <f t="array" ref="Q13">IFERROR(IF('Desglose Salarios Fiscal'!$Q$1=1,-1*(IF((VLOOKUP(TabDesSalariosFiscal[[#This Row],[id]],TabImpuestos[],COLUMN(TabImpuestos[ISR de Aguinaldo 1]),FALSE))&lt;0,0,(VLOOKUP(TabDesSalariosFiscal[[#This Row],[id]],TabImpuestos[],COLUMN(TabImpuestos[ISR de Aguinaldo 1]),FALSE)))),0),0)</f>
        <v>0</v>
      </c>
      <c r="R13" s="55" cm="1">
        <f t="array" ref="R13">IFERROR(IF('Desglose Salarios Fiscal'!$Q$1=1,(VLOOKUP(TabDesSalariosFiscal[[#This Row],[id]],TabEmpleados[],COLUMN(TabEmpleados[SD Fiscal]),FALSE)*TabDesSalariosFiscal[[#This Row],[Dias de aguinaldo fiscal2]])+TabDesSalariosFiscal[[#This Row],[ISR Aguinaldo]],0),0)</f>
        <v>2025</v>
      </c>
      <c r="S13" cm="1">
        <f t="array" ref="S13">IF(YEAR(VLOOKUP(TabDesSalariosFiscal[[#This Row],[id]],TabEmpleados[],COLUMN(TabEmpleados[Fecha de alta NSS]),FALSE))&lt;AñoActual,'Tablas de informacion'!$N$13,_xlfn.DAYS(DATE(AñoActual+1,MONTH(1),DAY(1))-DAY(1),(VLOOKUP(TabDesSalariosFiscal[[#This Row],[id]],TabEmpleados[],COLUMN(TabEmpleados[Fecha de alta NSS]),FALSE))))</f>
        <v>365</v>
      </c>
      <c r="T13" cm="1">
        <f t="array" ref="T13">IFERROR(TabDesSalariosFiscal[[#This Row],[Dias de aguinaldo Fiscal1]]*VLOOKUP(TabDesSalariosFiscal[[#This Row],[Años]],TabFactorIntegracion[],COLUMN(TabFactorIntegracion[Días de
aguinaldo]),FALSE)/'Tablas de informacion'!$N$13,0)</f>
        <v>15</v>
      </c>
    </row>
    <row r="14" spans="1:20" x14ac:dyDescent="0.25">
      <c r="A14" s="176">
        <v>12</v>
      </c>
      <c r="B14" t="str" cm="1">
        <f t="array" ref="B14">VLOOKUP(TabDesSalariosFiscal[[#This Row],[id]],TabEmpleados[],COLUMN(TabEmpleados[Nombre]),FALSE)</f>
        <v>GARCIA MARTINEZ JORGE MANUEL</v>
      </c>
      <c r="C14" s="148" cm="1">
        <f t="array" ref="C14">IF(VLOOKUP(TabDesSalariosFiscal[[#This Row],[id]],TabEmpleados[],COLUMN(TabEmpleados[Fecha de alta NSS]),FALSE)&lt;&gt;"",
VLOOKUP(TabDesSalariosFiscal[[#This Row],[id]],TabAsistencias[],COLUMN(TabAsistencias[''Total de dias laborados]),FALSE),
0)</f>
        <v>73</v>
      </c>
      <c r="D14" s="179" cm="1">
        <f t="array" ref="D14">(VLOOKUP(TabDesSalariosFiscal[[#This Row],[id]],TabEmpleados[],COLUMN(TabEmpleados[SD Fiscal]),FALSE))*
TabDesSalariosFiscal[[#This Row],[Dias Lab.]]</f>
        <v>14235</v>
      </c>
      <c r="E14" s="180" cm="1">
        <f t="array" ref="E14">IF(VLOOKUP(TabDesSalariosFiscal[[#This Row],[id]],TabEmpleados[],COLUMN(TabEmpleados[Fecha de alta NSS]),FALSE)&lt;&gt;"",
IF(DATEDIF((VLOOKUP(TabDesSalariosFiscal[[#This Row],[id]],TabEmpleados[],COLUMN(TabEmpleados[Fecha de alta NSS]),FALSE)),'Tablas de informacion'!N$8,"Y")=0,1,
DATEDIF((VLOOKUP(TabDesSalariosFiscal[[#This Row],[id]],TabEmpleados[],COLUMN(TabEmpleados[Fecha de alta NSS]),FALSE)),'Tablas de informacion'!N$8,"Y")),0)</f>
        <v>1</v>
      </c>
      <c r="F14" s="181" cm="1">
        <f t="array" ref="F14">IFERROR((VLOOKUP(TabDesSalariosFiscal[[#This Row],[id]],TabEmpleados[],COLUMN(TabEmpleados[SD Fiscal]),FALSE))*
(VLOOKUP(TabDesSalariosFiscal[[#This Row],[Años]],TabFactorIntegracion[],COLUMN(TabFactorIntegracion[% de prima 
vacacional y dominical]),FALSE))*
IF((VLOOKUP(TabDesSalariosFiscal[[#This Row],[id]],TabAsistencias[],COLUMN(TabAsistencias[''Prima dominical]),FALSE))&lt;DominicalFiscal,(VLOOKUP(TabDesSalariosFiscal[[#This Row],[id]],TabAsistencias[],COLUMN(TabAsistencias[''Total de dias laborados]),FALSE)),DominicalFiscal)*
(VLOOKUP((VLOOKUP(TabDesSalariosFiscal[[#This Row],[id]],TabEmpleados[],COLUMN(TabEmpleados[Puesto]),FALSE)),TabPuestos[],COLUMN(TabPuestos[PRIMA DOMINICAL]),FALSE)),0)</f>
        <v>48.75</v>
      </c>
      <c r="G14" s="182" cm="1">
        <f t="array" ref="G14">IFERROR((VLOOKUP(TabDesSalariosFiscal[[#This Row],[id]],TabEmpleados[],COLUMN(TabEmpleados[SD Fiscal]),FALSE))*
(VLOOKUP(TabDesSalariosFiscal[[#This Row],[Años]],TabFactorIntegracion[],COLUMN(TabFactorIntegracion[% de prima 
vacacional y dominical]),FALSE))*
((VLOOKUP(TabDesSalariosFiscal[[#This Row],[id]],TabAsistencias[],COLUMN(TabAsistencias[''V]),FALSE))),0)</f>
        <v>0</v>
      </c>
      <c r="H14" s="183" cm="1">
        <f t="array" ref="H14">IFERROR(VLOOKUP(TabDesSalariosFiscal[[#This Row],[id]],TabCuotasIMSS[],COLUMN(TabCuotasIMSS[S.B.C./S.D.I.]),FALSE),0)</f>
        <v>224.39932191780824</v>
      </c>
      <c r="I14" s="184">
        <f>IFERROR(TabDesSalariosFiscal[[#This Row],[S.B.C]]*Bono*TabDesSalariosFiscal[[#This Row],[Dias Lab.]],0)</f>
        <v>1638.1150500000003</v>
      </c>
      <c r="J14" s="184">
        <f>IFERROR(TabDesSalariosFiscal[[#This Row],[S.B.C]]*Bono*TabDesSalariosFiscal[[#This Row],[Dias Lab.]],0)</f>
        <v>1638.1150500000003</v>
      </c>
      <c r="K14" s="232" cm="1">
        <f t="array" ref="K14">(VLOOKUP(TabDesSalariosFiscal[[#This Row],[id]],TabEmpleados[],COLUMN(TabEmpleados[SD Fiscal]),FALSE))*(VLOOKUP(TabDesSalariosFiscal[[#This Row],[id]],TabAsistencias[],COLUMN(TabAsistencias[''DF]),FALSE))*2</f>
        <v>0</v>
      </c>
      <c r="L14" s="185">
        <f>-1*(SUMIFS(TabPagosFiscal[Monto de pago],TabPagosFiscal[id],TabDesSalariosFiscal[[#This Row],[id]],TabPagosFiscal[Fecha de pago],"&gt;="&amp;Asistencias!$B$2,TabPagosFiscal[Fecha de pago],"&lt;"&amp;Asistencias!$B$3))</f>
        <v>0</v>
      </c>
      <c r="M14" t="str" cm="1">
        <f t="array" ref="M14">getDescripcion(TabDesSalariosFiscal[[#This Row],[id]],"Descuentos-PagosFiscal","TabPagosFiscal",Asistencias!$B$2,Asistencias!$B$3)</f>
        <v/>
      </c>
      <c r="N14" s="186" cm="1">
        <f t="array" ref="N14">IFERROR(-1*(VLOOKUP(TabDesSalariosFiscal[[#This Row],[id]],TabCuotasIMSS[],COLUMN(TabCuotasIMSS[TOTAL
OBRERO19]),FALSE)),0)</f>
        <v>-389.05232437500001</v>
      </c>
      <c r="O14" s="187" cm="1">
        <f t="array" ref="O14">IFERROR(-1*(VLOOKUP(TabDesSalariosFiscal[[#This Row],[id]],TabImpuestos[],COLUMN(TabImpuestos[Total ISR]),FALSE)),0)</f>
        <v>-2962.6984075200003</v>
      </c>
      <c r="P14" s="188">
        <f>IFERROR(TabDesSalariosFiscal[[#This Row],[Subtotal Fiscal]]+TabDesSalariosFiscal[[#This Row],[Prima dominical]]+TabDesSalariosFiscal[[#This Row],[Prima vacacional]]+TabDesSalariosFiscal[[#This Row],[Bono Asistencia]]+TabDesSalariosFiscal[[#This Row],[Bono Puntualidad]]+TabDesSalariosFiscal[[#This Row],[Dia Festivo/ Descanso]]+TabDesSalariosFiscal[[#This Row],[Descuentos]]+TabDesSalariosFiscal[[#This Row],[IMSS]]+TabDesSalariosFiscal[[#This Row],[ISR]],0)</f>
        <v>14208.229368105001</v>
      </c>
      <c r="Q14" s="187" cm="1">
        <f t="array" ref="Q14">IFERROR(IF('Desglose Salarios Fiscal'!$Q$1=1,-1*(IF((VLOOKUP(TabDesSalariosFiscal[[#This Row],[id]],TabImpuestos[],COLUMN(TabImpuestos[ISR de Aguinaldo 1]),FALSE))&lt;0,0,(VLOOKUP(TabDesSalariosFiscal[[#This Row],[id]],TabImpuestos[],COLUMN(TabImpuestos[ISR de Aguinaldo 1]),FALSE)))),0),0)</f>
        <v>-6.1439999999998918</v>
      </c>
      <c r="R14" s="55" cm="1">
        <f t="array" ref="R14">IFERROR(IF('Desglose Salarios Fiscal'!$Q$1=1,(VLOOKUP(TabDesSalariosFiscal[[#This Row],[id]],TabEmpleados[],COLUMN(TabEmpleados[SD Fiscal]),FALSE)*TabDesSalariosFiscal[[#This Row],[Dias de aguinaldo fiscal2]])+TabDesSalariosFiscal[[#This Row],[ISR Aguinaldo]],0),0)</f>
        <v>2918.8560000000002</v>
      </c>
      <c r="S14" cm="1">
        <f t="array" ref="S14">IF(YEAR(VLOOKUP(TabDesSalariosFiscal[[#This Row],[id]],TabEmpleados[],COLUMN(TabEmpleados[Fecha de alta NSS]),FALSE))&lt;AñoActual,'Tablas de informacion'!$N$13,_xlfn.DAYS(DATE(AñoActual+1,MONTH(1),DAY(1))-DAY(1),(VLOOKUP(TabDesSalariosFiscal[[#This Row],[id]],TabEmpleados[],COLUMN(TabEmpleados[Fecha de alta NSS]),FALSE))))</f>
        <v>365</v>
      </c>
      <c r="T14" cm="1">
        <f t="array" ref="T14">IFERROR(TabDesSalariosFiscal[[#This Row],[Dias de aguinaldo Fiscal1]]*VLOOKUP(TabDesSalariosFiscal[[#This Row],[Años]],TabFactorIntegracion[],COLUMN(TabFactorIntegracion[Días de
aguinaldo]),FALSE)/'Tablas de informacion'!$N$13,0)</f>
        <v>15</v>
      </c>
    </row>
    <row r="15" spans="1:20" x14ac:dyDescent="0.25">
      <c r="A15" s="176">
        <v>13</v>
      </c>
      <c r="B15" t="str" cm="1">
        <f t="array" ref="B15">VLOOKUP(TabDesSalariosFiscal[[#This Row],[id]],TabEmpleados[],COLUMN(TabEmpleados[Nombre]),FALSE)</f>
        <v>APARICIO MORALES EFRAIN</v>
      </c>
      <c r="C15" s="148" cm="1">
        <f t="array" ref="C15">IF(VLOOKUP(TabDesSalariosFiscal[[#This Row],[id]],TabEmpleados[],COLUMN(TabEmpleados[Fecha de alta NSS]),FALSE)&lt;&gt;"",
VLOOKUP(TabDesSalariosFiscal[[#This Row],[id]],TabAsistencias[],COLUMN(TabAsistencias[''Total de dias laborados]),FALSE),
0)</f>
        <v>73</v>
      </c>
      <c r="D15" s="179" cm="1">
        <f t="array" ref="D15">(VLOOKUP(TabDesSalariosFiscal[[#This Row],[id]],TabEmpleados[],COLUMN(TabEmpleados[SD Fiscal]),FALSE))*
TabDesSalariosFiscal[[#This Row],[Dias Lab.]]</f>
        <v>13140</v>
      </c>
      <c r="E15" s="180" cm="1">
        <f t="array" ref="E15">IF(VLOOKUP(TabDesSalariosFiscal[[#This Row],[id]],TabEmpleados[],COLUMN(TabEmpleados[Fecha de alta NSS]),FALSE)&lt;&gt;"",
IF(DATEDIF((VLOOKUP(TabDesSalariosFiscal[[#This Row],[id]],TabEmpleados[],COLUMN(TabEmpleados[Fecha de alta NSS]),FALSE)),'Tablas de informacion'!N$8,"Y")=0,1,
DATEDIF((VLOOKUP(TabDesSalariosFiscal[[#This Row],[id]],TabEmpleados[],COLUMN(TabEmpleados[Fecha de alta NSS]),FALSE)),'Tablas de informacion'!N$8,"Y")),0)</f>
        <v>1</v>
      </c>
      <c r="F15" s="181" cm="1">
        <f t="array" ref="F15">IFERROR((VLOOKUP(TabDesSalariosFiscal[[#This Row],[id]],TabEmpleados[],COLUMN(TabEmpleados[SD Fiscal]),FALSE))*
(VLOOKUP(TabDesSalariosFiscal[[#This Row],[Años]],TabFactorIntegracion[],COLUMN(TabFactorIntegracion[% de prima 
vacacional y dominical]),FALSE))*
IF((VLOOKUP(TabDesSalariosFiscal[[#This Row],[id]],TabAsistencias[],COLUMN(TabAsistencias[''Prima dominical]),FALSE))&lt;DominicalFiscal,(VLOOKUP(TabDesSalariosFiscal[[#This Row],[id]],TabAsistencias[],COLUMN(TabAsistencias[''Total de dias laborados]),FALSE)),DominicalFiscal)*
(VLOOKUP((VLOOKUP(TabDesSalariosFiscal[[#This Row],[id]],TabEmpleados[],COLUMN(TabEmpleados[Puesto]),FALSE)),TabPuestos[],COLUMN(TabPuestos[PRIMA DOMINICAL]),FALSE)),0)</f>
        <v>45</v>
      </c>
      <c r="G15" s="182" cm="1">
        <f t="array" ref="G15">IFERROR((VLOOKUP(TabDesSalariosFiscal[[#This Row],[id]],TabEmpleados[],COLUMN(TabEmpleados[SD Fiscal]),FALSE))*
(VLOOKUP(TabDesSalariosFiscal[[#This Row],[Años]],TabFactorIntegracion[],COLUMN(TabFactorIntegracion[% de prima 
vacacional y dominical]),FALSE))*
((VLOOKUP(TabDesSalariosFiscal[[#This Row],[id]],TabAsistencias[],COLUMN(TabAsistencias[''V]),FALSE))),0)</f>
        <v>0</v>
      </c>
      <c r="H15" s="183" cm="1">
        <f t="array" ref="H15">IFERROR(VLOOKUP(TabDesSalariosFiscal[[#This Row],[id]],TabCuotasIMSS[],COLUMN(TabCuotasIMSS[S.B.C./S.D.I.]),FALSE),0)</f>
        <v>207.13783561643837</v>
      </c>
      <c r="I15" s="184">
        <f>IFERROR(TabDesSalariosFiscal[[#This Row],[S.B.C]]*Bono*TabDesSalariosFiscal[[#This Row],[Dias Lab.]],0)</f>
        <v>1512.1062000000002</v>
      </c>
      <c r="J15" s="184">
        <f>IFERROR(TabDesSalariosFiscal[[#This Row],[S.B.C]]*Bono*TabDesSalariosFiscal[[#This Row],[Dias Lab.]],0)</f>
        <v>1512.1062000000002</v>
      </c>
      <c r="K15" s="232" cm="1">
        <f t="array" ref="K15">(VLOOKUP(TabDesSalariosFiscal[[#This Row],[id]],TabEmpleados[],COLUMN(TabEmpleados[SD Fiscal]),FALSE))*(VLOOKUP(TabDesSalariosFiscal[[#This Row],[id]],TabAsistencias[],COLUMN(TabAsistencias[''DF]),FALSE))*2</f>
        <v>0</v>
      </c>
      <c r="L15" s="185">
        <f>-1*(SUMIFS(TabPagosFiscal[Monto de pago],TabPagosFiscal[id],TabDesSalariosFiscal[[#This Row],[id]],TabPagosFiscal[Fecha de pago],"&gt;="&amp;Asistencias!$B$2,TabPagosFiscal[Fecha de pago],"&lt;"&amp;Asistencias!$B$3))</f>
        <v>0</v>
      </c>
      <c r="M15" t="str" cm="1">
        <f t="array" ref="M15">getDescripcion(TabDesSalariosFiscal[[#This Row],[id]],"Descuentos-PagosFiscal","TabPagosFiscal",Asistencias!$B$2,Asistencias!$B$3)</f>
        <v/>
      </c>
      <c r="N15" s="186" cm="1">
        <f t="array" ref="N15">IFERROR(-1*(VLOOKUP(TabDesSalariosFiscal[[#This Row],[id]],TabCuotasIMSS[],COLUMN(TabCuotasIMSS[TOTAL
OBRERO19]),FALSE)),0)</f>
        <v>-359.12522250000001</v>
      </c>
      <c r="O15" s="187" cm="1">
        <f t="array" ref="O15">IFERROR(-1*(VLOOKUP(TabDesSalariosFiscal[[#This Row],[id]],TabImpuestos[],COLUMN(TabImpuestos[Total ISR]),FALSE)),0)</f>
        <v>-2645.8798444800004</v>
      </c>
      <c r="P15" s="188">
        <f>IFERROR(TabDesSalariosFiscal[[#This Row],[Subtotal Fiscal]]+TabDesSalariosFiscal[[#This Row],[Prima dominical]]+TabDesSalariosFiscal[[#This Row],[Prima vacacional]]+TabDesSalariosFiscal[[#This Row],[Bono Asistencia]]+TabDesSalariosFiscal[[#This Row],[Bono Puntualidad]]+TabDesSalariosFiscal[[#This Row],[Dia Festivo/ Descanso]]+TabDesSalariosFiscal[[#This Row],[Descuentos]]+TabDesSalariosFiscal[[#This Row],[IMSS]]+TabDesSalariosFiscal[[#This Row],[ISR]],0)</f>
        <v>13204.20733302</v>
      </c>
      <c r="Q15" s="187" cm="1">
        <f t="array" ref="Q15">IFERROR(IF('Desglose Salarios Fiscal'!$Q$1=1,-1*(IF((VLOOKUP(TabDesSalariosFiscal[[#This Row],[id]],TabImpuestos[],COLUMN(TabImpuestos[ISR de Aguinaldo 1]),FALSE))&lt;0,0,(VLOOKUP(TabDesSalariosFiscal[[#This Row],[id]],TabImpuestos[],COLUMN(TabImpuestos[ISR de Aguinaldo 1]),FALSE)))),0),0)</f>
        <v>0</v>
      </c>
      <c r="R15" s="55" cm="1">
        <f t="array" ref="R15">IFERROR(IF('Desglose Salarios Fiscal'!$Q$1=1,(VLOOKUP(TabDesSalariosFiscal[[#This Row],[id]],TabEmpleados[],COLUMN(TabEmpleados[SD Fiscal]),FALSE)*TabDesSalariosFiscal[[#This Row],[Dias de aguinaldo fiscal2]])+TabDesSalariosFiscal[[#This Row],[ISR Aguinaldo]],0),0)</f>
        <v>2700</v>
      </c>
      <c r="S15" cm="1">
        <f t="array" ref="S15">IF(YEAR(VLOOKUP(TabDesSalariosFiscal[[#This Row],[id]],TabEmpleados[],COLUMN(TabEmpleados[Fecha de alta NSS]),FALSE))&lt;AñoActual,'Tablas de informacion'!$N$13,_xlfn.DAYS(DATE(AñoActual+1,MONTH(1),DAY(1))-DAY(1),(VLOOKUP(TabDesSalariosFiscal[[#This Row],[id]],TabEmpleados[],COLUMN(TabEmpleados[Fecha de alta NSS]),FALSE))))</f>
        <v>365</v>
      </c>
      <c r="T15" cm="1">
        <f t="array" ref="T15">IFERROR(TabDesSalariosFiscal[[#This Row],[Dias de aguinaldo Fiscal1]]*VLOOKUP(TabDesSalariosFiscal[[#This Row],[Años]],TabFactorIntegracion[],COLUMN(TabFactorIntegracion[Días de
aguinaldo]),FALSE)/'Tablas de informacion'!$N$13,0)</f>
        <v>15</v>
      </c>
    </row>
    <row r="16" spans="1:20" x14ac:dyDescent="0.25">
      <c r="A16" s="176">
        <v>14</v>
      </c>
      <c r="B16" t="str" cm="1">
        <f t="array" ref="B16">VLOOKUP(TabDesSalariosFiscal[[#This Row],[id]],TabEmpleados[],COLUMN(TabEmpleados[Nombre]),FALSE)</f>
        <v>MIGUEL MIGUEL CAROLINA</v>
      </c>
      <c r="C16" s="148" cm="1">
        <f t="array" ref="C16">IF(VLOOKUP(TabDesSalariosFiscal[[#This Row],[id]],TabEmpleados[],COLUMN(TabEmpleados[Fecha de alta NSS]),FALSE)&lt;&gt;"",
VLOOKUP(TabDesSalariosFiscal[[#This Row],[id]],TabAsistencias[],COLUMN(TabAsistencias[''Total de dias laborados]),FALSE),
0)</f>
        <v>73</v>
      </c>
      <c r="D16" s="179" cm="1">
        <f t="array" ref="D16">(VLOOKUP(TabDesSalariosFiscal[[#This Row],[id]],TabEmpleados[],COLUMN(TabEmpleados[SD Fiscal]),FALSE))*
TabDesSalariosFiscal[[#This Row],[Dias Lab.]]</f>
        <v>6570</v>
      </c>
      <c r="E16" s="180" cm="1">
        <f t="array" ref="E16">IF(VLOOKUP(TabDesSalariosFiscal[[#This Row],[id]],TabEmpleados[],COLUMN(TabEmpleados[Fecha de alta NSS]),FALSE)&lt;&gt;"",
IF(DATEDIF((VLOOKUP(TabDesSalariosFiscal[[#This Row],[id]],TabEmpleados[],COLUMN(TabEmpleados[Fecha de alta NSS]),FALSE)),'Tablas de informacion'!N$8,"Y")=0,1,
DATEDIF((VLOOKUP(TabDesSalariosFiscal[[#This Row],[id]],TabEmpleados[],COLUMN(TabEmpleados[Fecha de alta NSS]),FALSE)),'Tablas de informacion'!N$8,"Y")),0)</f>
        <v>1</v>
      </c>
      <c r="F16" s="181" cm="1">
        <f t="array" ref="F16">IFERROR((VLOOKUP(TabDesSalariosFiscal[[#This Row],[id]],TabEmpleados[],COLUMN(TabEmpleados[SD Fiscal]),FALSE))*
(VLOOKUP(TabDesSalariosFiscal[[#This Row],[Años]],TabFactorIntegracion[],COLUMN(TabFactorIntegracion[% de prima 
vacacional y dominical]),FALSE))*
IF((VLOOKUP(TabDesSalariosFiscal[[#This Row],[id]],TabAsistencias[],COLUMN(TabAsistencias[''Prima dominical]),FALSE))&lt;DominicalFiscal,(VLOOKUP(TabDesSalariosFiscal[[#This Row],[id]],TabAsistencias[],COLUMN(TabAsistencias[''Total de dias laborados]),FALSE)),DominicalFiscal)*
(VLOOKUP((VLOOKUP(TabDesSalariosFiscal[[#This Row],[id]],TabEmpleados[],COLUMN(TabEmpleados[Puesto]),FALSE)),TabPuestos[],COLUMN(TabPuestos[PRIMA DOMINICAL]),FALSE)),0)</f>
        <v>22.5</v>
      </c>
      <c r="G16" s="182" cm="1">
        <f t="array" ref="G16">IFERROR((VLOOKUP(TabDesSalariosFiscal[[#This Row],[id]],TabEmpleados[],COLUMN(TabEmpleados[SD Fiscal]),FALSE))*
(VLOOKUP(TabDesSalariosFiscal[[#This Row],[Años]],TabFactorIntegracion[],COLUMN(TabFactorIntegracion[% de prima 
vacacional y dominical]),FALSE))*
((VLOOKUP(TabDesSalariosFiscal[[#This Row],[id]],TabAsistencias[],COLUMN(TabAsistencias[''V]),FALSE))),0)</f>
        <v>0</v>
      </c>
      <c r="H16" s="183" cm="1">
        <f t="array" ref="H16">IFERROR(VLOOKUP(TabDesSalariosFiscal[[#This Row],[id]],TabCuotasIMSS[],COLUMN(TabCuotasIMSS[S.B.C./S.D.I.]),FALSE),0)</f>
        <v>103.56891780821918</v>
      </c>
      <c r="I16" s="184">
        <f>IFERROR(TabDesSalariosFiscal[[#This Row],[S.B.C]]*Bono*TabDesSalariosFiscal[[#This Row],[Dias Lab.]],0)</f>
        <v>756.05310000000009</v>
      </c>
      <c r="J16" s="184">
        <f>IFERROR(TabDesSalariosFiscal[[#This Row],[S.B.C]]*Bono*TabDesSalariosFiscal[[#This Row],[Dias Lab.]],0)</f>
        <v>756.05310000000009</v>
      </c>
      <c r="K16" s="232" cm="1">
        <f t="array" ref="K16">(VLOOKUP(TabDesSalariosFiscal[[#This Row],[id]],TabEmpleados[],COLUMN(TabEmpleados[SD Fiscal]),FALSE))*(VLOOKUP(TabDesSalariosFiscal[[#This Row],[id]],TabAsistencias[],COLUMN(TabAsistencias[''DF]),FALSE))*2</f>
        <v>0</v>
      </c>
      <c r="L16" s="185">
        <f>-1*(SUMIFS(TabPagosFiscal[Monto de pago],TabPagosFiscal[id],TabDesSalariosFiscal[[#This Row],[id]],TabPagosFiscal[Fecha de pago],"&gt;="&amp;Asistencias!$B$2,TabPagosFiscal[Fecha de pago],"&lt;"&amp;Asistencias!$B$3))</f>
        <v>0</v>
      </c>
      <c r="M16" t="str" cm="1">
        <f t="array" ref="M16">getDescripcion(TabDesSalariosFiscal[[#This Row],[id]],"Descuentos-PagosFiscal","TabPagosFiscal",Asistencias!$B$2,Asistencias!$B$3)</f>
        <v/>
      </c>
      <c r="N16" s="186" cm="1">
        <f t="array" ref="N16">IFERROR(-1*(VLOOKUP(TabDesSalariosFiscal[[#This Row],[id]],TabCuotasIMSS[],COLUMN(TabCuotasIMSS[TOTAL
OBRERO19]),FALSE)),0)</f>
        <v>0</v>
      </c>
      <c r="O16" s="187" cm="1">
        <f t="array" ref="O16">IFERROR(-1*(VLOOKUP(TabDesSalariosFiscal[[#This Row],[id]],TabImpuestos[],COLUMN(TabImpuestos[Total ISR]),FALSE)),0)</f>
        <v>-903.2759083200001</v>
      </c>
      <c r="P16" s="188">
        <f>IFERROR(TabDesSalariosFiscal[[#This Row],[Subtotal Fiscal]]+TabDesSalariosFiscal[[#This Row],[Prima dominical]]+TabDesSalariosFiscal[[#This Row],[Prima vacacional]]+TabDesSalariosFiscal[[#This Row],[Bono Asistencia]]+TabDesSalariosFiscal[[#This Row],[Bono Puntualidad]]+TabDesSalariosFiscal[[#This Row],[Dia Festivo/ Descanso]]+TabDesSalariosFiscal[[#This Row],[Descuentos]]+TabDesSalariosFiscal[[#This Row],[IMSS]]+TabDesSalariosFiscal[[#This Row],[ISR]],0)</f>
        <v>7201.3302916800003</v>
      </c>
      <c r="Q16" s="187" cm="1">
        <f t="array" ref="Q16">IFERROR(IF('Desglose Salarios Fiscal'!$Q$1=1,-1*(IF((VLOOKUP(TabDesSalariosFiscal[[#This Row],[id]],TabImpuestos[],COLUMN(TabImpuestos[ISR de Aguinaldo 1]),FALSE))&lt;0,0,(VLOOKUP(TabDesSalariosFiscal[[#This Row],[id]],TabImpuestos[],COLUMN(TabImpuestos[ISR de Aguinaldo 1]),FALSE)))),0),0)</f>
        <v>0</v>
      </c>
      <c r="R16" s="55" cm="1">
        <f t="array" ref="R16">IFERROR(IF('Desglose Salarios Fiscal'!$Q$1=1,(VLOOKUP(TabDesSalariosFiscal[[#This Row],[id]],TabEmpleados[],COLUMN(TabEmpleados[SD Fiscal]),FALSE)*TabDesSalariosFiscal[[#This Row],[Dias de aguinaldo fiscal2]])+TabDesSalariosFiscal[[#This Row],[ISR Aguinaldo]],0),0)</f>
        <v>1350</v>
      </c>
      <c r="S16" cm="1">
        <f t="array" ref="S16">IF(YEAR(VLOOKUP(TabDesSalariosFiscal[[#This Row],[id]],TabEmpleados[],COLUMN(TabEmpleados[Fecha de alta NSS]),FALSE))&lt;AñoActual,'Tablas de informacion'!$N$13,_xlfn.DAYS(DATE(AñoActual+1,MONTH(1),DAY(1))-DAY(1),(VLOOKUP(TabDesSalariosFiscal[[#This Row],[id]],TabEmpleados[],COLUMN(TabEmpleados[Fecha de alta NSS]),FALSE))))</f>
        <v>365</v>
      </c>
      <c r="T16" cm="1">
        <f t="array" ref="T16">IFERROR(TabDesSalariosFiscal[[#This Row],[Dias de aguinaldo Fiscal1]]*VLOOKUP(TabDesSalariosFiscal[[#This Row],[Años]],TabFactorIntegracion[],COLUMN(TabFactorIntegracion[Días de
aguinaldo]),FALSE)/'Tablas de informacion'!$N$13,0)</f>
        <v>15</v>
      </c>
    </row>
    <row r="17" spans="1:20" x14ac:dyDescent="0.25">
      <c r="A17" s="176">
        <v>15</v>
      </c>
      <c r="B17" t="str" cm="1">
        <f t="array" ref="B17">VLOOKUP(TabDesSalariosFiscal[[#This Row],[id]],TabEmpleados[],COLUMN(TabEmpleados[Nombre]),FALSE)</f>
        <v>HERNANDEZ MARTINEZ NORMA ITZEL</v>
      </c>
      <c r="C17" s="148" cm="1">
        <f t="array" ref="C17">IF(VLOOKUP(TabDesSalariosFiscal[[#This Row],[id]],TabEmpleados[],COLUMN(TabEmpleados[Fecha de alta NSS]),FALSE)&lt;&gt;"",
VLOOKUP(TabDesSalariosFiscal[[#This Row],[id]],TabAsistencias[],COLUMN(TabAsistencias[''Total de dias laborados]),FALSE),
0)</f>
        <v>73</v>
      </c>
      <c r="D17" s="179" cm="1">
        <f t="array" ref="D17">(VLOOKUP(TabDesSalariosFiscal[[#This Row],[id]],TabEmpleados[],COLUMN(TabEmpleados[SD Fiscal]),FALSE))*
TabDesSalariosFiscal[[#This Row],[Dias Lab.]]</f>
        <v>8322</v>
      </c>
      <c r="E17" s="180" cm="1">
        <f t="array" ref="E17">IF(VLOOKUP(TabDesSalariosFiscal[[#This Row],[id]],TabEmpleados[],COLUMN(TabEmpleados[Fecha de alta NSS]),FALSE)&lt;&gt;"",
IF(DATEDIF((VLOOKUP(TabDesSalariosFiscal[[#This Row],[id]],TabEmpleados[],COLUMN(TabEmpleados[Fecha de alta NSS]),FALSE)),'Tablas de informacion'!N$8,"Y")=0,1,
DATEDIF((VLOOKUP(TabDesSalariosFiscal[[#This Row],[id]],TabEmpleados[],COLUMN(TabEmpleados[Fecha de alta NSS]),FALSE)),'Tablas de informacion'!N$8,"Y")),0)</f>
        <v>1</v>
      </c>
      <c r="F17" s="181" cm="1">
        <f t="array" ref="F17">IFERROR((VLOOKUP(TabDesSalariosFiscal[[#This Row],[id]],TabEmpleados[],COLUMN(TabEmpleados[SD Fiscal]),FALSE))*
(VLOOKUP(TabDesSalariosFiscal[[#This Row],[Años]],TabFactorIntegracion[],COLUMN(TabFactorIntegracion[% de prima 
vacacional y dominical]),FALSE))*
IF((VLOOKUP(TabDesSalariosFiscal[[#This Row],[id]],TabAsistencias[],COLUMN(TabAsistencias[''Prima dominical]),FALSE))&lt;DominicalFiscal,(VLOOKUP(TabDesSalariosFiscal[[#This Row],[id]],TabAsistencias[],COLUMN(TabAsistencias[''Total de dias laborados]),FALSE)),DominicalFiscal)*
(VLOOKUP((VLOOKUP(TabDesSalariosFiscal[[#This Row],[id]],TabEmpleados[],COLUMN(TabEmpleados[Puesto]),FALSE)),TabPuestos[],COLUMN(TabPuestos[PRIMA DOMINICAL]),FALSE)),0)</f>
        <v>28.5</v>
      </c>
      <c r="G17" s="182" cm="1">
        <f t="array" ref="G17">IFERROR((VLOOKUP(TabDesSalariosFiscal[[#This Row],[id]],TabEmpleados[],COLUMN(TabEmpleados[SD Fiscal]),FALSE))*
(VLOOKUP(TabDesSalariosFiscal[[#This Row],[Años]],TabFactorIntegracion[],COLUMN(TabFactorIntegracion[% de prima 
vacacional y dominical]),FALSE))*
((VLOOKUP(TabDesSalariosFiscal[[#This Row],[id]],TabAsistencias[],COLUMN(TabAsistencias[''V]),FALSE))),0)</f>
        <v>0</v>
      </c>
      <c r="H17" s="183" cm="1">
        <f t="array" ref="H17">IFERROR(VLOOKUP(TabDesSalariosFiscal[[#This Row],[id]],TabCuotasIMSS[],COLUMN(TabCuotasIMSS[S.B.C./S.D.I.]),FALSE),0)</f>
        <v>131.18729589041095</v>
      </c>
      <c r="I17" s="184">
        <f>IFERROR(TabDesSalariosFiscal[[#This Row],[S.B.C]]*Bono*TabDesSalariosFiscal[[#This Row],[Dias Lab.]],0)</f>
        <v>957.66725999999994</v>
      </c>
      <c r="J17" s="184">
        <f>IFERROR(TabDesSalariosFiscal[[#This Row],[S.B.C]]*Bono*TabDesSalariosFiscal[[#This Row],[Dias Lab.]],0)</f>
        <v>957.66725999999994</v>
      </c>
      <c r="K17" s="232" cm="1">
        <f t="array" ref="K17">(VLOOKUP(TabDesSalariosFiscal[[#This Row],[id]],TabEmpleados[],COLUMN(TabEmpleados[SD Fiscal]),FALSE))*(VLOOKUP(TabDesSalariosFiscal[[#This Row],[id]],TabAsistencias[],COLUMN(TabAsistencias[''DF]),FALSE))*2</f>
        <v>0</v>
      </c>
      <c r="L17" s="185">
        <f>-1*(SUMIFS(TabPagosFiscal[Monto de pago],TabPagosFiscal[id],TabDesSalariosFiscal[[#This Row],[id]],TabPagosFiscal[Fecha de pago],"&gt;="&amp;Asistencias!$B$2,TabPagosFiscal[Fecha de pago],"&lt;"&amp;Asistencias!$B$3))</f>
        <v>0</v>
      </c>
      <c r="M17" t="str" cm="1">
        <f t="array" ref="M17">getDescripcion(TabDesSalariosFiscal[[#This Row],[id]],"Descuentos-PagosFiscal","TabPagosFiscal",Asistencias!$B$2,Asistencias!$B$3)</f>
        <v/>
      </c>
      <c r="N17" s="186" cm="1">
        <f t="array" ref="N17">IFERROR(-1*(VLOOKUP(TabDesSalariosFiscal[[#This Row],[id]],TabCuotasIMSS[],COLUMN(TabCuotasIMSS[TOTAL
OBRERO19]),FALSE)),0)</f>
        <v>0</v>
      </c>
      <c r="O17" s="187" cm="1">
        <f t="array" ref="O17">IFERROR(-1*(VLOOKUP(TabDesSalariosFiscal[[#This Row],[id]],TabImpuestos[],COLUMN(TabImpuestos[Total ISR]),FALSE)),0)</f>
        <v>-1363.6326774720001</v>
      </c>
      <c r="P17" s="188">
        <f>IFERROR(TabDesSalariosFiscal[[#This Row],[Subtotal Fiscal]]+TabDesSalariosFiscal[[#This Row],[Prima dominical]]+TabDesSalariosFiscal[[#This Row],[Prima vacacional]]+TabDesSalariosFiscal[[#This Row],[Bono Asistencia]]+TabDesSalariosFiscal[[#This Row],[Bono Puntualidad]]+TabDesSalariosFiscal[[#This Row],[Dia Festivo/ Descanso]]+TabDesSalariosFiscal[[#This Row],[Descuentos]]+TabDesSalariosFiscal[[#This Row],[IMSS]]+TabDesSalariosFiscal[[#This Row],[ISR]],0)</f>
        <v>8902.2018425280003</v>
      </c>
      <c r="Q17" s="187" cm="1">
        <f t="array" ref="Q17">IFERROR(IF('Desglose Salarios Fiscal'!$Q$1=1,-1*(IF((VLOOKUP(TabDesSalariosFiscal[[#This Row],[id]],TabImpuestos[],COLUMN(TabImpuestos[ISR de Aguinaldo 1]),FALSE))&lt;0,0,(VLOOKUP(TabDesSalariosFiscal[[#This Row],[id]],TabImpuestos[],COLUMN(TabImpuestos[ISR de Aguinaldo 1]),FALSE)))),0),0)</f>
        <v>0</v>
      </c>
      <c r="R17" s="55" cm="1">
        <f t="array" ref="R17">IFERROR(IF('Desglose Salarios Fiscal'!$Q$1=1,(VLOOKUP(TabDesSalariosFiscal[[#This Row],[id]],TabEmpleados[],COLUMN(TabEmpleados[SD Fiscal]),FALSE)*TabDesSalariosFiscal[[#This Row],[Dias de aguinaldo fiscal2]])+TabDesSalariosFiscal[[#This Row],[ISR Aguinaldo]],0),0)</f>
        <v>1710</v>
      </c>
      <c r="S17" cm="1">
        <f t="array" ref="S17">IF(YEAR(VLOOKUP(TabDesSalariosFiscal[[#This Row],[id]],TabEmpleados[],COLUMN(TabEmpleados[Fecha de alta NSS]),FALSE))&lt;AñoActual,'Tablas de informacion'!$N$13,_xlfn.DAYS(DATE(AñoActual+1,MONTH(1),DAY(1))-DAY(1),(VLOOKUP(TabDesSalariosFiscal[[#This Row],[id]],TabEmpleados[],COLUMN(TabEmpleados[Fecha de alta NSS]),FALSE))))</f>
        <v>365</v>
      </c>
      <c r="T17" cm="1">
        <f t="array" ref="T17">IFERROR(TabDesSalariosFiscal[[#This Row],[Dias de aguinaldo Fiscal1]]*VLOOKUP(TabDesSalariosFiscal[[#This Row],[Años]],TabFactorIntegracion[],COLUMN(TabFactorIntegracion[Días de
aguinaldo]),FALSE)/'Tablas de informacion'!$N$13,0)</f>
        <v>15</v>
      </c>
    </row>
    <row r="18" spans="1:20" x14ac:dyDescent="0.25">
      <c r="A18" s="176">
        <v>16</v>
      </c>
      <c r="B18" t="str" cm="1">
        <f t="array" ref="B18">VLOOKUP(TabDesSalariosFiscal[[#This Row],[id]],TabEmpleados[],COLUMN(TabEmpleados[Nombre]),FALSE)</f>
        <v>HERNANDEZ HERNANDEZ MODESTA</v>
      </c>
      <c r="C18" s="148" cm="1">
        <f t="array" ref="C18">IF(VLOOKUP(TabDesSalariosFiscal[[#This Row],[id]],TabEmpleados[],COLUMN(TabEmpleados[Fecha de alta NSS]),FALSE)&lt;&gt;"",
VLOOKUP(TabDesSalariosFiscal[[#This Row],[id]],TabAsistencias[],COLUMN(TabAsistencias[''Total de dias laborados]),FALSE),
0)</f>
        <v>73</v>
      </c>
      <c r="D18" s="179" cm="1">
        <f t="array" ref="D18">(VLOOKUP(TabDesSalariosFiscal[[#This Row],[id]],TabEmpleados[],COLUMN(TabEmpleados[SD Fiscal]),FALSE))*
TabDesSalariosFiscal[[#This Row],[Dias Lab.]]</f>
        <v>7665</v>
      </c>
      <c r="E18" s="180" cm="1">
        <f t="array" ref="E18">IF(VLOOKUP(TabDesSalariosFiscal[[#This Row],[id]],TabEmpleados[],COLUMN(TabEmpleados[Fecha de alta NSS]),FALSE)&lt;&gt;"",
IF(DATEDIF((VLOOKUP(TabDesSalariosFiscal[[#This Row],[id]],TabEmpleados[],COLUMN(TabEmpleados[Fecha de alta NSS]),FALSE)),'Tablas de informacion'!N$8,"Y")=0,1,
DATEDIF((VLOOKUP(TabDesSalariosFiscal[[#This Row],[id]],TabEmpleados[],COLUMN(TabEmpleados[Fecha de alta NSS]),FALSE)),'Tablas de informacion'!N$8,"Y")),0)</f>
        <v>1</v>
      </c>
      <c r="F18" s="181" cm="1">
        <f t="array" ref="F18">IFERROR((VLOOKUP(TabDesSalariosFiscal[[#This Row],[id]],TabEmpleados[],COLUMN(TabEmpleados[SD Fiscal]),FALSE))*
(VLOOKUP(TabDesSalariosFiscal[[#This Row],[Años]],TabFactorIntegracion[],COLUMN(TabFactorIntegracion[% de prima 
vacacional y dominical]),FALSE))*
IF((VLOOKUP(TabDesSalariosFiscal[[#This Row],[id]],TabAsistencias[],COLUMN(TabAsistencias[''Prima dominical]),FALSE))&lt;DominicalFiscal,(VLOOKUP(TabDesSalariosFiscal[[#This Row],[id]],TabAsistencias[],COLUMN(TabAsistencias[''Total de dias laborados]),FALSE)),DominicalFiscal)*
(VLOOKUP((VLOOKUP(TabDesSalariosFiscal[[#This Row],[id]],TabEmpleados[],COLUMN(TabEmpleados[Puesto]),FALSE)),TabPuestos[],COLUMN(TabPuestos[PRIMA DOMINICAL]),FALSE)),0)</f>
        <v>26.25</v>
      </c>
      <c r="G18" s="182" cm="1">
        <f t="array" ref="G18">IFERROR((VLOOKUP(TabDesSalariosFiscal[[#This Row],[id]],TabEmpleados[],COLUMN(TabEmpleados[SD Fiscal]),FALSE))*
(VLOOKUP(TabDesSalariosFiscal[[#This Row],[Años]],TabFactorIntegracion[],COLUMN(TabFactorIntegracion[% de prima 
vacacional y dominical]),FALSE))*
((VLOOKUP(TabDesSalariosFiscal[[#This Row],[id]],TabAsistencias[],COLUMN(TabAsistencias[''V]),FALSE))),0)</f>
        <v>0</v>
      </c>
      <c r="H18" s="183" cm="1">
        <f t="array" ref="H18">IFERROR(VLOOKUP(TabDesSalariosFiscal[[#This Row],[id]],TabCuotasIMSS[],COLUMN(TabCuotasIMSS[S.B.C./S.D.I.]),FALSE),0)</f>
        <v>120.83040410958904</v>
      </c>
      <c r="I18" s="184">
        <f>IFERROR(TabDesSalariosFiscal[[#This Row],[S.B.C]]*Bono*TabDesSalariosFiscal[[#This Row],[Dias Lab.]],0)</f>
        <v>882.06195000000002</v>
      </c>
      <c r="J18" s="184">
        <f>IFERROR(TabDesSalariosFiscal[[#This Row],[S.B.C]]*Bono*TabDesSalariosFiscal[[#This Row],[Dias Lab.]],0)</f>
        <v>882.06195000000002</v>
      </c>
      <c r="K18" s="232" cm="1">
        <f t="array" ref="K18">(VLOOKUP(TabDesSalariosFiscal[[#This Row],[id]],TabEmpleados[],COLUMN(TabEmpleados[SD Fiscal]),FALSE))*(VLOOKUP(TabDesSalariosFiscal[[#This Row],[id]],TabAsistencias[],COLUMN(TabAsistencias[''DF]),FALSE))*2</f>
        <v>0</v>
      </c>
      <c r="L18" s="185">
        <f>-1*(SUMIFS(TabPagosFiscal[Monto de pago],TabPagosFiscal[id],TabDesSalariosFiscal[[#This Row],[id]],TabPagosFiscal[Fecha de pago],"&gt;="&amp;Asistencias!$B$2,TabPagosFiscal[Fecha de pago],"&lt;"&amp;Asistencias!$B$3))</f>
        <v>0</v>
      </c>
      <c r="M18" t="str" cm="1">
        <f t="array" ref="M18">getDescripcion(TabDesSalariosFiscal[[#This Row],[id]],"Descuentos-PagosFiscal","TabPagosFiscal",Asistencias!$B$2,Asistencias!$B$3)</f>
        <v/>
      </c>
      <c r="N18" s="186" cm="1">
        <f t="array" ref="N18">IFERROR(-1*(VLOOKUP(TabDesSalariosFiscal[[#This Row],[id]],TabCuotasIMSS[],COLUMN(TabCuotasIMSS[TOTAL
OBRERO19]),FALSE)),0)</f>
        <v>0</v>
      </c>
      <c r="O18" s="187" cm="1">
        <f t="array" ref="O18">IFERROR(-1*(VLOOKUP(TabDesSalariosFiscal[[#This Row],[id]],TabImpuestos[],COLUMN(TabImpuestos[Total ISR]),FALSE)),0)</f>
        <v>-1190.9988890399998</v>
      </c>
      <c r="P18" s="188">
        <f>IFERROR(TabDesSalariosFiscal[[#This Row],[Subtotal Fiscal]]+TabDesSalariosFiscal[[#This Row],[Prima dominical]]+TabDesSalariosFiscal[[#This Row],[Prima vacacional]]+TabDesSalariosFiscal[[#This Row],[Bono Asistencia]]+TabDesSalariosFiscal[[#This Row],[Bono Puntualidad]]+TabDesSalariosFiscal[[#This Row],[Dia Festivo/ Descanso]]+TabDesSalariosFiscal[[#This Row],[Descuentos]]+TabDesSalariosFiscal[[#This Row],[IMSS]]+TabDesSalariosFiscal[[#This Row],[ISR]],0)</f>
        <v>8264.3750109599987</v>
      </c>
      <c r="Q18" s="187" cm="1">
        <f t="array" ref="Q18">IFERROR(IF('Desglose Salarios Fiscal'!$Q$1=1,-1*(IF((VLOOKUP(TabDesSalariosFiscal[[#This Row],[id]],TabImpuestos[],COLUMN(TabImpuestos[ISR de Aguinaldo 1]),FALSE))&lt;0,0,(VLOOKUP(TabDesSalariosFiscal[[#This Row],[id]],TabImpuestos[],COLUMN(TabImpuestos[ISR de Aguinaldo 1]),FALSE)))),0),0)</f>
        <v>0</v>
      </c>
      <c r="R18" s="55" cm="1">
        <f t="array" ref="R18">IFERROR(IF('Desglose Salarios Fiscal'!$Q$1=1,(VLOOKUP(TabDesSalariosFiscal[[#This Row],[id]],TabEmpleados[],COLUMN(TabEmpleados[SD Fiscal]),FALSE)*TabDesSalariosFiscal[[#This Row],[Dias de aguinaldo fiscal2]])+TabDesSalariosFiscal[[#This Row],[ISR Aguinaldo]],0),0)</f>
        <v>1575</v>
      </c>
      <c r="S18" cm="1">
        <f t="array" ref="S18">IF(YEAR(VLOOKUP(TabDesSalariosFiscal[[#This Row],[id]],TabEmpleados[],COLUMN(TabEmpleados[Fecha de alta NSS]),FALSE))&lt;AñoActual,'Tablas de informacion'!$N$13,_xlfn.DAYS(DATE(AñoActual+1,MONTH(1),DAY(1))-DAY(1),(VLOOKUP(TabDesSalariosFiscal[[#This Row],[id]],TabEmpleados[],COLUMN(TabEmpleados[Fecha de alta NSS]),FALSE))))</f>
        <v>365</v>
      </c>
      <c r="T18" cm="1">
        <f t="array" ref="T18">IFERROR(TabDesSalariosFiscal[[#This Row],[Dias de aguinaldo Fiscal1]]*VLOOKUP(TabDesSalariosFiscal[[#This Row],[Años]],TabFactorIntegracion[],COLUMN(TabFactorIntegracion[Días de
aguinaldo]),FALSE)/'Tablas de informacion'!$N$13,0)</f>
        <v>15</v>
      </c>
    </row>
    <row r="19" spans="1:20" x14ac:dyDescent="0.25">
      <c r="A19" s="176">
        <v>17</v>
      </c>
      <c r="B19" t="str" cm="1">
        <f t="array" ref="B19">VLOOKUP(TabDesSalariosFiscal[[#This Row],[id]],TabEmpleados[],COLUMN(TabEmpleados[Nombre]),FALSE)</f>
        <v>ANTONIO ENRIQUEZ GERMAN</v>
      </c>
      <c r="C19" s="148" cm="1">
        <f t="array" ref="C19">IF(VLOOKUP(TabDesSalariosFiscal[[#This Row],[id]],TabEmpleados[],COLUMN(TabEmpleados[Fecha de alta NSS]),FALSE)&lt;&gt;"",
VLOOKUP(TabDesSalariosFiscal[[#This Row],[id]],TabAsistencias[],COLUMN(TabAsistencias[''Total de dias laborados]),FALSE),
0)</f>
        <v>73</v>
      </c>
      <c r="D19" s="179" cm="1">
        <f t="array" ref="D19">(VLOOKUP(TabDesSalariosFiscal[[#This Row],[id]],TabEmpleados[],COLUMN(TabEmpleados[SD Fiscal]),FALSE))*
TabDesSalariosFiscal[[#This Row],[Dias Lab.]]</f>
        <v>12629</v>
      </c>
      <c r="E19" s="180" cm="1">
        <f t="array" ref="E19">IF(VLOOKUP(TabDesSalariosFiscal[[#This Row],[id]],TabEmpleados[],COLUMN(TabEmpleados[Fecha de alta NSS]),FALSE)&lt;&gt;"",
IF(DATEDIF((VLOOKUP(TabDesSalariosFiscal[[#This Row],[id]],TabEmpleados[],COLUMN(TabEmpleados[Fecha de alta NSS]),FALSE)),'Tablas de informacion'!N$8,"Y")=0,1,
DATEDIF((VLOOKUP(TabDesSalariosFiscal[[#This Row],[id]],TabEmpleados[],COLUMN(TabEmpleados[Fecha de alta NSS]),FALSE)),'Tablas de informacion'!N$8,"Y")),0)</f>
        <v>10</v>
      </c>
      <c r="F19" s="181" cm="1">
        <f t="array" ref="F19">IFERROR((VLOOKUP(TabDesSalariosFiscal[[#This Row],[id]],TabEmpleados[],COLUMN(TabEmpleados[SD Fiscal]),FALSE))*
(VLOOKUP(TabDesSalariosFiscal[[#This Row],[Años]],TabFactorIntegracion[],COLUMN(TabFactorIntegracion[% de prima 
vacacional y dominical]),FALSE))*
IF((VLOOKUP(TabDesSalariosFiscal[[#This Row],[id]],TabAsistencias[],COLUMN(TabAsistencias[''Prima dominical]),FALSE))&lt;DominicalFiscal,(VLOOKUP(TabDesSalariosFiscal[[#This Row],[id]],TabAsistencias[],COLUMN(TabAsistencias[''Total de dias laborados]),FALSE)),DominicalFiscal)*
(VLOOKUP((VLOOKUP(TabDesSalariosFiscal[[#This Row],[id]],TabEmpleados[],COLUMN(TabEmpleados[Puesto]),FALSE)),TabPuestos[],COLUMN(TabPuestos[PRIMA DOMINICAL]),FALSE)),0)</f>
        <v>43.25</v>
      </c>
      <c r="G19" s="182" cm="1">
        <f t="array" ref="G19">IFERROR((VLOOKUP(TabDesSalariosFiscal[[#This Row],[id]],TabEmpleados[],COLUMN(TabEmpleados[SD Fiscal]),FALSE))*
(VLOOKUP(TabDesSalariosFiscal[[#This Row],[Años]],TabFactorIntegracion[],COLUMN(TabFactorIntegracion[% de prima 
vacacional y dominical]),FALSE))*
((VLOOKUP(TabDesSalariosFiscal[[#This Row],[id]],TabAsistencias[],COLUMN(TabAsistencias[''V]),FALSE))),0)</f>
        <v>0</v>
      </c>
      <c r="H19" s="183" cm="1">
        <f t="array" ref="H19">IFERROR(VLOOKUP(TabDesSalariosFiscal[[#This Row],[id]],TabCuotasIMSS[],COLUMN(TabCuotasIMSS[S.B.C./S.D.I.]),FALSE),0)</f>
        <v>200.0304205479452</v>
      </c>
      <c r="I19" s="184">
        <f>IFERROR(TabDesSalariosFiscal[[#This Row],[S.B.C]]*Bono*TabDesSalariosFiscal[[#This Row],[Dias Lab.]],0)</f>
        <v>1460.22207</v>
      </c>
      <c r="J19" s="184">
        <f>IFERROR(TabDesSalariosFiscal[[#This Row],[S.B.C]]*Bono*TabDesSalariosFiscal[[#This Row],[Dias Lab.]],0)</f>
        <v>1460.22207</v>
      </c>
      <c r="K19" s="232" cm="1">
        <f t="array" ref="K19">(VLOOKUP(TabDesSalariosFiscal[[#This Row],[id]],TabEmpleados[],COLUMN(TabEmpleados[SD Fiscal]),FALSE))*(VLOOKUP(TabDesSalariosFiscal[[#This Row],[id]],TabAsistencias[],COLUMN(TabAsistencias[''DF]),FALSE))*2</f>
        <v>0</v>
      </c>
      <c r="L19" s="185">
        <f>-1*(SUMIFS(TabPagosFiscal[Monto de pago],TabPagosFiscal[id],TabDesSalariosFiscal[[#This Row],[id]],TabPagosFiscal[Fecha de pago],"&gt;="&amp;Asistencias!$B$2,TabPagosFiscal[Fecha de pago],"&lt;"&amp;Asistencias!$B$3))</f>
        <v>0</v>
      </c>
      <c r="M19" t="str" cm="1">
        <f t="array" ref="M19">getDescripcion(TabDesSalariosFiscal[[#This Row],[id]],"Descuentos-PagosFiscal","TabPagosFiscal",Asistencias!$B$2,Asistencias!$B$3)</f>
        <v/>
      </c>
      <c r="N19" s="186" cm="1">
        <f t="array" ref="N19">IFERROR(-1*(VLOOKUP(TabDesSalariosFiscal[[#This Row],[id]],TabCuotasIMSS[],COLUMN(TabCuotasIMSS[TOTAL
OBRERO19]),FALSE)),0)</f>
        <v>-346.80274162500001</v>
      </c>
      <c r="O19" s="187" cm="1">
        <f t="array" ref="O19">IFERROR(-1*(VLOOKUP(TabDesSalariosFiscal[[#This Row],[id]],TabImpuestos[],COLUMN(TabImpuestos[Total ISR]),FALSE)),0)</f>
        <v>-2501.286349728</v>
      </c>
      <c r="P19" s="188">
        <f>IFERROR(TabDesSalariosFiscal[[#This Row],[Subtotal Fiscal]]+TabDesSalariosFiscal[[#This Row],[Prima dominical]]+TabDesSalariosFiscal[[#This Row],[Prima vacacional]]+TabDesSalariosFiscal[[#This Row],[Bono Asistencia]]+TabDesSalariosFiscal[[#This Row],[Bono Puntualidad]]+TabDesSalariosFiscal[[#This Row],[Dia Festivo/ Descanso]]+TabDesSalariosFiscal[[#This Row],[Descuentos]]+TabDesSalariosFiscal[[#This Row],[IMSS]]+TabDesSalariosFiscal[[#This Row],[ISR]],0)</f>
        <v>12744.605048646999</v>
      </c>
      <c r="Q19" s="187" cm="1">
        <f t="array" ref="Q19">IFERROR(IF('Desglose Salarios Fiscal'!$Q$1=1,-1*(IF((VLOOKUP(TabDesSalariosFiscal[[#This Row],[id]],TabImpuestos[],COLUMN(TabImpuestos[ISR de Aguinaldo 1]),FALSE))&lt;0,0,(VLOOKUP(TabDesSalariosFiscal[[#This Row],[id]],TabImpuestos[],COLUMN(TabImpuestos[ISR de Aguinaldo 1]),FALSE)))),0),0)</f>
        <v>0</v>
      </c>
      <c r="R19" s="55" cm="1">
        <f t="array" ref="R19">IFERROR(IF('Desglose Salarios Fiscal'!$Q$1=1,(VLOOKUP(TabDesSalariosFiscal[[#This Row],[id]],TabEmpleados[],COLUMN(TabEmpleados[SD Fiscal]),FALSE)*TabDesSalariosFiscal[[#This Row],[Dias de aguinaldo fiscal2]])+TabDesSalariosFiscal[[#This Row],[ISR Aguinaldo]],0),0)</f>
        <v>2595</v>
      </c>
      <c r="S19" cm="1">
        <f t="array" ref="S19">IF(YEAR(VLOOKUP(TabDesSalariosFiscal[[#This Row],[id]],TabEmpleados[],COLUMN(TabEmpleados[Fecha de alta NSS]),FALSE))&lt;AñoActual,'Tablas de informacion'!$N$13,_xlfn.DAYS(DATE(AñoActual+1,MONTH(1),DAY(1))-DAY(1),(VLOOKUP(TabDesSalariosFiscal[[#This Row],[id]],TabEmpleados[],COLUMN(TabEmpleados[Fecha de alta NSS]),FALSE))))</f>
        <v>365</v>
      </c>
      <c r="T19" cm="1">
        <f t="array" ref="T19">IFERROR(TabDesSalariosFiscal[[#This Row],[Dias de aguinaldo Fiscal1]]*VLOOKUP(TabDesSalariosFiscal[[#This Row],[Años]],TabFactorIntegracion[],COLUMN(TabFactorIntegracion[Días de
aguinaldo]),FALSE)/'Tablas de informacion'!$N$13,0)</f>
        <v>15</v>
      </c>
    </row>
    <row r="20" spans="1:20" x14ac:dyDescent="0.25">
      <c r="A20" s="176">
        <v>18</v>
      </c>
      <c r="B20" t="str" cm="1">
        <f t="array" ref="B20">VLOOKUP(TabDesSalariosFiscal[[#This Row],[id]],TabEmpleados[],COLUMN(TabEmpleados[Nombre]),FALSE)</f>
        <v>RAMIREZ SANTIAGO IRVIN DANIEL</v>
      </c>
      <c r="C20" s="148" cm="1">
        <f t="array" ref="C20">IF(VLOOKUP(TabDesSalariosFiscal[[#This Row],[id]],TabEmpleados[],COLUMN(TabEmpleados[Fecha de alta NSS]),FALSE)&lt;&gt;"",
VLOOKUP(TabDesSalariosFiscal[[#This Row],[id]],TabAsistencias[],COLUMN(TabAsistencias[''Total de dias laborados]),FALSE),
0)</f>
        <v>73</v>
      </c>
      <c r="D20" s="179" cm="1">
        <f t="array" ref="D20">(VLOOKUP(TabDesSalariosFiscal[[#This Row],[id]],TabEmpleados[],COLUMN(TabEmpleados[SD Fiscal]),FALSE))*
TabDesSalariosFiscal[[#This Row],[Dias Lab.]]</f>
        <v>7665</v>
      </c>
      <c r="E20" s="180" cm="1">
        <f t="array" ref="E20">IF(VLOOKUP(TabDesSalariosFiscal[[#This Row],[id]],TabEmpleados[],COLUMN(TabEmpleados[Fecha de alta NSS]),FALSE)&lt;&gt;"",
IF(DATEDIF((VLOOKUP(TabDesSalariosFiscal[[#This Row],[id]],TabEmpleados[],COLUMN(TabEmpleados[Fecha de alta NSS]),FALSE)),'Tablas de informacion'!N$8,"Y")=0,1,
DATEDIF((VLOOKUP(TabDesSalariosFiscal[[#This Row],[id]],TabEmpleados[],COLUMN(TabEmpleados[Fecha de alta NSS]),FALSE)),'Tablas de informacion'!N$8,"Y")),0)</f>
        <v>1</v>
      </c>
      <c r="F20" s="181" cm="1">
        <f t="array" ref="F20">IFERROR((VLOOKUP(TabDesSalariosFiscal[[#This Row],[id]],TabEmpleados[],COLUMN(TabEmpleados[SD Fiscal]),FALSE))*
(VLOOKUP(TabDesSalariosFiscal[[#This Row],[Años]],TabFactorIntegracion[],COLUMN(TabFactorIntegracion[% de prima 
vacacional y dominical]),FALSE))*
IF((VLOOKUP(TabDesSalariosFiscal[[#This Row],[id]],TabAsistencias[],COLUMN(TabAsistencias[''Prima dominical]),FALSE))&lt;DominicalFiscal,(VLOOKUP(TabDesSalariosFiscal[[#This Row],[id]],TabAsistencias[],COLUMN(TabAsistencias[''Total de dias laborados]),FALSE)),DominicalFiscal)*
(VLOOKUP((VLOOKUP(TabDesSalariosFiscal[[#This Row],[id]],TabEmpleados[],COLUMN(TabEmpleados[Puesto]),FALSE)),TabPuestos[],COLUMN(TabPuestos[PRIMA DOMINICAL]),FALSE)),0)</f>
        <v>26.25</v>
      </c>
      <c r="G20" s="182" cm="1">
        <f t="array" ref="G20">IFERROR((VLOOKUP(TabDesSalariosFiscal[[#This Row],[id]],TabEmpleados[],COLUMN(TabEmpleados[SD Fiscal]),FALSE))*
(VLOOKUP(TabDesSalariosFiscal[[#This Row],[Años]],TabFactorIntegracion[],COLUMN(TabFactorIntegracion[% de prima 
vacacional y dominical]),FALSE))*
((VLOOKUP(TabDesSalariosFiscal[[#This Row],[id]],TabAsistencias[],COLUMN(TabAsistencias[''V]),FALSE))),0)</f>
        <v>0</v>
      </c>
      <c r="H20" s="183" cm="1">
        <f t="array" ref="H20">IFERROR(VLOOKUP(TabDesSalariosFiscal[[#This Row],[id]],TabCuotasIMSS[],COLUMN(TabCuotasIMSS[S.B.C./S.D.I.]),FALSE),0)</f>
        <v>120.83040410958904</v>
      </c>
      <c r="I20" s="184">
        <f>IFERROR(TabDesSalariosFiscal[[#This Row],[S.B.C]]*Bono*TabDesSalariosFiscal[[#This Row],[Dias Lab.]],0)</f>
        <v>882.06195000000002</v>
      </c>
      <c r="J20" s="184">
        <f>IFERROR(TabDesSalariosFiscal[[#This Row],[S.B.C]]*Bono*TabDesSalariosFiscal[[#This Row],[Dias Lab.]],0)</f>
        <v>882.06195000000002</v>
      </c>
      <c r="K20" s="232" cm="1">
        <f t="array" ref="K20">(VLOOKUP(TabDesSalariosFiscal[[#This Row],[id]],TabEmpleados[],COLUMN(TabEmpleados[SD Fiscal]),FALSE))*(VLOOKUP(TabDesSalariosFiscal[[#This Row],[id]],TabAsistencias[],COLUMN(TabAsistencias[''DF]),FALSE))*2</f>
        <v>0</v>
      </c>
      <c r="L20" s="185">
        <f>-1*(SUMIFS(TabPagosFiscal[Monto de pago],TabPagosFiscal[id],TabDesSalariosFiscal[[#This Row],[id]],TabPagosFiscal[Fecha de pago],"&gt;="&amp;Asistencias!$B$2,TabPagosFiscal[Fecha de pago],"&lt;"&amp;Asistencias!$B$3))</f>
        <v>0</v>
      </c>
      <c r="M20" t="str" cm="1">
        <f t="array" ref="M20">getDescripcion(TabDesSalariosFiscal[[#This Row],[id]],"Descuentos-PagosFiscal","TabPagosFiscal",Asistencias!$B$2,Asistencias!$B$3)</f>
        <v/>
      </c>
      <c r="N20" s="186" cm="1">
        <f t="array" ref="N20">IFERROR(-1*(VLOOKUP(TabDesSalariosFiscal[[#This Row],[id]],TabCuotasIMSS[],COLUMN(TabCuotasIMSS[TOTAL
OBRERO19]),FALSE)),0)</f>
        <v>0</v>
      </c>
      <c r="O20" s="187" cm="1">
        <f t="array" ref="O20">IFERROR(-1*(VLOOKUP(TabDesSalariosFiscal[[#This Row],[id]],TabImpuestos[],COLUMN(TabImpuestos[Total ISR]),FALSE)),0)</f>
        <v>-1190.9988890399998</v>
      </c>
      <c r="P20" s="188">
        <f>IFERROR(TabDesSalariosFiscal[[#This Row],[Subtotal Fiscal]]+TabDesSalariosFiscal[[#This Row],[Prima dominical]]+TabDesSalariosFiscal[[#This Row],[Prima vacacional]]+TabDesSalariosFiscal[[#This Row],[Bono Asistencia]]+TabDesSalariosFiscal[[#This Row],[Bono Puntualidad]]+TabDesSalariosFiscal[[#This Row],[Dia Festivo/ Descanso]]+TabDesSalariosFiscal[[#This Row],[Descuentos]]+TabDesSalariosFiscal[[#This Row],[IMSS]]+TabDesSalariosFiscal[[#This Row],[ISR]],0)</f>
        <v>8264.3750109599987</v>
      </c>
      <c r="Q20" s="187" cm="1">
        <f t="array" ref="Q20">IFERROR(IF('Desglose Salarios Fiscal'!$Q$1=1,-1*(IF((VLOOKUP(TabDesSalariosFiscal[[#This Row],[id]],TabImpuestos[],COLUMN(TabImpuestos[ISR de Aguinaldo 1]),FALSE))&lt;0,0,(VLOOKUP(TabDesSalariosFiscal[[#This Row],[id]],TabImpuestos[],COLUMN(TabImpuestos[ISR de Aguinaldo 1]),FALSE)))),0),0)</f>
        <v>0</v>
      </c>
      <c r="R20" s="55" cm="1">
        <f t="array" ref="R20">IFERROR(IF('Desglose Salarios Fiscal'!$Q$1=1,(VLOOKUP(TabDesSalariosFiscal[[#This Row],[id]],TabEmpleados[],COLUMN(TabEmpleados[SD Fiscal]),FALSE)*TabDesSalariosFiscal[[#This Row],[Dias de aguinaldo fiscal2]])+TabDesSalariosFiscal[[#This Row],[ISR Aguinaldo]],0),0)</f>
        <v>1575</v>
      </c>
      <c r="S20" cm="1">
        <f t="array" ref="S20">IF(YEAR(VLOOKUP(TabDesSalariosFiscal[[#This Row],[id]],TabEmpleados[],COLUMN(TabEmpleados[Fecha de alta NSS]),FALSE))&lt;AñoActual,'Tablas de informacion'!$N$13,_xlfn.DAYS(DATE(AñoActual+1,MONTH(1),DAY(1))-DAY(1),(VLOOKUP(TabDesSalariosFiscal[[#This Row],[id]],TabEmpleados[],COLUMN(TabEmpleados[Fecha de alta NSS]),FALSE))))</f>
        <v>365</v>
      </c>
      <c r="T20" cm="1">
        <f t="array" ref="T20">IFERROR(TabDesSalariosFiscal[[#This Row],[Dias de aguinaldo Fiscal1]]*VLOOKUP(TabDesSalariosFiscal[[#This Row],[Años]],TabFactorIntegracion[],COLUMN(TabFactorIntegracion[Días de
aguinaldo]),FALSE)/'Tablas de informacion'!$N$13,0)</f>
        <v>15</v>
      </c>
    </row>
    <row r="21" spans="1:20" x14ac:dyDescent="0.25">
      <c r="A21" s="176">
        <v>19</v>
      </c>
      <c r="B21" t="str" cm="1">
        <f t="array" ref="B21">VLOOKUP(TabDesSalariosFiscal[[#This Row],[id]],TabEmpleados[],COLUMN(TabEmpleados[Nombre]),FALSE)</f>
        <v>SOSA ALCÁNTARA JOSUE</v>
      </c>
      <c r="C21" s="148" cm="1">
        <f t="array" ref="C21">IF(VLOOKUP(TabDesSalariosFiscal[[#This Row],[id]],TabEmpleados[],COLUMN(TabEmpleados[Fecha de alta NSS]),FALSE)&lt;&gt;"",
VLOOKUP(TabDesSalariosFiscal[[#This Row],[id]],TabAsistencias[],COLUMN(TabAsistencias[''Total de dias laborados]),FALSE),
0)</f>
        <v>73</v>
      </c>
      <c r="D21" s="179" cm="1">
        <f t="array" ref="D21">(VLOOKUP(TabDesSalariosFiscal[[#This Row],[id]],TabEmpleados[],COLUMN(TabEmpleados[SD Fiscal]),FALSE))*
TabDesSalariosFiscal[[#This Row],[Dias Lab.]]</f>
        <v>9855</v>
      </c>
      <c r="E21" s="180" cm="1">
        <f t="array" ref="E21">IF(VLOOKUP(TabDesSalariosFiscal[[#This Row],[id]],TabEmpleados[],COLUMN(TabEmpleados[Fecha de alta NSS]),FALSE)&lt;&gt;"",
IF(DATEDIF((VLOOKUP(TabDesSalariosFiscal[[#This Row],[id]],TabEmpleados[],COLUMN(TabEmpleados[Fecha de alta NSS]),FALSE)),'Tablas de informacion'!N$8,"Y")=0,1,
DATEDIF((VLOOKUP(TabDesSalariosFiscal[[#This Row],[id]],TabEmpleados[],COLUMN(TabEmpleados[Fecha de alta NSS]),FALSE)),'Tablas de informacion'!N$8,"Y")),0)</f>
        <v>1</v>
      </c>
      <c r="F21" s="181" cm="1">
        <f t="array" ref="F21">IFERROR((VLOOKUP(TabDesSalariosFiscal[[#This Row],[id]],TabEmpleados[],COLUMN(TabEmpleados[SD Fiscal]),FALSE))*
(VLOOKUP(TabDesSalariosFiscal[[#This Row],[Años]],TabFactorIntegracion[],COLUMN(TabFactorIntegracion[% de prima 
vacacional y dominical]),FALSE))*
IF((VLOOKUP(TabDesSalariosFiscal[[#This Row],[id]],TabAsistencias[],COLUMN(TabAsistencias[''Prima dominical]),FALSE))&lt;DominicalFiscal,(VLOOKUP(TabDesSalariosFiscal[[#This Row],[id]],TabAsistencias[],COLUMN(TabAsistencias[''Total de dias laborados]),FALSE)),DominicalFiscal)*
(VLOOKUP((VLOOKUP(TabDesSalariosFiscal[[#This Row],[id]],TabEmpleados[],COLUMN(TabEmpleados[Puesto]),FALSE)),TabPuestos[],COLUMN(TabPuestos[PRIMA DOMINICAL]),FALSE)),0)</f>
        <v>33.75</v>
      </c>
      <c r="G21" s="182" cm="1">
        <f t="array" ref="G21">IFERROR((VLOOKUP(TabDesSalariosFiscal[[#This Row],[id]],TabEmpleados[],COLUMN(TabEmpleados[SD Fiscal]),FALSE))*
(VLOOKUP(TabDesSalariosFiscal[[#This Row],[Años]],TabFactorIntegracion[],COLUMN(TabFactorIntegracion[% de prima 
vacacional y dominical]),FALSE))*
((VLOOKUP(TabDesSalariosFiscal[[#This Row],[id]],TabAsistencias[],COLUMN(TabAsistencias[''V]),FALSE))),0)</f>
        <v>0</v>
      </c>
      <c r="H21" s="183" cm="1">
        <f t="array" ref="H21">IFERROR(VLOOKUP(TabDesSalariosFiscal[[#This Row],[id]],TabCuotasIMSS[],COLUMN(TabCuotasIMSS[S.B.C./S.D.I.]),FALSE),0)</f>
        <v>155.35337671232878</v>
      </c>
      <c r="I21" s="184">
        <f>IFERROR(TabDesSalariosFiscal[[#This Row],[S.B.C]]*Bono*TabDesSalariosFiscal[[#This Row],[Dias Lab.]],0)</f>
        <v>1134.0796500000001</v>
      </c>
      <c r="J21" s="184">
        <f>IFERROR(TabDesSalariosFiscal[[#This Row],[S.B.C]]*Bono*TabDesSalariosFiscal[[#This Row],[Dias Lab.]],0)</f>
        <v>1134.0796500000001</v>
      </c>
      <c r="K21" s="232" cm="1">
        <f t="array" ref="K21">(VLOOKUP(TabDesSalariosFiscal[[#This Row],[id]],TabEmpleados[],COLUMN(TabEmpleados[SD Fiscal]),FALSE))*(VLOOKUP(TabDesSalariosFiscal[[#This Row],[id]],TabAsistencias[],COLUMN(TabAsistencias[''DF]),FALSE))*2</f>
        <v>0</v>
      </c>
      <c r="L21" s="185">
        <f>-1*(SUMIFS(TabPagosFiscal[Monto de pago],TabPagosFiscal[id],TabDesSalariosFiscal[[#This Row],[id]],TabPagosFiscal[Fecha de pago],"&gt;="&amp;Asistencias!$B$2,TabPagosFiscal[Fecha de pago],"&lt;"&amp;Asistencias!$B$3))</f>
        <v>0</v>
      </c>
      <c r="M21" t="str" cm="1">
        <f t="array" ref="M21">getDescripcion(TabDesSalariosFiscal[[#This Row],[id]],"Descuentos-PagosFiscal","TabPagosFiscal",Asistencias!$B$2,Asistencias!$B$3)</f>
        <v/>
      </c>
      <c r="N21" s="186" cm="1">
        <f t="array" ref="N21">IFERROR(-1*(VLOOKUP(TabDesSalariosFiscal[[#This Row],[id]],TabCuotasIMSS[],COLUMN(TabCuotasIMSS[TOTAL
OBRERO19]),FALSE)),0)</f>
        <v>0</v>
      </c>
      <c r="O21" s="187" cm="1">
        <f t="array" ref="O21">IFERROR(-1*(VLOOKUP(TabDesSalariosFiscal[[#This Row],[id]],TabImpuestos[],COLUMN(TabImpuestos[Total ISR]),FALSE)),0)</f>
        <v>-1766.4448504799998</v>
      </c>
      <c r="P21" s="188">
        <f>IFERROR(TabDesSalariosFiscal[[#This Row],[Subtotal Fiscal]]+TabDesSalariosFiscal[[#This Row],[Prima dominical]]+TabDesSalariosFiscal[[#This Row],[Prima vacacional]]+TabDesSalariosFiscal[[#This Row],[Bono Asistencia]]+TabDesSalariosFiscal[[#This Row],[Bono Puntualidad]]+TabDesSalariosFiscal[[#This Row],[Dia Festivo/ Descanso]]+TabDesSalariosFiscal[[#This Row],[Descuentos]]+TabDesSalariosFiscal[[#This Row],[IMSS]]+TabDesSalariosFiscal[[#This Row],[ISR]],0)</f>
        <v>10390.464449519999</v>
      </c>
      <c r="Q21" s="187" cm="1">
        <f t="array" ref="Q21">IFERROR(IF('Desglose Salarios Fiscal'!$Q$1=1,-1*(IF((VLOOKUP(TabDesSalariosFiscal[[#This Row],[id]],TabImpuestos[],COLUMN(TabImpuestos[ISR de Aguinaldo 1]),FALSE))&lt;0,0,(VLOOKUP(TabDesSalariosFiscal[[#This Row],[id]],TabImpuestos[],COLUMN(TabImpuestos[ISR de Aguinaldo 1]),FALSE)))),0),0)</f>
        <v>0</v>
      </c>
      <c r="R21" s="55" cm="1">
        <f t="array" ref="R21">IFERROR(IF('Desglose Salarios Fiscal'!$Q$1=1,(VLOOKUP(TabDesSalariosFiscal[[#This Row],[id]],TabEmpleados[],COLUMN(TabEmpleados[SD Fiscal]),FALSE)*TabDesSalariosFiscal[[#This Row],[Dias de aguinaldo fiscal2]])+TabDesSalariosFiscal[[#This Row],[ISR Aguinaldo]],0),0)</f>
        <v>2025</v>
      </c>
      <c r="S21" cm="1">
        <f t="array" ref="S21">IF(YEAR(VLOOKUP(TabDesSalariosFiscal[[#This Row],[id]],TabEmpleados[],COLUMN(TabEmpleados[Fecha de alta NSS]),FALSE))&lt;AñoActual,'Tablas de informacion'!$N$13,_xlfn.DAYS(DATE(AñoActual+1,MONTH(1),DAY(1))-DAY(1),(VLOOKUP(TabDesSalariosFiscal[[#This Row],[id]],TabEmpleados[],COLUMN(TabEmpleados[Fecha de alta NSS]),FALSE))))</f>
        <v>365</v>
      </c>
      <c r="T21" cm="1">
        <f t="array" ref="T21">IFERROR(TabDesSalariosFiscal[[#This Row],[Dias de aguinaldo Fiscal1]]*VLOOKUP(TabDesSalariosFiscal[[#This Row],[Años]],TabFactorIntegracion[],COLUMN(TabFactorIntegracion[Días de
aguinaldo]),FALSE)/'Tablas de informacion'!$N$13,0)</f>
        <v>15</v>
      </c>
    </row>
    <row r="22" spans="1:20" x14ac:dyDescent="0.25">
      <c r="A22" s="176">
        <v>20</v>
      </c>
      <c r="B22" t="str" cm="1">
        <f t="array" ref="B22">VLOOKUP(TabDesSalariosFiscal[[#This Row],[id]],TabEmpleados[],COLUMN(TabEmpleados[Nombre]),FALSE)</f>
        <v>DECIDERIO ESPINA ISMAEL</v>
      </c>
      <c r="C22" s="148" cm="1">
        <f t="array" ref="C22">IF(VLOOKUP(TabDesSalariosFiscal[[#This Row],[id]],TabEmpleados[],COLUMN(TabEmpleados[Fecha de alta NSS]),FALSE)&lt;&gt;"",
VLOOKUP(TabDesSalariosFiscal[[#This Row],[id]],TabAsistencias[],COLUMN(TabAsistencias[''Total de dias laborados]),FALSE),
0)</f>
        <v>73</v>
      </c>
      <c r="D22" s="179" cm="1">
        <f t="array" ref="D22">(VLOOKUP(TabDesSalariosFiscal[[#This Row],[id]],TabEmpleados[],COLUMN(TabEmpleados[SD Fiscal]),FALSE))*
TabDesSalariosFiscal[[#This Row],[Dias Lab.]]</f>
        <v>8760</v>
      </c>
      <c r="E22" s="180" cm="1">
        <f t="array" ref="E22">IF(VLOOKUP(TabDesSalariosFiscal[[#This Row],[id]],TabEmpleados[],COLUMN(TabEmpleados[Fecha de alta NSS]),FALSE)&lt;&gt;"",
IF(DATEDIF((VLOOKUP(TabDesSalariosFiscal[[#This Row],[id]],TabEmpleados[],COLUMN(TabEmpleados[Fecha de alta NSS]),FALSE)),'Tablas de informacion'!N$8,"Y")=0,1,
DATEDIF((VLOOKUP(TabDesSalariosFiscal[[#This Row],[id]],TabEmpleados[],COLUMN(TabEmpleados[Fecha de alta NSS]),FALSE)),'Tablas de informacion'!N$8,"Y")),0)</f>
        <v>1</v>
      </c>
      <c r="F22" s="181" cm="1">
        <f t="array" ref="F22">IFERROR((VLOOKUP(TabDesSalariosFiscal[[#This Row],[id]],TabEmpleados[],COLUMN(TabEmpleados[SD Fiscal]),FALSE))*
(VLOOKUP(TabDesSalariosFiscal[[#This Row],[Años]],TabFactorIntegracion[],COLUMN(TabFactorIntegracion[% de prima 
vacacional y dominical]),FALSE))*
IF((VLOOKUP(TabDesSalariosFiscal[[#This Row],[id]],TabAsistencias[],COLUMN(TabAsistencias[''Prima dominical]),FALSE))&lt;DominicalFiscal,(VLOOKUP(TabDesSalariosFiscal[[#This Row],[id]],TabAsistencias[],COLUMN(TabAsistencias[''Total de dias laborados]),FALSE)),DominicalFiscal)*
(VLOOKUP((VLOOKUP(TabDesSalariosFiscal[[#This Row],[id]],TabEmpleados[],COLUMN(TabEmpleados[Puesto]),FALSE)),TabPuestos[],COLUMN(TabPuestos[PRIMA DOMINICAL]),FALSE)),0)</f>
        <v>30</v>
      </c>
      <c r="G22" s="182" cm="1">
        <f t="array" ref="G22">IFERROR((VLOOKUP(TabDesSalariosFiscal[[#This Row],[id]],TabEmpleados[],COLUMN(TabEmpleados[SD Fiscal]),FALSE))*
(VLOOKUP(TabDesSalariosFiscal[[#This Row],[Años]],TabFactorIntegracion[],COLUMN(TabFactorIntegracion[% de prima 
vacacional y dominical]),FALSE))*
((VLOOKUP(TabDesSalariosFiscal[[#This Row],[id]],TabAsistencias[],COLUMN(TabAsistencias[''V]),FALSE))),0)</f>
        <v>0</v>
      </c>
      <c r="H22" s="183" cm="1">
        <f t="array" ref="H22">IFERROR(VLOOKUP(TabDesSalariosFiscal[[#This Row],[id]],TabCuotasIMSS[],COLUMN(TabCuotasIMSS[S.B.C./S.D.I.]),FALSE),0)</f>
        <v>138.09189041095891</v>
      </c>
      <c r="I22" s="184">
        <f>IFERROR(TabDesSalariosFiscal[[#This Row],[S.B.C]]*Bono*TabDesSalariosFiscal[[#This Row],[Dias Lab.]],0)</f>
        <v>1008.0708000000001</v>
      </c>
      <c r="J22" s="184">
        <f>IFERROR(TabDesSalariosFiscal[[#This Row],[S.B.C]]*Bono*TabDesSalariosFiscal[[#This Row],[Dias Lab.]],0)</f>
        <v>1008.0708000000001</v>
      </c>
      <c r="K22" s="232" cm="1">
        <f t="array" ref="K22">(VLOOKUP(TabDesSalariosFiscal[[#This Row],[id]],TabEmpleados[],COLUMN(TabEmpleados[SD Fiscal]),FALSE))*(VLOOKUP(TabDesSalariosFiscal[[#This Row],[id]],TabAsistencias[],COLUMN(TabAsistencias[''DF]),FALSE))*2</f>
        <v>0</v>
      </c>
      <c r="L22" s="185">
        <f>-1*(SUMIFS(TabPagosFiscal[Monto de pago],TabPagosFiscal[id],TabDesSalariosFiscal[[#This Row],[id]],TabPagosFiscal[Fecha de pago],"&gt;="&amp;Asistencias!$B$2,TabPagosFiscal[Fecha de pago],"&lt;"&amp;Asistencias!$B$3))</f>
        <v>0</v>
      </c>
      <c r="M22" t="str" cm="1">
        <f t="array" ref="M22">getDescripcion(TabDesSalariosFiscal[[#This Row],[id]],"Descuentos-PagosFiscal","TabPagosFiscal",Asistencias!$B$2,Asistencias!$B$3)</f>
        <v/>
      </c>
      <c r="N22" s="186" cm="1">
        <f t="array" ref="N22">IFERROR(-1*(VLOOKUP(TabDesSalariosFiscal[[#This Row],[id]],TabCuotasIMSS[],COLUMN(TabCuotasIMSS[TOTAL
OBRERO19]),FALSE)),0)</f>
        <v>0</v>
      </c>
      <c r="O22" s="187" cm="1">
        <f t="array" ref="O22">IFERROR(-1*(VLOOKUP(TabDesSalariosFiscal[[#This Row],[id]],TabImpuestos[],COLUMN(TabImpuestos[Total ISR]),FALSE)),0)</f>
        <v>-1478.7218697599999</v>
      </c>
      <c r="P22" s="188">
        <f>IFERROR(TabDesSalariosFiscal[[#This Row],[Subtotal Fiscal]]+TabDesSalariosFiscal[[#This Row],[Prima dominical]]+TabDesSalariosFiscal[[#This Row],[Prima vacacional]]+TabDesSalariosFiscal[[#This Row],[Bono Asistencia]]+TabDesSalariosFiscal[[#This Row],[Bono Puntualidad]]+TabDesSalariosFiscal[[#This Row],[Dia Festivo/ Descanso]]+TabDesSalariosFiscal[[#This Row],[Descuentos]]+TabDesSalariosFiscal[[#This Row],[IMSS]]+TabDesSalariosFiscal[[#This Row],[ISR]],0)</f>
        <v>9327.4197302399989</v>
      </c>
      <c r="Q22" s="187" cm="1">
        <f t="array" ref="Q22">IFERROR(IF('Desglose Salarios Fiscal'!$Q$1=1,-1*(IF((VLOOKUP(TabDesSalariosFiscal[[#This Row],[id]],TabImpuestos[],COLUMN(TabImpuestos[ISR de Aguinaldo 1]),FALSE))&lt;0,0,(VLOOKUP(TabDesSalariosFiscal[[#This Row],[id]],TabImpuestos[],COLUMN(TabImpuestos[ISR de Aguinaldo 1]),FALSE)))),0),0)</f>
        <v>0</v>
      </c>
      <c r="R22" s="55" cm="1">
        <f t="array" ref="R22">IFERROR(IF('Desglose Salarios Fiscal'!$Q$1=1,(VLOOKUP(TabDesSalariosFiscal[[#This Row],[id]],TabEmpleados[],COLUMN(TabEmpleados[SD Fiscal]),FALSE)*TabDesSalariosFiscal[[#This Row],[Dias de aguinaldo fiscal2]])+TabDesSalariosFiscal[[#This Row],[ISR Aguinaldo]],0),0)</f>
        <v>1800</v>
      </c>
      <c r="S22" cm="1">
        <f t="array" ref="S22">IF(YEAR(VLOOKUP(TabDesSalariosFiscal[[#This Row],[id]],TabEmpleados[],COLUMN(TabEmpleados[Fecha de alta NSS]),FALSE))&lt;AñoActual,'Tablas de informacion'!$N$13,_xlfn.DAYS(DATE(AñoActual+1,MONTH(1),DAY(1))-DAY(1),(VLOOKUP(TabDesSalariosFiscal[[#This Row],[id]],TabEmpleados[],COLUMN(TabEmpleados[Fecha de alta NSS]),FALSE))))</f>
        <v>365</v>
      </c>
      <c r="T22" cm="1">
        <f t="array" ref="T22">IFERROR(TabDesSalariosFiscal[[#This Row],[Dias de aguinaldo Fiscal1]]*VLOOKUP(TabDesSalariosFiscal[[#This Row],[Años]],TabFactorIntegracion[],COLUMN(TabFactorIntegracion[Días de
aguinaldo]),FALSE)/'Tablas de informacion'!$N$13,0)</f>
        <v>15</v>
      </c>
    </row>
    <row r="23" spans="1:20" x14ac:dyDescent="0.25">
      <c r="A23" s="176">
        <v>21</v>
      </c>
      <c r="B23" t="str" cm="1">
        <f t="array" ref="B23">VLOOKUP(TabDesSalariosFiscal[[#This Row],[id]],TabEmpleados[],COLUMN(TabEmpleados[Nombre]),FALSE)</f>
        <v>HERNANDEZ MIGUEL GRISELDA ITAHI</v>
      </c>
      <c r="C23" s="148" cm="1">
        <f t="array" ref="C23">IF(VLOOKUP(TabDesSalariosFiscal[[#This Row],[id]],TabEmpleados[],COLUMN(TabEmpleados[Fecha de alta NSS]),FALSE)&lt;&gt;"",
VLOOKUP(TabDesSalariosFiscal[[#This Row],[id]],TabAsistencias[],COLUMN(TabAsistencias[''Total de dias laborados]),FALSE),
0)</f>
        <v>73</v>
      </c>
      <c r="D23" s="179" cm="1">
        <f t="array" ref="D23">(VLOOKUP(TabDesSalariosFiscal[[#This Row],[id]],TabEmpleados[],COLUMN(TabEmpleados[SD Fiscal]),FALSE))*
TabDesSalariosFiscal[[#This Row],[Dias Lab.]]</f>
        <v>6132</v>
      </c>
      <c r="E23" s="180" cm="1">
        <f t="array" ref="E23">IF(VLOOKUP(TabDesSalariosFiscal[[#This Row],[id]],TabEmpleados[],COLUMN(TabEmpleados[Fecha de alta NSS]),FALSE)&lt;&gt;"",
IF(DATEDIF((VLOOKUP(TabDesSalariosFiscal[[#This Row],[id]],TabEmpleados[],COLUMN(TabEmpleados[Fecha de alta NSS]),FALSE)),'Tablas de informacion'!N$8,"Y")=0,1,
DATEDIF((VLOOKUP(TabDesSalariosFiscal[[#This Row],[id]],TabEmpleados[],COLUMN(TabEmpleados[Fecha de alta NSS]),FALSE)),'Tablas de informacion'!N$8,"Y")),0)</f>
        <v>1</v>
      </c>
      <c r="F23" s="181" cm="1">
        <f t="array" ref="F23">IFERROR((VLOOKUP(TabDesSalariosFiscal[[#This Row],[id]],TabEmpleados[],COLUMN(TabEmpleados[SD Fiscal]),FALSE))*
(VLOOKUP(TabDesSalariosFiscal[[#This Row],[Años]],TabFactorIntegracion[],COLUMN(TabFactorIntegracion[% de prima 
vacacional y dominical]),FALSE))*
IF((VLOOKUP(TabDesSalariosFiscal[[#This Row],[id]],TabAsistencias[],COLUMN(TabAsistencias[''Prima dominical]),FALSE))&lt;DominicalFiscal,(VLOOKUP(TabDesSalariosFiscal[[#This Row],[id]],TabAsistencias[],COLUMN(TabAsistencias[''Total de dias laborados]),FALSE)),DominicalFiscal)*
(VLOOKUP((VLOOKUP(TabDesSalariosFiscal[[#This Row],[id]],TabEmpleados[],COLUMN(TabEmpleados[Puesto]),FALSE)),TabPuestos[],COLUMN(TabPuestos[PRIMA DOMINICAL]),FALSE)),0)</f>
        <v>21</v>
      </c>
      <c r="G23" s="182" cm="1">
        <f t="array" ref="G23">IFERROR((VLOOKUP(TabDesSalariosFiscal[[#This Row],[id]],TabEmpleados[],COLUMN(TabEmpleados[SD Fiscal]),FALSE))*
(VLOOKUP(TabDesSalariosFiscal[[#This Row],[Años]],TabFactorIntegracion[],COLUMN(TabFactorIntegracion[% de prima 
vacacional y dominical]),FALSE))*
((VLOOKUP(TabDesSalariosFiscal[[#This Row],[id]],TabAsistencias[],COLUMN(TabAsistencias[''V]),FALSE))),0)</f>
        <v>0</v>
      </c>
      <c r="H23" s="183" cm="1">
        <f t="array" ref="H23">IFERROR(VLOOKUP(TabDesSalariosFiscal[[#This Row],[id]],TabCuotasIMSS[],COLUMN(TabCuotasIMSS[S.B.C./S.D.I.]),FALSE),0)</f>
        <v>96.664323287671237</v>
      </c>
      <c r="I23" s="184">
        <f>IFERROR(TabDesSalariosFiscal[[#This Row],[S.B.C]]*Bono*TabDesSalariosFiscal[[#This Row],[Dias Lab.]],0)</f>
        <v>705.64956000000006</v>
      </c>
      <c r="J23" s="184">
        <f>IFERROR(TabDesSalariosFiscal[[#This Row],[S.B.C]]*Bono*TabDesSalariosFiscal[[#This Row],[Dias Lab.]],0)</f>
        <v>705.64956000000006</v>
      </c>
      <c r="K23" s="232" cm="1">
        <f t="array" ref="K23">(VLOOKUP(TabDesSalariosFiscal[[#This Row],[id]],TabEmpleados[],COLUMN(TabEmpleados[SD Fiscal]),FALSE))*(VLOOKUP(TabDesSalariosFiscal[[#This Row],[id]],TabAsistencias[],COLUMN(TabAsistencias[''DF]),FALSE))*2</f>
        <v>0</v>
      </c>
      <c r="L23" s="185">
        <f>-1*(SUMIFS(TabPagosFiscal[Monto de pago],TabPagosFiscal[id],TabDesSalariosFiscal[[#This Row],[id]],TabPagosFiscal[Fecha de pago],"&gt;="&amp;Asistencias!$B$2,TabPagosFiscal[Fecha de pago],"&lt;"&amp;Asistencias!$B$3))</f>
        <v>0</v>
      </c>
      <c r="M23" t="str" cm="1">
        <f t="array" ref="M23">getDescripcion(TabDesSalariosFiscal[[#This Row],[id]],"Descuentos-PagosFiscal","TabPagosFiscal",Asistencias!$B$2,Asistencias!$B$3)</f>
        <v/>
      </c>
      <c r="N23" s="186" cm="1">
        <f t="array" ref="N23">IFERROR(-1*(VLOOKUP(TabDesSalariosFiscal[[#This Row],[id]],TabCuotasIMSS[],COLUMN(TabCuotasIMSS[TOTAL
OBRERO19]),FALSE)),0)</f>
        <v>0</v>
      </c>
      <c r="O23" s="187" cm="1">
        <f t="array" ref="O23">IFERROR(-1*(VLOOKUP(TabDesSalariosFiscal[[#This Row],[id]],TabImpuestos[],COLUMN(TabImpuestos[Total ISR]),FALSE)),0)</f>
        <v>-791.60965030399984</v>
      </c>
      <c r="P23" s="188">
        <f>IFERROR(TabDesSalariosFiscal[[#This Row],[Subtotal Fiscal]]+TabDesSalariosFiscal[[#This Row],[Prima dominical]]+TabDesSalariosFiscal[[#This Row],[Prima vacacional]]+TabDesSalariosFiscal[[#This Row],[Bono Asistencia]]+TabDesSalariosFiscal[[#This Row],[Bono Puntualidad]]+TabDesSalariosFiscal[[#This Row],[Dia Festivo/ Descanso]]+TabDesSalariosFiscal[[#This Row],[Descuentos]]+TabDesSalariosFiscal[[#This Row],[IMSS]]+TabDesSalariosFiscal[[#This Row],[ISR]],0)</f>
        <v>6772.6894696959998</v>
      </c>
      <c r="Q23" s="187" cm="1">
        <f t="array" ref="Q23">IFERROR(IF('Desglose Salarios Fiscal'!$Q$1=1,-1*(IF((VLOOKUP(TabDesSalariosFiscal[[#This Row],[id]],TabImpuestos[],COLUMN(TabImpuestos[ISR de Aguinaldo 1]),FALSE))&lt;0,0,(VLOOKUP(TabDesSalariosFiscal[[#This Row],[id]],TabImpuestos[],COLUMN(TabImpuestos[ISR de Aguinaldo 1]),FALSE)))),0),0)</f>
        <v>0</v>
      </c>
      <c r="R23" s="55" cm="1">
        <f t="array" ref="R23">IFERROR(IF('Desglose Salarios Fiscal'!$Q$1=1,(VLOOKUP(TabDesSalariosFiscal[[#This Row],[id]],TabEmpleados[],COLUMN(TabEmpleados[SD Fiscal]),FALSE)*TabDesSalariosFiscal[[#This Row],[Dias de aguinaldo fiscal2]])+TabDesSalariosFiscal[[#This Row],[ISR Aguinaldo]],0),0)</f>
        <v>1260</v>
      </c>
      <c r="S23" cm="1">
        <f t="array" ref="S23">IF(YEAR(VLOOKUP(TabDesSalariosFiscal[[#This Row],[id]],TabEmpleados[],COLUMN(TabEmpleados[Fecha de alta NSS]),FALSE))&lt;AñoActual,'Tablas de informacion'!$N$13,_xlfn.DAYS(DATE(AñoActual+1,MONTH(1),DAY(1))-DAY(1),(VLOOKUP(TabDesSalariosFiscal[[#This Row],[id]],TabEmpleados[],COLUMN(TabEmpleados[Fecha de alta NSS]),FALSE))))</f>
        <v>365</v>
      </c>
      <c r="T23" cm="1">
        <f t="array" ref="T23">IFERROR(TabDesSalariosFiscal[[#This Row],[Dias de aguinaldo Fiscal1]]*VLOOKUP(TabDesSalariosFiscal[[#This Row],[Años]],TabFactorIntegracion[],COLUMN(TabFactorIntegracion[Días de
aguinaldo]),FALSE)/'Tablas de informacion'!$N$13,0)</f>
        <v>15</v>
      </c>
    </row>
    <row r="24" spans="1:20" x14ac:dyDescent="0.25">
      <c r="A24" s="176">
        <v>22</v>
      </c>
      <c r="B24" t="str" cm="1">
        <f t="array" ref="B24">VLOOKUP(TabDesSalariosFiscal[[#This Row],[id]],TabEmpleados[],COLUMN(TabEmpleados[Nombre]),FALSE)</f>
        <v>GONZALEZ ARAGON TANIA YURICEL</v>
      </c>
      <c r="C24" s="148" cm="1">
        <f t="array" ref="C24">IF(VLOOKUP(TabDesSalariosFiscal[[#This Row],[id]],TabEmpleados[],COLUMN(TabEmpleados[Fecha de alta NSS]),FALSE)&lt;&gt;"",
VLOOKUP(TabDesSalariosFiscal[[#This Row],[id]],TabAsistencias[],COLUMN(TabAsistencias[''Total de dias laborados]),FALSE),
0)</f>
        <v>73</v>
      </c>
      <c r="D24" s="179" cm="1">
        <f t="array" ref="D24">(VLOOKUP(TabDesSalariosFiscal[[#This Row],[id]],TabEmpleados[],COLUMN(TabEmpleados[SD Fiscal]),FALSE))*
TabDesSalariosFiscal[[#This Row],[Dias Lab.]]</f>
        <v>6132</v>
      </c>
      <c r="E24" s="180" cm="1">
        <f t="array" ref="E24">IF(VLOOKUP(TabDesSalariosFiscal[[#This Row],[id]],TabEmpleados[],COLUMN(TabEmpleados[Fecha de alta NSS]),FALSE)&lt;&gt;"",
IF(DATEDIF((VLOOKUP(TabDesSalariosFiscal[[#This Row],[id]],TabEmpleados[],COLUMN(TabEmpleados[Fecha de alta NSS]),FALSE)),'Tablas de informacion'!N$8,"Y")=0,1,
DATEDIF((VLOOKUP(TabDesSalariosFiscal[[#This Row],[id]],TabEmpleados[],COLUMN(TabEmpleados[Fecha de alta NSS]),FALSE)),'Tablas de informacion'!N$8,"Y")),0)</f>
        <v>1</v>
      </c>
      <c r="F24" s="181" cm="1">
        <f t="array" ref="F24">IFERROR((VLOOKUP(TabDesSalariosFiscal[[#This Row],[id]],TabEmpleados[],COLUMN(TabEmpleados[SD Fiscal]),FALSE))*
(VLOOKUP(TabDesSalariosFiscal[[#This Row],[Años]],TabFactorIntegracion[],COLUMN(TabFactorIntegracion[% de prima 
vacacional y dominical]),FALSE))*
IF((VLOOKUP(TabDesSalariosFiscal[[#This Row],[id]],TabAsistencias[],COLUMN(TabAsistencias[''Prima dominical]),FALSE))&lt;DominicalFiscal,(VLOOKUP(TabDesSalariosFiscal[[#This Row],[id]],TabAsistencias[],COLUMN(TabAsistencias[''Total de dias laborados]),FALSE)),DominicalFiscal)*
(VLOOKUP((VLOOKUP(TabDesSalariosFiscal[[#This Row],[id]],TabEmpleados[],COLUMN(TabEmpleados[Puesto]),FALSE)),TabPuestos[],COLUMN(TabPuestos[PRIMA DOMINICAL]),FALSE)),0)</f>
        <v>21</v>
      </c>
      <c r="G24" s="182" cm="1">
        <f t="array" ref="G24">IFERROR((VLOOKUP(TabDesSalariosFiscal[[#This Row],[id]],TabEmpleados[],COLUMN(TabEmpleados[SD Fiscal]),FALSE))*
(VLOOKUP(TabDesSalariosFiscal[[#This Row],[Años]],TabFactorIntegracion[],COLUMN(TabFactorIntegracion[% de prima 
vacacional y dominical]),FALSE))*
((VLOOKUP(TabDesSalariosFiscal[[#This Row],[id]],TabAsistencias[],COLUMN(TabAsistencias[''V]),FALSE))),0)</f>
        <v>0</v>
      </c>
      <c r="H24" s="183" cm="1">
        <f t="array" ref="H24">IFERROR(VLOOKUP(TabDesSalariosFiscal[[#This Row],[id]],TabCuotasIMSS[],COLUMN(TabCuotasIMSS[S.B.C./S.D.I.]),FALSE),0)</f>
        <v>96.664323287671237</v>
      </c>
      <c r="I24" s="184">
        <f>IFERROR(TabDesSalariosFiscal[[#This Row],[S.B.C]]*Bono*TabDesSalariosFiscal[[#This Row],[Dias Lab.]],0)</f>
        <v>705.64956000000006</v>
      </c>
      <c r="J24" s="184">
        <f>IFERROR(TabDesSalariosFiscal[[#This Row],[S.B.C]]*Bono*TabDesSalariosFiscal[[#This Row],[Dias Lab.]],0)</f>
        <v>705.64956000000006</v>
      </c>
      <c r="K24" s="232" cm="1">
        <f t="array" ref="K24">(VLOOKUP(TabDesSalariosFiscal[[#This Row],[id]],TabEmpleados[],COLUMN(TabEmpleados[SD Fiscal]),FALSE))*(VLOOKUP(TabDesSalariosFiscal[[#This Row],[id]],TabAsistencias[],COLUMN(TabAsistencias[''DF]),FALSE))*2</f>
        <v>0</v>
      </c>
      <c r="L24" s="185">
        <f>-1*(SUMIFS(TabPagosFiscal[Monto de pago],TabPagosFiscal[id],TabDesSalariosFiscal[[#This Row],[id]],TabPagosFiscal[Fecha de pago],"&gt;="&amp;Asistencias!$B$2,TabPagosFiscal[Fecha de pago],"&lt;"&amp;Asistencias!$B$3))</f>
        <v>0</v>
      </c>
      <c r="M24" t="str" cm="1">
        <f t="array" ref="M24">getDescripcion(TabDesSalariosFiscal[[#This Row],[id]],"Descuentos-PagosFiscal","TabPagosFiscal",Asistencias!$B$2,Asistencias!$B$3)</f>
        <v/>
      </c>
      <c r="N24" s="186" cm="1">
        <f t="array" ref="N24">IFERROR(-1*(VLOOKUP(TabDesSalariosFiscal[[#This Row],[id]],TabCuotasIMSS[],COLUMN(TabCuotasIMSS[TOTAL
OBRERO19]),FALSE)),0)</f>
        <v>0</v>
      </c>
      <c r="O24" s="187" cm="1">
        <f t="array" ref="O24">IFERROR(-1*(VLOOKUP(TabDesSalariosFiscal[[#This Row],[id]],TabImpuestos[],COLUMN(TabImpuestos[Total ISR]),FALSE)),0)</f>
        <v>-791.60965030399984</v>
      </c>
      <c r="P24" s="188">
        <f>IFERROR(TabDesSalariosFiscal[[#This Row],[Subtotal Fiscal]]+TabDesSalariosFiscal[[#This Row],[Prima dominical]]+TabDesSalariosFiscal[[#This Row],[Prima vacacional]]+TabDesSalariosFiscal[[#This Row],[Bono Asistencia]]+TabDesSalariosFiscal[[#This Row],[Bono Puntualidad]]+TabDesSalariosFiscal[[#This Row],[Dia Festivo/ Descanso]]+TabDesSalariosFiscal[[#This Row],[Descuentos]]+TabDesSalariosFiscal[[#This Row],[IMSS]]+TabDesSalariosFiscal[[#This Row],[ISR]],0)</f>
        <v>6772.6894696959998</v>
      </c>
      <c r="Q24" s="187" cm="1">
        <f t="array" ref="Q24">IFERROR(IF('Desglose Salarios Fiscal'!$Q$1=1,-1*(IF((VLOOKUP(TabDesSalariosFiscal[[#This Row],[id]],TabImpuestos[],COLUMN(TabImpuestos[ISR de Aguinaldo 1]),FALSE))&lt;0,0,(VLOOKUP(TabDesSalariosFiscal[[#This Row],[id]],TabImpuestos[],COLUMN(TabImpuestos[ISR de Aguinaldo 1]),FALSE)))),0),0)</f>
        <v>0</v>
      </c>
      <c r="R24" s="55" cm="1">
        <f t="array" ref="R24">IFERROR(IF('Desglose Salarios Fiscal'!$Q$1=1,(VLOOKUP(TabDesSalariosFiscal[[#This Row],[id]],TabEmpleados[],COLUMN(TabEmpleados[SD Fiscal]),FALSE)*TabDesSalariosFiscal[[#This Row],[Dias de aguinaldo fiscal2]])+TabDesSalariosFiscal[[#This Row],[ISR Aguinaldo]],0),0)</f>
        <v>1260</v>
      </c>
      <c r="S24" cm="1">
        <f t="array" ref="S24">IF(YEAR(VLOOKUP(TabDesSalariosFiscal[[#This Row],[id]],TabEmpleados[],COLUMN(TabEmpleados[Fecha de alta NSS]),FALSE))&lt;AñoActual,'Tablas de informacion'!$N$13,_xlfn.DAYS(DATE(AñoActual+1,MONTH(1),DAY(1))-DAY(1),(VLOOKUP(TabDesSalariosFiscal[[#This Row],[id]],TabEmpleados[],COLUMN(TabEmpleados[Fecha de alta NSS]),FALSE))))</f>
        <v>365</v>
      </c>
      <c r="T24" cm="1">
        <f t="array" ref="T24">IFERROR(TabDesSalariosFiscal[[#This Row],[Dias de aguinaldo Fiscal1]]*VLOOKUP(TabDesSalariosFiscal[[#This Row],[Años]],TabFactorIntegracion[],COLUMN(TabFactorIntegracion[Días de
aguinaldo]),FALSE)/'Tablas de informacion'!$N$13,0)</f>
        <v>15</v>
      </c>
    </row>
    <row r="25" spans="1:20" x14ac:dyDescent="0.25">
      <c r="A25" s="176">
        <v>23</v>
      </c>
      <c r="B25" t="str" cm="1">
        <f t="array" ref="B25">VLOOKUP(TabDesSalariosFiscal[[#This Row],[id]],TabEmpleados[],COLUMN(TabEmpleados[Nombre]),FALSE)</f>
        <v>CHAVEZ HERNANDEZ DIANA IRIS</v>
      </c>
      <c r="C25" s="148" cm="1">
        <f t="array" ref="C25">IF(VLOOKUP(TabDesSalariosFiscal[[#This Row],[id]],TabEmpleados[],COLUMN(TabEmpleados[Fecha de alta NSS]),FALSE)&lt;&gt;"",
VLOOKUP(TabDesSalariosFiscal[[#This Row],[id]],TabAsistencias[],COLUMN(TabAsistencias[''Total de dias laborados]),FALSE),
0)</f>
        <v>73</v>
      </c>
      <c r="D25" s="179" cm="1">
        <f t="array" ref="D25">(VLOOKUP(TabDesSalariosFiscal[[#This Row],[id]],TabEmpleados[],COLUMN(TabEmpleados[SD Fiscal]),FALSE))*
TabDesSalariosFiscal[[#This Row],[Dias Lab.]]</f>
        <v>7665</v>
      </c>
      <c r="E25" s="180" cm="1">
        <f t="array" ref="E25">IF(VLOOKUP(TabDesSalariosFiscal[[#This Row],[id]],TabEmpleados[],COLUMN(TabEmpleados[Fecha de alta NSS]),FALSE)&lt;&gt;"",
IF(DATEDIF((VLOOKUP(TabDesSalariosFiscal[[#This Row],[id]],TabEmpleados[],COLUMN(TabEmpleados[Fecha de alta NSS]),FALSE)),'Tablas de informacion'!N$8,"Y")=0,1,
DATEDIF((VLOOKUP(TabDesSalariosFiscal[[#This Row],[id]],TabEmpleados[],COLUMN(TabEmpleados[Fecha de alta NSS]),FALSE)),'Tablas de informacion'!N$8,"Y")),0)</f>
        <v>1</v>
      </c>
      <c r="F25" s="181" cm="1">
        <f t="array" ref="F25">IFERROR((VLOOKUP(TabDesSalariosFiscal[[#This Row],[id]],TabEmpleados[],COLUMN(TabEmpleados[SD Fiscal]),FALSE))*
(VLOOKUP(TabDesSalariosFiscal[[#This Row],[Años]],TabFactorIntegracion[],COLUMN(TabFactorIntegracion[% de prima 
vacacional y dominical]),FALSE))*
IF((VLOOKUP(TabDesSalariosFiscal[[#This Row],[id]],TabAsistencias[],COLUMN(TabAsistencias[''Prima dominical]),FALSE))&lt;DominicalFiscal,(VLOOKUP(TabDesSalariosFiscal[[#This Row],[id]],TabAsistencias[],COLUMN(TabAsistencias[''Total de dias laborados]),FALSE)),DominicalFiscal)*
(VLOOKUP((VLOOKUP(TabDesSalariosFiscal[[#This Row],[id]],TabEmpleados[],COLUMN(TabEmpleados[Puesto]),FALSE)),TabPuestos[],COLUMN(TabPuestos[PRIMA DOMINICAL]),FALSE)),0)</f>
        <v>26.25</v>
      </c>
      <c r="G25" s="182" cm="1">
        <f t="array" ref="G25">IFERROR((VLOOKUP(TabDesSalariosFiscal[[#This Row],[id]],TabEmpleados[],COLUMN(TabEmpleados[SD Fiscal]),FALSE))*
(VLOOKUP(TabDesSalariosFiscal[[#This Row],[Años]],TabFactorIntegracion[],COLUMN(TabFactorIntegracion[% de prima 
vacacional y dominical]),FALSE))*
((VLOOKUP(TabDesSalariosFiscal[[#This Row],[id]],TabAsistencias[],COLUMN(TabAsistencias[''V]),FALSE))),0)</f>
        <v>0</v>
      </c>
      <c r="H25" s="183" cm="1">
        <f t="array" ref="H25">IFERROR(VLOOKUP(TabDesSalariosFiscal[[#This Row],[id]],TabCuotasIMSS[],COLUMN(TabCuotasIMSS[S.B.C./S.D.I.]),FALSE),0)</f>
        <v>120.83040410958904</v>
      </c>
      <c r="I25" s="184">
        <f>IFERROR(TabDesSalariosFiscal[[#This Row],[S.B.C]]*Bono*TabDesSalariosFiscal[[#This Row],[Dias Lab.]],0)</f>
        <v>882.06195000000002</v>
      </c>
      <c r="J25" s="184">
        <f>IFERROR(TabDesSalariosFiscal[[#This Row],[S.B.C]]*Bono*TabDesSalariosFiscal[[#This Row],[Dias Lab.]],0)</f>
        <v>882.06195000000002</v>
      </c>
      <c r="K25" s="232" cm="1">
        <f t="array" ref="K25">(VLOOKUP(TabDesSalariosFiscal[[#This Row],[id]],TabEmpleados[],COLUMN(TabEmpleados[SD Fiscal]),FALSE))*(VLOOKUP(TabDesSalariosFiscal[[#This Row],[id]],TabAsistencias[],COLUMN(TabAsistencias[''DF]),FALSE))*2</f>
        <v>0</v>
      </c>
      <c r="L25" s="185">
        <f>-1*(SUMIFS(TabPagosFiscal[Monto de pago],TabPagosFiscal[id],TabDesSalariosFiscal[[#This Row],[id]],TabPagosFiscal[Fecha de pago],"&gt;="&amp;Asistencias!$B$2,TabPagosFiscal[Fecha de pago],"&lt;"&amp;Asistencias!$B$3))</f>
        <v>0</v>
      </c>
      <c r="M25" t="str" cm="1">
        <f t="array" ref="M25">getDescripcion(TabDesSalariosFiscal[[#This Row],[id]],"Descuentos-PagosFiscal","TabPagosFiscal",Asistencias!$B$2,Asistencias!$B$3)</f>
        <v/>
      </c>
      <c r="N25" s="186" cm="1">
        <f t="array" ref="N25">IFERROR(-1*(VLOOKUP(TabDesSalariosFiscal[[#This Row],[id]],TabCuotasIMSS[],COLUMN(TabCuotasIMSS[TOTAL
OBRERO19]),FALSE)),0)</f>
        <v>0</v>
      </c>
      <c r="O25" s="187" cm="1">
        <f t="array" ref="O25">IFERROR(-1*(VLOOKUP(TabDesSalariosFiscal[[#This Row],[id]],TabImpuestos[],COLUMN(TabImpuestos[Total ISR]),FALSE)),0)</f>
        <v>-1190.9988890399998</v>
      </c>
      <c r="P25" s="188">
        <f>IFERROR(TabDesSalariosFiscal[[#This Row],[Subtotal Fiscal]]+TabDesSalariosFiscal[[#This Row],[Prima dominical]]+TabDesSalariosFiscal[[#This Row],[Prima vacacional]]+TabDesSalariosFiscal[[#This Row],[Bono Asistencia]]+TabDesSalariosFiscal[[#This Row],[Bono Puntualidad]]+TabDesSalariosFiscal[[#This Row],[Dia Festivo/ Descanso]]+TabDesSalariosFiscal[[#This Row],[Descuentos]]+TabDesSalariosFiscal[[#This Row],[IMSS]]+TabDesSalariosFiscal[[#This Row],[ISR]],0)</f>
        <v>8264.3750109599987</v>
      </c>
      <c r="Q25" s="187" cm="1">
        <f t="array" ref="Q25">IFERROR(IF('Desglose Salarios Fiscal'!$Q$1=1,-1*(IF((VLOOKUP(TabDesSalariosFiscal[[#This Row],[id]],TabImpuestos[],COLUMN(TabImpuestos[ISR de Aguinaldo 1]),FALSE))&lt;0,0,(VLOOKUP(TabDesSalariosFiscal[[#This Row],[id]],TabImpuestos[],COLUMN(TabImpuestos[ISR de Aguinaldo 1]),FALSE)))),0),0)</f>
        <v>0</v>
      </c>
      <c r="R25" s="55" cm="1">
        <f t="array" ref="R25">IFERROR(IF('Desglose Salarios Fiscal'!$Q$1=1,(VLOOKUP(TabDesSalariosFiscal[[#This Row],[id]],TabEmpleados[],COLUMN(TabEmpleados[SD Fiscal]),FALSE)*TabDesSalariosFiscal[[#This Row],[Dias de aguinaldo fiscal2]])+TabDesSalariosFiscal[[#This Row],[ISR Aguinaldo]],0),0)</f>
        <v>1575</v>
      </c>
      <c r="S25" cm="1">
        <f t="array" ref="S25">IF(YEAR(VLOOKUP(TabDesSalariosFiscal[[#This Row],[id]],TabEmpleados[],COLUMN(TabEmpleados[Fecha de alta NSS]),FALSE))&lt;AñoActual,'Tablas de informacion'!$N$13,_xlfn.DAYS(DATE(AñoActual+1,MONTH(1),DAY(1))-DAY(1),(VLOOKUP(TabDesSalariosFiscal[[#This Row],[id]],TabEmpleados[],COLUMN(TabEmpleados[Fecha de alta NSS]),FALSE))))</f>
        <v>365</v>
      </c>
      <c r="T25" cm="1">
        <f t="array" ref="T25">IFERROR(TabDesSalariosFiscal[[#This Row],[Dias de aguinaldo Fiscal1]]*VLOOKUP(TabDesSalariosFiscal[[#This Row],[Años]],TabFactorIntegracion[],COLUMN(TabFactorIntegracion[Días de
aguinaldo]),FALSE)/'Tablas de informacion'!$N$13,0)</f>
        <v>15</v>
      </c>
    </row>
    <row r="26" spans="1:20" x14ac:dyDescent="0.25">
      <c r="A26" s="176">
        <v>24</v>
      </c>
      <c r="B26" t="str" cm="1">
        <f t="array" ref="B26">VLOOKUP(TabDesSalariosFiscal[[#This Row],[id]],TabEmpleados[],COLUMN(TabEmpleados[Nombre]),FALSE)</f>
        <v xml:space="preserve">LOPEZ VELASCO  EDWIN URIEL </v>
      </c>
      <c r="C26" s="148" cm="1">
        <f t="array" ref="C26">IF(VLOOKUP(TabDesSalariosFiscal[[#This Row],[id]],TabEmpleados[],COLUMN(TabEmpleados[Fecha de alta NSS]),FALSE)&lt;&gt;"",
VLOOKUP(TabDesSalariosFiscal[[#This Row],[id]],TabAsistencias[],COLUMN(TabAsistencias[''Total de dias laborados]),FALSE),
0)</f>
        <v>73</v>
      </c>
      <c r="D26" s="179" cm="1">
        <f t="array" ref="D26">(VLOOKUP(TabDesSalariosFiscal[[#This Row],[id]],TabEmpleados[],COLUMN(TabEmpleados[SD Fiscal]),FALSE))*
TabDesSalariosFiscal[[#This Row],[Dias Lab.]]</f>
        <v>0</v>
      </c>
      <c r="E26" s="180" cm="1">
        <f t="array" ref="E26">IF(VLOOKUP(TabDesSalariosFiscal[[#This Row],[id]],TabEmpleados[],COLUMN(TabEmpleados[Fecha de alta NSS]),FALSE)&lt;&gt;"",
IF(DATEDIF((VLOOKUP(TabDesSalariosFiscal[[#This Row],[id]],TabEmpleados[],COLUMN(TabEmpleados[Fecha de alta NSS]),FALSE)),'Tablas de informacion'!N$8,"Y")=0,1,
DATEDIF((VLOOKUP(TabDesSalariosFiscal[[#This Row],[id]],TabEmpleados[],COLUMN(TabEmpleados[Fecha de alta NSS]),FALSE)),'Tablas de informacion'!N$8,"Y")),0)</f>
        <v>1</v>
      </c>
      <c r="F26" s="181" cm="1">
        <f t="array" ref="F26">IFERROR((VLOOKUP(TabDesSalariosFiscal[[#This Row],[id]],TabEmpleados[],COLUMN(TabEmpleados[SD Fiscal]),FALSE))*
(VLOOKUP(TabDesSalariosFiscal[[#This Row],[Años]],TabFactorIntegracion[],COLUMN(TabFactorIntegracion[% de prima 
vacacional y dominical]),FALSE))*
IF((VLOOKUP(TabDesSalariosFiscal[[#This Row],[id]],TabAsistencias[],COLUMN(TabAsistencias[''Prima dominical]),FALSE))&lt;DominicalFiscal,(VLOOKUP(TabDesSalariosFiscal[[#This Row],[id]],TabAsistencias[],COLUMN(TabAsistencias[''Total de dias laborados]),FALSE)),DominicalFiscal)*
(VLOOKUP((VLOOKUP(TabDesSalariosFiscal[[#This Row],[id]],TabEmpleados[],COLUMN(TabEmpleados[Puesto]),FALSE)),TabPuestos[],COLUMN(TabPuestos[PRIMA DOMINICAL]),FALSE)),0)</f>
        <v>0</v>
      </c>
      <c r="G26" s="182" cm="1">
        <f t="array" ref="G26">IFERROR((VLOOKUP(TabDesSalariosFiscal[[#This Row],[id]],TabEmpleados[],COLUMN(TabEmpleados[SD Fiscal]),FALSE))*
(VLOOKUP(TabDesSalariosFiscal[[#This Row],[Años]],TabFactorIntegracion[],COLUMN(TabFactorIntegracion[% de prima 
vacacional y dominical]),FALSE))*
((VLOOKUP(TabDesSalariosFiscal[[#This Row],[id]],TabAsistencias[],COLUMN(TabAsistencias[''V]),FALSE))),0)</f>
        <v>0</v>
      </c>
      <c r="H26" s="183" cm="1">
        <f t="array" ref="H26">IFERROR(VLOOKUP(TabDesSalariosFiscal[[#This Row],[id]],TabCuotasIMSS[],COLUMN(TabCuotasIMSS[S.B.C./S.D.I.]),FALSE),0)</f>
        <v>0</v>
      </c>
      <c r="I26" s="184">
        <f>IFERROR(TabDesSalariosFiscal[[#This Row],[S.B.C]]*Bono*TabDesSalariosFiscal[[#This Row],[Dias Lab.]],0)</f>
        <v>0</v>
      </c>
      <c r="J26" s="184">
        <f>IFERROR(TabDesSalariosFiscal[[#This Row],[S.B.C]]*Bono*TabDesSalariosFiscal[[#This Row],[Dias Lab.]],0)</f>
        <v>0</v>
      </c>
      <c r="K26" s="232" cm="1">
        <f t="array" ref="K26">(VLOOKUP(TabDesSalariosFiscal[[#This Row],[id]],TabEmpleados[],COLUMN(TabEmpleados[SD Fiscal]),FALSE))*(VLOOKUP(TabDesSalariosFiscal[[#This Row],[id]],TabAsistencias[],COLUMN(TabAsistencias[''DF]),FALSE))*2</f>
        <v>0</v>
      </c>
      <c r="L26" s="185">
        <f>-1*(SUMIFS(TabPagosFiscal[Monto de pago],TabPagosFiscal[id],TabDesSalariosFiscal[[#This Row],[id]],TabPagosFiscal[Fecha de pago],"&gt;="&amp;Asistencias!$B$2,TabPagosFiscal[Fecha de pago],"&lt;"&amp;Asistencias!$B$3))</f>
        <v>0</v>
      </c>
      <c r="M26" t="str" cm="1">
        <f t="array" ref="M26">getDescripcion(TabDesSalariosFiscal[[#This Row],[id]],"Descuentos-PagosFiscal","TabPagosFiscal",Asistencias!$B$2,Asistencias!$B$3)</f>
        <v/>
      </c>
      <c r="N26" s="186" cm="1">
        <f t="array" ref="N26">IFERROR(-1*(VLOOKUP(TabDesSalariosFiscal[[#This Row],[id]],TabCuotasIMSS[],COLUMN(TabCuotasIMSS[TOTAL
OBRERO19]),FALSE)),0)</f>
        <v>0</v>
      </c>
      <c r="O26" s="187" cm="1">
        <f t="array" ref="O26">IFERROR(-1*(VLOOKUP(TabDesSalariosFiscal[[#This Row],[id]],TabImpuestos[],COLUMN(TabImpuestos[Total ISR]),FALSE)),0)</f>
        <v>0</v>
      </c>
      <c r="P26" s="188">
        <f>IFERROR(TabDesSalariosFiscal[[#This Row],[Subtotal Fiscal]]+TabDesSalariosFiscal[[#This Row],[Prima dominical]]+TabDesSalariosFiscal[[#This Row],[Prima vacacional]]+TabDesSalariosFiscal[[#This Row],[Bono Asistencia]]+TabDesSalariosFiscal[[#This Row],[Bono Puntualidad]]+TabDesSalariosFiscal[[#This Row],[Dia Festivo/ Descanso]]+TabDesSalariosFiscal[[#This Row],[Descuentos]]+TabDesSalariosFiscal[[#This Row],[IMSS]]+TabDesSalariosFiscal[[#This Row],[ISR]],0)</f>
        <v>0</v>
      </c>
      <c r="Q26" s="187" cm="1">
        <f t="array" ref="Q26">IFERROR(IF('Desglose Salarios Fiscal'!$Q$1=1,-1*(IF((VLOOKUP(TabDesSalariosFiscal[[#This Row],[id]],TabImpuestos[],COLUMN(TabImpuestos[ISR de Aguinaldo 1]),FALSE))&lt;0,0,(VLOOKUP(TabDesSalariosFiscal[[#This Row],[id]],TabImpuestos[],COLUMN(TabImpuestos[ISR de Aguinaldo 1]),FALSE)))),0),0)</f>
        <v>0</v>
      </c>
      <c r="R26" s="55" cm="1">
        <f t="array" ref="R26">IFERROR(IF('Desglose Salarios Fiscal'!$Q$1=1,(VLOOKUP(TabDesSalariosFiscal[[#This Row],[id]],TabEmpleados[],COLUMN(TabEmpleados[SD Fiscal]),FALSE)*TabDesSalariosFiscal[[#This Row],[Dias de aguinaldo fiscal2]])+TabDesSalariosFiscal[[#This Row],[ISR Aguinaldo]],0),0)</f>
        <v>0</v>
      </c>
      <c r="S26" cm="1">
        <f t="array" ref="S26">IF(YEAR(VLOOKUP(TabDesSalariosFiscal[[#This Row],[id]],TabEmpleados[],COLUMN(TabEmpleados[Fecha de alta NSS]),FALSE))&lt;AñoActual,'Tablas de informacion'!$N$13,_xlfn.DAYS(DATE(AñoActual+1,MONTH(1),DAY(1))-DAY(1),(VLOOKUP(TabDesSalariosFiscal[[#This Row],[id]],TabEmpleados[],COLUMN(TabEmpleados[Fecha de alta NSS]),FALSE))))</f>
        <v>365</v>
      </c>
      <c r="T26" cm="1">
        <f t="array" ref="T26">IFERROR(TabDesSalariosFiscal[[#This Row],[Dias de aguinaldo Fiscal1]]*VLOOKUP(TabDesSalariosFiscal[[#This Row],[Años]],TabFactorIntegracion[],COLUMN(TabFactorIntegracion[Días de
aguinaldo]),FALSE)/'Tablas de informacion'!$N$13,0)</f>
        <v>15</v>
      </c>
    </row>
    <row r="27" spans="1:20" x14ac:dyDescent="0.25">
      <c r="A27" s="176">
        <v>25</v>
      </c>
      <c r="B27" t="str" cm="1">
        <f t="array" ref="B27">VLOOKUP(TabDesSalariosFiscal[[#This Row],[id]],TabEmpleados[],COLUMN(TabEmpleados[Nombre]),FALSE)</f>
        <v>DE LA CRUZ BARTOLO JOSE LUIS</v>
      </c>
      <c r="C27" s="148" cm="1">
        <f t="array" ref="C27">IF(VLOOKUP(TabDesSalariosFiscal[[#This Row],[id]],TabEmpleados[],COLUMN(TabEmpleados[Fecha de alta NSS]),FALSE)&lt;&gt;"",
VLOOKUP(TabDesSalariosFiscal[[#This Row],[id]],TabAsistencias[],COLUMN(TabAsistencias[''Total de dias laborados]),FALSE),
0)</f>
        <v>73</v>
      </c>
      <c r="D27" s="179" cm="1">
        <f t="array" ref="D27">(VLOOKUP(TabDesSalariosFiscal[[#This Row],[id]],TabEmpleados[],COLUMN(TabEmpleados[SD Fiscal]),FALSE))*
TabDesSalariosFiscal[[#This Row],[Dias Lab.]]</f>
        <v>7665</v>
      </c>
      <c r="E27" s="180" cm="1">
        <f t="array" ref="E27">IF(VLOOKUP(TabDesSalariosFiscal[[#This Row],[id]],TabEmpleados[],COLUMN(TabEmpleados[Fecha de alta NSS]),FALSE)&lt;&gt;"",
IF(DATEDIF((VLOOKUP(TabDesSalariosFiscal[[#This Row],[id]],TabEmpleados[],COLUMN(TabEmpleados[Fecha de alta NSS]),FALSE)),'Tablas de informacion'!N$8,"Y")=0,1,
DATEDIF((VLOOKUP(TabDesSalariosFiscal[[#This Row],[id]],TabEmpleados[],COLUMN(TabEmpleados[Fecha de alta NSS]),FALSE)),'Tablas de informacion'!N$8,"Y")),0)</f>
        <v>1</v>
      </c>
      <c r="F27" s="181" cm="1">
        <f t="array" ref="F27">IFERROR((VLOOKUP(TabDesSalariosFiscal[[#This Row],[id]],TabEmpleados[],COLUMN(TabEmpleados[SD Fiscal]),FALSE))*
(VLOOKUP(TabDesSalariosFiscal[[#This Row],[Años]],TabFactorIntegracion[],COLUMN(TabFactorIntegracion[% de prima 
vacacional y dominical]),FALSE))*
IF((VLOOKUP(TabDesSalariosFiscal[[#This Row],[id]],TabAsistencias[],COLUMN(TabAsistencias[''Prima dominical]),FALSE))&lt;DominicalFiscal,(VLOOKUP(TabDesSalariosFiscal[[#This Row],[id]],TabAsistencias[],COLUMN(TabAsistencias[''Total de dias laborados]),FALSE)),DominicalFiscal)*
(VLOOKUP((VLOOKUP(TabDesSalariosFiscal[[#This Row],[id]],TabEmpleados[],COLUMN(TabEmpleados[Puesto]),FALSE)),TabPuestos[],COLUMN(TabPuestos[PRIMA DOMINICAL]),FALSE)),0)</f>
        <v>26.25</v>
      </c>
      <c r="G27" s="182" cm="1">
        <f t="array" ref="G27">IFERROR((VLOOKUP(TabDesSalariosFiscal[[#This Row],[id]],TabEmpleados[],COLUMN(TabEmpleados[SD Fiscal]),FALSE))*
(VLOOKUP(TabDesSalariosFiscal[[#This Row],[Años]],TabFactorIntegracion[],COLUMN(TabFactorIntegracion[% de prima 
vacacional y dominical]),FALSE))*
((VLOOKUP(TabDesSalariosFiscal[[#This Row],[id]],TabAsistencias[],COLUMN(TabAsistencias[''V]),FALSE))),0)</f>
        <v>0</v>
      </c>
      <c r="H27" s="183" cm="1">
        <f t="array" ref="H27">IFERROR(VLOOKUP(TabDesSalariosFiscal[[#This Row],[id]],TabCuotasIMSS[],COLUMN(TabCuotasIMSS[S.B.C./S.D.I.]),FALSE),0)</f>
        <v>120.83040410958904</v>
      </c>
      <c r="I27" s="184">
        <f>IFERROR(TabDesSalariosFiscal[[#This Row],[S.B.C]]*Bono*TabDesSalariosFiscal[[#This Row],[Dias Lab.]],0)</f>
        <v>882.06195000000002</v>
      </c>
      <c r="J27" s="184">
        <f>IFERROR(TabDesSalariosFiscal[[#This Row],[S.B.C]]*Bono*TabDesSalariosFiscal[[#This Row],[Dias Lab.]],0)</f>
        <v>882.06195000000002</v>
      </c>
      <c r="K27" s="232" cm="1">
        <f t="array" ref="K27">(VLOOKUP(TabDesSalariosFiscal[[#This Row],[id]],TabEmpleados[],COLUMN(TabEmpleados[SD Fiscal]),FALSE))*(VLOOKUP(TabDesSalariosFiscal[[#This Row],[id]],TabAsistencias[],COLUMN(TabAsistencias[''DF]),FALSE))*2</f>
        <v>0</v>
      </c>
      <c r="L27" s="185">
        <f>-1*(SUMIFS(TabPagosFiscal[Monto de pago],TabPagosFiscal[id],TabDesSalariosFiscal[[#This Row],[id]],TabPagosFiscal[Fecha de pago],"&gt;="&amp;Asistencias!$B$2,TabPagosFiscal[Fecha de pago],"&lt;"&amp;Asistencias!$B$3))</f>
        <v>0</v>
      </c>
      <c r="M27" t="str" cm="1">
        <f t="array" ref="M27">getDescripcion(TabDesSalariosFiscal[[#This Row],[id]],"Descuentos-PagosFiscal","TabPagosFiscal",Asistencias!$B$2,Asistencias!$B$3)</f>
        <v/>
      </c>
      <c r="N27" s="186" cm="1">
        <f t="array" ref="N27">IFERROR(-1*(VLOOKUP(TabDesSalariosFiscal[[#This Row],[id]],TabCuotasIMSS[],COLUMN(TabCuotasIMSS[TOTAL
OBRERO19]),FALSE)),0)</f>
        <v>0</v>
      </c>
      <c r="O27" s="187" cm="1">
        <f t="array" ref="O27">IFERROR(-1*(VLOOKUP(TabDesSalariosFiscal[[#This Row],[id]],TabImpuestos[],COLUMN(TabImpuestos[Total ISR]),FALSE)),0)</f>
        <v>-1190.9988890399998</v>
      </c>
      <c r="P27" s="188">
        <f>IFERROR(TabDesSalariosFiscal[[#This Row],[Subtotal Fiscal]]+TabDesSalariosFiscal[[#This Row],[Prima dominical]]+TabDesSalariosFiscal[[#This Row],[Prima vacacional]]+TabDesSalariosFiscal[[#This Row],[Bono Asistencia]]+TabDesSalariosFiscal[[#This Row],[Bono Puntualidad]]+TabDesSalariosFiscal[[#This Row],[Dia Festivo/ Descanso]]+TabDesSalariosFiscal[[#This Row],[Descuentos]]+TabDesSalariosFiscal[[#This Row],[IMSS]]+TabDesSalariosFiscal[[#This Row],[ISR]],0)</f>
        <v>8264.3750109599987</v>
      </c>
      <c r="Q27" s="187" cm="1">
        <f t="array" ref="Q27">IFERROR(IF('Desglose Salarios Fiscal'!$Q$1=1,-1*(IF((VLOOKUP(TabDesSalariosFiscal[[#This Row],[id]],TabImpuestos[],COLUMN(TabImpuestos[ISR de Aguinaldo 1]),FALSE))&lt;0,0,(VLOOKUP(TabDesSalariosFiscal[[#This Row],[id]],TabImpuestos[],COLUMN(TabImpuestos[ISR de Aguinaldo 1]),FALSE)))),0),0)</f>
        <v>0</v>
      </c>
      <c r="R27" s="55" cm="1">
        <f t="array" ref="R27">IFERROR(IF('Desglose Salarios Fiscal'!$Q$1=1,(VLOOKUP(TabDesSalariosFiscal[[#This Row],[id]],TabEmpleados[],COLUMN(TabEmpleados[SD Fiscal]),FALSE)*TabDesSalariosFiscal[[#This Row],[Dias de aguinaldo fiscal2]])+TabDesSalariosFiscal[[#This Row],[ISR Aguinaldo]],0),0)</f>
        <v>1575</v>
      </c>
      <c r="S27" cm="1">
        <f t="array" ref="S27">IF(YEAR(VLOOKUP(TabDesSalariosFiscal[[#This Row],[id]],TabEmpleados[],COLUMN(TabEmpleados[Fecha de alta NSS]),FALSE))&lt;AñoActual,'Tablas de informacion'!$N$13,_xlfn.DAYS(DATE(AñoActual+1,MONTH(1),DAY(1))-DAY(1),(VLOOKUP(TabDesSalariosFiscal[[#This Row],[id]],TabEmpleados[],COLUMN(TabEmpleados[Fecha de alta NSS]),FALSE))))</f>
        <v>365</v>
      </c>
      <c r="T27" cm="1">
        <f t="array" ref="T27">IFERROR(TabDesSalariosFiscal[[#This Row],[Dias de aguinaldo Fiscal1]]*VLOOKUP(TabDesSalariosFiscal[[#This Row],[Años]],TabFactorIntegracion[],COLUMN(TabFactorIntegracion[Días de
aguinaldo]),FALSE)/'Tablas de informacion'!$N$13,0)</f>
        <v>15</v>
      </c>
    </row>
    <row r="28" spans="1:20" x14ac:dyDescent="0.25">
      <c r="A28" s="176">
        <v>26</v>
      </c>
      <c r="B28" t="str" cm="1">
        <f t="array" ref="B28">VLOOKUP(TabDesSalariosFiscal[[#This Row],[id]],TabEmpleados[],COLUMN(TabEmpleados[Nombre]),FALSE)</f>
        <v>GARCIA MARTINEZ URIEL ALEJANDRO</v>
      </c>
      <c r="C28" s="148" cm="1">
        <f t="array" ref="C28">IF(VLOOKUP(TabDesSalariosFiscal[[#This Row],[id]],TabEmpleados[],COLUMN(TabEmpleados[Fecha de alta NSS]),FALSE)&lt;&gt;"",
VLOOKUP(TabDesSalariosFiscal[[#This Row],[id]],TabAsistencias[],COLUMN(TabAsistencias[''Total de dias laborados]),FALSE),
0)</f>
        <v>73</v>
      </c>
      <c r="D28" s="179" cm="1">
        <f t="array" ref="D28">(VLOOKUP(TabDesSalariosFiscal[[#This Row],[id]],TabEmpleados[],COLUMN(TabEmpleados[SD Fiscal]),FALSE))*
TabDesSalariosFiscal[[#This Row],[Dias Lab.]]</f>
        <v>7665</v>
      </c>
      <c r="E28" s="180" cm="1">
        <f t="array" ref="E28">IF(VLOOKUP(TabDesSalariosFiscal[[#This Row],[id]],TabEmpleados[],COLUMN(TabEmpleados[Fecha de alta NSS]),FALSE)&lt;&gt;"",
IF(DATEDIF((VLOOKUP(TabDesSalariosFiscal[[#This Row],[id]],TabEmpleados[],COLUMN(TabEmpleados[Fecha de alta NSS]),FALSE)),'Tablas de informacion'!N$8,"Y")=0,1,
DATEDIF((VLOOKUP(TabDesSalariosFiscal[[#This Row],[id]],TabEmpleados[],COLUMN(TabEmpleados[Fecha de alta NSS]),FALSE)),'Tablas de informacion'!N$8,"Y")),0)</f>
        <v>1</v>
      </c>
      <c r="F28" s="181" cm="1">
        <f t="array" ref="F28">IFERROR((VLOOKUP(TabDesSalariosFiscal[[#This Row],[id]],TabEmpleados[],COLUMN(TabEmpleados[SD Fiscal]),FALSE))*
(VLOOKUP(TabDesSalariosFiscal[[#This Row],[Años]],TabFactorIntegracion[],COLUMN(TabFactorIntegracion[% de prima 
vacacional y dominical]),FALSE))*
IF((VLOOKUP(TabDesSalariosFiscal[[#This Row],[id]],TabAsistencias[],COLUMN(TabAsistencias[''Prima dominical]),FALSE))&lt;DominicalFiscal,(VLOOKUP(TabDesSalariosFiscal[[#This Row],[id]],TabAsistencias[],COLUMN(TabAsistencias[''Total de dias laborados]),FALSE)),DominicalFiscal)*
(VLOOKUP((VLOOKUP(TabDesSalariosFiscal[[#This Row],[id]],TabEmpleados[],COLUMN(TabEmpleados[Puesto]),FALSE)),TabPuestos[],COLUMN(TabPuestos[PRIMA DOMINICAL]),FALSE)),0)</f>
        <v>26.25</v>
      </c>
      <c r="G28" s="182" cm="1">
        <f t="array" ref="G28">IFERROR((VLOOKUP(TabDesSalariosFiscal[[#This Row],[id]],TabEmpleados[],COLUMN(TabEmpleados[SD Fiscal]),FALSE))*
(VLOOKUP(TabDesSalariosFiscal[[#This Row],[Años]],TabFactorIntegracion[],COLUMN(TabFactorIntegracion[% de prima 
vacacional y dominical]),FALSE))*
((VLOOKUP(TabDesSalariosFiscal[[#This Row],[id]],TabAsistencias[],COLUMN(TabAsistencias[''V]),FALSE))),0)</f>
        <v>0</v>
      </c>
      <c r="H28" s="183" cm="1">
        <f t="array" ref="H28">IFERROR(VLOOKUP(TabDesSalariosFiscal[[#This Row],[id]],TabCuotasIMSS[],COLUMN(TabCuotasIMSS[S.B.C./S.D.I.]),FALSE),0)</f>
        <v>120.83040410958904</v>
      </c>
      <c r="I28" s="184">
        <f>IFERROR(TabDesSalariosFiscal[[#This Row],[S.B.C]]*Bono*TabDesSalariosFiscal[[#This Row],[Dias Lab.]],0)</f>
        <v>882.06195000000002</v>
      </c>
      <c r="J28" s="184">
        <f>IFERROR(TabDesSalariosFiscal[[#This Row],[S.B.C]]*Bono*TabDesSalariosFiscal[[#This Row],[Dias Lab.]],0)</f>
        <v>882.06195000000002</v>
      </c>
      <c r="K28" s="232" cm="1">
        <f t="array" ref="K28">(VLOOKUP(TabDesSalariosFiscal[[#This Row],[id]],TabEmpleados[],COLUMN(TabEmpleados[SD Fiscal]),FALSE))*(VLOOKUP(TabDesSalariosFiscal[[#This Row],[id]],TabAsistencias[],COLUMN(TabAsistencias[''DF]),FALSE))*2</f>
        <v>0</v>
      </c>
      <c r="L28" s="185">
        <f>-1*(SUMIFS(TabPagosFiscal[Monto de pago],TabPagosFiscal[id],TabDesSalariosFiscal[[#This Row],[id]],TabPagosFiscal[Fecha de pago],"&gt;="&amp;Asistencias!$B$2,TabPagosFiscal[Fecha de pago],"&lt;"&amp;Asistencias!$B$3))</f>
        <v>0</v>
      </c>
      <c r="M28" t="str" cm="1">
        <f t="array" ref="M28">getDescripcion(TabDesSalariosFiscal[[#This Row],[id]],"Descuentos-PagosFiscal","TabPagosFiscal",Asistencias!$B$2,Asistencias!$B$3)</f>
        <v/>
      </c>
      <c r="N28" s="186" cm="1">
        <f t="array" ref="N28">IFERROR(-1*(VLOOKUP(TabDesSalariosFiscal[[#This Row],[id]],TabCuotasIMSS[],COLUMN(TabCuotasIMSS[TOTAL
OBRERO19]),FALSE)),0)</f>
        <v>0</v>
      </c>
      <c r="O28" s="187" cm="1">
        <f t="array" ref="O28">IFERROR(-1*(VLOOKUP(TabDesSalariosFiscal[[#This Row],[id]],TabImpuestos[],COLUMN(TabImpuestos[Total ISR]),FALSE)),0)</f>
        <v>-1190.9988890399998</v>
      </c>
      <c r="P28" s="188">
        <f>IFERROR(TabDesSalariosFiscal[[#This Row],[Subtotal Fiscal]]+TabDesSalariosFiscal[[#This Row],[Prima dominical]]+TabDesSalariosFiscal[[#This Row],[Prima vacacional]]+TabDesSalariosFiscal[[#This Row],[Bono Asistencia]]+TabDesSalariosFiscal[[#This Row],[Bono Puntualidad]]+TabDesSalariosFiscal[[#This Row],[Dia Festivo/ Descanso]]+TabDesSalariosFiscal[[#This Row],[Descuentos]]+TabDesSalariosFiscal[[#This Row],[IMSS]]+TabDesSalariosFiscal[[#This Row],[ISR]],0)</f>
        <v>8264.3750109599987</v>
      </c>
      <c r="Q28" s="187" cm="1">
        <f t="array" ref="Q28">IFERROR(IF('Desglose Salarios Fiscal'!$Q$1=1,-1*(IF((VLOOKUP(TabDesSalariosFiscal[[#This Row],[id]],TabImpuestos[],COLUMN(TabImpuestos[ISR de Aguinaldo 1]),FALSE))&lt;0,0,(VLOOKUP(TabDesSalariosFiscal[[#This Row],[id]],TabImpuestos[],COLUMN(TabImpuestos[ISR de Aguinaldo 1]),FALSE)))),0),0)</f>
        <v>0</v>
      </c>
      <c r="R28" s="55" cm="1">
        <f t="array" ref="R28">IFERROR(IF('Desglose Salarios Fiscal'!$Q$1=1,(VLOOKUP(TabDesSalariosFiscal[[#This Row],[id]],TabEmpleados[],COLUMN(TabEmpleados[SD Fiscal]),FALSE)*TabDesSalariosFiscal[[#This Row],[Dias de aguinaldo fiscal2]])+TabDesSalariosFiscal[[#This Row],[ISR Aguinaldo]],0),0)</f>
        <v>1575</v>
      </c>
      <c r="S28" cm="1">
        <f t="array" ref="S28">IF(YEAR(VLOOKUP(TabDesSalariosFiscal[[#This Row],[id]],TabEmpleados[],COLUMN(TabEmpleados[Fecha de alta NSS]),FALSE))&lt;AñoActual,'Tablas de informacion'!$N$13,_xlfn.DAYS(DATE(AñoActual+1,MONTH(1),DAY(1))-DAY(1),(VLOOKUP(TabDesSalariosFiscal[[#This Row],[id]],TabEmpleados[],COLUMN(TabEmpleados[Fecha de alta NSS]),FALSE))))</f>
        <v>365</v>
      </c>
      <c r="T28" cm="1">
        <f t="array" ref="T28">IFERROR(TabDesSalariosFiscal[[#This Row],[Dias de aguinaldo Fiscal1]]*VLOOKUP(TabDesSalariosFiscal[[#This Row],[Años]],TabFactorIntegracion[],COLUMN(TabFactorIntegracion[Días de
aguinaldo]),FALSE)/'Tablas de informacion'!$N$13,0)</f>
        <v>15</v>
      </c>
    </row>
    <row r="29" spans="1:20" x14ac:dyDescent="0.25">
      <c r="A29" s="176">
        <v>27</v>
      </c>
      <c r="B29" t="str" cm="1">
        <f t="array" ref="B29">VLOOKUP(TabDesSalariosFiscal[[#This Row],[id]],TabEmpleados[],COLUMN(TabEmpleados[Nombre]),FALSE)</f>
        <v>GUTIERREZ LAZARO PABLO GABRIEL</v>
      </c>
      <c r="C29" s="148" cm="1">
        <f t="array" ref="C29">IF(VLOOKUP(TabDesSalariosFiscal[[#This Row],[id]],TabEmpleados[],COLUMN(TabEmpleados[Fecha de alta NSS]),FALSE)&lt;&gt;"",
VLOOKUP(TabDesSalariosFiscal[[#This Row],[id]],TabAsistencias[],COLUMN(TabAsistencias[''Total de dias laborados]),FALSE),
0)</f>
        <v>73</v>
      </c>
      <c r="D29" s="179" cm="1">
        <f t="array" ref="D29">(VLOOKUP(TabDesSalariosFiscal[[#This Row],[id]],TabEmpleados[],COLUMN(TabEmpleados[SD Fiscal]),FALSE))*
TabDesSalariosFiscal[[#This Row],[Dias Lab.]]</f>
        <v>6570</v>
      </c>
      <c r="E29" s="180" cm="1">
        <f t="array" ref="E29">IF(VLOOKUP(TabDesSalariosFiscal[[#This Row],[id]],TabEmpleados[],COLUMN(TabEmpleados[Fecha de alta NSS]),FALSE)&lt;&gt;"",
IF(DATEDIF((VLOOKUP(TabDesSalariosFiscal[[#This Row],[id]],TabEmpleados[],COLUMN(TabEmpleados[Fecha de alta NSS]),FALSE)),'Tablas de informacion'!N$8,"Y")=0,1,
DATEDIF((VLOOKUP(TabDesSalariosFiscal[[#This Row],[id]],TabEmpleados[],COLUMN(TabEmpleados[Fecha de alta NSS]),FALSE)),'Tablas de informacion'!N$8,"Y")),0)</f>
        <v>1</v>
      </c>
      <c r="F29" s="181" cm="1">
        <f t="array" ref="F29">IFERROR((VLOOKUP(TabDesSalariosFiscal[[#This Row],[id]],TabEmpleados[],COLUMN(TabEmpleados[SD Fiscal]),FALSE))*
(VLOOKUP(TabDesSalariosFiscal[[#This Row],[Años]],TabFactorIntegracion[],COLUMN(TabFactorIntegracion[% de prima 
vacacional y dominical]),FALSE))*
IF((VLOOKUP(TabDesSalariosFiscal[[#This Row],[id]],TabAsistencias[],COLUMN(TabAsistencias[''Prima dominical]),FALSE))&lt;DominicalFiscal,(VLOOKUP(TabDesSalariosFiscal[[#This Row],[id]],TabAsistencias[],COLUMN(TabAsistencias[''Total de dias laborados]),FALSE)),DominicalFiscal)*
(VLOOKUP((VLOOKUP(TabDesSalariosFiscal[[#This Row],[id]],TabEmpleados[],COLUMN(TabEmpleados[Puesto]),FALSE)),TabPuestos[],COLUMN(TabPuestos[PRIMA DOMINICAL]),FALSE)),0)</f>
        <v>22.5</v>
      </c>
      <c r="G29" s="182" cm="1">
        <f t="array" ref="G29">IFERROR((VLOOKUP(TabDesSalariosFiscal[[#This Row],[id]],TabEmpleados[],COLUMN(TabEmpleados[SD Fiscal]),FALSE))*
(VLOOKUP(TabDesSalariosFiscal[[#This Row],[Años]],TabFactorIntegracion[],COLUMN(TabFactorIntegracion[% de prima 
vacacional y dominical]),FALSE))*
((VLOOKUP(TabDesSalariosFiscal[[#This Row],[id]],TabAsistencias[],COLUMN(TabAsistencias[''V]),FALSE))),0)</f>
        <v>0</v>
      </c>
      <c r="H29" s="183" cm="1">
        <f t="array" ref="H29">IFERROR(VLOOKUP(TabDesSalariosFiscal[[#This Row],[id]],TabCuotasIMSS[],COLUMN(TabCuotasIMSS[S.B.C./S.D.I.]),FALSE),0)</f>
        <v>103.56891780821918</v>
      </c>
      <c r="I29" s="184">
        <f>IFERROR(TabDesSalariosFiscal[[#This Row],[S.B.C]]*Bono*TabDesSalariosFiscal[[#This Row],[Dias Lab.]],0)</f>
        <v>756.05310000000009</v>
      </c>
      <c r="J29" s="184">
        <f>IFERROR(TabDesSalariosFiscal[[#This Row],[S.B.C]]*Bono*TabDesSalariosFiscal[[#This Row],[Dias Lab.]],0)</f>
        <v>756.05310000000009</v>
      </c>
      <c r="K29" s="232" cm="1">
        <f t="array" ref="K29">(VLOOKUP(TabDesSalariosFiscal[[#This Row],[id]],TabEmpleados[],COLUMN(TabEmpleados[SD Fiscal]),FALSE))*(VLOOKUP(TabDesSalariosFiscal[[#This Row],[id]],TabAsistencias[],COLUMN(TabAsistencias[''DF]),FALSE))*2</f>
        <v>0</v>
      </c>
      <c r="L29" s="185">
        <f>-1*(SUMIFS(TabPagosFiscal[Monto de pago],TabPagosFiscal[id],TabDesSalariosFiscal[[#This Row],[id]],TabPagosFiscal[Fecha de pago],"&gt;="&amp;Asistencias!$B$2,TabPagosFiscal[Fecha de pago],"&lt;"&amp;Asistencias!$B$3))</f>
        <v>0</v>
      </c>
      <c r="M29" t="str" cm="1">
        <f t="array" ref="M29">getDescripcion(TabDesSalariosFiscal[[#This Row],[id]],"Descuentos-PagosFiscal","TabPagosFiscal",Asistencias!$B$2,Asistencias!$B$3)</f>
        <v/>
      </c>
      <c r="N29" s="186" cm="1">
        <f t="array" ref="N29">IFERROR(-1*(VLOOKUP(TabDesSalariosFiscal[[#This Row],[id]],TabCuotasIMSS[],COLUMN(TabCuotasIMSS[TOTAL
OBRERO19]),FALSE)),0)</f>
        <v>0</v>
      </c>
      <c r="O29" s="187" cm="1">
        <f t="array" ref="O29">IFERROR(-1*(VLOOKUP(TabDesSalariosFiscal[[#This Row],[id]],TabImpuestos[],COLUMN(TabImpuestos[Total ISR]),FALSE)),0)</f>
        <v>-903.2759083200001</v>
      </c>
      <c r="P29" s="188">
        <f>IFERROR(TabDesSalariosFiscal[[#This Row],[Subtotal Fiscal]]+TabDesSalariosFiscal[[#This Row],[Prima dominical]]+TabDesSalariosFiscal[[#This Row],[Prima vacacional]]+TabDesSalariosFiscal[[#This Row],[Bono Asistencia]]+TabDesSalariosFiscal[[#This Row],[Bono Puntualidad]]+TabDesSalariosFiscal[[#This Row],[Dia Festivo/ Descanso]]+TabDesSalariosFiscal[[#This Row],[Descuentos]]+TabDesSalariosFiscal[[#This Row],[IMSS]]+TabDesSalariosFiscal[[#This Row],[ISR]],0)</f>
        <v>7201.3302916800003</v>
      </c>
      <c r="Q29" s="187" cm="1">
        <f t="array" ref="Q29">IFERROR(IF('Desglose Salarios Fiscal'!$Q$1=1,-1*(IF((VLOOKUP(TabDesSalariosFiscal[[#This Row],[id]],TabImpuestos[],COLUMN(TabImpuestos[ISR de Aguinaldo 1]),FALSE))&lt;0,0,(VLOOKUP(TabDesSalariosFiscal[[#This Row],[id]],TabImpuestos[],COLUMN(TabImpuestos[ISR de Aguinaldo 1]),FALSE)))),0),0)</f>
        <v>0</v>
      </c>
      <c r="R29" s="55" cm="1">
        <f t="array" ref="R29">IFERROR(IF('Desglose Salarios Fiscal'!$Q$1=1,(VLOOKUP(TabDesSalariosFiscal[[#This Row],[id]],TabEmpleados[],COLUMN(TabEmpleados[SD Fiscal]),FALSE)*TabDesSalariosFiscal[[#This Row],[Dias de aguinaldo fiscal2]])+TabDesSalariosFiscal[[#This Row],[ISR Aguinaldo]],0),0)</f>
        <v>1350</v>
      </c>
      <c r="S29" cm="1">
        <f t="array" ref="S29">IF(YEAR(VLOOKUP(TabDesSalariosFiscal[[#This Row],[id]],TabEmpleados[],COLUMN(TabEmpleados[Fecha de alta NSS]),FALSE))&lt;AñoActual,'Tablas de informacion'!$N$13,_xlfn.DAYS(DATE(AñoActual+1,MONTH(1),DAY(1))-DAY(1),(VLOOKUP(TabDesSalariosFiscal[[#This Row],[id]],TabEmpleados[],COLUMN(TabEmpleados[Fecha de alta NSS]),FALSE))))</f>
        <v>365</v>
      </c>
      <c r="T29" cm="1">
        <f t="array" ref="T29">IFERROR(TabDesSalariosFiscal[[#This Row],[Dias de aguinaldo Fiscal1]]*VLOOKUP(TabDesSalariosFiscal[[#This Row],[Años]],TabFactorIntegracion[],COLUMN(TabFactorIntegracion[Días de
aguinaldo]),FALSE)/'Tablas de informacion'!$N$13,0)</f>
        <v>15</v>
      </c>
    </row>
    <row r="30" spans="1:20" x14ac:dyDescent="0.25">
      <c r="A30" s="176">
        <v>28</v>
      </c>
      <c r="B30" t="str" cm="1">
        <f t="array" ref="B30">VLOOKUP(TabDesSalariosFiscal[[#This Row],[id]],TabEmpleados[],COLUMN(TabEmpleados[Nombre]),FALSE)</f>
        <v>AGUILAR ROJAS OSCAR</v>
      </c>
      <c r="C30" s="148" cm="1">
        <f t="array" ref="C30">IF(VLOOKUP(TabDesSalariosFiscal[[#This Row],[id]],TabEmpleados[],COLUMN(TabEmpleados[Fecha de alta NSS]),FALSE)&lt;&gt;"",
VLOOKUP(TabDesSalariosFiscal[[#This Row],[id]],TabAsistencias[],COLUMN(TabAsistencias[''Total de dias laborados]),FALSE),
0)</f>
        <v>73</v>
      </c>
      <c r="D30" s="179" cm="1">
        <f t="array" ref="D30">(VLOOKUP(TabDesSalariosFiscal[[#This Row],[id]],TabEmpleados[],COLUMN(TabEmpleados[SD Fiscal]),FALSE))*
TabDesSalariosFiscal[[#This Row],[Dias Lab.]]</f>
        <v>6570</v>
      </c>
      <c r="E30" s="180" cm="1">
        <f t="array" ref="E30">IF(VLOOKUP(TabDesSalariosFiscal[[#This Row],[id]],TabEmpleados[],COLUMN(TabEmpleados[Fecha de alta NSS]),FALSE)&lt;&gt;"",
IF(DATEDIF((VLOOKUP(TabDesSalariosFiscal[[#This Row],[id]],TabEmpleados[],COLUMN(TabEmpleados[Fecha de alta NSS]),FALSE)),'Tablas de informacion'!N$8,"Y")=0,1,
DATEDIF((VLOOKUP(TabDesSalariosFiscal[[#This Row],[id]],TabEmpleados[],COLUMN(TabEmpleados[Fecha de alta NSS]),FALSE)),'Tablas de informacion'!N$8,"Y")),0)</f>
        <v>1</v>
      </c>
      <c r="F30" s="181" cm="1">
        <f t="array" ref="F30">IFERROR((VLOOKUP(TabDesSalariosFiscal[[#This Row],[id]],TabEmpleados[],COLUMN(TabEmpleados[SD Fiscal]),FALSE))*
(VLOOKUP(TabDesSalariosFiscal[[#This Row],[Años]],TabFactorIntegracion[],COLUMN(TabFactorIntegracion[% de prima 
vacacional y dominical]),FALSE))*
IF((VLOOKUP(TabDesSalariosFiscal[[#This Row],[id]],TabAsistencias[],COLUMN(TabAsistencias[''Prima dominical]),FALSE))&lt;DominicalFiscal,(VLOOKUP(TabDesSalariosFiscal[[#This Row],[id]],TabAsistencias[],COLUMN(TabAsistencias[''Total de dias laborados]),FALSE)),DominicalFiscal)*
(VLOOKUP((VLOOKUP(TabDesSalariosFiscal[[#This Row],[id]],TabEmpleados[],COLUMN(TabEmpleados[Puesto]),FALSE)),TabPuestos[],COLUMN(TabPuestos[PRIMA DOMINICAL]),FALSE)),0)</f>
        <v>22.5</v>
      </c>
      <c r="G30" s="182" cm="1">
        <f t="array" ref="G30">IFERROR((VLOOKUP(TabDesSalariosFiscal[[#This Row],[id]],TabEmpleados[],COLUMN(TabEmpleados[SD Fiscal]),FALSE))*
(VLOOKUP(TabDesSalariosFiscal[[#This Row],[Años]],TabFactorIntegracion[],COLUMN(TabFactorIntegracion[% de prima 
vacacional y dominical]),FALSE))*
((VLOOKUP(TabDesSalariosFiscal[[#This Row],[id]],TabAsistencias[],COLUMN(TabAsistencias[''V]),FALSE))),0)</f>
        <v>0</v>
      </c>
      <c r="H30" s="183" cm="1">
        <f t="array" ref="H30">IFERROR(VLOOKUP(TabDesSalariosFiscal[[#This Row],[id]],TabCuotasIMSS[],COLUMN(TabCuotasIMSS[S.B.C./S.D.I.]),FALSE),0)</f>
        <v>103.56891780821918</v>
      </c>
      <c r="I30" s="184">
        <f>IFERROR(TabDesSalariosFiscal[[#This Row],[S.B.C]]*Bono*TabDesSalariosFiscal[[#This Row],[Dias Lab.]],0)</f>
        <v>756.05310000000009</v>
      </c>
      <c r="J30" s="184">
        <f>IFERROR(TabDesSalariosFiscal[[#This Row],[S.B.C]]*Bono*TabDesSalariosFiscal[[#This Row],[Dias Lab.]],0)</f>
        <v>756.05310000000009</v>
      </c>
      <c r="K30" s="232" cm="1">
        <f t="array" ref="K30">(VLOOKUP(TabDesSalariosFiscal[[#This Row],[id]],TabEmpleados[],COLUMN(TabEmpleados[SD Fiscal]),FALSE))*(VLOOKUP(TabDesSalariosFiscal[[#This Row],[id]],TabAsistencias[],COLUMN(TabAsistencias[''DF]),FALSE))*2</f>
        <v>0</v>
      </c>
      <c r="L30" s="185">
        <f>-1*(SUMIFS(TabPagosFiscal[Monto de pago],TabPagosFiscal[id],TabDesSalariosFiscal[[#This Row],[id]],TabPagosFiscal[Fecha de pago],"&gt;="&amp;Asistencias!$B$2,TabPagosFiscal[Fecha de pago],"&lt;"&amp;Asistencias!$B$3))</f>
        <v>0</v>
      </c>
      <c r="M30" t="str" cm="1">
        <f t="array" ref="M30">getDescripcion(TabDesSalariosFiscal[[#This Row],[id]],"Descuentos-PagosFiscal","TabPagosFiscal",Asistencias!$B$2,Asistencias!$B$3)</f>
        <v/>
      </c>
      <c r="N30" s="186" cm="1">
        <f t="array" ref="N30">IFERROR(-1*(VLOOKUP(TabDesSalariosFiscal[[#This Row],[id]],TabCuotasIMSS[],COLUMN(TabCuotasIMSS[TOTAL
OBRERO19]),FALSE)),0)</f>
        <v>0</v>
      </c>
      <c r="O30" s="187" cm="1">
        <f t="array" ref="O30">IFERROR(-1*(VLOOKUP(TabDesSalariosFiscal[[#This Row],[id]],TabImpuestos[],COLUMN(TabImpuestos[Total ISR]),FALSE)),0)</f>
        <v>-903.2759083200001</v>
      </c>
      <c r="P30" s="188">
        <f>IFERROR(TabDesSalariosFiscal[[#This Row],[Subtotal Fiscal]]+TabDesSalariosFiscal[[#This Row],[Prima dominical]]+TabDesSalariosFiscal[[#This Row],[Prima vacacional]]+TabDesSalariosFiscal[[#This Row],[Bono Asistencia]]+TabDesSalariosFiscal[[#This Row],[Bono Puntualidad]]+TabDesSalariosFiscal[[#This Row],[Dia Festivo/ Descanso]]+TabDesSalariosFiscal[[#This Row],[Descuentos]]+TabDesSalariosFiscal[[#This Row],[IMSS]]+TabDesSalariosFiscal[[#This Row],[ISR]],0)</f>
        <v>7201.3302916800003</v>
      </c>
      <c r="Q30" s="187" cm="1">
        <f t="array" ref="Q30">IFERROR(IF('Desglose Salarios Fiscal'!$Q$1=1,-1*(IF((VLOOKUP(TabDesSalariosFiscal[[#This Row],[id]],TabImpuestos[],COLUMN(TabImpuestos[ISR de Aguinaldo 1]),FALSE))&lt;0,0,(VLOOKUP(TabDesSalariosFiscal[[#This Row],[id]],TabImpuestos[],COLUMN(TabImpuestos[ISR de Aguinaldo 1]),FALSE)))),0),0)</f>
        <v>0</v>
      </c>
      <c r="R30" s="55" cm="1">
        <f t="array" ref="R30">IFERROR(IF('Desglose Salarios Fiscal'!$Q$1=1,(VLOOKUP(TabDesSalariosFiscal[[#This Row],[id]],TabEmpleados[],COLUMN(TabEmpleados[SD Fiscal]),FALSE)*TabDesSalariosFiscal[[#This Row],[Dias de aguinaldo fiscal2]])+TabDesSalariosFiscal[[#This Row],[ISR Aguinaldo]],0),0)</f>
        <v>1350</v>
      </c>
      <c r="S30" cm="1">
        <f t="array" ref="S30">IF(YEAR(VLOOKUP(TabDesSalariosFiscal[[#This Row],[id]],TabEmpleados[],COLUMN(TabEmpleados[Fecha de alta NSS]),FALSE))&lt;AñoActual,'Tablas de informacion'!$N$13,_xlfn.DAYS(DATE(AñoActual+1,MONTH(1),DAY(1))-DAY(1),(VLOOKUP(TabDesSalariosFiscal[[#This Row],[id]],TabEmpleados[],COLUMN(TabEmpleados[Fecha de alta NSS]),FALSE))))</f>
        <v>365</v>
      </c>
      <c r="T30" cm="1">
        <f t="array" ref="T30">IFERROR(TabDesSalariosFiscal[[#This Row],[Dias de aguinaldo Fiscal1]]*VLOOKUP(TabDesSalariosFiscal[[#This Row],[Años]],TabFactorIntegracion[],COLUMN(TabFactorIntegracion[Días de
aguinaldo]),FALSE)/'Tablas de informacion'!$N$13,0)</f>
        <v>15</v>
      </c>
    </row>
    <row r="31" spans="1:20" x14ac:dyDescent="0.25">
      <c r="A31" s="176">
        <v>29</v>
      </c>
      <c r="B31" t="str" cm="1">
        <f t="array" ref="B31">VLOOKUP(TabDesSalariosFiscal[[#This Row],[id]],TabEmpleados[],COLUMN(TabEmpleados[Nombre]),FALSE)</f>
        <v>TOLENTINO MEJIA CYNTHIA NINET</v>
      </c>
      <c r="C31" s="148" cm="1">
        <f t="array" ref="C31">IF(VLOOKUP(TabDesSalariosFiscal[[#This Row],[id]],TabEmpleados[],COLUMN(TabEmpleados[Fecha de alta NSS]),FALSE)&lt;&gt;"",
VLOOKUP(TabDesSalariosFiscal[[#This Row],[id]],TabAsistencias[],COLUMN(TabAsistencias[''Total de dias laborados]),FALSE),
0)</f>
        <v>73</v>
      </c>
      <c r="D31" s="179" cm="1">
        <f t="array" ref="D31">(VLOOKUP(TabDesSalariosFiscal[[#This Row],[id]],TabEmpleados[],COLUMN(TabEmpleados[SD Fiscal]),FALSE))*
TabDesSalariosFiscal[[#This Row],[Dias Lab.]]</f>
        <v>7008</v>
      </c>
      <c r="E31" s="180" cm="1">
        <f t="array" ref="E31">IF(VLOOKUP(TabDesSalariosFiscal[[#This Row],[id]],TabEmpleados[],COLUMN(TabEmpleados[Fecha de alta NSS]),FALSE)&lt;&gt;"",
IF(DATEDIF((VLOOKUP(TabDesSalariosFiscal[[#This Row],[id]],TabEmpleados[],COLUMN(TabEmpleados[Fecha de alta NSS]),FALSE)),'Tablas de informacion'!N$8,"Y")=0,1,
DATEDIF((VLOOKUP(TabDesSalariosFiscal[[#This Row],[id]],TabEmpleados[],COLUMN(TabEmpleados[Fecha de alta NSS]),FALSE)),'Tablas de informacion'!N$8,"Y")),0)</f>
        <v>1</v>
      </c>
      <c r="F31" s="181" cm="1">
        <f t="array" ref="F31">IFERROR((VLOOKUP(TabDesSalariosFiscal[[#This Row],[id]],TabEmpleados[],COLUMN(TabEmpleados[SD Fiscal]),FALSE))*
(VLOOKUP(TabDesSalariosFiscal[[#This Row],[Años]],TabFactorIntegracion[],COLUMN(TabFactorIntegracion[% de prima 
vacacional y dominical]),FALSE))*
IF((VLOOKUP(TabDesSalariosFiscal[[#This Row],[id]],TabAsistencias[],COLUMN(TabAsistencias[''Prima dominical]),FALSE))&lt;DominicalFiscal,(VLOOKUP(TabDesSalariosFiscal[[#This Row],[id]],TabAsistencias[],COLUMN(TabAsistencias[''Total de dias laborados]),FALSE)),DominicalFiscal)*
(VLOOKUP((VLOOKUP(TabDesSalariosFiscal[[#This Row],[id]],TabEmpleados[],COLUMN(TabEmpleados[Puesto]),FALSE)),TabPuestos[],COLUMN(TabPuestos[PRIMA DOMINICAL]),FALSE)),0)</f>
        <v>24</v>
      </c>
      <c r="G31" s="182" cm="1">
        <f t="array" ref="G31">IFERROR((VLOOKUP(TabDesSalariosFiscal[[#This Row],[id]],TabEmpleados[],COLUMN(TabEmpleados[SD Fiscal]),FALSE))*
(VLOOKUP(TabDesSalariosFiscal[[#This Row],[Años]],TabFactorIntegracion[],COLUMN(TabFactorIntegracion[% de prima 
vacacional y dominical]),FALSE))*
((VLOOKUP(TabDesSalariosFiscal[[#This Row],[id]],TabAsistencias[],COLUMN(TabAsistencias[''V]),FALSE))),0)</f>
        <v>0</v>
      </c>
      <c r="H31" s="183" cm="1">
        <f t="array" ref="H31">IFERROR(VLOOKUP(TabDesSalariosFiscal[[#This Row],[id]],TabCuotasIMSS[],COLUMN(TabCuotasIMSS[S.B.C./S.D.I.]),FALSE),0)</f>
        <v>110.47351232876713</v>
      </c>
      <c r="I31" s="184">
        <f>IFERROR(TabDesSalariosFiscal[[#This Row],[S.B.C]]*Bono*TabDesSalariosFiscal[[#This Row],[Dias Lab.]],0)</f>
        <v>806.45664000000011</v>
      </c>
      <c r="J31" s="184">
        <f>IFERROR(TabDesSalariosFiscal[[#This Row],[S.B.C]]*Bono*TabDesSalariosFiscal[[#This Row],[Dias Lab.]],0)</f>
        <v>806.45664000000011</v>
      </c>
      <c r="K31" s="232" cm="1">
        <f t="array" ref="K31">(VLOOKUP(TabDesSalariosFiscal[[#This Row],[id]],TabEmpleados[],COLUMN(TabEmpleados[SD Fiscal]),FALSE))*(VLOOKUP(TabDesSalariosFiscal[[#This Row],[id]],TabAsistencias[],COLUMN(TabAsistencias[''DF]),FALSE))*2</f>
        <v>0</v>
      </c>
      <c r="L31" s="185">
        <f>-1*(SUMIFS(TabPagosFiscal[Monto de pago],TabPagosFiscal[id],TabDesSalariosFiscal[[#This Row],[id]],TabPagosFiscal[Fecha de pago],"&gt;="&amp;Asistencias!$B$2,TabPagosFiscal[Fecha de pago],"&lt;"&amp;Asistencias!$B$3))</f>
        <v>0</v>
      </c>
      <c r="M31" t="str" cm="1">
        <f t="array" ref="M31">getDescripcion(TabDesSalariosFiscal[[#This Row],[id]],"Descuentos-PagosFiscal","TabPagosFiscal",Asistencias!$B$2,Asistencias!$B$3)</f>
        <v/>
      </c>
      <c r="N31" s="186" cm="1">
        <f t="array" ref="N31">IFERROR(-1*(VLOOKUP(TabDesSalariosFiscal[[#This Row],[id]],TabCuotasIMSS[],COLUMN(TabCuotasIMSS[TOTAL
OBRERO19]),FALSE)),0)</f>
        <v>0</v>
      </c>
      <c r="O31" s="187" cm="1">
        <f t="array" ref="O31">IFERROR(-1*(VLOOKUP(TabDesSalariosFiscal[[#This Row],[id]],TabImpuestos[],COLUMN(TabImpuestos[Total ISR]),FALSE)),0)</f>
        <v>-1018.3651006080001</v>
      </c>
      <c r="P31" s="188">
        <f>IFERROR(TabDesSalariosFiscal[[#This Row],[Subtotal Fiscal]]+TabDesSalariosFiscal[[#This Row],[Prima dominical]]+TabDesSalariosFiscal[[#This Row],[Prima vacacional]]+TabDesSalariosFiscal[[#This Row],[Bono Asistencia]]+TabDesSalariosFiscal[[#This Row],[Bono Puntualidad]]+TabDesSalariosFiscal[[#This Row],[Dia Festivo/ Descanso]]+TabDesSalariosFiscal[[#This Row],[Descuentos]]+TabDesSalariosFiscal[[#This Row],[IMSS]]+TabDesSalariosFiscal[[#This Row],[ISR]],0)</f>
        <v>7626.5481793920007</v>
      </c>
      <c r="Q31" s="187" cm="1">
        <f t="array" ref="Q31">IFERROR(IF('Desglose Salarios Fiscal'!$Q$1=1,-1*(IF((VLOOKUP(TabDesSalariosFiscal[[#This Row],[id]],TabImpuestos[],COLUMN(TabImpuestos[ISR de Aguinaldo 1]),FALSE))&lt;0,0,(VLOOKUP(TabDesSalariosFiscal[[#This Row],[id]],TabImpuestos[],COLUMN(TabImpuestos[ISR de Aguinaldo 1]),FALSE)))),0),0)</f>
        <v>0</v>
      </c>
      <c r="R31" s="55" cm="1">
        <f t="array" ref="R31">IFERROR(IF('Desglose Salarios Fiscal'!$Q$1=1,(VLOOKUP(TabDesSalariosFiscal[[#This Row],[id]],TabEmpleados[],COLUMN(TabEmpleados[SD Fiscal]),FALSE)*TabDesSalariosFiscal[[#This Row],[Dias de aguinaldo fiscal2]])+TabDesSalariosFiscal[[#This Row],[ISR Aguinaldo]],0),0)</f>
        <v>1440</v>
      </c>
      <c r="S31" cm="1">
        <f t="array" ref="S31">IF(YEAR(VLOOKUP(TabDesSalariosFiscal[[#This Row],[id]],TabEmpleados[],COLUMN(TabEmpleados[Fecha de alta NSS]),FALSE))&lt;AñoActual,'Tablas de informacion'!$N$13,_xlfn.DAYS(DATE(AñoActual+1,MONTH(1),DAY(1))-DAY(1),(VLOOKUP(TabDesSalariosFiscal[[#This Row],[id]],TabEmpleados[],COLUMN(TabEmpleados[Fecha de alta NSS]),FALSE))))</f>
        <v>365</v>
      </c>
      <c r="T31" cm="1">
        <f t="array" ref="T31">IFERROR(TabDesSalariosFiscal[[#This Row],[Dias de aguinaldo Fiscal1]]*VLOOKUP(TabDesSalariosFiscal[[#This Row],[Años]],TabFactorIntegracion[],COLUMN(TabFactorIntegracion[Días de
aguinaldo]),FALSE)/'Tablas de informacion'!$N$13,0)</f>
        <v>15</v>
      </c>
    </row>
    <row r="32" spans="1:20" x14ac:dyDescent="0.25">
      <c r="A32" s="176">
        <v>30</v>
      </c>
      <c r="B32" t="str" cm="1">
        <f t="array" ref="B32">VLOOKUP(TabDesSalariosFiscal[[#This Row],[id]],TabEmpleados[],COLUMN(TabEmpleados[Nombre]),FALSE)</f>
        <v xml:space="preserve">RUIZ RAMOS ANGEL </v>
      </c>
      <c r="C32" s="148" cm="1">
        <f t="array" ref="C32">IF(VLOOKUP(TabDesSalariosFiscal[[#This Row],[id]],TabEmpleados[],COLUMN(TabEmpleados[Fecha de alta NSS]),FALSE)&lt;&gt;"",
VLOOKUP(TabDesSalariosFiscal[[#This Row],[id]],TabAsistencias[],COLUMN(TabAsistencias[''Total de dias laborados]),FALSE),
0)</f>
        <v>73</v>
      </c>
      <c r="D32" s="179" cm="1">
        <f t="array" ref="D32">(VLOOKUP(TabDesSalariosFiscal[[#This Row],[id]],TabEmpleados[],COLUMN(TabEmpleados[SD Fiscal]),FALSE))*
TabDesSalariosFiscal[[#This Row],[Dias Lab.]]</f>
        <v>6570</v>
      </c>
      <c r="E32" s="180" cm="1">
        <f t="array" ref="E32">IF(VLOOKUP(TabDesSalariosFiscal[[#This Row],[id]],TabEmpleados[],COLUMN(TabEmpleados[Fecha de alta NSS]),FALSE)&lt;&gt;"",
IF(DATEDIF((VLOOKUP(TabDesSalariosFiscal[[#This Row],[id]],TabEmpleados[],COLUMN(TabEmpleados[Fecha de alta NSS]),FALSE)),'Tablas de informacion'!N$8,"Y")=0,1,
DATEDIF((VLOOKUP(TabDesSalariosFiscal[[#This Row],[id]],TabEmpleados[],COLUMN(TabEmpleados[Fecha de alta NSS]),FALSE)),'Tablas de informacion'!N$8,"Y")),0)</f>
        <v>1</v>
      </c>
      <c r="F32" s="181" cm="1">
        <f t="array" ref="F32">IFERROR((VLOOKUP(TabDesSalariosFiscal[[#This Row],[id]],TabEmpleados[],COLUMN(TabEmpleados[SD Fiscal]),FALSE))*
(VLOOKUP(TabDesSalariosFiscal[[#This Row],[Años]],TabFactorIntegracion[],COLUMN(TabFactorIntegracion[% de prima 
vacacional y dominical]),FALSE))*
IF((VLOOKUP(TabDesSalariosFiscal[[#This Row],[id]],TabAsistencias[],COLUMN(TabAsistencias[''Prima dominical]),FALSE))&lt;DominicalFiscal,(VLOOKUP(TabDesSalariosFiscal[[#This Row],[id]],TabAsistencias[],COLUMN(TabAsistencias[''Total de dias laborados]),FALSE)),DominicalFiscal)*
(VLOOKUP((VLOOKUP(TabDesSalariosFiscal[[#This Row],[id]],TabEmpleados[],COLUMN(TabEmpleados[Puesto]),FALSE)),TabPuestos[],COLUMN(TabPuestos[PRIMA DOMINICAL]),FALSE)),0)</f>
        <v>22.5</v>
      </c>
      <c r="G32" s="182" cm="1">
        <f t="array" ref="G32">IFERROR((VLOOKUP(TabDesSalariosFiscal[[#This Row],[id]],TabEmpleados[],COLUMN(TabEmpleados[SD Fiscal]),FALSE))*
(VLOOKUP(TabDesSalariosFiscal[[#This Row],[Años]],TabFactorIntegracion[],COLUMN(TabFactorIntegracion[% de prima 
vacacional y dominical]),FALSE))*
((VLOOKUP(TabDesSalariosFiscal[[#This Row],[id]],TabAsistencias[],COLUMN(TabAsistencias[''V]),FALSE))),0)</f>
        <v>0</v>
      </c>
      <c r="H32" s="183" cm="1">
        <f t="array" ref="H32">IFERROR(VLOOKUP(TabDesSalariosFiscal[[#This Row],[id]],TabCuotasIMSS[],COLUMN(TabCuotasIMSS[S.B.C./S.D.I.]),FALSE),0)</f>
        <v>103.56891780821918</v>
      </c>
      <c r="I32" s="184">
        <f>IFERROR(TabDesSalariosFiscal[[#This Row],[S.B.C]]*Bono*TabDesSalariosFiscal[[#This Row],[Dias Lab.]],0)</f>
        <v>756.05310000000009</v>
      </c>
      <c r="J32" s="184">
        <f>IFERROR(TabDesSalariosFiscal[[#This Row],[S.B.C]]*Bono*TabDesSalariosFiscal[[#This Row],[Dias Lab.]],0)</f>
        <v>756.05310000000009</v>
      </c>
      <c r="K32" s="232" cm="1">
        <f t="array" ref="K32">(VLOOKUP(TabDesSalariosFiscal[[#This Row],[id]],TabEmpleados[],COLUMN(TabEmpleados[SD Fiscal]),FALSE))*(VLOOKUP(TabDesSalariosFiscal[[#This Row],[id]],TabAsistencias[],COLUMN(TabAsistencias[''DF]),FALSE))*2</f>
        <v>0</v>
      </c>
      <c r="L32" s="185">
        <f>-1*(SUMIFS(TabPagosFiscal[Monto de pago],TabPagosFiscal[id],TabDesSalariosFiscal[[#This Row],[id]],TabPagosFiscal[Fecha de pago],"&gt;="&amp;Asistencias!$B$2,TabPagosFiscal[Fecha de pago],"&lt;"&amp;Asistencias!$B$3))</f>
        <v>0</v>
      </c>
      <c r="M32" t="str" cm="1">
        <f t="array" ref="M32">getDescripcion(TabDesSalariosFiscal[[#This Row],[id]],"Descuentos-PagosFiscal","TabPagosFiscal",Asistencias!$B$2,Asistencias!$B$3)</f>
        <v/>
      </c>
      <c r="N32" s="186" cm="1">
        <f t="array" ref="N32">IFERROR(-1*(VLOOKUP(TabDesSalariosFiscal[[#This Row],[id]],TabCuotasIMSS[],COLUMN(TabCuotasIMSS[TOTAL
OBRERO19]),FALSE)),0)</f>
        <v>0</v>
      </c>
      <c r="O32" s="187" cm="1">
        <f t="array" ref="O32">IFERROR(-1*(VLOOKUP(TabDesSalariosFiscal[[#This Row],[id]],TabImpuestos[],COLUMN(TabImpuestos[Total ISR]),FALSE)),0)</f>
        <v>-903.2759083200001</v>
      </c>
      <c r="P32" s="188">
        <f>IFERROR(TabDesSalariosFiscal[[#This Row],[Subtotal Fiscal]]+TabDesSalariosFiscal[[#This Row],[Prima dominical]]+TabDesSalariosFiscal[[#This Row],[Prima vacacional]]+TabDesSalariosFiscal[[#This Row],[Bono Asistencia]]+TabDesSalariosFiscal[[#This Row],[Bono Puntualidad]]+TabDesSalariosFiscal[[#This Row],[Dia Festivo/ Descanso]]+TabDesSalariosFiscal[[#This Row],[Descuentos]]+TabDesSalariosFiscal[[#This Row],[IMSS]]+TabDesSalariosFiscal[[#This Row],[ISR]],0)</f>
        <v>7201.3302916800003</v>
      </c>
      <c r="Q32" s="187" cm="1">
        <f t="array" ref="Q32">IFERROR(IF('Desglose Salarios Fiscal'!$Q$1=1,-1*(IF((VLOOKUP(TabDesSalariosFiscal[[#This Row],[id]],TabImpuestos[],COLUMN(TabImpuestos[ISR de Aguinaldo 1]),FALSE))&lt;0,0,(VLOOKUP(TabDesSalariosFiscal[[#This Row],[id]],TabImpuestos[],COLUMN(TabImpuestos[ISR de Aguinaldo 1]),FALSE)))),0),0)</f>
        <v>0</v>
      </c>
      <c r="R32" s="55" cm="1">
        <f t="array" ref="R32">IFERROR(IF('Desglose Salarios Fiscal'!$Q$1=1,(VLOOKUP(TabDesSalariosFiscal[[#This Row],[id]],TabEmpleados[],COLUMN(TabEmpleados[SD Fiscal]),FALSE)*TabDesSalariosFiscal[[#This Row],[Dias de aguinaldo fiscal2]])+TabDesSalariosFiscal[[#This Row],[ISR Aguinaldo]],0),0)</f>
        <v>1350</v>
      </c>
      <c r="S32" cm="1">
        <f t="array" ref="S32">IF(YEAR(VLOOKUP(TabDesSalariosFiscal[[#This Row],[id]],TabEmpleados[],COLUMN(TabEmpleados[Fecha de alta NSS]),FALSE))&lt;AñoActual,'Tablas de informacion'!$N$13,_xlfn.DAYS(DATE(AñoActual+1,MONTH(1),DAY(1))-DAY(1),(VLOOKUP(TabDesSalariosFiscal[[#This Row],[id]],TabEmpleados[],COLUMN(TabEmpleados[Fecha de alta NSS]),FALSE))))</f>
        <v>365</v>
      </c>
      <c r="T32" cm="1">
        <f t="array" ref="T32">IFERROR(TabDesSalariosFiscal[[#This Row],[Dias de aguinaldo Fiscal1]]*VLOOKUP(TabDesSalariosFiscal[[#This Row],[Años]],TabFactorIntegracion[],COLUMN(TabFactorIntegracion[Días de
aguinaldo]),FALSE)/'Tablas de informacion'!$N$13,0)</f>
        <v>15</v>
      </c>
    </row>
    <row r="33" spans="1:20" x14ac:dyDescent="0.25">
      <c r="A33" s="176">
        <v>31</v>
      </c>
      <c r="B33" t="str" cm="1">
        <f t="array" ref="B33">VLOOKUP(TabDesSalariosFiscal[[#This Row],[id]],TabEmpleados[],COLUMN(TabEmpleados[Nombre]),FALSE)</f>
        <v>RIOS LUIS OSVALDO</v>
      </c>
      <c r="C33" s="148" cm="1">
        <f t="array" ref="C33">IF(VLOOKUP(TabDesSalariosFiscal[[#This Row],[id]],TabEmpleados[],COLUMN(TabEmpleados[Fecha de alta NSS]),FALSE)&lt;&gt;"",
VLOOKUP(TabDesSalariosFiscal[[#This Row],[id]],TabAsistencias[],COLUMN(TabAsistencias[''Total de dias laborados]),FALSE),
0)</f>
        <v>73</v>
      </c>
      <c r="D33" s="179" cm="1">
        <f t="array" ref="D33">(VLOOKUP(TabDesSalariosFiscal[[#This Row],[id]],TabEmpleados[],COLUMN(TabEmpleados[SD Fiscal]),FALSE))*
TabDesSalariosFiscal[[#This Row],[Dias Lab.]]</f>
        <v>12629</v>
      </c>
      <c r="E33" s="180" cm="1">
        <f t="array" ref="E33">IF(VLOOKUP(TabDesSalariosFiscal[[#This Row],[id]],TabEmpleados[],COLUMN(TabEmpleados[Fecha de alta NSS]),FALSE)&lt;&gt;"",
IF(DATEDIF((VLOOKUP(TabDesSalariosFiscal[[#This Row],[id]],TabEmpleados[],COLUMN(TabEmpleados[Fecha de alta NSS]),FALSE)),'Tablas de informacion'!N$8,"Y")=0,1,
DATEDIF((VLOOKUP(TabDesSalariosFiscal[[#This Row],[id]],TabEmpleados[],COLUMN(TabEmpleados[Fecha de alta NSS]),FALSE)),'Tablas de informacion'!N$8,"Y")),0)</f>
        <v>16</v>
      </c>
      <c r="F33" s="181" cm="1">
        <f t="array" ref="F33">IFERROR((VLOOKUP(TabDesSalariosFiscal[[#This Row],[id]],TabEmpleados[],COLUMN(TabEmpleados[SD Fiscal]),FALSE))*
(VLOOKUP(TabDesSalariosFiscal[[#This Row],[Años]],TabFactorIntegracion[],COLUMN(TabFactorIntegracion[% de prima 
vacacional y dominical]),FALSE))*
IF((VLOOKUP(TabDesSalariosFiscal[[#This Row],[id]],TabAsistencias[],COLUMN(TabAsistencias[''Prima dominical]),FALSE))&lt;DominicalFiscal,(VLOOKUP(TabDesSalariosFiscal[[#This Row],[id]],TabAsistencias[],COLUMN(TabAsistencias[''Total de dias laborados]),FALSE)),DominicalFiscal)*
(VLOOKUP((VLOOKUP(TabDesSalariosFiscal[[#This Row],[id]],TabEmpleados[],COLUMN(TabEmpleados[Puesto]),FALSE)),TabPuestos[],COLUMN(TabPuestos[PRIMA DOMINICAL]),FALSE)),0)</f>
        <v>43.25</v>
      </c>
      <c r="G33" s="182" cm="1">
        <f t="array" ref="G33">IFERROR((VLOOKUP(TabDesSalariosFiscal[[#This Row],[id]],TabEmpleados[],COLUMN(TabEmpleados[SD Fiscal]),FALSE))*
(VLOOKUP(TabDesSalariosFiscal[[#This Row],[Años]],TabFactorIntegracion[],COLUMN(TabFactorIntegracion[% de prima 
vacacional y dominical]),FALSE))*
((VLOOKUP(TabDesSalariosFiscal[[#This Row],[id]],TabAsistencias[],COLUMN(TabAsistencias[''V]),FALSE))),0)</f>
        <v>0</v>
      </c>
      <c r="H33" s="183" cm="1">
        <f t="array" ref="H33">IFERROR(VLOOKUP(TabDesSalariosFiscal[[#This Row],[id]],TabCuotasIMSS[],COLUMN(TabCuotasIMSS[S.B.C./S.D.I.]),FALSE),0)</f>
        <v>200.74137945205479</v>
      </c>
      <c r="I33" s="184">
        <f>IFERROR(TabDesSalariosFiscal[[#This Row],[S.B.C]]*Bono*TabDesSalariosFiscal[[#This Row],[Dias Lab.]],0)</f>
        <v>1465.4120699999999</v>
      </c>
      <c r="J33" s="184">
        <f>IFERROR(TabDesSalariosFiscal[[#This Row],[S.B.C]]*Bono*TabDesSalariosFiscal[[#This Row],[Dias Lab.]],0)</f>
        <v>1465.4120699999999</v>
      </c>
      <c r="K33" s="232" cm="1">
        <f t="array" ref="K33">(VLOOKUP(TabDesSalariosFiscal[[#This Row],[id]],TabEmpleados[],COLUMN(TabEmpleados[SD Fiscal]),FALSE))*(VLOOKUP(TabDesSalariosFiscal[[#This Row],[id]],TabAsistencias[],COLUMN(TabAsistencias[''DF]),FALSE))*2</f>
        <v>0</v>
      </c>
      <c r="L33" s="185">
        <f>-1*(SUMIFS(TabPagosFiscal[Monto de pago],TabPagosFiscal[id],TabDesSalariosFiscal[[#This Row],[id]],TabPagosFiscal[Fecha de pago],"&gt;="&amp;Asistencias!$B$2,TabPagosFiscal[Fecha de pago],"&lt;"&amp;Asistencias!$B$3))</f>
        <v>0</v>
      </c>
      <c r="M33" t="str" cm="1">
        <f t="array" ref="M33">getDescripcion(TabDesSalariosFiscal[[#This Row],[id]],"Descuentos-PagosFiscal","TabPagosFiscal",Asistencias!$B$2,Asistencias!$B$3)</f>
        <v/>
      </c>
      <c r="N33" s="186" cm="1">
        <f t="array" ref="N33">IFERROR(-1*(VLOOKUP(TabDesSalariosFiscal[[#This Row],[id]],TabCuotasIMSS[],COLUMN(TabCuotasIMSS[TOTAL
OBRERO19]),FALSE)),0)</f>
        <v>-348.03536662499994</v>
      </c>
      <c r="O33" s="187" cm="1">
        <f t="array" ref="O33">IFERROR(-1*(VLOOKUP(TabDesSalariosFiscal[[#This Row],[id]],TabImpuestos[],COLUMN(TabImpuestos[Total ISR]),FALSE)),0)</f>
        <v>-2503.7277257280002</v>
      </c>
      <c r="P33" s="188">
        <f>IFERROR(TabDesSalariosFiscal[[#This Row],[Subtotal Fiscal]]+TabDesSalariosFiscal[[#This Row],[Prima dominical]]+TabDesSalariosFiscal[[#This Row],[Prima vacacional]]+TabDesSalariosFiscal[[#This Row],[Bono Asistencia]]+TabDesSalariosFiscal[[#This Row],[Bono Puntualidad]]+TabDesSalariosFiscal[[#This Row],[Dia Festivo/ Descanso]]+TabDesSalariosFiscal[[#This Row],[Descuentos]]+TabDesSalariosFiscal[[#This Row],[IMSS]]+TabDesSalariosFiscal[[#This Row],[ISR]],0)</f>
        <v>12751.311047647001</v>
      </c>
      <c r="Q33" s="187" cm="1">
        <f t="array" ref="Q33">IFERROR(IF('Desglose Salarios Fiscal'!$Q$1=1,-1*(IF((VLOOKUP(TabDesSalariosFiscal[[#This Row],[id]],TabImpuestos[],COLUMN(TabImpuestos[ISR de Aguinaldo 1]),FALSE))&lt;0,0,(VLOOKUP(TabDesSalariosFiscal[[#This Row],[id]],TabImpuestos[],COLUMN(TabImpuestos[ISR de Aguinaldo 1]),FALSE)))),0),0)</f>
        <v>0</v>
      </c>
      <c r="R33" s="55" cm="1">
        <f t="array" ref="R33">IFERROR(IF('Desglose Salarios Fiscal'!$Q$1=1,(VLOOKUP(TabDesSalariosFiscal[[#This Row],[id]],TabEmpleados[],COLUMN(TabEmpleados[SD Fiscal]),FALSE)*TabDesSalariosFiscal[[#This Row],[Dias de aguinaldo fiscal2]])+TabDesSalariosFiscal[[#This Row],[ISR Aguinaldo]],0),0)</f>
        <v>2595</v>
      </c>
      <c r="S33" cm="1">
        <f t="array" ref="S33">IF(YEAR(VLOOKUP(TabDesSalariosFiscal[[#This Row],[id]],TabEmpleados[],COLUMN(TabEmpleados[Fecha de alta NSS]),FALSE))&lt;AñoActual,'Tablas de informacion'!$N$13,_xlfn.DAYS(DATE(AñoActual+1,MONTH(1),DAY(1))-DAY(1),(VLOOKUP(TabDesSalariosFiscal[[#This Row],[id]],TabEmpleados[],COLUMN(TabEmpleados[Fecha de alta NSS]),FALSE))))</f>
        <v>365</v>
      </c>
      <c r="T33" cm="1">
        <f t="array" ref="T33">IFERROR(TabDesSalariosFiscal[[#This Row],[Dias de aguinaldo Fiscal1]]*VLOOKUP(TabDesSalariosFiscal[[#This Row],[Años]],TabFactorIntegracion[],COLUMN(TabFactorIntegracion[Días de
aguinaldo]),FALSE)/'Tablas de informacion'!$N$13,0)</f>
        <v>15</v>
      </c>
    </row>
    <row r="34" spans="1:20" x14ac:dyDescent="0.25">
      <c r="A34" s="176">
        <v>32</v>
      </c>
      <c r="B34" t="str" cm="1">
        <f t="array" ref="B34">VLOOKUP(TabDesSalariosFiscal[[#This Row],[id]],TabEmpleados[],COLUMN(TabEmpleados[Nombre]),FALSE)</f>
        <v>PEREZ RUIZ NADIA LIZBETH</v>
      </c>
      <c r="C34" s="148" cm="1">
        <f t="array" ref="C34">IF(VLOOKUP(TabDesSalariosFiscal[[#This Row],[id]],TabEmpleados[],COLUMN(TabEmpleados[Fecha de alta NSS]),FALSE)&lt;&gt;"",
VLOOKUP(TabDesSalariosFiscal[[#This Row],[id]],TabAsistencias[],COLUMN(TabAsistencias[''Total de dias laborados]),FALSE),
0)</f>
        <v>73</v>
      </c>
      <c r="D34" s="179" cm="1">
        <f t="array" ref="D34">(VLOOKUP(TabDesSalariosFiscal[[#This Row],[id]],TabEmpleados[],COLUMN(TabEmpleados[SD Fiscal]),FALSE))*
TabDesSalariosFiscal[[#This Row],[Dias Lab.]]</f>
        <v>6132</v>
      </c>
      <c r="E34" s="180" cm="1">
        <f t="array" ref="E34">IF(VLOOKUP(TabDesSalariosFiscal[[#This Row],[id]],TabEmpleados[],COLUMN(TabEmpleados[Fecha de alta NSS]),FALSE)&lt;&gt;"",
IF(DATEDIF((VLOOKUP(TabDesSalariosFiscal[[#This Row],[id]],TabEmpleados[],COLUMN(TabEmpleados[Fecha de alta NSS]),FALSE)),'Tablas de informacion'!N$8,"Y")=0,1,
DATEDIF((VLOOKUP(TabDesSalariosFiscal[[#This Row],[id]],TabEmpleados[],COLUMN(TabEmpleados[Fecha de alta NSS]),FALSE)),'Tablas de informacion'!N$8,"Y")),0)</f>
        <v>1</v>
      </c>
      <c r="F34" s="181" cm="1">
        <f t="array" ref="F34">IFERROR((VLOOKUP(TabDesSalariosFiscal[[#This Row],[id]],TabEmpleados[],COLUMN(TabEmpleados[SD Fiscal]),FALSE))*
(VLOOKUP(TabDesSalariosFiscal[[#This Row],[Años]],TabFactorIntegracion[],COLUMN(TabFactorIntegracion[% de prima 
vacacional y dominical]),FALSE))*
IF((VLOOKUP(TabDesSalariosFiscal[[#This Row],[id]],TabAsistencias[],COLUMN(TabAsistencias[''Prima dominical]),FALSE))&lt;DominicalFiscal,(VLOOKUP(TabDesSalariosFiscal[[#This Row],[id]],TabAsistencias[],COLUMN(TabAsistencias[''Total de dias laborados]),FALSE)),DominicalFiscal)*
(VLOOKUP((VLOOKUP(TabDesSalariosFiscal[[#This Row],[id]],TabEmpleados[],COLUMN(TabEmpleados[Puesto]),FALSE)),TabPuestos[],COLUMN(TabPuestos[PRIMA DOMINICAL]),FALSE)),0)</f>
        <v>21</v>
      </c>
      <c r="G34" s="182" cm="1">
        <f t="array" ref="G34">IFERROR((VLOOKUP(TabDesSalariosFiscal[[#This Row],[id]],TabEmpleados[],COLUMN(TabEmpleados[SD Fiscal]),FALSE))*
(VLOOKUP(TabDesSalariosFiscal[[#This Row],[Años]],TabFactorIntegracion[],COLUMN(TabFactorIntegracion[% de prima 
vacacional y dominical]),FALSE))*
((VLOOKUP(TabDesSalariosFiscal[[#This Row],[id]],TabAsistencias[],COLUMN(TabAsistencias[''V]),FALSE))),0)</f>
        <v>0</v>
      </c>
      <c r="H34" s="183" cm="1">
        <f t="array" ref="H34">IFERROR(VLOOKUP(TabDesSalariosFiscal[[#This Row],[id]],TabCuotasIMSS[],COLUMN(TabCuotasIMSS[S.B.C./S.D.I.]),FALSE),0)</f>
        <v>96.664323287671237</v>
      </c>
      <c r="I34" s="184">
        <f>IFERROR(TabDesSalariosFiscal[[#This Row],[S.B.C]]*Bono*TabDesSalariosFiscal[[#This Row],[Dias Lab.]],0)</f>
        <v>705.64956000000006</v>
      </c>
      <c r="J34" s="184">
        <f>IFERROR(TabDesSalariosFiscal[[#This Row],[S.B.C]]*Bono*TabDesSalariosFiscal[[#This Row],[Dias Lab.]],0)</f>
        <v>705.64956000000006</v>
      </c>
      <c r="K34" s="232" cm="1">
        <f t="array" ref="K34">(VLOOKUP(TabDesSalariosFiscal[[#This Row],[id]],TabEmpleados[],COLUMN(TabEmpleados[SD Fiscal]),FALSE))*(VLOOKUP(TabDesSalariosFiscal[[#This Row],[id]],TabAsistencias[],COLUMN(TabAsistencias[''DF]),FALSE))*2</f>
        <v>0</v>
      </c>
      <c r="L34" s="185">
        <f>-1*(SUMIFS(TabPagosFiscal[Monto de pago],TabPagosFiscal[id],TabDesSalariosFiscal[[#This Row],[id]],TabPagosFiscal[Fecha de pago],"&gt;="&amp;Asistencias!$B$2,TabPagosFiscal[Fecha de pago],"&lt;"&amp;Asistencias!$B$3))</f>
        <v>0</v>
      </c>
      <c r="M34" t="str" cm="1">
        <f t="array" ref="M34">getDescripcion(TabDesSalariosFiscal[[#This Row],[id]],"Descuentos-PagosFiscal","TabPagosFiscal",Asistencias!$B$2,Asistencias!$B$3)</f>
        <v/>
      </c>
      <c r="N34" s="186" cm="1">
        <f t="array" ref="N34">IFERROR(-1*(VLOOKUP(TabDesSalariosFiscal[[#This Row],[id]],TabCuotasIMSS[],COLUMN(TabCuotasIMSS[TOTAL
OBRERO19]),FALSE)),0)</f>
        <v>0</v>
      </c>
      <c r="O34" s="187" cm="1">
        <f t="array" ref="O34">IFERROR(-1*(VLOOKUP(TabDesSalariosFiscal[[#This Row],[id]],TabImpuestos[],COLUMN(TabImpuestos[Total ISR]),FALSE)),0)</f>
        <v>-791.60965030399984</v>
      </c>
      <c r="P34" s="188">
        <f>IFERROR(TabDesSalariosFiscal[[#This Row],[Subtotal Fiscal]]+TabDesSalariosFiscal[[#This Row],[Prima dominical]]+TabDesSalariosFiscal[[#This Row],[Prima vacacional]]+TabDesSalariosFiscal[[#This Row],[Bono Asistencia]]+TabDesSalariosFiscal[[#This Row],[Bono Puntualidad]]+TabDesSalariosFiscal[[#This Row],[Dia Festivo/ Descanso]]+TabDesSalariosFiscal[[#This Row],[Descuentos]]+TabDesSalariosFiscal[[#This Row],[IMSS]]+TabDesSalariosFiscal[[#This Row],[ISR]],0)</f>
        <v>6772.6894696959998</v>
      </c>
      <c r="Q34" s="187" cm="1">
        <f t="array" ref="Q34">IFERROR(IF('Desglose Salarios Fiscal'!$Q$1=1,-1*(IF((VLOOKUP(TabDesSalariosFiscal[[#This Row],[id]],TabImpuestos[],COLUMN(TabImpuestos[ISR de Aguinaldo 1]),FALSE))&lt;0,0,(VLOOKUP(TabDesSalariosFiscal[[#This Row],[id]],TabImpuestos[],COLUMN(TabImpuestos[ISR de Aguinaldo 1]),FALSE)))),0),0)</f>
        <v>0</v>
      </c>
      <c r="R34" s="55" cm="1">
        <f t="array" ref="R34">IFERROR(IF('Desglose Salarios Fiscal'!$Q$1=1,(VLOOKUP(TabDesSalariosFiscal[[#This Row],[id]],TabEmpleados[],COLUMN(TabEmpleados[SD Fiscal]),FALSE)*TabDesSalariosFiscal[[#This Row],[Dias de aguinaldo fiscal2]])+TabDesSalariosFiscal[[#This Row],[ISR Aguinaldo]],0),0)</f>
        <v>1260</v>
      </c>
      <c r="S34" cm="1">
        <f t="array" ref="S34">IF(YEAR(VLOOKUP(TabDesSalariosFiscal[[#This Row],[id]],TabEmpleados[],COLUMN(TabEmpleados[Fecha de alta NSS]),FALSE))&lt;AñoActual,'Tablas de informacion'!$N$13,_xlfn.DAYS(DATE(AñoActual+1,MONTH(1),DAY(1))-DAY(1),(VLOOKUP(TabDesSalariosFiscal[[#This Row],[id]],TabEmpleados[],COLUMN(TabEmpleados[Fecha de alta NSS]),FALSE))))</f>
        <v>365</v>
      </c>
      <c r="T34" cm="1">
        <f t="array" ref="T34">IFERROR(TabDesSalariosFiscal[[#This Row],[Dias de aguinaldo Fiscal1]]*VLOOKUP(TabDesSalariosFiscal[[#This Row],[Años]],TabFactorIntegracion[],COLUMN(TabFactorIntegracion[Días de
aguinaldo]),FALSE)/'Tablas de informacion'!$N$13,0)</f>
        <v>15</v>
      </c>
    </row>
    <row r="35" spans="1:20" x14ac:dyDescent="0.25">
      <c r="A35" s="176">
        <v>33</v>
      </c>
      <c r="B35" t="str" cm="1">
        <f t="array" ref="B35">VLOOKUP(TabDesSalariosFiscal[[#This Row],[id]],TabEmpleados[],COLUMN(TabEmpleados[Nombre]),FALSE)</f>
        <v>ESPINOZA REYNOSO RAUL</v>
      </c>
      <c r="C35" s="148" cm="1">
        <f t="array" ref="C35">IF(VLOOKUP(TabDesSalariosFiscal[[#This Row],[id]],TabEmpleados[],COLUMN(TabEmpleados[Fecha de alta NSS]),FALSE)&lt;&gt;"",
VLOOKUP(TabDesSalariosFiscal[[#This Row],[id]],TabAsistencias[],COLUMN(TabAsistencias[''Total de dias laborados]),FALSE),
0)</f>
        <v>73</v>
      </c>
      <c r="D35" s="179" cm="1">
        <f t="array" ref="D35">(VLOOKUP(TabDesSalariosFiscal[[#This Row],[id]],TabEmpleados[],COLUMN(TabEmpleados[SD Fiscal]),FALSE))*
TabDesSalariosFiscal[[#This Row],[Dias Lab.]]</f>
        <v>6132</v>
      </c>
      <c r="E35" s="180" cm="1">
        <f t="array" ref="E35">IF(VLOOKUP(TabDesSalariosFiscal[[#This Row],[id]],TabEmpleados[],COLUMN(TabEmpleados[Fecha de alta NSS]),FALSE)&lt;&gt;"",
IF(DATEDIF((VLOOKUP(TabDesSalariosFiscal[[#This Row],[id]],TabEmpleados[],COLUMN(TabEmpleados[Fecha de alta NSS]),FALSE)),'Tablas de informacion'!N$8,"Y")=0,1,
DATEDIF((VLOOKUP(TabDesSalariosFiscal[[#This Row],[id]],TabEmpleados[],COLUMN(TabEmpleados[Fecha de alta NSS]),FALSE)),'Tablas de informacion'!N$8,"Y")),0)</f>
        <v>1</v>
      </c>
      <c r="F35" s="181" cm="1">
        <f t="array" ref="F35">IFERROR((VLOOKUP(TabDesSalariosFiscal[[#This Row],[id]],TabEmpleados[],COLUMN(TabEmpleados[SD Fiscal]),FALSE))*
(VLOOKUP(TabDesSalariosFiscal[[#This Row],[Años]],TabFactorIntegracion[],COLUMN(TabFactorIntegracion[% de prima 
vacacional y dominical]),FALSE))*
IF((VLOOKUP(TabDesSalariosFiscal[[#This Row],[id]],TabAsistencias[],COLUMN(TabAsistencias[''Prima dominical]),FALSE))&lt;DominicalFiscal,(VLOOKUP(TabDesSalariosFiscal[[#This Row],[id]],TabAsistencias[],COLUMN(TabAsistencias[''Total de dias laborados]),FALSE)),DominicalFiscal)*
(VLOOKUP((VLOOKUP(TabDesSalariosFiscal[[#This Row],[id]],TabEmpleados[],COLUMN(TabEmpleados[Puesto]),FALSE)),TabPuestos[],COLUMN(TabPuestos[PRIMA DOMINICAL]),FALSE)),0)</f>
        <v>21</v>
      </c>
      <c r="G35" s="182" cm="1">
        <f t="array" ref="G35">IFERROR((VLOOKUP(TabDesSalariosFiscal[[#This Row],[id]],TabEmpleados[],COLUMN(TabEmpleados[SD Fiscal]),FALSE))*
(VLOOKUP(TabDesSalariosFiscal[[#This Row],[Años]],TabFactorIntegracion[],COLUMN(TabFactorIntegracion[% de prima 
vacacional y dominical]),FALSE))*
((VLOOKUP(TabDesSalariosFiscal[[#This Row],[id]],TabAsistencias[],COLUMN(TabAsistencias[''V]),FALSE))),0)</f>
        <v>0</v>
      </c>
      <c r="H35" s="183" cm="1">
        <f t="array" ref="H35">IFERROR(VLOOKUP(TabDesSalariosFiscal[[#This Row],[id]],TabCuotasIMSS[],COLUMN(TabCuotasIMSS[S.B.C./S.D.I.]),FALSE),0)</f>
        <v>96.664323287671237</v>
      </c>
      <c r="I35" s="184">
        <f>IFERROR(TabDesSalariosFiscal[[#This Row],[S.B.C]]*Bono*TabDesSalariosFiscal[[#This Row],[Dias Lab.]],0)</f>
        <v>705.64956000000006</v>
      </c>
      <c r="J35" s="184">
        <f>IFERROR(TabDesSalariosFiscal[[#This Row],[S.B.C]]*Bono*TabDesSalariosFiscal[[#This Row],[Dias Lab.]],0)</f>
        <v>705.64956000000006</v>
      </c>
      <c r="K35" s="232" cm="1">
        <f t="array" ref="K35">(VLOOKUP(TabDesSalariosFiscal[[#This Row],[id]],TabEmpleados[],COLUMN(TabEmpleados[SD Fiscal]),FALSE))*(VLOOKUP(TabDesSalariosFiscal[[#This Row],[id]],TabAsistencias[],COLUMN(TabAsistencias[''DF]),FALSE))*2</f>
        <v>0</v>
      </c>
      <c r="L35" s="185">
        <f>-1*(SUMIFS(TabPagosFiscal[Monto de pago],TabPagosFiscal[id],TabDesSalariosFiscal[[#This Row],[id]],TabPagosFiscal[Fecha de pago],"&gt;="&amp;Asistencias!$B$2,TabPagosFiscal[Fecha de pago],"&lt;"&amp;Asistencias!$B$3))</f>
        <v>0</v>
      </c>
      <c r="M35" t="str" cm="1">
        <f t="array" ref="M35">getDescripcion(TabDesSalariosFiscal[[#This Row],[id]],"Descuentos-PagosFiscal","TabPagosFiscal",Asistencias!$B$2,Asistencias!$B$3)</f>
        <v/>
      </c>
      <c r="N35" s="186" cm="1">
        <f t="array" ref="N35">IFERROR(-1*(VLOOKUP(TabDesSalariosFiscal[[#This Row],[id]],TabCuotasIMSS[],COLUMN(TabCuotasIMSS[TOTAL
OBRERO19]),FALSE)),0)</f>
        <v>0</v>
      </c>
      <c r="O35" s="187" cm="1">
        <f t="array" ref="O35">IFERROR(-1*(VLOOKUP(TabDesSalariosFiscal[[#This Row],[id]],TabImpuestos[],COLUMN(TabImpuestos[Total ISR]),FALSE)),0)</f>
        <v>-791.60965030399984</v>
      </c>
      <c r="P35" s="188">
        <f>IFERROR(TabDesSalariosFiscal[[#This Row],[Subtotal Fiscal]]+TabDesSalariosFiscal[[#This Row],[Prima dominical]]+TabDesSalariosFiscal[[#This Row],[Prima vacacional]]+TabDesSalariosFiscal[[#This Row],[Bono Asistencia]]+TabDesSalariosFiscal[[#This Row],[Bono Puntualidad]]+TabDesSalariosFiscal[[#This Row],[Dia Festivo/ Descanso]]+TabDesSalariosFiscal[[#This Row],[Descuentos]]+TabDesSalariosFiscal[[#This Row],[IMSS]]+TabDesSalariosFiscal[[#This Row],[ISR]],0)</f>
        <v>6772.6894696959998</v>
      </c>
      <c r="Q35" s="187" cm="1">
        <f t="array" ref="Q35">IFERROR(IF('Desglose Salarios Fiscal'!$Q$1=1,-1*(IF((VLOOKUP(TabDesSalariosFiscal[[#This Row],[id]],TabImpuestos[],COLUMN(TabImpuestos[ISR de Aguinaldo 1]),FALSE))&lt;0,0,(VLOOKUP(TabDesSalariosFiscal[[#This Row],[id]],TabImpuestos[],COLUMN(TabImpuestos[ISR de Aguinaldo 1]),FALSE)))),0),0)</f>
        <v>0</v>
      </c>
      <c r="R35" s="55" cm="1">
        <f t="array" ref="R35">IFERROR(IF('Desglose Salarios Fiscal'!$Q$1=1,(VLOOKUP(TabDesSalariosFiscal[[#This Row],[id]],TabEmpleados[],COLUMN(TabEmpleados[SD Fiscal]),FALSE)*TabDesSalariosFiscal[[#This Row],[Dias de aguinaldo fiscal2]])+TabDesSalariosFiscal[[#This Row],[ISR Aguinaldo]],0),0)</f>
        <v>1260</v>
      </c>
      <c r="S35" cm="1">
        <f t="array" ref="S35">IF(YEAR(VLOOKUP(TabDesSalariosFiscal[[#This Row],[id]],TabEmpleados[],COLUMN(TabEmpleados[Fecha de alta NSS]),FALSE))&lt;AñoActual,'Tablas de informacion'!$N$13,_xlfn.DAYS(DATE(AñoActual+1,MONTH(1),DAY(1))-DAY(1),(VLOOKUP(TabDesSalariosFiscal[[#This Row],[id]],TabEmpleados[],COLUMN(TabEmpleados[Fecha de alta NSS]),FALSE))))</f>
        <v>365</v>
      </c>
      <c r="T35" cm="1">
        <f t="array" ref="T35">IFERROR(TabDesSalariosFiscal[[#This Row],[Dias de aguinaldo Fiscal1]]*VLOOKUP(TabDesSalariosFiscal[[#This Row],[Años]],TabFactorIntegracion[],COLUMN(TabFactorIntegracion[Días de
aguinaldo]),FALSE)/'Tablas de informacion'!$N$13,0)</f>
        <v>15</v>
      </c>
    </row>
    <row r="36" spans="1:20" x14ac:dyDescent="0.25">
      <c r="A36" s="176">
        <v>34</v>
      </c>
      <c r="B36" t="str" cm="1">
        <f t="array" ref="B36">VLOOKUP(TabDesSalariosFiscal[[#This Row],[id]],TabEmpleados[],COLUMN(TabEmpleados[Nombre]),FALSE)</f>
        <v>ESPINOSA RUBIÑOS CARLOS RAMON</v>
      </c>
      <c r="C36" s="148" cm="1">
        <f t="array" ref="C36">IF(VLOOKUP(TabDesSalariosFiscal[[#This Row],[id]],TabEmpleados[],COLUMN(TabEmpleados[Fecha de alta NSS]),FALSE)&lt;&gt;"",
VLOOKUP(TabDesSalariosFiscal[[#This Row],[id]],TabAsistencias[],COLUMN(TabAsistencias[''Total de dias laborados]),FALSE),
0)</f>
        <v>73</v>
      </c>
      <c r="D36" s="179" cm="1">
        <f t="array" ref="D36">(VLOOKUP(TabDesSalariosFiscal[[#This Row],[id]],TabEmpleados[],COLUMN(TabEmpleados[SD Fiscal]),FALSE))*
TabDesSalariosFiscal[[#This Row],[Dias Lab.]]</f>
        <v>5475</v>
      </c>
      <c r="E36" s="180" cm="1">
        <f t="array" ref="E36">IF(VLOOKUP(TabDesSalariosFiscal[[#This Row],[id]],TabEmpleados[],COLUMN(TabEmpleados[Fecha de alta NSS]),FALSE)&lt;&gt;"",
IF(DATEDIF((VLOOKUP(TabDesSalariosFiscal[[#This Row],[id]],TabEmpleados[],COLUMN(TabEmpleados[Fecha de alta NSS]),FALSE)),'Tablas de informacion'!N$8,"Y")=0,1,
DATEDIF((VLOOKUP(TabDesSalariosFiscal[[#This Row],[id]],TabEmpleados[],COLUMN(TabEmpleados[Fecha de alta NSS]),FALSE)),'Tablas de informacion'!N$8,"Y")),0)</f>
        <v>1</v>
      </c>
      <c r="F36" s="181" cm="1">
        <f t="array" ref="F36">IFERROR((VLOOKUP(TabDesSalariosFiscal[[#This Row],[id]],TabEmpleados[],COLUMN(TabEmpleados[SD Fiscal]),FALSE))*
(VLOOKUP(TabDesSalariosFiscal[[#This Row],[Años]],TabFactorIntegracion[],COLUMN(TabFactorIntegracion[% de prima 
vacacional y dominical]),FALSE))*
IF((VLOOKUP(TabDesSalariosFiscal[[#This Row],[id]],TabAsistencias[],COLUMN(TabAsistencias[''Prima dominical]),FALSE))&lt;DominicalFiscal,(VLOOKUP(TabDesSalariosFiscal[[#This Row],[id]],TabAsistencias[],COLUMN(TabAsistencias[''Total de dias laborados]),FALSE)),DominicalFiscal)*
(VLOOKUP((VLOOKUP(TabDesSalariosFiscal[[#This Row],[id]],TabEmpleados[],COLUMN(TabEmpleados[Puesto]),FALSE)),TabPuestos[],COLUMN(TabPuestos[PRIMA DOMINICAL]),FALSE)),0)</f>
        <v>18.75</v>
      </c>
      <c r="G36" s="182" cm="1">
        <f t="array" ref="G36">IFERROR((VLOOKUP(TabDesSalariosFiscal[[#This Row],[id]],TabEmpleados[],COLUMN(TabEmpleados[SD Fiscal]),FALSE))*
(VLOOKUP(TabDesSalariosFiscal[[#This Row],[Años]],TabFactorIntegracion[],COLUMN(TabFactorIntegracion[% de prima 
vacacional y dominical]),FALSE))*
((VLOOKUP(TabDesSalariosFiscal[[#This Row],[id]],TabAsistencias[],COLUMN(TabAsistencias[''V]),FALSE))),0)</f>
        <v>0</v>
      </c>
      <c r="H36" s="183" cm="1">
        <f t="array" ref="H36">IFERROR(VLOOKUP(TabDesSalariosFiscal[[#This Row],[id]],TabCuotasIMSS[],COLUMN(TabCuotasIMSS[S.B.C./S.D.I.]),FALSE),0)</f>
        <v>86.307431506849312</v>
      </c>
      <c r="I36" s="184">
        <f>IFERROR(TabDesSalariosFiscal[[#This Row],[S.B.C]]*Bono*TabDesSalariosFiscal[[#This Row],[Dias Lab.]],0)</f>
        <v>630.04425000000003</v>
      </c>
      <c r="J36" s="184">
        <f>IFERROR(TabDesSalariosFiscal[[#This Row],[S.B.C]]*Bono*TabDesSalariosFiscal[[#This Row],[Dias Lab.]],0)</f>
        <v>630.04425000000003</v>
      </c>
      <c r="K36" s="232" cm="1">
        <f t="array" ref="K36">(VLOOKUP(TabDesSalariosFiscal[[#This Row],[id]],TabEmpleados[],COLUMN(TabEmpleados[SD Fiscal]),FALSE))*(VLOOKUP(TabDesSalariosFiscal[[#This Row],[id]],TabAsistencias[],COLUMN(TabAsistencias[''DF]),FALSE))*2</f>
        <v>0</v>
      </c>
      <c r="L36" s="185">
        <f>-1*(SUMIFS(TabPagosFiscal[Monto de pago],TabPagosFiscal[id],TabDesSalariosFiscal[[#This Row],[id]],TabPagosFiscal[Fecha de pago],"&gt;="&amp;Asistencias!$B$2,TabPagosFiscal[Fecha de pago],"&lt;"&amp;Asistencias!$B$3))</f>
        <v>0</v>
      </c>
      <c r="M36" t="str" cm="1">
        <f t="array" ref="M36">getDescripcion(TabDesSalariosFiscal[[#This Row],[id]],"Descuentos-PagosFiscal","TabPagosFiscal",Asistencias!$B$2,Asistencias!$B$3)</f>
        <v/>
      </c>
      <c r="N36" s="186" cm="1">
        <f t="array" ref="N36">IFERROR(-1*(VLOOKUP(TabDesSalariosFiscal[[#This Row],[id]],TabCuotasIMSS[],COLUMN(TabCuotasIMSS[TOTAL
OBRERO19]),FALSE)),0)</f>
        <v>0</v>
      </c>
      <c r="O36" s="187" cm="1">
        <f t="array" ref="O36">IFERROR(-1*(VLOOKUP(TabDesSalariosFiscal[[#This Row],[id]],TabImpuestos[],COLUMN(TabImpuestos[Total ISR]),FALSE)),0)</f>
        <v>-646.77830719999986</v>
      </c>
      <c r="P36" s="188">
        <f>IFERROR(TabDesSalariosFiscal[[#This Row],[Subtotal Fiscal]]+TabDesSalariosFiscal[[#This Row],[Prima dominical]]+TabDesSalariosFiscal[[#This Row],[Prima vacacional]]+TabDesSalariosFiscal[[#This Row],[Bono Asistencia]]+TabDesSalariosFiscal[[#This Row],[Bono Puntualidad]]+TabDesSalariosFiscal[[#This Row],[Dia Festivo/ Descanso]]+TabDesSalariosFiscal[[#This Row],[Descuentos]]+TabDesSalariosFiscal[[#This Row],[IMSS]]+TabDesSalariosFiscal[[#This Row],[ISR]],0)</f>
        <v>6107.0601927999996</v>
      </c>
      <c r="Q36" s="187" cm="1">
        <f t="array" ref="Q36">IFERROR(IF('Desglose Salarios Fiscal'!$Q$1=1,-1*(IF((VLOOKUP(TabDesSalariosFiscal[[#This Row],[id]],TabImpuestos[],COLUMN(TabImpuestos[ISR de Aguinaldo 1]),FALSE))&lt;0,0,(VLOOKUP(TabDesSalariosFiscal[[#This Row],[id]],TabImpuestos[],COLUMN(TabImpuestos[ISR de Aguinaldo 1]),FALSE)))),0),0)</f>
        <v>0</v>
      </c>
      <c r="R36" s="55" cm="1">
        <f t="array" ref="R36">IFERROR(IF('Desglose Salarios Fiscal'!$Q$1=1,(VLOOKUP(TabDesSalariosFiscal[[#This Row],[id]],TabEmpleados[],COLUMN(TabEmpleados[SD Fiscal]),FALSE)*TabDesSalariosFiscal[[#This Row],[Dias de aguinaldo fiscal2]])+TabDesSalariosFiscal[[#This Row],[ISR Aguinaldo]],0),0)</f>
        <v>1125</v>
      </c>
      <c r="S36" cm="1">
        <f t="array" ref="S36">IF(YEAR(VLOOKUP(TabDesSalariosFiscal[[#This Row],[id]],TabEmpleados[],COLUMN(TabEmpleados[Fecha de alta NSS]),FALSE))&lt;AñoActual,'Tablas de informacion'!$N$13,_xlfn.DAYS(DATE(AñoActual+1,MONTH(1),DAY(1))-DAY(1),(VLOOKUP(TabDesSalariosFiscal[[#This Row],[id]],TabEmpleados[],COLUMN(TabEmpleados[Fecha de alta NSS]),FALSE))))</f>
        <v>365</v>
      </c>
      <c r="T36" cm="1">
        <f t="array" ref="T36">IFERROR(TabDesSalariosFiscal[[#This Row],[Dias de aguinaldo Fiscal1]]*VLOOKUP(TabDesSalariosFiscal[[#This Row],[Años]],TabFactorIntegracion[],COLUMN(TabFactorIntegracion[Días de
aguinaldo]),FALSE)/'Tablas de informacion'!$N$13,0)</f>
        <v>15</v>
      </c>
    </row>
    <row r="37" spans="1:20" x14ac:dyDescent="0.25">
      <c r="A37" s="176">
        <v>35</v>
      </c>
      <c r="B37" t="str" cm="1">
        <f t="array" ref="B37">VLOOKUP(TabDesSalariosFiscal[[#This Row],[id]],TabEmpleados[],COLUMN(TabEmpleados[Nombre]),FALSE)</f>
        <v>MARTINEZ VICENTE RENE SAID</v>
      </c>
      <c r="C37" s="148" cm="1">
        <f t="array" ref="C37">IF(VLOOKUP(TabDesSalariosFiscal[[#This Row],[id]],TabEmpleados[],COLUMN(TabEmpleados[Fecha de alta NSS]),FALSE)&lt;&gt;"",
VLOOKUP(TabDesSalariosFiscal[[#This Row],[id]],TabAsistencias[],COLUMN(TabAsistencias[''Total de dias laborados]),FALSE),
0)</f>
        <v>73</v>
      </c>
      <c r="D37" s="179" cm="1">
        <f t="array" ref="D37">(VLOOKUP(TabDesSalariosFiscal[[#This Row],[id]],TabEmpleados[],COLUMN(TabEmpleados[SD Fiscal]),FALSE))*
TabDesSalariosFiscal[[#This Row],[Dias Lab.]]</f>
        <v>6132</v>
      </c>
      <c r="E37" s="180" cm="1">
        <f t="array" ref="E37">IF(VLOOKUP(TabDesSalariosFiscal[[#This Row],[id]],TabEmpleados[],COLUMN(TabEmpleados[Fecha de alta NSS]),FALSE)&lt;&gt;"",
IF(DATEDIF((VLOOKUP(TabDesSalariosFiscal[[#This Row],[id]],TabEmpleados[],COLUMN(TabEmpleados[Fecha de alta NSS]),FALSE)),'Tablas de informacion'!N$8,"Y")=0,1,
DATEDIF((VLOOKUP(TabDesSalariosFiscal[[#This Row],[id]],TabEmpleados[],COLUMN(TabEmpleados[Fecha de alta NSS]),FALSE)),'Tablas de informacion'!N$8,"Y")),0)</f>
        <v>1</v>
      </c>
      <c r="F37" s="181" cm="1">
        <f t="array" ref="F37">IFERROR((VLOOKUP(TabDesSalariosFiscal[[#This Row],[id]],TabEmpleados[],COLUMN(TabEmpleados[SD Fiscal]),FALSE))*
(VLOOKUP(TabDesSalariosFiscal[[#This Row],[Años]],TabFactorIntegracion[],COLUMN(TabFactorIntegracion[% de prima 
vacacional y dominical]),FALSE))*
IF((VLOOKUP(TabDesSalariosFiscal[[#This Row],[id]],TabAsistencias[],COLUMN(TabAsistencias[''Prima dominical]),FALSE))&lt;DominicalFiscal,(VLOOKUP(TabDesSalariosFiscal[[#This Row],[id]],TabAsistencias[],COLUMN(TabAsistencias[''Total de dias laborados]),FALSE)),DominicalFiscal)*
(VLOOKUP((VLOOKUP(TabDesSalariosFiscal[[#This Row],[id]],TabEmpleados[],COLUMN(TabEmpleados[Puesto]),FALSE)),TabPuestos[],COLUMN(TabPuestos[PRIMA DOMINICAL]),FALSE)),0)</f>
        <v>21</v>
      </c>
      <c r="G37" s="182" cm="1">
        <f t="array" ref="G37">IFERROR((VLOOKUP(TabDesSalariosFiscal[[#This Row],[id]],TabEmpleados[],COLUMN(TabEmpleados[SD Fiscal]),FALSE))*
(VLOOKUP(TabDesSalariosFiscal[[#This Row],[Años]],TabFactorIntegracion[],COLUMN(TabFactorIntegracion[% de prima 
vacacional y dominical]),FALSE))*
((VLOOKUP(TabDesSalariosFiscal[[#This Row],[id]],TabAsistencias[],COLUMN(TabAsistencias[''V]),FALSE))),0)</f>
        <v>0</v>
      </c>
      <c r="H37" s="183" cm="1">
        <f t="array" ref="H37">IFERROR(VLOOKUP(TabDesSalariosFiscal[[#This Row],[id]],TabCuotasIMSS[],COLUMN(TabCuotasIMSS[S.B.C./S.D.I.]),FALSE),0)</f>
        <v>96.664323287671237</v>
      </c>
      <c r="I37" s="184">
        <f>IFERROR(TabDesSalariosFiscal[[#This Row],[S.B.C]]*Bono*TabDesSalariosFiscal[[#This Row],[Dias Lab.]],0)</f>
        <v>705.64956000000006</v>
      </c>
      <c r="J37" s="184">
        <f>IFERROR(TabDesSalariosFiscal[[#This Row],[S.B.C]]*Bono*TabDesSalariosFiscal[[#This Row],[Dias Lab.]],0)</f>
        <v>705.64956000000006</v>
      </c>
      <c r="K37" s="232" cm="1">
        <f t="array" ref="K37">(VLOOKUP(TabDesSalariosFiscal[[#This Row],[id]],TabEmpleados[],COLUMN(TabEmpleados[SD Fiscal]),FALSE))*(VLOOKUP(TabDesSalariosFiscal[[#This Row],[id]],TabAsistencias[],COLUMN(TabAsistencias[''DF]),FALSE))*2</f>
        <v>0</v>
      </c>
      <c r="L37" s="185">
        <f>-1*(SUMIFS(TabPagosFiscal[Monto de pago],TabPagosFiscal[id],TabDesSalariosFiscal[[#This Row],[id]],TabPagosFiscal[Fecha de pago],"&gt;="&amp;Asistencias!$B$2,TabPagosFiscal[Fecha de pago],"&lt;"&amp;Asistencias!$B$3))</f>
        <v>0</v>
      </c>
      <c r="M37" t="str" cm="1">
        <f t="array" ref="M37">getDescripcion(TabDesSalariosFiscal[[#This Row],[id]],"Descuentos-PagosFiscal","TabPagosFiscal",Asistencias!$B$2,Asistencias!$B$3)</f>
        <v/>
      </c>
      <c r="N37" s="186" cm="1">
        <f t="array" ref="N37">IFERROR(-1*(VLOOKUP(TabDesSalariosFiscal[[#This Row],[id]],TabCuotasIMSS[],COLUMN(TabCuotasIMSS[TOTAL
OBRERO19]),FALSE)),0)</f>
        <v>0</v>
      </c>
      <c r="O37" s="187" cm="1">
        <f t="array" ref="O37">IFERROR(-1*(VLOOKUP(TabDesSalariosFiscal[[#This Row],[id]],TabImpuestos[],COLUMN(TabImpuestos[Total ISR]),FALSE)),0)</f>
        <v>-791.60965030399984</v>
      </c>
      <c r="P37" s="188">
        <f>IFERROR(TabDesSalariosFiscal[[#This Row],[Subtotal Fiscal]]+TabDesSalariosFiscal[[#This Row],[Prima dominical]]+TabDesSalariosFiscal[[#This Row],[Prima vacacional]]+TabDesSalariosFiscal[[#This Row],[Bono Asistencia]]+TabDesSalariosFiscal[[#This Row],[Bono Puntualidad]]+TabDesSalariosFiscal[[#This Row],[Dia Festivo/ Descanso]]+TabDesSalariosFiscal[[#This Row],[Descuentos]]+TabDesSalariosFiscal[[#This Row],[IMSS]]+TabDesSalariosFiscal[[#This Row],[ISR]],0)</f>
        <v>6772.6894696959998</v>
      </c>
      <c r="Q37" s="187" cm="1">
        <f t="array" ref="Q37">IFERROR(IF('Desglose Salarios Fiscal'!$Q$1=1,-1*(IF((VLOOKUP(TabDesSalariosFiscal[[#This Row],[id]],TabImpuestos[],COLUMN(TabImpuestos[ISR de Aguinaldo 1]),FALSE))&lt;0,0,(VLOOKUP(TabDesSalariosFiscal[[#This Row],[id]],TabImpuestos[],COLUMN(TabImpuestos[ISR de Aguinaldo 1]),FALSE)))),0),0)</f>
        <v>0</v>
      </c>
      <c r="R37" s="55" cm="1">
        <f t="array" ref="R37">IFERROR(IF('Desglose Salarios Fiscal'!$Q$1=1,(VLOOKUP(TabDesSalariosFiscal[[#This Row],[id]],TabEmpleados[],COLUMN(TabEmpleados[SD Fiscal]),FALSE)*TabDesSalariosFiscal[[#This Row],[Dias de aguinaldo fiscal2]])+TabDesSalariosFiscal[[#This Row],[ISR Aguinaldo]],0),0)</f>
        <v>1260</v>
      </c>
      <c r="S37" cm="1">
        <f t="array" ref="S37">IF(YEAR(VLOOKUP(TabDesSalariosFiscal[[#This Row],[id]],TabEmpleados[],COLUMN(TabEmpleados[Fecha de alta NSS]),FALSE))&lt;AñoActual,'Tablas de informacion'!$N$13,_xlfn.DAYS(DATE(AñoActual+1,MONTH(1),DAY(1))-DAY(1),(VLOOKUP(TabDesSalariosFiscal[[#This Row],[id]],TabEmpleados[],COLUMN(TabEmpleados[Fecha de alta NSS]),FALSE))))</f>
        <v>365</v>
      </c>
      <c r="T37" cm="1">
        <f t="array" ref="T37">IFERROR(TabDesSalariosFiscal[[#This Row],[Dias de aguinaldo Fiscal1]]*VLOOKUP(TabDesSalariosFiscal[[#This Row],[Años]],TabFactorIntegracion[],COLUMN(TabFactorIntegracion[Días de
aguinaldo]),FALSE)/'Tablas de informacion'!$N$13,0)</f>
        <v>15</v>
      </c>
    </row>
    <row r="38" spans="1:20" x14ac:dyDescent="0.25">
      <c r="A38" s="176">
        <v>36</v>
      </c>
      <c r="B38" t="str" cm="1">
        <f t="array" ref="B38">VLOOKUP(TabDesSalariosFiscal[[#This Row],[id]],TabEmpleados[],COLUMN(TabEmpleados[Nombre]),FALSE)</f>
        <v>LORENZANA DIAZ IGNACIO DEMETRIO</v>
      </c>
      <c r="C38" s="148" cm="1">
        <f t="array" ref="C38">IF(VLOOKUP(TabDesSalariosFiscal[[#This Row],[id]],TabEmpleados[],COLUMN(TabEmpleados[Fecha de alta NSS]),FALSE)&lt;&gt;"",
VLOOKUP(TabDesSalariosFiscal[[#This Row],[id]],TabAsistencias[],COLUMN(TabAsistencias[''Total de dias laborados]),FALSE),
0)</f>
        <v>73</v>
      </c>
      <c r="D38" s="179" cm="1">
        <f t="array" ref="D38">(VLOOKUP(TabDesSalariosFiscal[[#This Row],[id]],TabEmpleados[],COLUMN(TabEmpleados[SD Fiscal]),FALSE))*
TabDesSalariosFiscal[[#This Row],[Dias Lab.]]</f>
        <v>5475</v>
      </c>
      <c r="E38" s="180" cm="1">
        <f t="array" ref="E38">IF(VLOOKUP(TabDesSalariosFiscal[[#This Row],[id]],TabEmpleados[],COLUMN(TabEmpleados[Fecha de alta NSS]),FALSE)&lt;&gt;"",
IF(DATEDIF((VLOOKUP(TabDesSalariosFiscal[[#This Row],[id]],TabEmpleados[],COLUMN(TabEmpleados[Fecha de alta NSS]),FALSE)),'Tablas de informacion'!N$8,"Y")=0,1,
DATEDIF((VLOOKUP(TabDesSalariosFiscal[[#This Row],[id]],TabEmpleados[],COLUMN(TabEmpleados[Fecha de alta NSS]),FALSE)),'Tablas de informacion'!N$8,"Y")),0)</f>
        <v>1</v>
      </c>
      <c r="F38" s="181" cm="1">
        <f t="array" ref="F38">IFERROR((VLOOKUP(TabDesSalariosFiscal[[#This Row],[id]],TabEmpleados[],COLUMN(TabEmpleados[SD Fiscal]),FALSE))*
(VLOOKUP(TabDesSalariosFiscal[[#This Row],[Años]],TabFactorIntegracion[],COLUMN(TabFactorIntegracion[% de prima 
vacacional y dominical]),FALSE))*
IF((VLOOKUP(TabDesSalariosFiscal[[#This Row],[id]],TabAsistencias[],COLUMN(TabAsistencias[''Prima dominical]),FALSE))&lt;DominicalFiscal,(VLOOKUP(TabDesSalariosFiscal[[#This Row],[id]],TabAsistencias[],COLUMN(TabAsistencias[''Total de dias laborados]),FALSE)),DominicalFiscal)*
(VLOOKUP((VLOOKUP(TabDesSalariosFiscal[[#This Row],[id]],TabEmpleados[],COLUMN(TabEmpleados[Puesto]),FALSE)),TabPuestos[],COLUMN(TabPuestos[PRIMA DOMINICAL]),FALSE)),0)</f>
        <v>18.75</v>
      </c>
      <c r="G38" s="182" cm="1">
        <f t="array" ref="G38">IFERROR((VLOOKUP(TabDesSalariosFiscal[[#This Row],[id]],TabEmpleados[],COLUMN(TabEmpleados[SD Fiscal]),FALSE))*
(VLOOKUP(TabDesSalariosFiscal[[#This Row],[Años]],TabFactorIntegracion[],COLUMN(TabFactorIntegracion[% de prima 
vacacional y dominical]),FALSE))*
((VLOOKUP(TabDesSalariosFiscal[[#This Row],[id]],TabAsistencias[],COLUMN(TabAsistencias[''V]),FALSE))),0)</f>
        <v>0</v>
      </c>
      <c r="H38" s="183" cm="1">
        <f t="array" ref="H38">IFERROR(VLOOKUP(TabDesSalariosFiscal[[#This Row],[id]],TabCuotasIMSS[],COLUMN(TabCuotasIMSS[S.B.C./S.D.I.]),FALSE),0)</f>
        <v>86.307431506849312</v>
      </c>
      <c r="I38" s="184">
        <f>IFERROR(TabDesSalariosFiscal[[#This Row],[S.B.C]]*Bono*TabDesSalariosFiscal[[#This Row],[Dias Lab.]],0)</f>
        <v>630.04425000000003</v>
      </c>
      <c r="J38" s="184">
        <f>IFERROR(TabDesSalariosFiscal[[#This Row],[S.B.C]]*Bono*TabDesSalariosFiscal[[#This Row],[Dias Lab.]],0)</f>
        <v>630.04425000000003</v>
      </c>
      <c r="K38" s="232" cm="1">
        <f t="array" ref="K38">(VLOOKUP(TabDesSalariosFiscal[[#This Row],[id]],TabEmpleados[],COLUMN(TabEmpleados[SD Fiscal]),FALSE))*(VLOOKUP(TabDesSalariosFiscal[[#This Row],[id]],TabAsistencias[],COLUMN(TabAsistencias[''DF]),FALSE))*2</f>
        <v>0</v>
      </c>
      <c r="L38" s="185">
        <f>-1*(SUMIFS(TabPagosFiscal[Monto de pago],TabPagosFiscal[id],TabDesSalariosFiscal[[#This Row],[id]],TabPagosFiscal[Fecha de pago],"&gt;="&amp;Asistencias!$B$2,TabPagosFiscal[Fecha de pago],"&lt;"&amp;Asistencias!$B$3))</f>
        <v>0</v>
      </c>
      <c r="M38" t="str" cm="1">
        <f t="array" ref="M38">getDescripcion(TabDesSalariosFiscal[[#This Row],[id]],"Descuentos-PagosFiscal","TabPagosFiscal",Asistencias!$B$2,Asistencias!$B$3)</f>
        <v/>
      </c>
      <c r="N38" s="186" cm="1">
        <f t="array" ref="N38">IFERROR(-1*(VLOOKUP(TabDesSalariosFiscal[[#This Row],[id]],TabCuotasIMSS[],COLUMN(TabCuotasIMSS[TOTAL
OBRERO19]),FALSE)),0)</f>
        <v>0</v>
      </c>
      <c r="O38" s="187" cm="1">
        <f t="array" ref="O38">IFERROR(-1*(VLOOKUP(TabDesSalariosFiscal[[#This Row],[id]],TabImpuestos[],COLUMN(TabImpuestos[Total ISR]),FALSE)),0)</f>
        <v>-646.77830719999986</v>
      </c>
      <c r="P38" s="188">
        <f>IFERROR(TabDesSalariosFiscal[[#This Row],[Subtotal Fiscal]]+TabDesSalariosFiscal[[#This Row],[Prima dominical]]+TabDesSalariosFiscal[[#This Row],[Prima vacacional]]+TabDesSalariosFiscal[[#This Row],[Bono Asistencia]]+TabDesSalariosFiscal[[#This Row],[Bono Puntualidad]]+TabDesSalariosFiscal[[#This Row],[Dia Festivo/ Descanso]]+TabDesSalariosFiscal[[#This Row],[Descuentos]]+TabDesSalariosFiscal[[#This Row],[IMSS]]+TabDesSalariosFiscal[[#This Row],[ISR]],0)</f>
        <v>6107.0601927999996</v>
      </c>
      <c r="Q38" s="187" cm="1">
        <f t="array" ref="Q38">IFERROR(IF('Desglose Salarios Fiscal'!$Q$1=1,-1*(IF((VLOOKUP(TabDesSalariosFiscal[[#This Row],[id]],TabImpuestos[],COLUMN(TabImpuestos[ISR de Aguinaldo 1]),FALSE))&lt;0,0,(VLOOKUP(TabDesSalariosFiscal[[#This Row],[id]],TabImpuestos[],COLUMN(TabImpuestos[ISR de Aguinaldo 1]),FALSE)))),0),0)</f>
        <v>0</v>
      </c>
      <c r="R38" s="55" cm="1">
        <f t="array" ref="R38">IFERROR(IF('Desglose Salarios Fiscal'!$Q$1=1,(VLOOKUP(TabDesSalariosFiscal[[#This Row],[id]],TabEmpleados[],COLUMN(TabEmpleados[SD Fiscal]),FALSE)*TabDesSalariosFiscal[[#This Row],[Dias de aguinaldo fiscal2]])+TabDesSalariosFiscal[[#This Row],[ISR Aguinaldo]],0),0)</f>
        <v>1125</v>
      </c>
      <c r="S38" cm="1">
        <f t="array" ref="S38">IF(YEAR(VLOOKUP(TabDesSalariosFiscal[[#This Row],[id]],TabEmpleados[],COLUMN(TabEmpleados[Fecha de alta NSS]),FALSE))&lt;AñoActual,'Tablas de informacion'!$N$13,_xlfn.DAYS(DATE(AñoActual+1,MONTH(1),DAY(1))-DAY(1),(VLOOKUP(TabDesSalariosFiscal[[#This Row],[id]],TabEmpleados[],COLUMN(TabEmpleados[Fecha de alta NSS]),FALSE))))</f>
        <v>365</v>
      </c>
      <c r="T38" cm="1">
        <f t="array" ref="T38">IFERROR(TabDesSalariosFiscal[[#This Row],[Dias de aguinaldo Fiscal1]]*VLOOKUP(TabDesSalariosFiscal[[#This Row],[Años]],TabFactorIntegracion[],COLUMN(TabFactorIntegracion[Días de
aguinaldo]),FALSE)/'Tablas de informacion'!$N$13,0)</f>
        <v>15</v>
      </c>
    </row>
    <row r="39" spans="1:20" x14ac:dyDescent="0.25">
      <c r="A39" s="176">
        <v>37</v>
      </c>
      <c r="B39" t="str" cm="1">
        <f t="array" ref="B39">VLOOKUP(TabDesSalariosFiscal[[#This Row],[id]],TabEmpleados[],COLUMN(TabEmpleados[Nombre]),FALSE)</f>
        <v>JIMENEZ VASQUEZ HISAI</v>
      </c>
      <c r="C39" s="148" cm="1">
        <f t="array" ref="C39">IF(VLOOKUP(TabDesSalariosFiscal[[#This Row],[id]],TabEmpleados[],COLUMN(TabEmpleados[Fecha de alta NSS]),FALSE)&lt;&gt;"",
VLOOKUP(TabDesSalariosFiscal[[#This Row],[id]],TabAsistencias[],COLUMN(TabAsistencias[''Total de dias laborados]),FALSE),
0)</f>
        <v>73</v>
      </c>
      <c r="D39" s="179" cm="1">
        <f t="array" ref="D39">(VLOOKUP(TabDesSalariosFiscal[[#This Row],[id]],TabEmpleados[],COLUMN(TabEmpleados[SD Fiscal]),FALSE))*
TabDesSalariosFiscal[[#This Row],[Dias Lab.]]</f>
        <v>5475</v>
      </c>
      <c r="E39" s="180" cm="1">
        <f t="array" ref="E39">IF(VLOOKUP(TabDesSalariosFiscal[[#This Row],[id]],TabEmpleados[],COLUMN(TabEmpleados[Fecha de alta NSS]),FALSE)&lt;&gt;"",
IF(DATEDIF((VLOOKUP(TabDesSalariosFiscal[[#This Row],[id]],TabEmpleados[],COLUMN(TabEmpleados[Fecha de alta NSS]),FALSE)),'Tablas de informacion'!N$8,"Y")=0,1,
DATEDIF((VLOOKUP(TabDesSalariosFiscal[[#This Row],[id]],TabEmpleados[],COLUMN(TabEmpleados[Fecha de alta NSS]),FALSE)),'Tablas de informacion'!N$8,"Y")),0)</f>
        <v>1</v>
      </c>
      <c r="F39" s="181" cm="1">
        <f t="array" ref="F39">IFERROR((VLOOKUP(TabDesSalariosFiscal[[#This Row],[id]],TabEmpleados[],COLUMN(TabEmpleados[SD Fiscal]),FALSE))*
(VLOOKUP(TabDesSalariosFiscal[[#This Row],[Años]],TabFactorIntegracion[],COLUMN(TabFactorIntegracion[% de prima 
vacacional y dominical]),FALSE))*
IF((VLOOKUP(TabDesSalariosFiscal[[#This Row],[id]],TabAsistencias[],COLUMN(TabAsistencias[''Prima dominical]),FALSE))&lt;DominicalFiscal,(VLOOKUP(TabDesSalariosFiscal[[#This Row],[id]],TabAsistencias[],COLUMN(TabAsistencias[''Total de dias laborados]),FALSE)),DominicalFiscal)*
(VLOOKUP((VLOOKUP(TabDesSalariosFiscal[[#This Row],[id]],TabEmpleados[],COLUMN(TabEmpleados[Puesto]),FALSE)),TabPuestos[],COLUMN(TabPuestos[PRIMA DOMINICAL]),FALSE)),0)</f>
        <v>18.75</v>
      </c>
      <c r="G39" s="182" cm="1">
        <f t="array" ref="G39">IFERROR((VLOOKUP(TabDesSalariosFiscal[[#This Row],[id]],TabEmpleados[],COLUMN(TabEmpleados[SD Fiscal]),FALSE))*
(VLOOKUP(TabDesSalariosFiscal[[#This Row],[Años]],TabFactorIntegracion[],COLUMN(TabFactorIntegracion[% de prima 
vacacional y dominical]),FALSE))*
((VLOOKUP(TabDesSalariosFiscal[[#This Row],[id]],TabAsistencias[],COLUMN(TabAsistencias[''V]),FALSE))),0)</f>
        <v>0</v>
      </c>
      <c r="H39" s="183" cm="1">
        <f t="array" ref="H39">IFERROR(VLOOKUP(TabDesSalariosFiscal[[#This Row],[id]],TabCuotasIMSS[],COLUMN(TabCuotasIMSS[S.B.C./S.D.I.]),FALSE),0)</f>
        <v>86.307431506849312</v>
      </c>
      <c r="I39" s="184">
        <f>IFERROR(TabDesSalariosFiscal[[#This Row],[S.B.C]]*Bono*TabDesSalariosFiscal[[#This Row],[Dias Lab.]],0)</f>
        <v>630.04425000000003</v>
      </c>
      <c r="J39" s="184">
        <f>IFERROR(TabDesSalariosFiscal[[#This Row],[S.B.C]]*Bono*TabDesSalariosFiscal[[#This Row],[Dias Lab.]],0)</f>
        <v>630.04425000000003</v>
      </c>
      <c r="K39" s="232" cm="1">
        <f t="array" ref="K39">(VLOOKUP(TabDesSalariosFiscal[[#This Row],[id]],TabEmpleados[],COLUMN(TabEmpleados[SD Fiscal]),FALSE))*(VLOOKUP(TabDesSalariosFiscal[[#This Row],[id]],TabAsistencias[],COLUMN(TabAsistencias[''DF]),FALSE))*2</f>
        <v>0</v>
      </c>
      <c r="L39" s="185">
        <f>-1*(SUMIFS(TabPagosFiscal[Monto de pago],TabPagosFiscal[id],TabDesSalariosFiscal[[#This Row],[id]],TabPagosFiscal[Fecha de pago],"&gt;="&amp;Asistencias!$B$2,TabPagosFiscal[Fecha de pago],"&lt;"&amp;Asistencias!$B$3))</f>
        <v>0</v>
      </c>
      <c r="M39" t="str" cm="1">
        <f t="array" ref="M39">getDescripcion(TabDesSalariosFiscal[[#This Row],[id]],"Descuentos-PagosFiscal","TabPagosFiscal",Asistencias!$B$2,Asistencias!$B$3)</f>
        <v/>
      </c>
      <c r="N39" s="186" cm="1">
        <f t="array" ref="N39">IFERROR(-1*(VLOOKUP(TabDesSalariosFiscal[[#This Row],[id]],TabCuotasIMSS[],COLUMN(TabCuotasIMSS[TOTAL
OBRERO19]),FALSE)),0)</f>
        <v>0</v>
      </c>
      <c r="O39" s="187" cm="1">
        <f t="array" ref="O39">IFERROR(-1*(VLOOKUP(TabDesSalariosFiscal[[#This Row],[id]],TabImpuestos[],COLUMN(TabImpuestos[Total ISR]),FALSE)),0)</f>
        <v>-646.77830719999986</v>
      </c>
      <c r="P39" s="188">
        <f>IFERROR(TabDesSalariosFiscal[[#This Row],[Subtotal Fiscal]]+TabDesSalariosFiscal[[#This Row],[Prima dominical]]+TabDesSalariosFiscal[[#This Row],[Prima vacacional]]+TabDesSalariosFiscal[[#This Row],[Bono Asistencia]]+TabDesSalariosFiscal[[#This Row],[Bono Puntualidad]]+TabDesSalariosFiscal[[#This Row],[Dia Festivo/ Descanso]]+TabDesSalariosFiscal[[#This Row],[Descuentos]]+TabDesSalariosFiscal[[#This Row],[IMSS]]+TabDesSalariosFiscal[[#This Row],[ISR]],0)</f>
        <v>6107.0601927999996</v>
      </c>
      <c r="Q39" s="187" cm="1">
        <f t="array" ref="Q39">IFERROR(IF('Desglose Salarios Fiscal'!$Q$1=1,-1*(IF((VLOOKUP(TabDesSalariosFiscal[[#This Row],[id]],TabImpuestos[],COLUMN(TabImpuestos[ISR de Aguinaldo 1]),FALSE))&lt;0,0,(VLOOKUP(TabDesSalariosFiscal[[#This Row],[id]],TabImpuestos[],COLUMN(TabImpuestos[ISR de Aguinaldo 1]),FALSE)))),0),0)</f>
        <v>0</v>
      </c>
      <c r="R39" s="55" cm="1">
        <f t="array" ref="R39">IFERROR(IF('Desglose Salarios Fiscal'!$Q$1=1,(VLOOKUP(TabDesSalariosFiscal[[#This Row],[id]],TabEmpleados[],COLUMN(TabEmpleados[SD Fiscal]),FALSE)*TabDesSalariosFiscal[[#This Row],[Dias de aguinaldo fiscal2]])+TabDesSalariosFiscal[[#This Row],[ISR Aguinaldo]],0),0)</f>
        <v>1125</v>
      </c>
      <c r="S39" cm="1">
        <f t="array" ref="S39">IF(YEAR(VLOOKUP(TabDesSalariosFiscal[[#This Row],[id]],TabEmpleados[],COLUMN(TabEmpleados[Fecha de alta NSS]),FALSE))&lt;AñoActual,'Tablas de informacion'!$N$13,_xlfn.DAYS(DATE(AñoActual+1,MONTH(1),DAY(1))-DAY(1),(VLOOKUP(TabDesSalariosFiscal[[#This Row],[id]],TabEmpleados[],COLUMN(TabEmpleados[Fecha de alta NSS]),FALSE))))</f>
        <v>365</v>
      </c>
      <c r="T39" cm="1">
        <f t="array" ref="T39">IFERROR(TabDesSalariosFiscal[[#This Row],[Dias de aguinaldo Fiscal1]]*VLOOKUP(TabDesSalariosFiscal[[#This Row],[Años]],TabFactorIntegracion[],COLUMN(TabFactorIntegracion[Días de
aguinaldo]),FALSE)/'Tablas de informacion'!$N$13,0)</f>
        <v>15</v>
      </c>
    </row>
    <row r="40" spans="1:20" x14ac:dyDescent="0.25">
      <c r="A40" s="176">
        <v>38</v>
      </c>
      <c r="B40" t="str" cm="1">
        <f t="array" ref="B40">VLOOKUP(TabDesSalariosFiscal[[#This Row],[id]],TabEmpleados[],COLUMN(TabEmpleados[Nombre]),FALSE)</f>
        <v>DIAZ LOPEZ JUAN FELIPE</v>
      </c>
      <c r="C40" s="148" cm="1">
        <f t="array" ref="C40">IF(VLOOKUP(TabDesSalariosFiscal[[#This Row],[id]],TabEmpleados[],COLUMN(TabEmpleados[Fecha de alta NSS]),FALSE)&lt;&gt;"",
VLOOKUP(TabDesSalariosFiscal[[#This Row],[id]],TabAsistencias[],COLUMN(TabAsistencias[''Total de dias laborados]),FALSE),
0)</f>
        <v>73</v>
      </c>
      <c r="D40" s="179" cm="1">
        <f t="array" ref="D40">(VLOOKUP(TabDesSalariosFiscal[[#This Row],[id]],TabEmpleados[],COLUMN(TabEmpleados[SD Fiscal]),FALSE))*
TabDesSalariosFiscal[[#This Row],[Dias Lab.]]</f>
        <v>6570</v>
      </c>
      <c r="E40" s="180" cm="1">
        <f t="array" ref="E40">IF(VLOOKUP(TabDesSalariosFiscal[[#This Row],[id]],TabEmpleados[],COLUMN(TabEmpleados[Fecha de alta NSS]),FALSE)&lt;&gt;"",
IF(DATEDIF((VLOOKUP(TabDesSalariosFiscal[[#This Row],[id]],TabEmpleados[],COLUMN(TabEmpleados[Fecha de alta NSS]),FALSE)),'Tablas de informacion'!N$8,"Y")=0,1,
DATEDIF((VLOOKUP(TabDesSalariosFiscal[[#This Row],[id]],TabEmpleados[],COLUMN(TabEmpleados[Fecha de alta NSS]),FALSE)),'Tablas de informacion'!N$8,"Y")),0)</f>
        <v>1</v>
      </c>
      <c r="F40" s="181" cm="1">
        <f t="array" ref="F40">IFERROR((VLOOKUP(TabDesSalariosFiscal[[#This Row],[id]],TabEmpleados[],COLUMN(TabEmpleados[SD Fiscal]),FALSE))*
(VLOOKUP(TabDesSalariosFiscal[[#This Row],[Años]],TabFactorIntegracion[],COLUMN(TabFactorIntegracion[% de prima 
vacacional y dominical]),FALSE))*
IF((VLOOKUP(TabDesSalariosFiscal[[#This Row],[id]],TabAsistencias[],COLUMN(TabAsistencias[''Prima dominical]),FALSE))&lt;DominicalFiscal,(VLOOKUP(TabDesSalariosFiscal[[#This Row],[id]],TabAsistencias[],COLUMN(TabAsistencias[''Total de dias laborados]),FALSE)),DominicalFiscal)*
(VLOOKUP((VLOOKUP(TabDesSalariosFiscal[[#This Row],[id]],TabEmpleados[],COLUMN(TabEmpleados[Puesto]),FALSE)),TabPuestos[],COLUMN(TabPuestos[PRIMA DOMINICAL]),FALSE)),0)</f>
        <v>22.5</v>
      </c>
      <c r="G40" s="182" cm="1">
        <f t="array" ref="G40">IFERROR((VLOOKUP(TabDesSalariosFiscal[[#This Row],[id]],TabEmpleados[],COLUMN(TabEmpleados[SD Fiscal]),FALSE))*
(VLOOKUP(TabDesSalariosFiscal[[#This Row],[Años]],TabFactorIntegracion[],COLUMN(TabFactorIntegracion[% de prima 
vacacional y dominical]),FALSE))*
((VLOOKUP(TabDesSalariosFiscal[[#This Row],[id]],TabAsistencias[],COLUMN(TabAsistencias[''V]),FALSE))),0)</f>
        <v>0</v>
      </c>
      <c r="H40" s="183" cm="1">
        <f t="array" ref="H40">IFERROR(VLOOKUP(TabDesSalariosFiscal[[#This Row],[id]],TabCuotasIMSS[],COLUMN(TabCuotasIMSS[S.B.C./S.D.I.]),FALSE),0)</f>
        <v>103.56891780821918</v>
      </c>
      <c r="I40" s="184">
        <f>IFERROR(TabDesSalariosFiscal[[#This Row],[S.B.C]]*Bono*TabDesSalariosFiscal[[#This Row],[Dias Lab.]],0)</f>
        <v>756.05310000000009</v>
      </c>
      <c r="J40" s="184">
        <f>IFERROR(TabDesSalariosFiscal[[#This Row],[S.B.C]]*Bono*TabDesSalariosFiscal[[#This Row],[Dias Lab.]],0)</f>
        <v>756.05310000000009</v>
      </c>
      <c r="K40" s="232" cm="1">
        <f t="array" ref="K40">(VLOOKUP(TabDesSalariosFiscal[[#This Row],[id]],TabEmpleados[],COLUMN(TabEmpleados[SD Fiscal]),FALSE))*(VLOOKUP(TabDesSalariosFiscal[[#This Row],[id]],TabAsistencias[],COLUMN(TabAsistencias[''DF]),FALSE))*2</f>
        <v>0</v>
      </c>
      <c r="L40" s="185">
        <f>-1*(SUMIFS(TabPagosFiscal[Monto de pago],TabPagosFiscal[id],TabDesSalariosFiscal[[#This Row],[id]],TabPagosFiscal[Fecha de pago],"&gt;="&amp;Asistencias!$B$2,TabPagosFiscal[Fecha de pago],"&lt;"&amp;Asistencias!$B$3))</f>
        <v>0</v>
      </c>
      <c r="M40" t="str" cm="1">
        <f t="array" ref="M40">getDescripcion(TabDesSalariosFiscal[[#This Row],[id]],"Descuentos-PagosFiscal","TabPagosFiscal",Asistencias!$B$2,Asistencias!$B$3)</f>
        <v/>
      </c>
      <c r="N40" s="186" cm="1">
        <f t="array" ref="N40">IFERROR(-1*(VLOOKUP(TabDesSalariosFiscal[[#This Row],[id]],TabCuotasIMSS[],COLUMN(TabCuotasIMSS[TOTAL
OBRERO19]),FALSE)),0)</f>
        <v>0</v>
      </c>
      <c r="O40" s="187" cm="1">
        <f t="array" ref="O40">IFERROR(-1*(VLOOKUP(TabDesSalariosFiscal[[#This Row],[id]],TabImpuestos[],COLUMN(TabImpuestos[Total ISR]),FALSE)),0)</f>
        <v>-903.2759083200001</v>
      </c>
      <c r="P40" s="188">
        <f>IFERROR(TabDesSalariosFiscal[[#This Row],[Subtotal Fiscal]]+TabDesSalariosFiscal[[#This Row],[Prima dominical]]+TabDesSalariosFiscal[[#This Row],[Prima vacacional]]+TabDesSalariosFiscal[[#This Row],[Bono Asistencia]]+TabDesSalariosFiscal[[#This Row],[Bono Puntualidad]]+TabDesSalariosFiscal[[#This Row],[Dia Festivo/ Descanso]]+TabDesSalariosFiscal[[#This Row],[Descuentos]]+TabDesSalariosFiscal[[#This Row],[IMSS]]+TabDesSalariosFiscal[[#This Row],[ISR]],0)</f>
        <v>7201.3302916800003</v>
      </c>
      <c r="Q40" s="187" cm="1">
        <f t="array" ref="Q40">IFERROR(IF('Desglose Salarios Fiscal'!$Q$1=1,-1*(IF((VLOOKUP(TabDesSalariosFiscal[[#This Row],[id]],TabImpuestos[],COLUMN(TabImpuestos[ISR de Aguinaldo 1]),FALSE))&lt;0,0,(VLOOKUP(TabDesSalariosFiscal[[#This Row],[id]],TabImpuestos[],COLUMN(TabImpuestos[ISR de Aguinaldo 1]),FALSE)))),0),0)</f>
        <v>0</v>
      </c>
      <c r="R40" s="55" cm="1">
        <f t="array" ref="R40">IFERROR(IF('Desglose Salarios Fiscal'!$Q$1=1,(VLOOKUP(TabDesSalariosFiscal[[#This Row],[id]],TabEmpleados[],COLUMN(TabEmpleados[SD Fiscal]),FALSE)*TabDesSalariosFiscal[[#This Row],[Dias de aguinaldo fiscal2]])+TabDesSalariosFiscal[[#This Row],[ISR Aguinaldo]],0),0)</f>
        <v>1350</v>
      </c>
      <c r="S40" cm="1">
        <f t="array" ref="S40">IF(YEAR(VLOOKUP(TabDesSalariosFiscal[[#This Row],[id]],TabEmpleados[],COLUMN(TabEmpleados[Fecha de alta NSS]),FALSE))&lt;AñoActual,'Tablas de informacion'!$N$13,_xlfn.DAYS(DATE(AñoActual+1,MONTH(1),DAY(1))-DAY(1),(VLOOKUP(TabDesSalariosFiscal[[#This Row],[id]],TabEmpleados[],COLUMN(TabEmpleados[Fecha de alta NSS]),FALSE))))</f>
        <v>365</v>
      </c>
      <c r="T40" cm="1">
        <f t="array" ref="T40">IFERROR(TabDesSalariosFiscal[[#This Row],[Dias de aguinaldo Fiscal1]]*VLOOKUP(TabDesSalariosFiscal[[#This Row],[Años]],TabFactorIntegracion[],COLUMN(TabFactorIntegracion[Días de
aguinaldo]),FALSE)/'Tablas de informacion'!$N$13,0)</f>
        <v>15</v>
      </c>
    </row>
    <row r="41" spans="1:20" x14ac:dyDescent="0.25">
      <c r="A41" s="176">
        <v>39</v>
      </c>
      <c r="B41" t="str" cm="1">
        <f t="array" ref="B41">VLOOKUP(TabDesSalariosFiscal[[#This Row],[id]],TabEmpleados[],COLUMN(TabEmpleados[Nombre]),FALSE)</f>
        <v>RAMIREZ SANTIAGO EDGAR ISAAC</v>
      </c>
      <c r="C41" s="148" cm="1">
        <f t="array" ref="C41">IF(VLOOKUP(TabDesSalariosFiscal[[#This Row],[id]],TabEmpleados[],COLUMN(TabEmpleados[Fecha de alta NSS]),FALSE)&lt;&gt;"",
VLOOKUP(TabDesSalariosFiscal[[#This Row],[id]],TabAsistencias[],COLUMN(TabAsistencias[''Total de dias laborados]),FALSE),
0)</f>
        <v>73</v>
      </c>
      <c r="D41" s="179" cm="1">
        <f t="array" ref="D41">(VLOOKUP(TabDesSalariosFiscal[[#This Row],[id]],TabEmpleados[],COLUMN(TabEmpleados[SD Fiscal]),FALSE))*
TabDesSalariosFiscal[[#This Row],[Dias Lab.]]</f>
        <v>5475</v>
      </c>
      <c r="E41" s="180" cm="1">
        <f t="array" ref="E41">IF(VLOOKUP(TabDesSalariosFiscal[[#This Row],[id]],TabEmpleados[],COLUMN(TabEmpleados[Fecha de alta NSS]),FALSE)&lt;&gt;"",
IF(DATEDIF((VLOOKUP(TabDesSalariosFiscal[[#This Row],[id]],TabEmpleados[],COLUMN(TabEmpleados[Fecha de alta NSS]),FALSE)),'Tablas de informacion'!N$8,"Y")=0,1,
DATEDIF((VLOOKUP(TabDesSalariosFiscal[[#This Row],[id]],TabEmpleados[],COLUMN(TabEmpleados[Fecha de alta NSS]),FALSE)),'Tablas de informacion'!N$8,"Y")),0)</f>
        <v>1</v>
      </c>
      <c r="F41" s="181" cm="1">
        <f t="array" ref="F41">IFERROR((VLOOKUP(TabDesSalariosFiscal[[#This Row],[id]],TabEmpleados[],COLUMN(TabEmpleados[SD Fiscal]),FALSE))*
(VLOOKUP(TabDesSalariosFiscal[[#This Row],[Años]],TabFactorIntegracion[],COLUMN(TabFactorIntegracion[% de prima 
vacacional y dominical]),FALSE))*
IF((VLOOKUP(TabDesSalariosFiscal[[#This Row],[id]],TabAsistencias[],COLUMN(TabAsistencias[''Prima dominical]),FALSE))&lt;DominicalFiscal,(VLOOKUP(TabDesSalariosFiscal[[#This Row],[id]],TabAsistencias[],COLUMN(TabAsistencias[''Total de dias laborados]),FALSE)),DominicalFiscal)*
(VLOOKUP((VLOOKUP(TabDesSalariosFiscal[[#This Row],[id]],TabEmpleados[],COLUMN(TabEmpleados[Puesto]),FALSE)),TabPuestos[],COLUMN(TabPuestos[PRIMA DOMINICAL]),FALSE)),0)</f>
        <v>18.75</v>
      </c>
      <c r="G41" s="182" cm="1">
        <f t="array" ref="G41">IFERROR((VLOOKUP(TabDesSalariosFiscal[[#This Row],[id]],TabEmpleados[],COLUMN(TabEmpleados[SD Fiscal]),FALSE))*
(VLOOKUP(TabDesSalariosFiscal[[#This Row],[Años]],TabFactorIntegracion[],COLUMN(TabFactorIntegracion[% de prima 
vacacional y dominical]),FALSE))*
((VLOOKUP(TabDesSalariosFiscal[[#This Row],[id]],TabAsistencias[],COLUMN(TabAsistencias[''V]),FALSE))),0)</f>
        <v>0</v>
      </c>
      <c r="H41" s="183" cm="1">
        <f t="array" ref="H41">IFERROR(VLOOKUP(TabDesSalariosFiscal[[#This Row],[id]],TabCuotasIMSS[],COLUMN(TabCuotasIMSS[S.B.C./S.D.I.]),FALSE),0)</f>
        <v>86.307431506849312</v>
      </c>
      <c r="I41" s="184">
        <f>IFERROR(TabDesSalariosFiscal[[#This Row],[S.B.C]]*Bono*TabDesSalariosFiscal[[#This Row],[Dias Lab.]],0)</f>
        <v>630.04425000000003</v>
      </c>
      <c r="J41" s="184">
        <f>IFERROR(TabDesSalariosFiscal[[#This Row],[S.B.C]]*Bono*TabDesSalariosFiscal[[#This Row],[Dias Lab.]],0)</f>
        <v>630.04425000000003</v>
      </c>
      <c r="K41" s="232" cm="1">
        <f t="array" ref="K41">(VLOOKUP(TabDesSalariosFiscal[[#This Row],[id]],TabEmpleados[],COLUMN(TabEmpleados[SD Fiscal]),FALSE))*(VLOOKUP(TabDesSalariosFiscal[[#This Row],[id]],TabAsistencias[],COLUMN(TabAsistencias[''DF]),FALSE))*2</f>
        <v>0</v>
      </c>
      <c r="L41" s="185">
        <f>-1*(SUMIFS(TabPagosFiscal[Monto de pago],TabPagosFiscal[id],TabDesSalariosFiscal[[#This Row],[id]],TabPagosFiscal[Fecha de pago],"&gt;="&amp;Asistencias!$B$2,TabPagosFiscal[Fecha de pago],"&lt;"&amp;Asistencias!$B$3))</f>
        <v>0</v>
      </c>
      <c r="M41" t="str" cm="1">
        <f t="array" ref="M41">getDescripcion(TabDesSalariosFiscal[[#This Row],[id]],"Descuentos-PagosFiscal","TabPagosFiscal",Asistencias!$B$2,Asistencias!$B$3)</f>
        <v/>
      </c>
      <c r="N41" s="186" cm="1">
        <f t="array" ref="N41">IFERROR(-1*(VLOOKUP(TabDesSalariosFiscal[[#This Row],[id]],TabCuotasIMSS[],COLUMN(TabCuotasIMSS[TOTAL
OBRERO19]),FALSE)),0)</f>
        <v>0</v>
      </c>
      <c r="O41" s="187" cm="1">
        <f t="array" ref="O41">IFERROR(-1*(VLOOKUP(TabDesSalariosFiscal[[#This Row],[id]],TabImpuestos[],COLUMN(TabImpuestos[Total ISR]),FALSE)),0)</f>
        <v>-646.77830719999986</v>
      </c>
      <c r="P41" s="188">
        <f>IFERROR(TabDesSalariosFiscal[[#This Row],[Subtotal Fiscal]]+TabDesSalariosFiscal[[#This Row],[Prima dominical]]+TabDesSalariosFiscal[[#This Row],[Prima vacacional]]+TabDesSalariosFiscal[[#This Row],[Bono Asistencia]]+TabDesSalariosFiscal[[#This Row],[Bono Puntualidad]]+TabDesSalariosFiscal[[#This Row],[Dia Festivo/ Descanso]]+TabDesSalariosFiscal[[#This Row],[Descuentos]]+TabDesSalariosFiscal[[#This Row],[IMSS]]+TabDesSalariosFiscal[[#This Row],[ISR]],0)</f>
        <v>6107.0601927999996</v>
      </c>
      <c r="Q41" s="187" cm="1">
        <f t="array" ref="Q41">IFERROR(IF('Desglose Salarios Fiscal'!$Q$1=1,-1*(IF((VLOOKUP(TabDesSalariosFiscal[[#This Row],[id]],TabImpuestos[],COLUMN(TabImpuestos[ISR de Aguinaldo 1]),FALSE))&lt;0,0,(VLOOKUP(TabDesSalariosFiscal[[#This Row],[id]],TabImpuestos[],COLUMN(TabImpuestos[ISR de Aguinaldo 1]),FALSE)))),0),0)</f>
        <v>0</v>
      </c>
      <c r="R41" s="55" cm="1">
        <f t="array" ref="R41">IFERROR(IF('Desglose Salarios Fiscal'!$Q$1=1,(VLOOKUP(TabDesSalariosFiscal[[#This Row],[id]],TabEmpleados[],COLUMN(TabEmpleados[SD Fiscal]),FALSE)*TabDesSalariosFiscal[[#This Row],[Dias de aguinaldo fiscal2]])+TabDesSalariosFiscal[[#This Row],[ISR Aguinaldo]],0),0)</f>
        <v>1125</v>
      </c>
      <c r="S41" cm="1">
        <f t="array" ref="S41">IF(YEAR(VLOOKUP(TabDesSalariosFiscal[[#This Row],[id]],TabEmpleados[],COLUMN(TabEmpleados[Fecha de alta NSS]),FALSE))&lt;AñoActual,'Tablas de informacion'!$N$13,_xlfn.DAYS(DATE(AñoActual+1,MONTH(1),DAY(1))-DAY(1),(VLOOKUP(TabDesSalariosFiscal[[#This Row],[id]],TabEmpleados[],COLUMN(TabEmpleados[Fecha de alta NSS]),FALSE))))</f>
        <v>365</v>
      </c>
      <c r="T41" cm="1">
        <f t="array" ref="T41">IFERROR(TabDesSalariosFiscal[[#This Row],[Dias de aguinaldo Fiscal1]]*VLOOKUP(TabDesSalariosFiscal[[#This Row],[Años]],TabFactorIntegracion[],COLUMN(TabFactorIntegracion[Días de
aguinaldo]),FALSE)/'Tablas de informacion'!$N$13,0)</f>
        <v>15</v>
      </c>
    </row>
    <row r="42" spans="1:20" x14ac:dyDescent="0.25">
      <c r="A42" s="176">
        <v>40</v>
      </c>
      <c r="B42" t="str" cm="1">
        <f t="array" ref="B42">VLOOKUP(TabDesSalariosFiscal[[#This Row],[id]],TabEmpleados[],COLUMN(TabEmpleados[Nombre]),FALSE)</f>
        <v>FLORES SANTIAGO PEDRO</v>
      </c>
      <c r="C42" s="148" cm="1">
        <f t="array" ref="C42">IF(VLOOKUP(TabDesSalariosFiscal[[#This Row],[id]],TabEmpleados[],COLUMN(TabEmpleados[Fecha de alta NSS]),FALSE)&lt;&gt;"",
VLOOKUP(TabDesSalariosFiscal[[#This Row],[id]],TabAsistencias[],COLUMN(TabAsistencias[''Total de dias laborados]),FALSE),
0)</f>
        <v>73</v>
      </c>
      <c r="D42" s="179" cm="1">
        <f t="array" ref="D42">(VLOOKUP(TabDesSalariosFiscal[[#This Row],[id]],TabEmpleados[],COLUMN(TabEmpleados[SD Fiscal]),FALSE))*
TabDesSalariosFiscal[[#This Row],[Dias Lab.]]</f>
        <v>5475</v>
      </c>
      <c r="E42" s="180" cm="1">
        <f t="array" ref="E42">IF(VLOOKUP(TabDesSalariosFiscal[[#This Row],[id]],TabEmpleados[],COLUMN(TabEmpleados[Fecha de alta NSS]),FALSE)&lt;&gt;"",
IF(DATEDIF((VLOOKUP(TabDesSalariosFiscal[[#This Row],[id]],TabEmpleados[],COLUMN(TabEmpleados[Fecha de alta NSS]),FALSE)),'Tablas de informacion'!N$8,"Y")=0,1,
DATEDIF((VLOOKUP(TabDesSalariosFiscal[[#This Row],[id]],TabEmpleados[],COLUMN(TabEmpleados[Fecha de alta NSS]),FALSE)),'Tablas de informacion'!N$8,"Y")),0)</f>
        <v>1</v>
      </c>
      <c r="F42" s="181" cm="1">
        <f t="array" ref="F42">IFERROR((VLOOKUP(TabDesSalariosFiscal[[#This Row],[id]],TabEmpleados[],COLUMN(TabEmpleados[SD Fiscal]),FALSE))*
(VLOOKUP(TabDesSalariosFiscal[[#This Row],[Años]],TabFactorIntegracion[],COLUMN(TabFactorIntegracion[% de prima 
vacacional y dominical]),FALSE))*
IF((VLOOKUP(TabDesSalariosFiscal[[#This Row],[id]],TabAsistencias[],COLUMN(TabAsistencias[''Prima dominical]),FALSE))&lt;DominicalFiscal,(VLOOKUP(TabDesSalariosFiscal[[#This Row],[id]],TabAsistencias[],COLUMN(TabAsistencias[''Total de dias laborados]),FALSE)),DominicalFiscal)*
(VLOOKUP((VLOOKUP(TabDesSalariosFiscal[[#This Row],[id]],TabEmpleados[],COLUMN(TabEmpleados[Puesto]),FALSE)),TabPuestos[],COLUMN(TabPuestos[PRIMA DOMINICAL]),FALSE)),0)</f>
        <v>18.75</v>
      </c>
      <c r="G42" s="182" cm="1">
        <f t="array" ref="G42">IFERROR((VLOOKUP(TabDesSalariosFiscal[[#This Row],[id]],TabEmpleados[],COLUMN(TabEmpleados[SD Fiscal]),FALSE))*
(VLOOKUP(TabDesSalariosFiscal[[#This Row],[Años]],TabFactorIntegracion[],COLUMN(TabFactorIntegracion[% de prima 
vacacional y dominical]),FALSE))*
((VLOOKUP(TabDesSalariosFiscal[[#This Row],[id]],TabAsistencias[],COLUMN(TabAsistencias[''V]),FALSE))),0)</f>
        <v>0</v>
      </c>
      <c r="H42" s="183" cm="1">
        <f t="array" ref="H42">IFERROR(VLOOKUP(TabDesSalariosFiscal[[#This Row],[id]],TabCuotasIMSS[],COLUMN(TabCuotasIMSS[S.B.C./S.D.I.]),FALSE),0)</f>
        <v>86.307431506849312</v>
      </c>
      <c r="I42" s="184">
        <f>IFERROR(TabDesSalariosFiscal[[#This Row],[S.B.C]]*Bono*TabDesSalariosFiscal[[#This Row],[Dias Lab.]],0)</f>
        <v>630.04425000000003</v>
      </c>
      <c r="J42" s="184">
        <f>IFERROR(TabDesSalariosFiscal[[#This Row],[S.B.C]]*Bono*TabDesSalariosFiscal[[#This Row],[Dias Lab.]],0)</f>
        <v>630.04425000000003</v>
      </c>
      <c r="K42" s="232" cm="1">
        <f t="array" ref="K42">(VLOOKUP(TabDesSalariosFiscal[[#This Row],[id]],TabEmpleados[],COLUMN(TabEmpleados[SD Fiscal]),FALSE))*(VLOOKUP(TabDesSalariosFiscal[[#This Row],[id]],TabAsistencias[],COLUMN(TabAsistencias[''DF]),FALSE))*2</f>
        <v>0</v>
      </c>
      <c r="L42" s="185">
        <f>-1*(SUMIFS(TabPagosFiscal[Monto de pago],TabPagosFiscal[id],TabDesSalariosFiscal[[#This Row],[id]],TabPagosFiscal[Fecha de pago],"&gt;="&amp;Asistencias!$B$2,TabPagosFiscal[Fecha de pago],"&lt;"&amp;Asistencias!$B$3))</f>
        <v>0</v>
      </c>
      <c r="M42" t="str" cm="1">
        <f t="array" ref="M42">getDescripcion(TabDesSalariosFiscal[[#This Row],[id]],"Descuentos-PagosFiscal","TabPagosFiscal",Asistencias!$B$2,Asistencias!$B$3)</f>
        <v/>
      </c>
      <c r="N42" s="186" cm="1">
        <f t="array" ref="N42">IFERROR(-1*(VLOOKUP(TabDesSalariosFiscal[[#This Row],[id]],TabCuotasIMSS[],COLUMN(TabCuotasIMSS[TOTAL
OBRERO19]),FALSE)),0)</f>
        <v>0</v>
      </c>
      <c r="O42" s="187" cm="1">
        <f t="array" ref="O42">IFERROR(-1*(VLOOKUP(TabDesSalariosFiscal[[#This Row],[id]],TabImpuestos[],COLUMN(TabImpuestos[Total ISR]),FALSE)),0)</f>
        <v>-646.77830719999986</v>
      </c>
      <c r="P42" s="188">
        <f>IFERROR(TabDesSalariosFiscal[[#This Row],[Subtotal Fiscal]]+TabDesSalariosFiscal[[#This Row],[Prima dominical]]+TabDesSalariosFiscal[[#This Row],[Prima vacacional]]+TabDesSalariosFiscal[[#This Row],[Bono Asistencia]]+TabDesSalariosFiscal[[#This Row],[Bono Puntualidad]]+TabDesSalariosFiscal[[#This Row],[Dia Festivo/ Descanso]]+TabDesSalariosFiscal[[#This Row],[Descuentos]]+TabDesSalariosFiscal[[#This Row],[IMSS]]+TabDesSalariosFiscal[[#This Row],[ISR]],0)</f>
        <v>6107.0601927999996</v>
      </c>
      <c r="Q42" s="187" cm="1">
        <f t="array" ref="Q42">IFERROR(IF('Desglose Salarios Fiscal'!$Q$1=1,-1*(IF((VLOOKUP(TabDesSalariosFiscal[[#This Row],[id]],TabImpuestos[],COLUMN(TabImpuestos[ISR de Aguinaldo 1]),FALSE))&lt;0,0,(VLOOKUP(TabDesSalariosFiscal[[#This Row],[id]],TabImpuestos[],COLUMN(TabImpuestos[ISR de Aguinaldo 1]),FALSE)))),0),0)</f>
        <v>0</v>
      </c>
      <c r="R42" s="55" cm="1">
        <f t="array" ref="R42">IFERROR(IF('Desglose Salarios Fiscal'!$Q$1=1,(VLOOKUP(TabDesSalariosFiscal[[#This Row],[id]],TabEmpleados[],COLUMN(TabEmpleados[SD Fiscal]),FALSE)*TabDesSalariosFiscal[[#This Row],[Dias de aguinaldo fiscal2]])+TabDesSalariosFiscal[[#This Row],[ISR Aguinaldo]],0),0)</f>
        <v>1125</v>
      </c>
      <c r="S42" cm="1">
        <f t="array" ref="S42">IF(YEAR(VLOOKUP(TabDesSalariosFiscal[[#This Row],[id]],TabEmpleados[],COLUMN(TabEmpleados[Fecha de alta NSS]),FALSE))&lt;AñoActual,'Tablas de informacion'!$N$13,_xlfn.DAYS(DATE(AñoActual+1,MONTH(1),DAY(1))-DAY(1),(VLOOKUP(TabDesSalariosFiscal[[#This Row],[id]],TabEmpleados[],COLUMN(TabEmpleados[Fecha de alta NSS]),FALSE))))</f>
        <v>365</v>
      </c>
      <c r="T42" cm="1">
        <f t="array" ref="T42">IFERROR(TabDesSalariosFiscal[[#This Row],[Dias de aguinaldo Fiscal1]]*VLOOKUP(TabDesSalariosFiscal[[#This Row],[Años]],TabFactorIntegracion[],COLUMN(TabFactorIntegracion[Días de
aguinaldo]),FALSE)/'Tablas de informacion'!$N$13,0)</f>
        <v>15</v>
      </c>
    </row>
    <row r="43" spans="1:20" x14ac:dyDescent="0.25">
      <c r="A43" s="176">
        <v>41</v>
      </c>
      <c r="B43" t="str" cm="1">
        <f t="array" ref="B43">VLOOKUP(TabDesSalariosFiscal[[#This Row],[id]],TabEmpleados[],COLUMN(TabEmpleados[Nombre]),FALSE)</f>
        <v>LOPEZ TORRES ROSENDO EDUARDO</v>
      </c>
      <c r="C43" s="148" cm="1">
        <f t="array" ref="C43">IF(VLOOKUP(TabDesSalariosFiscal[[#This Row],[id]],TabEmpleados[],COLUMN(TabEmpleados[Fecha de alta NSS]),FALSE)&lt;&gt;"",
VLOOKUP(TabDesSalariosFiscal[[#This Row],[id]],TabAsistencias[],COLUMN(TabAsistencias[''Total de dias laborados]),FALSE),
0)</f>
        <v>73</v>
      </c>
      <c r="D43" s="179" cm="1">
        <f t="array" ref="D43">(VLOOKUP(TabDesSalariosFiscal[[#This Row],[id]],TabEmpleados[],COLUMN(TabEmpleados[SD Fiscal]),FALSE))*
TabDesSalariosFiscal[[#This Row],[Dias Lab.]]</f>
        <v>7665</v>
      </c>
      <c r="E43" s="180" cm="1">
        <f t="array" ref="E43">IF(VLOOKUP(TabDesSalariosFiscal[[#This Row],[id]],TabEmpleados[],COLUMN(TabEmpleados[Fecha de alta NSS]),FALSE)&lt;&gt;"",
IF(DATEDIF((VLOOKUP(TabDesSalariosFiscal[[#This Row],[id]],TabEmpleados[],COLUMN(TabEmpleados[Fecha de alta NSS]),FALSE)),'Tablas de informacion'!N$8,"Y")=0,1,
DATEDIF((VLOOKUP(TabDesSalariosFiscal[[#This Row],[id]],TabEmpleados[],COLUMN(TabEmpleados[Fecha de alta NSS]),FALSE)),'Tablas de informacion'!N$8,"Y")),0)</f>
        <v>1</v>
      </c>
      <c r="F43" s="181" cm="1">
        <f t="array" ref="F43">IFERROR((VLOOKUP(TabDesSalariosFiscal[[#This Row],[id]],TabEmpleados[],COLUMN(TabEmpleados[SD Fiscal]),FALSE))*
(VLOOKUP(TabDesSalariosFiscal[[#This Row],[Años]],TabFactorIntegracion[],COLUMN(TabFactorIntegracion[% de prima 
vacacional y dominical]),FALSE))*
IF((VLOOKUP(TabDesSalariosFiscal[[#This Row],[id]],TabAsistencias[],COLUMN(TabAsistencias[''Prima dominical]),FALSE))&lt;DominicalFiscal,(VLOOKUP(TabDesSalariosFiscal[[#This Row],[id]],TabAsistencias[],COLUMN(TabAsistencias[''Total de dias laborados]),FALSE)),DominicalFiscal)*
(VLOOKUP((VLOOKUP(TabDesSalariosFiscal[[#This Row],[id]],TabEmpleados[],COLUMN(TabEmpleados[Puesto]),FALSE)),TabPuestos[],COLUMN(TabPuestos[PRIMA DOMINICAL]),FALSE)),0)</f>
        <v>26.25</v>
      </c>
      <c r="G43" s="182" cm="1">
        <f t="array" ref="G43">IFERROR((VLOOKUP(TabDesSalariosFiscal[[#This Row],[id]],TabEmpleados[],COLUMN(TabEmpleados[SD Fiscal]),FALSE))*
(VLOOKUP(TabDesSalariosFiscal[[#This Row],[Años]],TabFactorIntegracion[],COLUMN(TabFactorIntegracion[% de prima 
vacacional y dominical]),FALSE))*
((VLOOKUP(TabDesSalariosFiscal[[#This Row],[id]],TabAsistencias[],COLUMN(TabAsistencias[''V]),FALSE))),0)</f>
        <v>0</v>
      </c>
      <c r="H43" s="183" cm="1">
        <f t="array" ref="H43">IFERROR(VLOOKUP(TabDesSalariosFiscal[[#This Row],[id]],TabCuotasIMSS[],COLUMN(TabCuotasIMSS[S.B.C./S.D.I.]),FALSE),0)</f>
        <v>120.83040410958904</v>
      </c>
      <c r="I43" s="184">
        <f>IFERROR(TabDesSalariosFiscal[[#This Row],[S.B.C]]*Bono*TabDesSalariosFiscal[[#This Row],[Dias Lab.]],0)</f>
        <v>882.06195000000002</v>
      </c>
      <c r="J43" s="184">
        <f>IFERROR(TabDesSalariosFiscal[[#This Row],[S.B.C]]*Bono*TabDesSalariosFiscal[[#This Row],[Dias Lab.]],0)</f>
        <v>882.06195000000002</v>
      </c>
      <c r="K43" s="232" cm="1">
        <f t="array" ref="K43">(VLOOKUP(TabDesSalariosFiscal[[#This Row],[id]],TabEmpleados[],COLUMN(TabEmpleados[SD Fiscal]),FALSE))*(VLOOKUP(TabDesSalariosFiscal[[#This Row],[id]],TabAsistencias[],COLUMN(TabAsistencias[''DF]),FALSE))*2</f>
        <v>0</v>
      </c>
      <c r="L43" s="185">
        <f>-1*(SUMIFS(TabPagosFiscal[Monto de pago],TabPagosFiscal[id],TabDesSalariosFiscal[[#This Row],[id]],TabPagosFiscal[Fecha de pago],"&gt;="&amp;Asistencias!$B$2,TabPagosFiscal[Fecha de pago],"&lt;"&amp;Asistencias!$B$3))</f>
        <v>0</v>
      </c>
      <c r="M43" t="str" cm="1">
        <f t="array" ref="M43">getDescripcion(TabDesSalariosFiscal[[#This Row],[id]],"Descuentos-PagosFiscal","TabPagosFiscal",Asistencias!$B$2,Asistencias!$B$3)</f>
        <v/>
      </c>
      <c r="N43" s="186" cm="1">
        <f t="array" ref="N43">IFERROR(-1*(VLOOKUP(TabDesSalariosFiscal[[#This Row],[id]],TabCuotasIMSS[],COLUMN(TabCuotasIMSS[TOTAL
OBRERO19]),FALSE)),0)</f>
        <v>0</v>
      </c>
      <c r="O43" s="187" cm="1">
        <f t="array" ref="O43">IFERROR(-1*(VLOOKUP(TabDesSalariosFiscal[[#This Row],[id]],TabImpuestos[],COLUMN(TabImpuestos[Total ISR]),FALSE)),0)</f>
        <v>-1190.9988890399998</v>
      </c>
      <c r="P43" s="188">
        <f>IFERROR(TabDesSalariosFiscal[[#This Row],[Subtotal Fiscal]]+TabDesSalariosFiscal[[#This Row],[Prima dominical]]+TabDesSalariosFiscal[[#This Row],[Prima vacacional]]+TabDesSalariosFiscal[[#This Row],[Bono Asistencia]]+TabDesSalariosFiscal[[#This Row],[Bono Puntualidad]]+TabDesSalariosFiscal[[#This Row],[Dia Festivo/ Descanso]]+TabDesSalariosFiscal[[#This Row],[Descuentos]]+TabDesSalariosFiscal[[#This Row],[IMSS]]+TabDesSalariosFiscal[[#This Row],[ISR]],0)</f>
        <v>8264.3750109599987</v>
      </c>
      <c r="Q43" s="187" cm="1">
        <f t="array" ref="Q43">IFERROR(IF('Desglose Salarios Fiscal'!$Q$1=1,-1*(IF((VLOOKUP(TabDesSalariosFiscal[[#This Row],[id]],TabImpuestos[],COLUMN(TabImpuestos[ISR de Aguinaldo 1]),FALSE))&lt;0,0,(VLOOKUP(TabDesSalariosFiscal[[#This Row],[id]],TabImpuestos[],COLUMN(TabImpuestos[ISR de Aguinaldo 1]),FALSE)))),0),0)</f>
        <v>0</v>
      </c>
      <c r="R43" s="55" cm="1">
        <f t="array" ref="R43">IFERROR(IF('Desglose Salarios Fiscal'!$Q$1=1,(VLOOKUP(TabDesSalariosFiscal[[#This Row],[id]],TabEmpleados[],COLUMN(TabEmpleados[SD Fiscal]),FALSE)*TabDesSalariosFiscal[[#This Row],[Dias de aguinaldo fiscal2]])+TabDesSalariosFiscal[[#This Row],[ISR Aguinaldo]],0),0)</f>
        <v>1575</v>
      </c>
      <c r="S43" cm="1">
        <f t="array" ref="S43">IF(YEAR(VLOOKUP(TabDesSalariosFiscal[[#This Row],[id]],TabEmpleados[],COLUMN(TabEmpleados[Fecha de alta NSS]),FALSE))&lt;AñoActual,'Tablas de informacion'!$N$13,_xlfn.DAYS(DATE(AñoActual+1,MONTH(1),DAY(1))-DAY(1),(VLOOKUP(TabDesSalariosFiscal[[#This Row],[id]],TabEmpleados[],COLUMN(TabEmpleados[Fecha de alta NSS]),FALSE))))</f>
        <v>365</v>
      </c>
      <c r="T43" cm="1">
        <f t="array" ref="T43">IFERROR(TabDesSalariosFiscal[[#This Row],[Dias de aguinaldo Fiscal1]]*VLOOKUP(TabDesSalariosFiscal[[#This Row],[Años]],TabFactorIntegracion[],COLUMN(TabFactorIntegracion[Días de
aguinaldo]),FALSE)/'Tablas de informacion'!$N$13,0)</f>
        <v>15</v>
      </c>
    </row>
    <row r="44" spans="1:20" x14ac:dyDescent="0.25">
      <c r="A44" s="176">
        <v>42</v>
      </c>
      <c r="B44" t="str" cm="1">
        <f t="array" ref="B44">VLOOKUP(TabDesSalariosFiscal[[#This Row],[id]],TabEmpleados[],COLUMN(TabEmpleados[Nombre]),FALSE)</f>
        <v>GAYTAN VASQUEZ ERICK</v>
      </c>
      <c r="C44" s="148" cm="1">
        <f t="array" ref="C44">IF(VLOOKUP(TabDesSalariosFiscal[[#This Row],[id]],TabEmpleados[],COLUMN(TabEmpleados[Fecha de alta NSS]),FALSE)&lt;&gt;"",
VLOOKUP(TabDesSalariosFiscal[[#This Row],[id]],TabAsistencias[],COLUMN(TabAsistencias[''Total de dias laborados]),FALSE),
0)</f>
        <v>73</v>
      </c>
      <c r="D44" s="179" cm="1">
        <f t="array" ref="D44">(VLOOKUP(TabDesSalariosFiscal[[#This Row],[id]],TabEmpleados[],COLUMN(TabEmpleados[SD Fiscal]),FALSE))*
TabDesSalariosFiscal[[#This Row],[Dias Lab.]]</f>
        <v>13505</v>
      </c>
      <c r="E44" s="180" cm="1">
        <f t="array" ref="E44">IF(VLOOKUP(TabDesSalariosFiscal[[#This Row],[id]],TabEmpleados[],COLUMN(TabEmpleados[Fecha de alta NSS]),FALSE)&lt;&gt;"",
IF(DATEDIF((VLOOKUP(TabDesSalariosFiscal[[#This Row],[id]],TabEmpleados[],COLUMN(TabEmpleados[Fecha de alta NSS]),FALSE)),'Tablas de informacion'!N$8,"Y")=0,1,
DATEDIF((VLOOKUP(TabDesSalariosFiscal[[#This Row],[id]],TabEmpleados[],COLUMN(TabEmpleados[Fecha de alta NSS]),FALSE)),'Tablas de informacion'!N$8,"Y")),0)</f>
        <v>12</v>
      </c>
      <c r="F44" s="181" cm="1">
        <f t="array" ref="F44">IFERROR((VLOOKUP(TabDesSalariosFiscal[[#This Row],[id]],TabEmpleados[],COLUMN(TabEmpleados[SD Fiscal]),FALSE))*
(VLOOKUP(TabDesSalariosFiscal[[#This Row],[Años]],TabFactorIntegracion[],COLUMN(TabFactorIntegracion[% de prima 
vacacional y dominical]),FALSE))*
IF((VLOOKUP(TabDesSalariosFiscal[[#This Row],[id]],TabAsistencias[],COLUMN(TabAsistencias[''Prima dominical]),FALSE))&lt;DominicalFiscal,(VLOOKUP(TabDesSalariosFiscal[[#This Row],[id]],TabAsistencias[],COLUMN(TabAsistencias[''Total de dias laborados]),FALSE)),DominicalFiscal)*
(VLOOKUP((VLOOKUP(TabDesSalariosFiscal[[#This Row],[id]],TabEmpleados[],COLUMN(TabEmpleados[Puesto]),FALSE)),TabPuestos[],COLUMN(TabPuestos[PRIMA DOMINICAL]),FALSE)),0)</f>
        <v>46.25</v>
      </c>
      <c r="G44" s="182" cm="1">
        <f t="array" ref="G44">IFERROR((VLOOKUP(TabDesSalariosFiscal[[#This Row],[id]],TabEmpleados[],COLUMN(TabEmpleados[SD Fiscal]),FALSE))*
(VLOOKUP(TabDesSalariosFiscal[[#This Row],[Años]],TabFactorIntegracion[],COLUMN(TabFactorIntegracion[% de prima 
vacacional y dominical]),FALSE))*
((VLOOKUP(TabDesSalariosFiscal[[#This Row],[id]],TabAsistencias[],COLUMN(TabAsistencias[''V]),FALSE))),0)</f>
        <v>0</v>
      </c>
      <c r="H44" s="183" cm="1">
        <f t="array" ref="H44">IFERROR(VLOOKUP(TabDesSalariosFiscal[[#This Row],[id]],TabCuotasIMSS[],COLUMN(TabCuotasIMSS[S.B.C./S.D.I.]),FALSE),0)</f>
        <v>214.41221232876714</v>
      </c>
      <c r="I44" s="184">
        <f>IFERROR(TabDesSalariosFiscal[[#This Row],[S.B.C]]*Bono*TabDesSalariosFiscal[[#This Row],[Dias Lab.]],0)</f>
        <v>1565.2091500000001</v>
      </c>
      <c r="J44" s="184">
        <f>IFERROR(TabDesSalariosFiscal[[#This Row],[S.B.C]]*Bono*TabDesSalariosFiscal[[#This Row],[Dias Lab.]],0)</f>
        <v>1565.2091500000001</v>
      </c>
      <c r="K44" s="232" cm="1">
        <f t="array" ref="K44">(VLOOKUP(TabDesSalariosFiscal[[#This Row],[id]],TabEmpleados[],COLUMN(TabEmpleados[SD Fiscal]),FALSE))*(VLOOKUP(TabDesSalariosFiscal[[#This Row],[id]],TabAsistencias[],COLUMN(TabAsistencias[''DF]),FALSE))*2</f>
        <v>0</v>
      </c>
      <c r="L44" s="185">
        <f>-1*(SUMIFS(TabPagosFiscal[Monto de pago],TabPagosFiscal[id],TabDesSalariosFiscal[[#This Row],[id]],TabPagosFiscal[Fecha de pago],"&gt;="&amp;Asistencias!$B$2,TabPagosFiscal[Fecha de pago],"&lt;"&amp;Asistencias!$B$3))</f>
        <v>0</v>
      </c>
      <c r="M44" t="str" cm="1">
        <f t="array" ref="M44">getDescripcion(TabDesSalariosFiscal[[#This Row],[id]],"Descuentos-PagosFiscal","TabPagosFiscal",Asistencias!$B$2,Asistencias!$B$3)</f>
        <v/>
      </c>
      <c r="N44" s="186" cm="1">
        <f t="array" ref="N44">IFERROR(-1*(VLOOKUP(TabDesSalariosFiscal[[#This Row],[id]],TabCuotasIMSS[],COLUMN(TabCuotasIMSS[TOTAL
OBRERO19]),FALSE)),0)</f>
        <v>-371.73717312500003</v>
      </c>
      <c r="O44" s="187" cm="1">
        <f t="array" ref="O44">IFERROR(-1*(VLOOKUP(TabDesSalariosFiscal[[#This Row],[id]],TabImpuestos[],COLUMN(TabImpuestos[Total ISR]),FALSE)),0)</f>
        <v>-2756.7074721600006</v>
      </c>
      <c r="P44" s="188">
        <f>IFERROR(TabDesSalariosFiscal[[#This Row],[Subtotal Fiscal]]+TabDesSalariosFiscal[[#This Row],[Prima dominical]]+TabDesSalariosFiscal[[#This Row],[Prima vacacional]]+TabDesSalariosFiscal[[#This Row],[Bono Asistencia]]+TabDesSalariosFiscal[[#This Row],[Bono Puntualidad]]+TabDesSalariosFiscal[[#This Row],[Dia Festivo/ Descanso]]+TabDesSalariosFiscal[[#This Row],[Descuentos]]+TabDesSalariosFiscal[[#This Row],[IMSS]]+TabDesSalariosFiscal[[#This Row],[ISR]],0)</f>
        <v>13553.223654715001</v>
      </c>
      <c r="Q44" s="187" cm="1">
        <f t="array" ref="Q44">IFERROR(IF('Desglose Salarios Fiscal'!$Q$1=1,-1*(IF((VLOOKUP(TabDesSalariosFiscal[[#This Row],[id]],TabImpuestos[],COLUMN(TabImpuestos[ISR de Aguinaldo 1]),FALSE))&lt;0,0,(VLOOKUP(TabDesSalariosFiscal[[#This Row],[id]],TabImpuestos[],COLUMN(TabImpuestos[ISR de Aguinaldo 1]),FALSE)))),0),0)</f>
        <v>0</v>
      </c>
      <c r="R44" s="55" cm="1">
        <f t="array" ref="R44">IFERROR(IF('Desglose Salarios Fiscal'!$Q$1=1,(VLOOKUP(TabDesSalariosFiscal[[#This Row],[id]],TabEmpleados[],COLUMN(TabEmpleados[SD Fiscal]),FALSE)*TabDesSalariosFiscal[[#This Row],[Dias de aguinaldo fiscal2]])+TabDesSalariosFiscal[[#This Row],[ISR Aguinaldo]],0),0)</f>
        <v>2775</v>
      </c>
      <c r="S44" cm="1">
        <f t="array" ref="S44">IF(YEAR(VLOOKUP(TabDesSalariosFiscal[[#This Row],[id]],TabEmpleados[],COLUMN(TabEmpleados[Fecha de alta NSS]),FALSE))&lt;AñoActual,'Tablas de informacion'!$N$13,_xlfn.DAYS(DATE(AñoActual+1,MONTH(1),DAY(1))-DAY(1),(VLOOKUP(TabDesSalariosFiscal[[#This Row],[id]],TabEmpleados[],COLUMN(TabEmpleados[Fecha de alta NSS]),FALSE))))</f>
        <v>365</v>
      </c>
      <c r="T44" cm="1">
        <f t="array" ref="T44">IFERROR(TabDesSalariosFiscal[[#This Row],[Dias de aguinaldo Fiscal1]]*VLOOKUP(TabDesSalariosFiscal[[#This Row],[Años]],TabFactorIntegracion[],COLUMN(TabFactorIntegracion[Días de
aguinaldo]),FALSE)/'Tablas de informacion'!$N$13,0)</f>
        <v>15</v>
      </c>
    </row>
    <row r="45" spans="1:20" x14ac:dyDescent="0.25">
      <c r="A45" s="176">
        <v>43</v>
      </c>
      <c r="B45" t="str" cm="1">
        <f t="array" ref="B45">VLOOKUP(TabDesSalariosFiscal[[#This Row],[id]],TabEmpleados[],COLUMN(TabEmpleados[Nombre]),FALSE)</f>
        <v>SAMARIO MANZANO ABRAHAM  ROSALINO</v>
      </c>
      <c r="C45" s="148" cm="1">
        <f t="array" ref="C45">IF(VLOOKUP(TabDesSalariosFiscal[[#This Row],[id]],TabEmpleados[],COLUMN(TabEmpleados[Fecha de alta NSS]),FALSE)&lt;&gt;"",
VLOOKUP(TabDesSalariosFiscal[[#This Row],[id]],TabAsistencias[],COLUMN(TabAsistencias[''Total de dias laborados]),FALSE),
0)</f>
        <v>73</v>
      </c>
      <c r="D45" s="179" cm="1">
        <f t="array" ref="D45">(VLOOKUP(TabDesSalariosFiscal[[#This Row],[id]],TabEmpleados[],COLUMN(TabEmpleados[SD Fiscal]),FALSE))*
TabDesSalariosFiscal[[#This Row],[Dias Lab.]]</f>
        <v>9855</v>
      </c>
      <c r="E45" s="180" cm="1">
        <f t="array" ref="E45">IF(VLOOKUP(TabDesSalariosFiscal[[#This Row],[id]],TabEmpleados[],COLUMN(TabEmpleados[Fecha de alta NSS]),FALSE)&lt;&gt;"",
IF(DATEDIF((VLOOKUP(TabDesSalariosFiscal[[#This Row],[id]],TabEmpleados[],COLUMN(TabEmpleados[Fecha de alta NSS]),FALSE)),'Tablas de informacion'!N$8,"Y")=0,1,
DATEDIF((VLOOKUP(TabDesSalariosFiscal[[#This Row],[id]],TabEmpleados[],COLUMN(TabEmpleados[Fecha de alta NSS]),FALSE)),'Tablas de informacion'!N$8,"Y")),0)</f>
        <v>1</v>
      </c>
      <c r="F45" s="181" cm="1">
        <f t="array" ref="F45">IFERROR((VLOOKUP(TabDesSalariosFiscal[[#This Row],[id]],TabEmpleados[],COLUMN(TabEmpleados[SD Fiscal]),FALSE))*
(VLOOKUP(TabDesSalariosFiscal[[#This Row],[Años]],TabFactorIntegracion[],COLUMN(TabFactorIntegracion[% de prima 
vacacional y dominical]),FALSE))*
IF((VLOOKUP(TabDesSalariosFiscal[[#This Row],[id]],TabAsistencias[],COLUMN(TabAsistencias[''Prima dominical]),FALSE))&lt;DominicalFiscal,(VLOOKUP(TabDesSalariosFiscal[[#This Row],[id]],TabAsistencias[],COLUMN(TabAsistencias[''Total de dias laborados]),FALSE)),DominicalFiscal)*
(VLOOKUP((VLOOKUP(TabDesSalariosFiscal[[#This Row],[id]],TabEmpleados[],COLUMN(TabEmpleados[Puesto]),FALSE)),TabPuestos[],COLUMN(TabPuestos[PRIMA DOMINICAL]),FALSE)),0)</f>
        <v>0</v>
      </c>
      <c r="G45" s="182" cm="1">
        <f t="array" ref="G45">IFERROR((VLOOKUP(TabDesSalariosFiscal[[#This Row],[id]],TabEmpleados[],COLUMN(TabEmpleados[SD Fiscal]),FALSE))*
(VLOOKUP(TabDesSalariosFiscal[[#This Row],[Años]],TabFactorIntegracion[],COLUMN(TabFactorIntegracion[% de prima 
vacacional y dominical]),FALSE))*
((VLOOKUP(TabDesSalariosFiscal[[#This Row],[id]],TabAsistencias[],COLUMN(TabAsistencias[''V]),FALSE))),0)</f>
        <v>0</v>
      </c>
      <c r="H45" s="183" cm="1">
        <f t="array" ref="H45">IFERROR(VLOOKUP(TabDesSalariosFiscal[[#This Row],[id]],TabCuotasIMSS[],COLUMN(TabCuotasIMSS[S.B.C./S.D.I.]),FALSE),0)</f>
        <v>141.65753424657535</v>
      </c>
      <c r="I45" s="184">
        <f>IFERROR(TabDesSalariosFiscal[[#This Row],[S.B.C]]*Bono*TabDesSalariosFiscal[[#This Row],[Dias Lab.]],0)</f>
        <v>1034.1000000000001</v>
      </c>
      <c r="J45" s="184">
        <f>IFERROR(TabDesSalariosFiscal[[#This Row],[S.B.C]]*Bono*TabDesSalariosFiscal[[#This Row],[Dias Lab.]],0)</f>
        <v>1034.1000000000001</v>
      </c>
      <c r="K45" s="232" cm="1">
        <f t="array" ref="K45">(VLOOKUP(TabDesSalariosFiscal[[#This Row],[id]],TabEmpleados[],COLUMN(TabEmpleados[SD Fiscal]),FALSE))*(VLOOKUP(TabDesSalariosFiscal[[#This Row],[id]],TabAsistencias[],COLUMN(TabAsistencias[''DF]),FALSE))*2</f>
        <v>0</v>
      </c>
      <c r="L45" s="185">
        <f>-1*(SUMIFS(TabPagosFiscal[Monto de pago],TabPagosFiscal[id],TabDesSalariosFiscal[[#This Row],[id]],TabPagosFiscal[Fecha de pago],"&gt;="&amp;Asistencias!$B$2,TabPagosFiscal[Fecha de pago],"&lt;"&amp;Asistencias!$B$3))</f>
        <v>0</v>
      </c>
      <c r="M45" t="str" cm="1">
        <f t="array" ref="M45">getDescripcion(TabDesSalariosFiscal[[#This Row],[id]],"Descuentos-PagosFiscal","TabPagosFiscal",Asistencias!$B$2,Asistencias!$B$3)</f>
        <v/>
      </c>
      <c r="N45" s="186" cm="1">
        <f t="array" ref="N45">IFERROR(-1*(VLOOKUP(TabDesSalariosFiscal[[#This Row],[id]],TabCuotasIMSS[],COLUMN(TabCuotasIMSS[TOTAL
OBRERO19]),FALSE)),0)</f>
        <v>0</v>
      </c>
      <c r="O45" s="187" cm="1">
        <f t="array" ref="O45">IFERROR(-1*(VLOOKUP(TabDesSalariosFiscal[[#This Row],[id]],TabImpuestos[],COLUMN(TabImpuestos[Total ISR]),FALSE)),0)</f>
        <v>-1723.7335440000002</v>
      </c>
      <c r="P45" s="188">
        <f>IFERROR(TabDesSalariosFiscal[[#This Row],[Subtotal Fiscal]]+TabDesSalariosFiscal[[#This Row],[Prima dominical]]+TabDesSalariosFiscal[[#This Row],[Prima vacacional]]+TabDesSalariosFiscal[[#This Row],[Bono Asistencia]]+TabDesSalariosFiscal[[#This Row],[Bono Puntualidad]]+TabDesSalariosFiscal[[#This Row],[Dia Festivo/ Descanso]]+TabDesSalariosFiscal[[#This Row],[Descuentos]]+TabDesSalariosFiscal[[#This Row],[IMSS]]+TabDesSalariosFiscal[[#This Row],[ISR]],0)</f>
        <v>10199.466456</v>
      </c>
      <c r="Q45" s="187" cm="1">
        <f t="array" ref="Q45">IFERROR(IF('Desglose Salarios Fiscal'!$Q$1=1,-1*(IF((VLOOKUP(TabDesSalariosFiscal[[#This Row],[id]],TabImpuestos[],COLUMN(TabImpuestos[ISR de Aguinaldo 1]),FALSE))&lt;0,0,(VLOOKUP(TabDesSalariosFiscal[[#This Row],[id]],TabImpuestos[],COLUMN(TabImpuestos[ISR de Aguinaldo 1]),FALSE)))),0),0)</f>
        <v>0</v>
      </c>
      <c r="R45" s="55" cm="1">
        <f t="array" ref="R45">IFERROR(IF('Desglose Salarios Fiscal'!$Q$1=1,(VLOOKUP(TabDesSalariosFiscal[[#This Row],[id]],TabEmpleados[],COLUMN(TabEmpleados[SD Fiscal]),FALSE)*TabDesSalariosFiscal[[#This Row],[Dias de aguinaldo fiscal2]])+TabDesSalariosFiscal[[#This Row],[ISR Aguinaldo]],0),0)</f>
        <v>2025</v>
      </c>
      <c r="S45" cm="1">
        <f t="array" ref="S45">IF(YEAR(VLOOKUP(TabDesSalariosFiscal[[#This Row],[id]],TabEmpleados[],COLUMN(TabEmpleados[Fecha de alta NSS]),FALSE))&lt;AñoActual,'Tablas de informacion'!$N$13,_xlfn.DAYS(DATE(AñoActual+1,MONTH(1),DAY(1))-DAY(1),(VLOOKUP(TabDesSalariosFiscal[[#This Row],[id]],TabEmpleados[],COLUMN(TabEmpleados[Fecha de alta NSS]),FALSE))))</f>
        <v>365</v>
      </c>
      <c r="T45" cm="1">
        <f t="array" ref="T45">IFERROR(TabDesSalariosFiscal[[#This Row],[Dias de aguinaldo Fiscal1]]*VLOOKUP(TabDesSalariosFiscal[[#This Row],[Años]],TabFactorIntegracion[],COLUMN(TabFactorIntegracion[Días de
aguinaldo]),FALSE)/'Tablas de informacion'!$N$13,0)</f>
        <v>15</v>
      </c>
    </row>
    <row r="46" spans="1:20" x14ac:dyDescent="0.25">
      <c r="A46" s="176">
        <v>44</v>
      </c>
      <c r="B46" t="str" cm="1">
        <f t="array" ref="B46">VLOOKUP(TabDesSalariosFiscal[[#This Row],[id]],TabEmpleados[],COLUMN(TabEmpleados[Nombre]),FALSE)</f>
        <v>LORENZO GREGORIO JESUS OCTAVIANO</v>
      </c>
      <c r="C46" s="148" cm="1">
        <f t="array" ref="C46">IF(VLOOKUP(TabDesSalariosFiscal[[#This Row],[id]],TabEmpleados[],COLUMN(TabEmpleados[Fecha de alta NSS]),FALSE)&lt;&gt;"",
VLOOKUP(TabDesSalariosFiscal[[#This Row],[id]],TabAsistencias[],COLUMN(TabAsistencias[''Total de dias laborados]),FALSE),
0)</f>
        <v>73</v>
      </c>
      <c r="D46" s="179" cm="1">
        <f t="array" ref="D46">(VLOOKUP(TabDesSalariosFiscal[[#This Row],[id]],TabEmpleados[],COLUMN(TabEmpleados[SD Fiscal]),FALSE))*
TabDesSalariosFiscal[[#This Row],[Dias Lab.]]</f>
        <v>7665</v>
      </c>
      <c r="E46" s="180" cm="1">
        <f t="array" ref="E46">IF(VLOOKUP(TabDesSalariosFiscal[[#This Row],[id]],TabEmpleados[],COLUMN(TabEmpleados[Fecha de alta NSS]),FALSE)&lt;&gt;"",
IF(DATEDIF((VLOOKUP(TabDesSalariosFiscal[[#This Row],[id]],TabEmpleados[],COLUMN(TabEmpleados[Fecha de alta NSS]),FALSE)),'Tablas de informacion'!N$8,"Y")=0,1,
DATEDIF((VLOOKUP(TabDesSalariosFiscal[[#This Row],[id]],TabEmpleados[],COLUMN(TabEmpleados[Fecha de alta NSS]),FALSE)),'Tablas de informacion'!N$8,"Y")),0)</f>
        <v>1</v>
      </c>
      <c r="F46" s="181" cm="1">
        <f t="array" ref="F46">IFERROR((VLOOKUP(TabDesSalariosFiscal[[#This Row],[id]],TabEmpleados[],COLUMN(TabEmpleados[SD Fiscal]),FALSE))*
(VLOOKUP(TabDesSalariosFiscal[[#This Row],[Años]],TabFactorIntegracion[],COLUMN(TabFactorIntegracion[% de prima 
vacacional y dominical]),FALSE))*
IF((VLOOKUP(TabDesSalariosFiscal[[#This Row],[id]],TabAsistencias[],COLUMN(TabAsistencias[''Prima dominical]),FALSE))&lt;DominicalFiscal,(VLOOKUP(TabDesSalariosFiscal[[#This Row],[id]],TabAsistencias[],COLUMN(TabAsistencias[''Total de dias laborados]),FALSE)),DominicalFiscal)*
(VLOOKUP((VLOOKUP(TabDesSalariosFiscal[[#This Row],[id]],TabEmpleados[],COLUMN(TabEmpleados[Puesto]),FALSE)),TabPuestos[],COLUMN(TabPuestos[PRIMA DOMINICAL]),FALSE)),0)</f>
        <v>26.25</v>
      </c>
      <c r="G46" s="182" cm="1">
        <f t="array" ref="G46">IFERROR((VLOOKUP(TabDesSalariosFiscal[[#This Row],[id]],TabEmpleados[],COLUMN(TabEmpleados[SD Fiscal]),FALSE))*
(VLOOKUP(TabDesSalariosFiscal[[#This Row],[Años]],TabFactorIntegracion[],COLUMN(TabFactorIntegracion[% de prima 
vacacional y dominical]),FALSE))*
((VLOOKUP(TabDesSalariosFiscal[[#This Row],[id]],TabAsistencias[],COLUMN(TabAsistencias[''V]),FALSE))),0)</f>
        <v>0</v>
      </c>
      <c r="H46" s="183" cm="1">
        <f t="array" ref="H46">IFERROR(VLOOKUP(TabDesSalariosFiscal[[#This Row],[id]],TabCuotasIMSS[],COLUMN(TabCuotasIMSS[S.B.C./S.D.I.]),FALSE),0)</f>
        <v>120.83040410958904</v>
      </c>
      <c r="I46" s="184">
        <f>IFERROR(TabDesSalariosFiscal[[#This Row],[S.B.C]]*Bono*TabDesSalariosFiscal[[#This Row],[Dias Lab.]],0)</f>
        <v>882.06195000000002</v>
      </c>
      <c r="J46" s="184">
        <f>IFERROR(TabDesSalariosFiscal[[#This Row],[S.B.C]]*Bono*TabDesSalariosFiscal[[#This Row],[Dias Lab.]],0)</f>
        <v>882.06195000000002</v>
      </c>
      <c r="K46" s="232" cm="1">
        <f t="array" ref="K46">(VLOOKUP(TabDesSalariosFiscal[[#This Row],[id]],TabEmpleados[],COLUMN(TabEmpleados[SD Fiscal]),FALSE))*(VLOOKUP(TabDesSalariosFiscal[[#This Row],[id]],TabAsistencias[],COLUMN(TabAsistencias[''DF]),FALSE))*2</f>
        <v>0</v>
      </c>
      <c r="L46" s="185">
        <f>-1*(SUMIFS(TabPagosFiscal[Monto de pago],TabPagosFiscal[id],TabDesSalariosFiscal[[#This Row],[id]],TabPagosFiscal[Fecha de pago],"&gt;="&amp;Asistencias!$B$2,TabPagosFiscal[Fecha de pago],"&lt;"&amp;Asistencias!$B$3))</f>
        <v>0</v>
      </c>
      <c r="M46" t="str" cm="1">
        <f t="array" ref="M46">getDescripcion(TabDesSalariosFiscal[[#This Row],[id]],"Descuentos-PagosFiscal","TabPagosFiscal",Asistencias!$B$2,Asistencias!$B$3)</f>
        <v/>
      </c>
      <c r="N46" s="186" cm="1">
        <f t="array" ref="N46">IFERROR(-1*(VLOOKUP(TabDesSalariosFiscal[[#This Row],[id]],TabCuotasIMSS[],COLUMN(TabCuotasIMSS[TOTAL
OBRERO19]),FALSE)),0)</f>
        <v>0</v>
      </c>
      <c r="O46" s="187" cm="1">
        <f t="array" ref="O46">IFERROR(-1*(VLOOKUP(TabDesSalariosFiscal[[#This Row],[id]],TabImpuestos[],COLUMN(TabImpuestos[Total ISR]),FALSE)),0)</f>
        <v>-1190.9988890399998</v>
      </c>
      <c r="P46" s="188">
        <f>IFERROR(TabDesSalariosFiscal[[#This Row],[Subtotal Fiscal]]+TabDesSalariosFiscal[[#This Row],[Prima dominical]]+TabDesSalariosFiscal[[#This Row],[Prima vacacional]]+TabDesSalariosFiscal[[#This Row],[Bono Asistencia]]+TabDesSalariosFiscal[[#This Row],[Bono Puntualidad]]+TabDesSalariosFiscal[[#This Row],[Dia Festivo/ Descanso]]+TabDesSalariosFiscal[[#This Row],[Descuentos]]+TabDesSalariosFiscal[[#This Row],[IMSS]]+TabDesSalariosFiscal[[#This Row],[ISR]],0)</f>
        <v>8264.3750109599987</v>
      </c>
      <c r="Q46" s="187" cm="1">
        <f t="array" ref="Q46">IFERROR(IF('Desglose Salarios Fiscal'!$Q$1=1,-1*(IF((VLOOKUP(TabDesSalariosFiscal[[#This Row],[id]],TabImpuestos[],COLUMN(TabImpuestos[ISR de Aguinaldo 1]),FALSE))&lt;0,0,(VLOOKUP(TabDesSalariosFiscal[[#This Row],[id]],TabImpuestos[],COLUMN(TabImpuestos[ISR de Aguinaldo 1]),FALSE)))),0),0)</f>
        <v>0</v>
      </c>
      <c r="R46" s="55" cm="1">
        <f t="array" ref="R46">IFERROR(IF('Desglose Salarios Fiscal'!$Q$1=1,(VLOOKUP(TabDesSalariosFiscal[[#This Row],[id]],TabEmpleados[],COLUMN(TabEmpleados[SD Fiscal]),FALSE)*TabDesSalariosFiscal[[#This Row],[Dias de aguinaldo fiscal2]])+TabDesSalariosFiscal[[#This Row],[ISR Aguinaldo]],0),0)</f>
        <v>1575</v>
      </c>
      <c r="S46" cm="1">
        <f t="array" ref="S46">IF(YEAR(VLOOKUP(TabDesSalariosFiscal[[#This Row],[id]],TabEmpleados[],COLUMN(TabEmpleados[Fecha de alta NSS]),FALSE))&lt;AñoActual,'Tablas de informacion'!$N$13,_xlfn.DAYS(DATE(AñoActual+1,MONTH(1),DAY(1))-DAY(1),(VLOOKUP(TabDesSalariosFiscal[[#This Row],[id]],TabEmpleados[],COLUMN(TabEmpleados[Fecha de alta NSS]),FALSE))))</f>
        <v>365</v>
      </c>
      <c r="T46" cm="1">
        <f t="array" ref="T46">IFERROR(TabDesSalariosFiscal[[#This Row],[Dias de aguinaldo Fiscal1]]*VLOOKUP(TabDesSalariosFiscal[[#This Row],[Años]],TabFactorIntegracion[],COLUMN(TabFactorIntegracion[Días de
aguinaldo]),FALSE)/'Tablas de informacion'!$N$13,0)</f>
        <v>15</v>
      </c>
    </row>
    <row r="47" spans="1:20" x14ac:dyDescent="0.25">
      <c r="A47" s="176">
        <v>45</v>
      </c>
      <c r="B47" t="str" cm="1">
        <f t="array" ref="B47">VLOOKUP(TabDesSalariosFiscal[[#This Row],[id]],TabEmpleados[],COLUMN(TabEmpleados[Nombre]),FALSE)</f>
        <v>CABRERA HEREDIA EDGAR OMAR</v>
      </c>
      <c r="C47" s="148" cm="1">
        <f t="array" ref="C47">IF(VLOOKUP(TabDesSalariosFiscal[[#This Row],[id]],TabEmpleados[],COLUMN(TabEmpleados[Fecha de alta NSS]),FALSE)&lt;&gt;"",
VLOOKUP(TabDesSalariosFiscal[[#This Row],[id]],TabAsistencias[],COLUMN(TabAsistencias[''Total de dias laborados]),FALSE),
0)</f>
        <v>73</v>
      </c>
      <c r="D47" s="179" cm="1">
        <f t="array" ref="D47">(VLOOKUP(TabDesSalariosFiscal[[#This Row],[id]],TabEmpleados[],COLUMN(TabEmpleados[SD Fiscal]),FALSE))*
TabDesSalariosFiscal[[#This Row],[Dias Lab.]]</f>
        <v>13724</v>
      </c>
      <c r="E47" s="180" cm="1">
        <f t="array" ref="E47">IF(VLOOKUP(TabDesSalariosFiscal[[#This Row],[id]],TabEmpleados[],COLUMN(TabEmpleados[Fecha de alta NSS]),FALSE)&lt;&gt;"",
IF(DATEDIF((VLOOKUP(TabDesSalariosFiscal[[#This Row],[id]],TabEmpleados[],COLUMN(TabEmpleados[Fecha de alta NSS]),FALSE)),'Tablas de informacion'!N$8,"Y")=0,1,
DATEDIF((VLOOKUP(TabDesSalariosFiscal[[#This Row],[id]],TabEmpleados[],COLUMN(TabEmpleados[Fecha de alta NSS]),FALSE)),'Tablas de informacion'!N$8,"Y")),0)</f>
        <v>7</v>
      </c>
      <c r="F47" s="181" cm="1">
        <f t="array" ref="F47">IFERROR((VLOOKUP(TabDesSalariosFiscal[[#This Row],[id]],TabEmpleados[],COLUMN(TabEmpleados[SD Fiscal]),FALSE))*
(VLOOKUP(TabDesSalariosFiscal[[#This Row],[Años]],TabFactorIntegracion[],COLUMN(TabFactorIntegracion[% de prima 
vacacional y dominical]),FALSE))*
IF((VLOOKUP(TabDesSalariosFiscal[[#This Row],[id]],TabAsistencias[],COLUMN(TabAsistencias[''Prima dominical]),FALSE))&lt;DominicalFiscal,(VLOOKUP(TabDesSalariosFiscal[[#This Row],[id]],TabAsistencias[],COLUMN(TabAsistencias[''Total de dias laborados]),FALSE)),DominicalFiscal)*
(VLOOKUP((VLOOKUP(TabDesSalariosFiscal[[#This Row],[id]],TabEmpleados[],COLUMN(TabEmpleados[Puesto]),FALSE)),TabPuestos[],COLUMN(TabPuestos[PRIMA DOMINICAL]),FALSE)),0)</f>
        <v>47</v>
      </c>
      <c r="G47" s="182" cm="1">
        <f t="array" ref="G47">IFERROR((VLOOKUP(TabDesSalariosFiscal[[#This Row],[id]],TabEmpleados[],COLUMN(TabEmpleados[SD Fiscal]),FALSE))*
(VLOOKUP(TabDesSalariosFiscal[[#This Row],[Años]],TabFactorIntegracion[],COLUMN(TabFactorIntegracion[% de prima 
vacacional y dominical]),FALSE))*
((VLOOKUP(TabDesSalariosFiscal[[#This Row],[id]],TabAsistencias[],COLUMN(TabAsistencias[''V]),FALSE))),0)</f>
        <v>0</v>
      </c>
      <c r="H47" s="183" cm="1">
        <f t="array" ref="H47">IFERROR(VLOOKUP(TabDesSalariosFiscal[[#This Row],[id]],TabCuotasIMSS[],COLUMN(TabCuotasIMSS[S.B.C./S.D.I.]),FALSE),0)</f>
        <v>217.37409863013698</v>
      </c>
      <c r="I47" s="184">
        <f>IFERROR(TabDesSalariosFiscal[[#This Row],[S.B.C]]*Bono*TabDesSalariosFiscal[[#This Row],[Dias Lab.]],0)</f>
        <v>1586.8309200000001</v>
      </c>
      <c r="J47" s="184">
        <f>IFERROR(TabDesSalariosFiscal[[#This Row],[S.B.C]]*Bono*TabDesSalariosFiscal[[#This Row],[Dias Lab.]],0)</f>
        <v>1586.8309200000001</v>
      </c>
      <c r="K47" s="232" cm="1">
        <f t="array" ref="K47">(VLOOKUP(TabDesSalariosFiscal[[#This Row],[id]],TabEmpleados[],COLUMN(TabEmpleados[SD Fiscal]),FALSE))*(VLOOKUP(TabDesSalariosFiscal[[#This Row],[id]],TabAsistencias[],COLUMN(TabAsistencias[''DF]),FALSE))*2</f>
        <v>0</v>
      </c>
      <c r="L47" s="185">
        <f>-1*(SUMIFS(TabPagosFiscal[Monto de pago],TabPagosFiscal[id],TabDesSalariosFiscal[[#This Row],[id]],TabPagosFiscal[Fecha de pago],"&gt;="&amp;Asistencias!$B$2,TabPagosFiscal[Fecha de pago],"&lt;"&amp;Asistencias!$B$3))</f>
        <v>0</v>
      </c>
      <c r="M47" t="str" cm="1">
        <f t="array" ref="M47">getDescripcion(TabDesSalariosFiscal[[#This Row],[id]],"Descuentos-PagosFiscal","TabPagosFiscal",Asistencias!$B$2,Asistencias!$B$3)</f>
        <v/>
      </c>
      <c r="N47" s="186" cm="1">
        <f t="array" ref="N47">IFERROR(-1*(VLOOKUP(TabDesSalariosFiscal[[#This Row],[id]],TabCuotasIMSS[],COLUMN(TabCuotasIMSS[TOTAL
OBRERO19]),FALSE)),0)</f>
        <v>-376.87234349999994</v>
      </c>
      <c r="O47" s="187" cm="1">
        <f t="array" ref="O47">IFERROR(-1*(VLOOKUP(TabDesSalariosFiscal[[#This Row],[id]],TabImpuestos[],COLUMN(TabImpuestos[Total ISR]),FALSE)),0)</f>
        <v>-2818.3871527680003</v>
      </c>
      <c r="P47" s="188">
        <f>IFERROR(TabDesSalariosFiscal[[#This Row],[Subtotal Fiscal]]+TabDesSalariosFiscal[[#This Row],[Prima dominical]]+TabDesSalariosFiscal[[#This Row],[Prima vacacional]]+TabDesSalariosFiscal[[#This Row],[Bono Asistencia]]+TabDesSalariosFiscal[[#This Row],[Bono Puntualidad]]+TabDesSalariosFiscal[[#This Row],[Dia Festivo/ Descanso]]+TabDesSalariosFiscal[[#This Row],[Descuentos]]+TabDesSalariosFiscal[[#This Row],[IMSS]]+TabDesSalariosFiscal[[#This Row],[ISR]],0)</f>
        <v>13749.402343732001</v>
      </c>
      <c r="Q47" s="187" cm="1">
        <f t="array" ref="Q47">IFERROR(IF('Desglose Salarios Fiscal'!$Q$1=1,-1*(IF((VLOOKUP(TabDesSalariosFiscal[[#This Row],[id]],TabImpuestos[],COLUMN(TabImpuestos[ISR de Aguinaldo 1]),FALSE))&lt;0,0,(VLOOKUP(TabDesSalariosFiscal[[#This Row],[id]],TabImpuestos[],COLUMN(TabImpuestos[ISR de Aguinaldo 1]),FALSE)))),0),0)</f>
        <v>0</v>
      </c>
      <c r="R47" s="55" cm="1">
        <f t="array" ref="R47">IFERROR(IF('Desglose Salarios Fiscal'!$Q$1=1,(VLOOKUP(TabDesSalariosFiscal[[#This Row],[id]],TabEmpleados[],COLUMN(TabEmpleados[SD Fiscal]),FALSE)*TabDesSalariosFiscal[[#This Row],[Dias de aguinaldo fiscal2]])+TabDesSalariosFiscal[[#This Row],[ISR Aguinaldo]],0),0)</f>
        <v>2820</v>
      </c>
      <c r="S47" cm="1">
        <f t="array" ref="S47">IF(YEAR(VLOOKUP(TabDesSalariosFiscal[[#This Row],[id]],TabEmpleados[],COLUMN(TabEmpleados[Fecha de alta NSS]),FALSE))&lt;AñoActual,'Tablas de informacion'!$N$13,_xlfn.DAYS(DATE(AñoActual+1,MONTH(1),DAY(1))-DAY(1),(VLOOKUP(TabDesSalariosFiscal[[#This Row],[id]],TabEmpleados[],COLUMN(TabEmpleados[Fecha de alta NSS]),FALSE))))</f>
        <v>365</v>
      </c>
      <c r="T47" cm="1">
        <f t="array" ref="T47">IFERROR(TabDesSalariosFiscal[[#This Row],[Dias de aguinaldo Fiscal1]]*VLOOKUP(TabDesSalariosFiscal[[#This Row],[Años]],TabFactorIntegracion[],COLUMN(TabFactorIntegracion[Días de
aguinaldo]),FALSE)/'Tablas de informacion'!$N$13,0)</f>
        <v>15</v>
      </c>
    </row>
    <row r="48" spans="1:20" x14ac:dyDescent="0.25">
      <c r="A48" s="176">
        <v>46</v>
      </c>
      <c r="B48" t="str" cm="1">
        <f t="array" ref="B48">VLOOKUP(TabDesSalariosFiscal[[#This Row],[id]],TabEmpleados[],COLUMN(TabEmpleados[Nombre]),FALSE)</f>
        <v xml:space="preserve">REYES JUAREZ OSCAR </v>
      </c>
      <c r="C48" s="148" cm="1">
        <f t="array" ref="C48">IF(VLOOKUP(TabDesSalariosFiscal[[#This Row],[id]],TabEmpleados[],COLUMN(TabEmpleados[Fecha de alta NSS]),FALSE)&lt;&gt;"",
VLOOKUP(TabDesSalariosFiscal[[#This Row],[id]],TabAsistencias[],COLUMN(TabAsistencias[''Total de dias laborados]),FALSE),
0)</f>
        <v>73</v>
      </c>
      <c r="D48" s="179" cm="1">
        <f t="array" ref="D48">(VLOOKUP(TabDesSalariosFiscal[[#This Row],[id]],TabEmpleados[],COLUMN(TabEmpleados[SD Fiscal]),FALSE))*
TabDesSalariosFiscal[[#This Row],[Dias Lab.]]</f>
        <v>6570</v>
      </c>
      <c r="E48" s="180" cm="1">
        <f t="array" ref="E48">IF(VLOOKUP(TabDesSalariosFiscal[[#This Row],[id]],TabEmpleados[],COLUMN(TabEmpleados[Fecha de alta NSS]),FALSE)&lt;&gt;"",
IF(DATEDIF((VLOOKUP(TabDesSalariosFiscal[[#This Row],[id]],TabEmpleados[],COLUMN(TabEmpleados[Fecha de alta NSS]),FALSE)),'Tablas de informacion'!N$8,"Y")=0,1,
DATEDIF((VLOOKUP(TabDesSalariosFiscal[[#This Row],[id]],TabEmpleados[],COLUMN(TabEmpleados[Fecha de alta NSS]),FALSE)),'Tablas de informacion'!N$8,"Y")),0)</f>
        <v>1</v>
      </c>
      <c r="F48" s="181" cm="1">
        <f t="array" ref="F48">IFERROR((VLOOKUP(TabDesSalariosFiscal[[#This Row],[id]],TabEmpleados[],COLUMN(TabEmpleados[SD Fiscal]),FALSE))*
(VLOOKUP(TabDesSalariosFiscal[[#This Row],[Años]],TabFactorIntegracion[],COLUMN(TabFactorIntegracion[% de prima 
vacacional y dominical]),FALSE))*
IF((VLOOKUP(TabDesSalariosFiscal[[#This Row],[id]],TabAsistencias[],COLUMN(TabAsistencias[''Prima dominical]),FALSE))&lt;DominicalFiscal,(VLOOKUP(TabDesSalariosFiscal[[#This Row],[id]],TabAsistencias[],COLUMN(TabAsistencias[''Total de dias laborados]),FALSE)),DominicalFiscal)*
(VLOOKUP((VLOOKUP(TabDesSalariosFiscal[[#This Row],[id]],TabEmpleados[],COLUMN(TabEmpleados[Puesto]),FALSE)),TabPuestos[],COLUMN(TabPuestos[PRIMA DOMINICAL]),FALSE)),0)</f>
        <v>22.5</v>
      </c>
      <c r="G48" s="182" cm="1">
        <f t="array" ref="G48">IFERROR((VLOOKUP(TabDesSalariosFiscal[[#This Row],[id]],TabEmpleados[],COLUMN(TabEmpleados[SD Fiscal]),FALSE))*
(VLOOKUP(TabDesSalariosFiscal[[#This Row],[Años]],TabFactorIntegracion[],COLUMN(TabFactorIntegracion[% de prima 
vacacional y dominical]),FALSE))*
((VLOOKUP(TabDesSalariosFiscal[[#This Row],[id]],TabAsistencias[],COLUMN(TabAsistencias[''V]),FALSE))),0)</f>
        <v>0</v>
      </c>
      <c r="H48" s="183" cm="1">
        <f t="array" ref="H48">IFERROR(VLOOKUP(TabDesSalariosFiscal[[#This Row],[id]],TabCuotasIMSS[],COLUMN(TabCuotasIMSS[S.B.C./S.D.I.]),FALSE),0)</f>
        <v>103.56891780821918</v>
      </c>
      <c r="I48" s="184">
        <f>IFERROR(TabDesSalariosFiscal[[#This Row],[S.B.C]]*Bono*TabDesSalariosFiscal[[#This Row],[Dias Lab.]],0)</f>
        <v>756.05310000000009</v>
      </c>
      <c r="J48" s="184">
        <f>IFERROR(TabDesSalariosFiscal[[#This Row],[S.B.C]]*Bono*TabDesSalariosFiscal[[#This Row],[Dias Lab.]],0)</f>
        <v>756.05310000000009</v>
      </c>
      <c r="K48" s="232" cm="1">
        <f t="array" ref="K48">(VLOOKUP(TabDesSalariosFiscal[[#This Row],[id]],TabEmpleados[],COLUMN(TabEmpleados[SD Fiscal]),FALSE))*(VLOOKUP(TabDesSalariosFiscal[[#This Row],[id]],TabAsistencias[],COLUMN(TabAsistencias[''DF]),FALSE))*2</f>
        <v>0</v>
      </c>
      <c r="L48" s="185">
        <f>-1*(SUMIFS(TabPagosFiscal[Monto de pago],TabPagosFiscal[id],TabDesSalariosFiscal[[#This Row],[id]],TabPagosFiscal[Fecha de pago],"&gt;="&amp;Asistencias!$B$2,TabPagosFiscal[Fecha de pago],"&lt;"&amp;Asistencias!$B$3))</f>
        <v>0</v>
      </c>
      <c r="M48" t="str" cm="1">
        <f t="array" ref="M48">getDescripcion(TabDesSalariosFiscal[[#This Row],[id]],"Descuentos-PagosFiscal","TabPagosFiscal",Asistencias!$B$2,Asistencias!$B$3)</f>
        <v/>
      </c>
      <c r="N48" s="186" cm="1">
        <f t="array" ref="N48">IFERROR(-1*(VLOOKUP(TabDesSalariosFiscal[[#This Row],[id]],TabCuotasIMSS[],COLUMN(TabCuotasIMSS[TOTAL
OBRERO19]),FALSE)),0)</f>
        <v>0</v>
      </c>
      <c r="O48" s="187" cm="1">
        <f t="array" ref="O48">IFERROR(-1*(VLOOKUP(TabDesSalariosFiscal[[#This Row],[id]],TabImpuestos[],COLUMN(TabImpuestos[Total ISR]),FALSE)),0)</f>
        <v>-903.2759083200001</v>
      </c>
      <c r="P48" s="188">
        <f>IFERROR(TabDesSalariosFiscal[[#This Row],[Subtotal Fiscal]]+TabDesSalariosFiscal[[#This Row],[Prima dominical]]+TabDesSalariosFiscal[[#This Row],[Prima vacacional]]+TabDesSalariosFiscal[[#This Row],[Bono Asistencia]]+TabDesSalariosFiscal[[#This Row],[Bono Puntualidad]]+TabDesSalariosFiscal[[#This Row],[Dia Festivo/ Descanso]]+TabDesSalariosFiscal[[#This Row],[Descuentos]]+TabDesSalariosFiscal[[#This Row],[IMSS]]+TabDesSalariosFiscal[[#This Row],[ISR]],0)</f>
        <v>7201.3302916800003</v>
      </c>
      <c r="Q48" s="187" cm="1">
        <f t="array" ref="Q48">IFERROR(IF('Desglose Salarios Fiscal'!$Q$1=1,-1*(IF((VLOOKUP(TabDesSalariosFiscal[[#This Row],[id]],TabImpuestos[],COLUMN(TabImpuestos[ISR de Aguinaldo 1]),FALSE))&lt;0,0,(VLOOKUP(TabDesSalariosFiscal[[#This Row],[id]],TabImpuestos[],COLUMN(TabImpuestos[ISR de Aguinaldo 1]),FALSE)))),0),0)</f>
        <v>0</v>
      </c>
      <c r="R48" s="55" cm="1">
        <f t="array" ref="R48">IFERROR(IF('Desglose Salarios Fiscal'!$Q$1=1,(VLOOKUP(TabDesSalariosFiscal[[#This Row],[id]],TabEmpleados[],COLUMN(TabEmpleados[SD Fiscal]),FALSE)*TabDesSalariosFiscal[[#This Row],[Dias de aguinaldo fiscal2]])+TabDesSalariosFiscal[[#This Row],[ISR Aguinaldo]],0),0)</f>
        <v>1350</v>
      </c>
      <c r="S48" cm="1">
        <f t="array" ref="S48">IF(YEAR(VLOOKUP(TabDesSalariosFiscal[[#This Row],[id]],TabEmpleados[],COLUMN(TabEmpleados[Fecha de alta NSS]),FALSE))&lt;AñoActual,'Tablas de informacion'!$N$13,_xlfn.DAYS(DATE(AñoActual+1,MONTH(1),DAY(1))-DAY(1),(VLOOKUP(TabDesSalariosFiscal[[#This Row],[id]],TabEmpleados[],COLUMN(TabEmpleados[Fecha de alta NSS]),FALSE))))</f>
        <v>365</v>
      </c>
      <c r="T48" cm="1">
        <f t="array" ref="T48">IFERROR(TabDesSalariosFiscal[[#This Row],[Dias de aguinaldo Fiscal1]]*VLOOKUP(TabDesSalariosFiscal[[#This Row],[Años]],TabFactorIntegracion[],COLUMN(TabFactorIntegracion[Días de
aguinaldo]),FALSE)/'Tablas de informacion'!$N$13,0)</f>
        <v>15</v>
      </c>
    </row>
    <row r="49" spans="1:20" x14ac:dyDescent="0.25">
      <c r="A49" s="176">
        <v>47</v>
      </c>
      <c r="B49" t="str" cm="1">
        <f t="array" ref="B49">VLOOKUP(TabDesSalariosFiscal[[#This Row],[id]],TabEmpleados[],COLUMN(TabEmpleados[Nombre]),FALSE)</f>
        <v xml:space="preserve">DIAZ LOPEZ ANTONIO DE JESUS </v>
      </c>
      <c r="C49" s="148" cm="1">
        <f t="array" ref="C49">IF(VLOOKUP(TabDesSalariosFiscal[[#This Row],[id]],TabEmpleados[],COLUMN(TabEmpleados[Fecha de alta NSS]),FALSE)&lt;&gt;"",
VLOOKUP(TabDesSalariosFiscal[[#This Row],[id]],TabAsistencias[],COLUMN(TabAsistencias[''Total de dias laborados]),FALSE),
0)</f>
        <v>73</v>
      </c>
      <c r="D49" s="179" cm="1">
        <f t="array" ref="D49">(VLOOKUP(TabDesSalariosFiscal[[#This Row],[id]],TabEmpleados[],COLUMN(TabEmpleados[SD Fiscal]),FALSE))*
TabDesSalariosFiscal[[#This Row],[Dias Lab.]]</f>
        <v>6570</v>
      </c>
      <c r="E49" s="180" cm="1">
        <f t="array" ref="E49">IF(VLOOKUP(TabDesSalariosFiscal[[#This Row],[id]],TabEmpleados[],COLUMN(TabEmpleados[Fecha de alta NSS]),FALSE)&lt;&gt;"",
IF(DATEDIF((VLOOKUP(TabDesSalariosFiscal[[#This Row],[id]],TabEmpleados[],COLUMN(TabEmpleados[Fecha de alta NSS]),FALSE)),'Tablas de informacion'!N$8,"Y")=0,1,
DATEDIF((VLOOKUP(TabDesSalariosFiscal[[#This Row],[id]],TabEmpleados[],COLUMN(TabEmpleados[Fecha de alta NSS]),FALSE)),'Tablas de informacion'!N$8,"Y")),0)</f>
        <v>1</v>
      </c>
      <c r="F49" s="181" cm="1">
        <f t="array" ref="F49">IFERROR((VLOOKUP(TabDesSalariosFiscal[[#This Row],[id]],TabEmpleados[],COLUMN(TabEmpleados[SD Fiscal]),FALSE))*
(VLOOKUP(TabDesSalariosFiscal[[#This Row],[Años]],TabFactorIntegracion[],COLUMN(TabFactorIntegracion[% de prima 
vacacional y dominical]),FALSE))*
IF((VLOOKUP(TabDesSalariosFiscal[[#This Row],[id]],TabAsistencias[],COLUMN(TabAsistencias[''Prima dominical]),FALSE))&lt;DominicalFiscal,(VLOOKUP(TabDesSalariosFiscal[[#This Row],[id]],TabAsistencias[],COLUMN(TabAsistencias[''Total de dias laborados]),FALSE)),DominicalFiscal)*
(VLOOKUP((VLOOKUP(TabDesSalariosFiscal[[#This Row],[id]],TabEmpleados[],COLUMN(TabEmpleados[Puesto]),FALSE)),TabPuestos[],COLUMN(TabPuestos[PRIMA DOMINICAL]),FALSE)),0)</f>
        <v>22.5</v>
      </c>
      <c r="G49" s="182" cm="1">
        <f t="array" ref="G49">IFERROR((VLOOKUP(TabDesSalariosFiscal[[#This Row],[id]],TabEmpleados[],COLUMN(TabEmpleados[SD Fiscal]),FALSE))*
(VLOOKUP(TabDesSalariosFiscal[[#This Row],[Años]],TabFactorIntegracion[],COLUMN(TabFactorIntegracion[% de prima 
vacacional y dominical]),FALSE))*
((VLOOKUP(TabDesSalariosFiscal[[#This Row],[id]],TabAsistencias[],COLUMN(TabAsistencias[''V]),FALSE))),0)</f>
        <v>0</v>
      </c>
      <c r="H49" s="183" cm="1">
        <f t="array" ref="H49">IFERROR(VLOOKUP(TabDesSalariosFiscal[[#This Row],[id]],TabCuotasIMSS[],COLUMN(TabCuotasIMSS[S.B.C./S.D.I.]),FALSE),0)</f>
        <v>103.56891780821918</v>
      </c>
      <c r="I49" s="184">
        <f>IFERROR(TabDesSalariosFiscal[[#This Row],[S.B.C]]*Bono*TabDesSalariosFiscal[[#This Row],[Dias Lab.]],0)</f>
        <v>756.05310000000009</v>
      </c>
      <c r="J49" s="184">
        <f>IFERROR(TabDesSalariosFiscal[[#This Row],[S.B.C]]*Bono*TabDesSalariosFiscal[[#This Row],[Dias Lab.]],0)</f>
        <v>756.05310000000009</v>
      </c>
      <c r="K49" s="232" cm="1">
        <f t="array" ref="K49">(VLOOKUP(TabDesSalariosFiscal[[#This Row],[id]],TabEmpleados[],COLUMN(TabEmpleados[SD Fiscal]),FALSE))*(VLOOKUP(TabDesSalariosFiscal[[#This Row],[id]],TabAsistencias[],COLUMN(TabAsistencias[''DF]),FALSE))*2</f>
        <v>0</v>
      </c>
      <c r="L49" s="185">
        <f>-1*(SUMIFS(TabPagosFiscal[Monto de pago],TabPagosFiscal[id],TabDesSalariosFiscal[[#This Row],[id]],TabPagosFiscal[Fecha de pago],"&gt;="&amp;Asistencias!$B$2,TabPagosFiscal[Fecha de pago],"&lt;"&amp;Asistencias!$B$3))</f>
        <v>0</v>
      </c>
      <c r="M49" t="str" cm="1">
        <f t="array" ref="M49">getDescripcion(TabDesSalariosFiscal[[#This Row],[id]],"Descuentos-PagosFiscal","TabPagosFiscal",Asistencias!$B$2,Asistencias!$B$3)</f>
        <v/>
      </c>
      <c r="N49" s="186" cm="1">
        <f t="array" ref="N49">IFERROR(-1*(VLOOKUP(TabDesSalariosFiscal[[#This Row],[id]],TabCuotasIMSS[],COLUMN(TabCuotasIMSS[TOTAL
OBRERO19]),FALSE)),0)</f>
        <v>0</v>
      </c>
      <c r="O49" s="187" cm="1">
        <f t="array" ref="O49">IFERROR(-1*(VLOOKUP(TabDesSalariosFiscal[[#This Row],[id]],TabImpuestos[],COLUMN(TabImpuestos[Total ISR]),FALSE)),0)</f>
        <v>-903.2759083200001</v>
      </c>
      <c r="P49" s="188">
        <f>IFERROR(TabDesSalariosFiscal[[#This Row],[Subtotal Fiscal]]+TabDesSalariosFiscal[[#This Row],[Prima dominical]]+TabDesSalariosFiscal[[#This Row],[Prima vacacional]]+TabDesSalariosFiscal[[#This Row],[Bono Asistencia]]+TabDesSalariosFiscal[[#This Row],[Bono Puntualidad]]+TabDesSalariosFiscal[[#This Row],[Dia Festivo/ Descanso]]+TabDesSalariosFiscal[[#This Row],[Descuentos]]+TabDesSalariosFiscal[[#This Row],[IMSS]]+TabDesSalariosFiscal[[#This Row],[ISR]],0)</f>
        <v>7201.3302916800003</v>
      </c>
      <c r="Q49" s="187" cm="1">
        <f t="array" ref="Q49">IFERROR(IF('Desglose Salarios Fiscal'!$Q$1=1,-1*(IF((VLOOKUP(TabDesSalariosFiscal[[#This Row],[id]],TabImpuestos[],COLUMN(TabImpuestos[ISR de Aguinaldo 1]),FALSE))&lt;0,0,(VLOOKUP(TabDesSalariosFiscal[[#This Row],[id]],TabImpuestos[],COLUMN(TabImpuestos[ISR de Aguinaldo 1]),FALSE)))),0),0)</f>
        <v>0</v>
      </c>
      <c r="R49" s="55" cm="1">
        <f t="array" ref="R49">IFERROR(IF('Desglose Salarios Fiscal'!$Q$1=1,(VLOOKUP(TabDesSalariosFiscal[[#This Row],[id]],TabEmpleados[],COLUMN(TabEmpleados[SD Fiscal]),FALSE)*TabDesSalariosFiscal[[#This Row],[Dias de aguinaldo fiscal2]])+TabDesSalariosFiscal[[#This Row],[ISR Aguinaldo]],0),0)</f>
        <v>1350</v>
      </c>
      <c r="S49" cm="1">
        <f t="array" ref="S49">IF(YEAR(VLOOKUP(TabDesSalariosFiscal[[#This Row],[id]],TabEmpleados[],COLUMN(TabEmpleados[Fecha de alta NSS]),FALSE))&lt;AñoActual,'Tablas de informacion'!$N$13,_xlfn.DAYS(DATE(AñoActual+1,MONTH(1),DAY(1))-DAY(1),(VLOOKUP(TabDesSalariosFiscal[[#This Row],[id]],TabEmpleados[],COLUMN(TabEmpleados[Fecha de alta NSS]),FALSE))))</f>
        <v>365</v>
      </c>
      <c r="T49" cm="1">
        <f t="array" ref="T49">IFERROR(TabDesSalariosFiscal[[#This Row],[Dias de aguinaldo Fiscal1]]*VLOOKUP(TabDesSalariosFiscal[[#This Row],[Años]],TabFactorIntegracion[],COLUMN(TabFactorIntegracion[Días de
aguinaldo]),FALSE)/'Tablas de informacion'!$N$13,0)</f>
        <v>15</v>
      </c>
    </row>
    <row r="50" spans="1:20" x14ac:dyDescent="0.25">
      <c r="A50" s="176">
        <v>48</v>
      </c>
      <c r="B50" t="str" cm="1">
        <f t="array" ref="B50">VLOOKUP(TabDesSalariosFiscal[[#This Row],[id]],TabEmpleados[],COLUMN(TabEmpleados[Nombre]),FALSE)</f>
        <v>LOPEZ PEREZ CRISTIAN GUILLERMO</v>
      </c>
      <c r="C50" s="148" cm="1">
        <f t="array" ref="C50">IF(VLOOKUP(TabDesSalariosFiscal[[#This Row],[id]],TabEmpleados[],COLUMN(TabEmpleados[Fecha de alta NSS]),FALSE)&lt;&gt;"",
VLOOKUP(TabDesSalariosFiscal[[#This Row],[id]],TabAsistencias[],COLUMN(TabAsistencias[''Total de dias laborados]),FALSE),
0)</f>
        <v>73</v>
      </c>
      <c r="D50" s="179" cm="1">
        <f t="array" ref="D50">(VLOOKUP(TabDesSalariosFiscal[[#This Row],[id]],TabEmpleados[],COLUMN(TabEmpleados[SD Fiscal]),FALSE))*
TabDesSalariosFiscal[[#This Row],[Dias Lab.]]</f>
        <v>4380</v>
      </c>
      <c r="E50" s="180" cm="1">
        <f t="array" ref="E50">IF(VLOOKUP(TabDesSalariosFiscal[[#This Row],[id]],TabEmpleados[],COLUMN(TabEmpleados[Fecha de alta NSS]),FALSE)&lt;&gt;"",
IF(DATEDIF((VLOOKUP(TabDesSalariosFiscal[[#This Row],[id]],TabEmpleados[],COLUMN(TabEmpleados[Fecha de alta NSS]),FALSE)),'Tablas de informacion'!N$8,"Y")=0,1,
DATEDIF((VLOOKUP(TabDesSalariosFiscal[[#This Row],[id]],TabEmpleados[],COLUMN(TabEmpleados[Fecha de alta NSS]),FALSE)),'Tablas de informacion'!N$8,"Y")),0)</f>
        <v>1</v>
      </c>
      <c r="F50" s="181" cm="1">
        <f t="array" ref="F50">IFERROR((VLOOKUP(TabDesSalariosFiscal[[#This Row],[id]],TabEmpleados[],COLUMN(TabEmpleados[SD Fiscal]),FALSE))*
(VLOOKUP(TabDesSalariosFiscal[[#This Row],[Años]],TabFactorIntegracion[],COLUMN(TabFactorIntegracion[% de prima 
vacacional y dominical]),FALSE))*
IF((VLOOKUP(TabDesSalariosFiscal[[#This Row],[id]],TabAsistencias[],COLUMN(TabAsistencias[''Prima dominical]),FALSE))&lt;DominicalFiscal,(VLOOKUP(TabDesSalariosFiscal[[#This Row],[id]],TabAsistencias[],COLUMN(TabAsistencias[''Total de dias laborados]),FALSE)),DominicalFiscal)*
(VLOOKUP((VLOOKUP(TabDesSalariosFiscal[[#This Row],[id]],TabEmpleados[],COLUMN(TabEmpleados[Puesto]),FALSE)),TabPuestos[],COLUMN(TabPuestos[PRIMA DOMINICAL]),FALSE)),0)</f>
        <v>15</v>
      </c>
      <c r="G50" s="182" cm="1">
        <f t="array" ref="G50">IFERROR((VLOOKUP(TabDesSalariosFiscal[[#This Row],[id]],TabEmpleados[],COLUMN(TabEmpleados[SD Fiscal]),FALSE))*
(VLOOKUP(TabDesSalariosFiscal[[#This Row],[Años]],TabFactorIntegracion[],COLUMN(TabFactorIntegracion[% de prima 
vacacional y dominical]),FALSE))*
((VLOOKUP(TabDesSalariosFiscal[[#This Row],[id]],TabAsistencias[],COLUMN(TabAsistencias[''V]),FALSE))),0)</f>
        <v>0</v>
      </c>
      <c r="H50" s="183" cm="1">
        <f t="array" ref="H50">IFERROR(VLOOKUP(TabDesSalariosFiscal[[#This Row],[id]],TabCuotasIMSS[],COLUMN(TabCuotasIMSS[S.B.C./S.D.I.]),FALSE),0)</f>
        <v>69.045945205479455</v>
      </c>
      <c r="I50" s="184">
        <f>IFERROR(TabDesSalariosFiscal[[#This Row],[S.B.C]]*Bono*TabDesSalariosFiscal[[#This Row],[Dias Lab.]],0)</f>
        <v>504.03540000000004</v>
      </c>
      <c r="J50" s="184">
        <f>IFERROR(TabDesSalariosFiscal[[#This Row],[S.B.C]]*Bono*TabDesSalariosFiscal[[#This Row],[Dias Lab.]],0)</f>
        <v>504.03540000000004</v>
      </c>
      <c r="K50" s="232" cm="1">
        <f t="array" ref="K50">(VLOOKUP(TabDesSalariosFiscal[[#This Row],[id]],TabEmpleados[],COLUMN(TabEmpleados[SD Fiscal]),FALSE))*(VLOOKUP(TabDesSalariosFiscal[[#This Row],[id]],TabAsistencias[],COLUMN(TabAsistencias[''DF]),FALSE))*2</f>
        <v>0</v>
      </c>
      <c r="L50" s="185">
        <f>-1*(SUMIFS(TabPagosFiscal[Monto de pago],TabPagosFiscal[id],TabDesSalariosFiscal[[#This Row],[id]],TabPagosFiscal[Fecha de pago],"&gt;="&amp;Asistencias!$B$2,TabPagosFiscal[Fecha de pago],"&lt;"&amp;Asistencias!$B$3))</f>
        <v>0</v>
      </c>
      <c r="M50" t="str" cm="1">
        <f t="array" ref="M50">getDescripcion(TabDesSalariosFiscal[[#This Row],[id]],"Descuentos-PagosFiscal","TabPagosFiscal",Asistencias!$B$2,Asistencias!$B$3)</f>
        <v/>
      </c>
      <c r="N50" s="186" cm="1">
        <f t="array" ref="N50">IFERROR(-1*(VLOOKUP(TabDesSalariosFiscal[[#This Row],[id]],TabCuotasIMSS[],COLUMN(TabCuotasIMSS[TOTAL
OBRERO19]),FALSE)),0)</f>
        <v>0</v>
      </c>
      <c r="O50" s="187" cm="1">
        <f t="array" ref="O50">IFERROR(-1*(VLOOKUP(TabDesSalariosFiscal[[#This Row],[id]],TabImpuestos[],COLUMN(TabImpuestos[Total ISR]),FALSE)),0)</f>
        <v>-429.74173503999987</v>
      </c>
      <c r="P50" s="188">
        <f>IFERROR(TabDesSalariosFiscal[[#This Row],[Subtotal Fiscal]]+TabDesSalariosFiscal[[#This Row],[Prima dominical]]+TabDesSalariosFiscal[[#This Row],[Prima vacacional]]+TabDesSalariosFiscal[[#This Row],[Bono Asistencia]]+TabDesSalariosFiscal[[#This Row],[Bono Puntualidad]]+TabDesSalariosFiscal[[#This Row],[Dia Festivo/ Descanso]]+TabDesSalariosFiscal[[#This Row],[Descuentos]]+TabDesSalariosFiscal[[#This Row],[IMSS]]+TabDesSalariosFiscal[[#This Row],[ISR]],0)</f>
        <v>4973.3290649599994</v>
      </c>
      <c r="Q50" s="187" cm="1">
        <f t="array" ref="Q50">IFERROR(IF('Desglose Salarios Fiscal'!$Q$1=1,-1*(IF((VLOOKUP(TabDesSalariosFiscal[[#This Row],[id]],TabImpuestos[],COLUMN(TabImpuestos[ISR de Aguinaldo 1]),FALSE))&lt;0,0,(VLOOKUP(TabDesSalariosFiscal[[#This Row],[id]],TabImpuestos[],COLUMN(TabImpuestos[ISR de Aguinaldo 1]),FALSE)))),0),0)</f>
        <v>0</v>
      </c>
      <c r="R50" s="55" cm="1">
        <f t="array" ref="R50">IFERROR(IF('Desglose Salarios Fiscal'!$Q$1=1,(VLOOKUP(TabDesSalariosFiscal[[#This Row],[id]],TabEmpleados[],COLUMN(TabEmpleados[SD Fiscal]),FALSE)*TabDesSalariosFiscal[[#This Row],[Dias de aguinaldo fiscal2]])+TabDesSalariosFiscal[[#This Row],[ISR Aguinaldo]],0),0)</f>
        <v>900</v>
      </c>
      <c r="S50" cm="1">
        <f t="array" ref="S50">IF(YEAR(VLOOKUP(TabDesSalariosFiscal[[#This Row],[id]],TabEmpleados[],COLUMN(TabEmpleados[Fecha de alta NSS]),FALSE))&lt;AñoActual,'Tablas de informacion'!$N$13,_xlfn.DAYS(DATE(AñoActual+1,MONTH(1),DAY(1))-DAY(1),(VLOOKUP(TabDesSalariosFiscal[[#This Row],[id]],TabEmpleados[],COLUMN(TabEmpleados[Fecha de alta NSS]),FALSE))))</f>
        <v>365</v>
      </c>
      <c r="T50" cm="1">
        <f t="array" ref="T50">IFERROR(TabDesSalariosFiscal[[#This Row],[Dias de aguinaldo Fiscal1]]*VLOOKUP(TabDesSalariosFiscal[[#This Row],[Años]],TabFactorIntegracion[],COLUMN(TabFactorIntegracion[Días de
aguinaldo]),FALSE)/'Tablas de informacion'!$N$13,0)</f>
        <v>15</v>
      </c>
    </row>
    <row r="51" spans="1:20" x14ac:dyDescent="0.25">
      <c r="A51" s="176">
        <v>49</v>
      </c>
      <c r="B51" t="str" cm="1">
        <f t="array" ref="B51">VLOOKUP(TabDesSalariosFiscal[[#This Row],[id]],TabEmpleados[],COLUMN(TabEmpleados[Nombre]),FALSE)</f>
        <v>JIMENEZ DOMINGUEZ ADAN CAYETANO</v>
      </c>
      <c r="C51" s="148" cm="1">
        <f t="array" ref="C51">IF(VLOOKUP(TabDesSalariosFiscal[[#This Row],[id]],TabEmpleados[],COLUMN(TabEmpleados[Fecha de alta NSS]),FALSE)&lt;&gt;"",
VLOOKUP(TabDesSalariosFiscal[[#This Row],[id]],TabAsistencias[],COLUMN(TabAsistencias[''Total de dias laborados]),FALSE),
0)</f>
        <v>73</v>
      </c>
      <c r="D51" s="179" cm="1">
        <f t="array" ref="D51">(VLOOKUP(TabDesSalariosFiscal[[#This Row],[id]],TabEmpleados[],COLUMN(TabEmpleados[SD Fiscal]),FALSE))*
TabDesSalariosFiscal[[#This Row],[Dias Lab.]]</f>
        <v>4818</v>
      </c>
      <c r="E51" s="180" cm="1">
        <f t="array" ref="E51">IF(VLOOKUP(TabDesSalariosFiscal[[#This Row],[id]],TabEmpleados[],COLUMN(TabEmpleados[Fecha de alta NSS]),FALSE)&lt;&gt;"",
IF(DATEDIF((VLOOKUP(TabDesSalariosFiscal[[#This Row],[id]],TabEmpleados[],COLUMN(TabEmpleados[Fecha de alta NSS]),FALSE)),'Tablas de informacion'!N$8,"Y")=0,1,
DATEDIF((VLOOKUP(TabDesSalariosFiscal[[#This Row],[id]],TabEmpleados[],COLUMN(TabEmpleados[Fecha de alta NSS]),FALSE)),'Tablas de informacion'!N$8,"Y")),0)</f>
        <v>1</v>
      </c>
      <c r="F51" s="181" cm="1">
        <f t="array" ref="F51">IFERROR((VLOOKUP(TabDesSalariosFiscal[[#This Row],[id]],TabEmpleados[],COLUMN(TabEmpleados[SD Fiscal]),FALSE))*
(VLOOKUP(TabDesSalariosFiscal[[#This Row],[Años]],TabFactorIntegracion[],COLUMN(TabFactorIntegracion[% de prima 
vacacional y dominical]),FALSE))*
IF((VLOOKUP(TabDesSalariosFiscal[[#This Row],[id]],TabAsistencias[],COLUMN(TabAsistencias[''Prima dominical]),FALSE))&lt;DominicalFiscal,(VLOOKUP(TabDesSalariosFiscal[[#This Row],[id]],TabAsistencias[],COLUMN(TabAsistencias[''Total de dias laborados]),FALSE)),DominicalFiscal)*
(VLOOKUP((VLOOKUP(TabDesSalariosFiscal[[#This Row],[id]],TabEmpleados[],COLUMN(TabEmpleados[Puesto]),FALSE)),TabPuestos[],COLUMN(TabPuestos[PRIMA DOMINICAL]),FALSE)),0)</f>
        <v>16.5</v>
      </c>
      <c r="G51" s="182" cm="1">
        <f t="array" ref="G51">IFERROR((VLOOKUP(TabDesSalariosFiscal[[#This Row],[id]],TabEmpleados[],COLUMN(TabEmpleados[SD Fiscal]),FALSE))*
(VLOOKUP(TabDesSalariosFiscal[[#This Row],[Años]],TabFactorIntegracion[],COLUMN(TabFactorIntegracion[% de prima 
vacacional y dominical]),FALSE))*
((VLOOKUP(TabDesSalariosFiscal[[#This Row],[id]],TabAsistencias[],COLUMN(TabAsistencias[''V]),FALSE))),0)</f>
        <v>0</v>
      </c>
      <c r="H51" s="183" cm="1">
        <f t="array" ref="H51">IFERROR(VLOOKUP(TabDesSalariosFiscal[[#This Row],[id]],TabCuotasIMSS[],COLUMN(TabCuotasIMSS[S.B.C./S.D.I.]),FALSE),0)</f>
        <v>75.950539726027401</v>
      </c>
      <c r="I51" s="184">
        <f>IFERROR(TabDesSalariosFiscal[[#This Row],[S.B.C]]*Bono*TabDesSalariosFiscal[[#This Row],[Dias Lab.]],0)</f>
        <v>554.43894000000012</v>
      </c>
      <c r="J51" s="184">
        <f>IFERROR(TabDesSalariosFiscal[[#This Row],[S.B.C]]*Bono*TabDesSalariosFiscal[[#This Row],[Dias Lab.]],0)</f>
        <v>554.43894000000012</v>
      </c>
      <c r="K51" s="232" cm="1">
        <f t="array" ref="K51">(VLOOKUP(TabDesSalariosFiscal[[#This Row],[id]],TabEmpleados[],COLUMN(TabEmpleados[SD Fiscal]),FALSE))*(VLOOKUP(TabDesSalariosFiscal[[#This Row],[id]],TabAsistencias[],COLUMN(TabAsistencias[''DF]),FALSE))*2</f>
        <v>0</v>
      </c>
      <c r="L51" s="185">
        <f>-1*(SUMIFS(TabPagosFiscal[Monto de pago],TabPagosFiscal[id],TabDesSalariosFiscal[[#This Row],[id]],TabPagosFiscal[Fecha de pago],"&gt;="&amp;Asistencias!$B$2,TabPagosFiscal[Fecha de pago],"&lt;"&amp;Asistencias!$B$3))</f>
        <v>0</v>
      </c>
      <c r="M51" t="str" cm="1">
        <f t="array" ref="M51">getDescripcion(TabDesSalariosFiscal[[#This Row],[id]],"Descuentos-PagosFiscal","TabPagosFiscal",Asistencias!$B$2,Asistencias!$B$3)</f>
        <v/>
      </c>
      <c r="N51" s="186" cm="1">
        <f t="array" ref="N51">IFERROR(-1*(VLOOKUP(TabDesSalariosFiscal[[#This Row],[id]],TabCuotasIMSS[],COLUMN(TabCuotasIMSS[TOTAL
OBRERO19]),FALSE)),0)</f>
        <v>0</v>
      </c>
      <c r="O51" s="187" cm="1">
        <f t="array" ref="O51">IFERROR(-1*(VLOOKUP(TabDesSalariosFiscal[[#This Row],[id]],TabImpuestos[],COLUMN(TabImpuestos[Total ISR]),FALSE)),0)</f>
        <v>-510.77886079999996</v>
      </c>
      <c r="P51" s="188">
        <f>IFERROR(TabDesSalariosFiscal[[#This Row],[Subtotal Fiscal]]+TabDesSalariosFiscal[[#This Row],[Prima dominical]]+TabDesSalariosFiscal[[#This Row],[Prima vacacional]]+TabDesSalariosFiscal[[#This Row],[Bono Asistencia]]+TabDesSalariosFiscal[[#This Row],[Bono Puntualidad]]+TabDesSalariosFiscal[[#This Row],[Dia Festivo/ Descanso]]+TabDesSalariosFiscal[[#This Row],[Descuentos]]+TabDesSalariosFiscal[[#This Row],[IMSS]]+TabDesSalariosFiscal[[#This Row],[ISR]],0)</f>
        <v>5432.5990191999999</v>
      </c>
      <c r="Q51" s="187" cm="1">
        <f t="array" ref="Q51">IFERROR(IF('Desglose Salarios Fiscal'!$Q$1=1,-1*(IF((VLOOKUP(TabDesSalariosFiscal[[#This Row],[id]],TabImpuestos[],COLUMN(TabImpuestos[ISR de Aguinaldo 1]),FALSE))&lt;0,0,(VLOOKUP(TabDesSalariosFiscal[[#This Row],[id]],TabImpuestos[],COLUMN(TabImpuestos[ISR de Aguinaldo 1]),FALSE)))),0),0)</f>
        <v>0</v>
      </c>
      <c r="R51" s="55" cm="1">
        <f t="array" ref="R51">IFERROR(IF('Desglose Salarios Fiscal'!$Q$1=1,(VLOOKUP(TabDesSalariosFiscal[[#This Row],[id]],TabEmpleados[],COLUMN(TabEmpleados[SD Fiscal]),FALSE)*TabDesSalariosFiscal[[#This Row],[Dias de aguinaldo fiscal2]])+TabDesSalariosFiscal[[#This Row],[ISR Aguinaldo]],0),0)</f>
        <v>990</v>
      </c>
      <c r="S51" cm="1">
        <f t="array" ref="S51">IF(YEAR(VLOOKUP(TabDesSalariosFiscal[[#This Row],[id]],TabEmpleados[],COLUMN(TabEmpleados[Fecha de alta NSS]),FALSE))&lt;AñoActual,'Tablas de informacion'!$N$13,_xlfn.DAYS(DATE(AñoActual+1,MONTH(1),DAY(1))-DAY(1),(VLOOKUP(TabDesSalariosFiscal[[#This Row],[id]],TabEmpleados[],COLUMN(TabEmpleados[Fecha de alta NSS]),FALSE))))</f>
        <v>365</v>
      </c>
      <c r="T51" cm="1">
        <f t="array" ref="T51">IFERROR(TabDesSalariosFiscal[[#This Row],[Dias de aguinaldo Fiscal1]]*VLOOKUP(TabDesSalariosFiscal[[#This Row],[Años]],TabFactorIntegracion[],COLUMN(TabFactorIntegracion[Días de
aguinaldo]),FALSE)/'Tablas de informacion'!$N$13,0)</f>
        <v>15</v>
      </c>
    </row>
    <row r="52" spans="1:20" x14ac:dyDescent="0.25">
      <c r="A52" s="176">
        <v>50</v>
      </c>
      <c r="B52" t="str" cm="1">
        <f t="array" ref="B52">VLOOKUP(TabDesSalariosFiscal[[#This Row],[id]],TabEmpleados[],COLUMN(TabEmpleados[Nombre]),FALSE)</f>
        <v>OSORIO LOPEZ NATAN</v>
      </c>
      <c r="C52" s="148" cm="1">
        <f t="array" ref="C52">IF(VLOOKUP(TabDesSalariosFiscal[[#This Row],[id]],TabEmpleados[],COLUMN(TabEmpleados[Fecha de alta NSS]),FALSE)&lt;&gt;"",
VLOOKUP(TabDesSalariosFiscal[[#This Row],[id]],TabAsistencias[],COLUMN(TabAsistencias[''Total de dias laborados]),FALSE),
0)</f>
        <v>73</v>
      </c>
      <c r="D52" s="179" cm="1">
        <f t="array" ref="D52">(VLOOKUP(TabDesSalariosFiscal[[#This Row],[id]],TabEmpleados[],COLUMN(TabEmpleados[SD Fiscal]),FALSE))*
TabDesSalariosFiscal[[#This Row],[Dias Lab.]]</f>
        <v>5475</v>
      </c>
      <c r="E52" s="180" cm="1">
        <f t="array" ref="E52">IF(VLOOKUP(TabDesSalariosFiscal[[#This Row],[id]],TabEmpleados[],COLUMN(TabEmpleados[Fecha de alta NSS]),FALSE)&lt;&gt;"",
IF(DATEDIF((VLOOKUP(TabDesSalariosFiscal[[#This Row],[id]],TabEmpleados[],COLUMN(TabEmpleados[Fecha de alta NSS]),FALSE)),'Tablas de informacion'!N$8,"Y")=0,1,
DATEDIF((VLOOKUP(TabDesSalariosFiscal[[#This Row],[id]],TabEmpleados[],COLUMN(TabEmpleados[Fecha de alta NSS]),FALSE)),'Tablas de informacion'!N$8,"Y")),0)</f>
        <v>1</v>
      </c>
      <c r="F52" s="181" cm="1">
        <f t="array" ref="F52">IFERROR((VLOOKUP(TabDesSalariosFiscal[[#This Row],[id]],TabEmpleados[],COLUMN(TabEmpleados[SD Fiscal]),FALSE))*
(VLOOKUP(TabDesSalariosFiscal[[#This Row],[Años]],TabFactorIntegracion[],COLUMN(TabFactorIntegracion[% de prima 
vacacional y dominical]),FALSE))*
IF((VLOOKUP(TabDesSalariosFiscal[[#This Row],[id]],TabAsistencias[],COLUMN(TabAsistencias[''Prima dominical]),FALSE))&lt;DominicalFiscal,(VLOOKUP(TabDesSalariosFiscal[[#This Row],[id]],TabAsistencias[],COLUMN(TabAsistencias[''Total de dias laborados]),FALSE)),DominicalFiscal)*
(VLOOKUP((VLOOKUP(TabDesSalariosFiscal[[#This Row],[id]],TabEmpleados[],COLUMN(TabEmpleados[Puesto]),FALSE)),TabPuestos[],COLUMN(TabPuestos[PRIMA DOMINICAL]),FALSE)),0)</f>
        <v>18.75</v>
      </c>
      <c r="G52" s="182" cm="1">
        <f t="array" ref="G52">IFERROR((VLOOKUP(TabDesSalariosFiscal[[#This Row],[id]],TabEmpleados[],COLUMN(TabEmpleados[SD Fiscal]),FALSE))*
(VLOOKUP(TabDesSalariosFiscal[[#This Row],[Años]],TabFactorIntegracion[],COLUMN(TabFactorIntegracion[% de prima 
vacacional y dominical]),FALSE))*
((VLOOKUP(TabDesSalariosFiscal[[#This Row],[id]],TabAsistencias[],COLUMN(TabAsistencias[''V]),FALSE))),0)</f>
        <v>0</v>
      </c>
      <c r="H52" s="183" cm="1">
        <f t="array" ref="H52">IFERROR(VLOOKUP(TabDesSalariosFiscal[[#This Row],[id]],TabCuotasIMSS[],COLUMN(TabCuotasIMSS[S.B.C./S.D.I.]),FALSE),0)</f>
        <v>86.307431506849312</v>
      </c>
      <c r="I52" s="184">
        <f>IFERROR(TabDesSalariosFiscal[[#This Row],[S.B.C]]*Bono*TabDesSalariosFiscal[[#This Row],[Dias Lab.]],0)</f>
        <v>630.04425000000003</v>
      </c>
      <c r="J52" s="184">
        <f>IFERROR(TabDesSalariosFiscal[[#This Row],[S.B.C]]*Bono*TabDesSalariosFiscal[[#This Row],[Dias Lab.]],0)</f>
        <v>630.04425000000003</v>
      </c>
      <c r="K52" s="232" cm="1">
        <f t="array" ref="K52">(VLOOKUP(TabDesSalariosFiscal[[#This Row],[id]],TabEmpleados[],COLUMN(TabEmpleados[SD Fiscal]),FALSE))*(VLOOKUP(TabDesSalariosFiscal[[#This Row],[id]],TabAsistencias[],COLUMN(TabAsistencias[''DF]),FALSE))*2</f>
        <v>0</v>
      </c>
      <c r="L52" s="185">
        <f>-1*(SUMIFS(TabPagosFiscal[Monto de pago],TabPagosFiscal[id],TabDesSalariosFiscal[[#This Row],[id]],TabPagosFiscal[Fecha de pago],"&gt;="&amp;Asistencias!$B$2,TabPagosFiscal[Fecha de pago],"&lt;"&amp;Asistencias!$B$3))</f>
        <v>0</v>
      </c>
      <c r="M52" t="str" cm="1">
        <f t="array" ref="M52">getDescripcion(TabDesSalariosFiscal[[#This Row],[id]],"Descuentos-PagosFiscal","TabPagosFiscal",Asistencias!$B$2,Asistencias!$B$3)</f>
        <v/>
      </c>
      <c r="N52" s="186" cm="1">
        <f t="array" ref="N52">IFERROR(-1*(VLOOKUP(TabDesSalariosFiscal[[#This Row],[id]],TabCuotasIMSS[],COLUMN(TabCuotasIMSS[TOTAL
OBRERO19]),FALSE)),0)</f>
        <v>0</v>
      </c>
      <c r="O52" s="187" cm="1">
        <f t="array" ref="O52">IFERROR(-1*(VLOOKUP(TabDesSalariosFiscal[[#This Row],[id]],TabImpuestos[],COLUMN(TabImpuestos[Total ISR]),FALSE)),0)</f>
        <v>-646.77830719999986</v>
      </c>
      <c r="P52" s="188">
        <f>IFERROR(TabDesSalariosFiscal[[#This Row],[Subtotal Fiscal]]+TabDesSalariosFiscal[[#This Row],[Prima dominical]]+TabDesSalariosFiscal[[#This Row],[Prima vacacional]]+TabDesSalariosFiscal[[#This Row],[Bono Asistencia]]+TabDesSalariosFiscal[[#This Row],[Bono Puntualidad]]+TabDesSalariosFiscal[[#This Row],[Dia Festivo/ Descanso]]+TabDesSalariosFiscal[[#This Row],[Descuentos]]+TabDesSalariosFiscal[[#This Row],[IMSS]]+TabDesSalariosFiscal[[#This Row],[ISR]],0)</f>
        <v>6107.0601927999996</v>
      </c>
      <c r="Q52" s="187" cm="1">
        <f t="array" ref="Q52">IFERROR(IF('Desglose Salarios Fiscal'!$Q$1=1,-1*(IF((VLOOKUP(TabDesSalariosFiscal[[#This Row],[id]],TabImpuestos[],COLUMN(TabImpuestos[ISR de Aguinaldo 1]),FALSE))&lt;0,0,(VLOOKUP(TabDesSalariosFiscal[[#This Row],[id]],TabImpuestos[],COLUMN(TabImpuestos[ISR de Aguinaldo 1]),FALSE)))),0),0)</f>
        <v>0</v>
      </c>
      <c r="R52" s="55" cm="1">
        <f t="array" ref="R52">IFERROR(IF('Desglose Salarios Fiscal'!$Q$1=1,(VLOOKUP(TabDesSalariosFiscal[[#This Row],[id]],TabEmpleados[],COLUMN(TabEmpleados[SD Fiscal]),FALSE)*TabDesSalariosFiscal[[#This Row],[Dias de aguinaldo fiscal2]])+TabDesSalariosFiscal[[#This Row],[ISR Aguinaldo]],0),0)</f>
        <v>1125</v>
      </c>
      <c r="S52" cm="1">
        <f t="array" ref="S52">IF(YEAR(VLOOKUP(TabDesSalariosFiscal[[#This Row],[id]],TabEmpleados[],COLUMN(TabEmpleados[Fecha de alta NSS]),FALSE))&lt;AñoActual,'Tablas de informacion'!$N$13,_xlfn.DAYS(DATE(AñoActual+1,MONTH(1),DAY(1))-DAY(1),(VLOOKUP(TabDesSalariosFiscal[[#This Row],[id]],TabEmpleados[],COLUMN(TabEmpleados[Fecha de alta NSS]),FALSE))))</f>
        <v>365</v>
      </c>
      <c r="T52" cm="1">
        <f t="array" ref="T52">IFERROR(TabDesSalariosFiscal[[#This Row],[Dias de aguinaldo Fiscal1]]*VLOOKUP(TabDesSalariosFiscal[[#This Row],[Años]],TabFactorIntegracion[],COLUMN(TabFactorIntegracion[Días de
aguinaldo]),FALSE)/'Tablas de informacion'!$N$13,0)</f>
        <v>15</v>
      </c>
    </row>
    <row r="53" spans="1:20" x14ac:dyDescent="0.25">
      <c r="A53" s="176">
        <v>51</v>
      </c>
      <c r="B53" t="str" cm="1">
        <f t="array" ref="B53">VLOOKUP(TabDesSalariosFiscal[[#This Row],[id]],TabEmpleados[],COLUMN(TabEmpleados[Nombre]),FALSE)</f>
        <v>JOSE JIMENEZ JULIO CESAR</v>
      </c>
      <c r="C53" s="148" cm="1">
        <f t="array" ref="C53">IF(VLOOKUP(TabDesSalariosFiscal[[#This Row],[id]],TabEmpleados[],COLUMN(TabEmpleados[Fecha de alta NSS]),FALSE)&lt;&gt;"",
VLOOKUP(TabDesSalariosFiscal[[#This Row],[id]],TabAsistencias[],COLUMN(TabAsistencias[''Total de dias laborados]),FALSE),
0)</f>
        <v>73</v>
      </c>
      <c r="D53" s="179" cm="1">
        <f t="array" ref="D53">(VLOOKUP(TabDesSalariosFiscal[[#This Row],[id]],TabEmpleados[],COLUMN(TabEmpleados[SD Fiscal]),FALSE))*
TabDesSalariosFiscal[[#This Row],[Dias Lab.]]</f>
        <v>4380</v>
      </c>
      <c r="E53" s="180" cm="1">
        <f t="array" ref="E53">IF(VLOOKUP(TabDesSalariosFiscal[[#This Row],[id]],TabEmpleados[],COLUMN(TabEmpleados[Fecha de alta NSS]),FALSE)&lt;&gt;"",
IF(DATEDIF((VLOOKUP(TabDesSalariosFiscal[[#This Row],[id]],TabEmpleados[],COLUMN(TabEmpleados[Fecha de alta NSS]),FALSE)),'Tablas de informacion'!N$8,"Y")=0,1,
DATEDIF((VLOOKUP(TabDesSalariosFiscal[[#This Row],[id]],TabEmpleados[],COLUMN(TabEmpleados[Fecha de alta NSS]),FALSE)),'Tablas de informacion'!N$8,"Y")),0)</f>
        <v>1</v>
      </c>
      <c r="F53" s="181" cm="1">
        <f t="array" ref="F53">IFERROR((VLOOKUP(TabDesSalariosFiscal[[#This Row],[id]],TabEmpleados[],COLUMN(TabEmpleados[SD Fiscal]),FALSE))*
(VLOOKUP(TabDesSalariosFiscal[[#This Row],[Años]],TabFactorIntegracion[],COLUMN(TabFactorIntegracion[% de prima 
vacacional y dominical]),FALSE))*
IF((VLOOKUP(TabDesSalariosFiscal[[#This Row],[id]],TabAsistencias[],COLUMN(TabAsistencias[''Prima dominical]),FALSE))&lt;DominicalFiscal,(VLOOKUP(TabDesSalariosFiscal[[#This Row],[id]],TabAsistencias[],COLUMN(TabAsistencias[''Total de dias laborados]),FALSE)),DominicalFiscal)*
(VLOOKUP((VLOOKUP(TabDesSalariosFiscal[[#This Row],[id]],TabEmpleados[],COLUMN(TabEmpleados[Puesto]),FALSE)),TabPuestos[],COLUMN(TabPuestos[PRIMA DOMINICAL]),FALSE)),0)</f>
        <v>15</v>
      </c>
      <c r="G53" s="182" cm="1">
        <f t="array" ref="G53">IFERROR((VLOOKUP(TabDesSalariosFiscal[[#This Row],[id]],TabEmpleados[],COLUMN(TabEmpleados[SD Fiscal]),FALSE))*
(VLOOKUP(TabDesSalariosFiscal[[#This Row],[Años]],TabFactorIntegracion[],COLUMN(TabFactorIntegracion[% de prima 
vacacional y dominical]),FALSE))*
((VLOOKUP(TabDesSalariosFiscal[[#This Row],[id]],TabAsistencias[],COLUMN(TabAsistencias[''V]),FALSE))),0)</f>
        <v>0</v>
      </c>
      <c r="H53" s="183" cm="1">
        <f t="array" ref="H53">IFERROR(VLOOKUP(TabDesSalariosFiscal[[#This Row],[id]],TabCuotasIMSS[],COLUMN(TabCuotasIMSS[S.B.C./S.D.I.]),FALSE),0)</f>
        <v>69.045945205479455</v>
      </c>
      <c r="I53" s="184">
        <f>IFERROR(TabDesSalariosFiscal[[#This Row],[S.B.C]]*Bono*TabDesSalariosFiscal[[#This Row],[Dias Lab.]],0)</f>
        <v>504.03540000000004</v>
      </c>
      <c r="J53" s="184">
        <f>IFERROR(TabDesSalariosFiscal[[#This Row],[S.B.C]]*Bono*TabDesSalariosFiscal[[#This Row],[Dias Lab.]],0)</f>
        <v>504.03540000000004</v>
      </c>
      <c r="K53" s="232" cm="1">
        <f t="array" ref="K53">(VLOOKUP(TabDesSalariosFiscal[[#This Row],[id]],TabEmpleados[],COLUMN(TabEmpleados[SD Fiscal]),FALSE))*(VLOOKUP(TabDesSalariosFiscal[[#This Row],[id]],TabAsistencias[],COLUMN(TabAsistencias[''DF]),FALSE))*2</f>
        <v>0</v>
      </c>
      <c r="L53" s="185">
        <f>-1*(SUMIFS(TabPagosFiscal[Monto de pago],TabPagosFiscal[id],TabDesSalariosFiscal[[#This Row],[id]],TabPagosFiscal[Fecha de pago],"&gt;="&amp;Asistencias!$B$2,TabPagosFiscal[Fecha de pago],"&lt;"&amp;Asistencias!$B$3))</f>
        <v>0</v>
      </c>
      <c r="M53" t="str" cm="1">
        <f t="array" ref="M53">getDescripcion(TabDesSalariosFiscal[[#This Row],[id]],"Descuentos-PagosFiscal","TabPagosFiscal",Asistencias!$B$2,Asistencias!$B$3)</f>
        <v/>
      </c>
      <c r="N53" s="186" cm="1">
        <f t="array" ref="N53">IFERROR(-1*(VLOOKUP(TabDesSalariosFiscal[[#This Row],[id]],TabCuotasIMSS[],COLUMN(TabCuotasIMSS[TOTAL
OBRERO19]),FALSE)),0)</f>
        <v>0</v>
      </c>
      <c r="O53" s="187" cm="1">
        <f t="array" ref="O53">IFERROR(-1*(VLOOKUP(TabDesSalariosFiscal[[#This Row],[id]],TabImpuestos[],COLUMN(TabImpuestos[Total ISR]),FALSE)),0)</f>
        <v>-429.74173503999987</v>
      </c>
      <c r="P53" s="188">
        <f>IFERROR(TabDesSalariosFiscal[[#This Row],[Subtotal Fiscal]]+TabDesSalariosFiscal[[#This Row],[Prima dominical]]+TabDesSalariosFiscal[[#This Row],[Prima vacacional]]+TabDesSalariosFiscal[[#This Row],[Bono Asistencia]]+TabDesSalariosFiscal[[#This Row],[Bono Puntualidad]]+TabDesSalariosFiscal[[#This Row],[Dia Festivo/ Descanso]]+TabDesSalariosFiscal[[#This Row],[Descuentos]]+TabDesSalariosFiscal[[#This Row],[IMSS]]+TabDesSalariosFiscal[[#This Row],[ISR]],0)</f>
        <v>4973.3290649599994</v>
      </c>
      <c r="Q53" s="187" cm="1">
        <f t="array" ref="Q53">IFERROR(IF('Desglose Salarios Fiscal'!$Q$1=1,-1*(IF((VLOOKUP(TabDesSalariosFiscal[[#This Row],[id]],TabImpuestos[],COLUMN(TabImpuestos[ISR de Aguinaldo 1]),FALSE))&lt;0,0,(VLOOKUP(TabDesSalariosFiscal[[#This Row],[id]],TabImpuestos[],COLUMN(TabImpuestos[ISR de Aguinaldo 1]),FALSE)))),0),0)</f>
        <v>0</v>
      </c>
      <c r="R53" s="55" cm="1">
        <f t="array" ref="R53">IFERROR(IF('Desglose Salarios Fiscal'!$Q$1=1,(VLOOKUP(TabDesSalariosFiscal[[#This Row],[id]],TabEmpleados[],COLUMN(TabEmpleados[SD Fiscal]),FALSE)*TabDesSalariosFiscal[[#This Row],[Dias de aguinaldo fiscal2]])+TabDesSalariosFiscal[[#This Row],[ISR Aguinaldo]],0),0)</f>
        <v>900</v>
      </c>
      <c r="S53" cm="1">
        <f t="array" ref="S53">IF(YEAR(VLOOKUP(TabDesSalariosFiscal[[#This Row],[id]],TabEmpleados[],COLUMN(TabEmpleados[Fecha de alta NSS]),FALSE))&lt;AñoActual,'Tablas de informacion'!$N$13,_xlfn.DAYS(DATE(AñoActual+1,MONTH(1),DAY(1))-DAY(1),(VLOOKUP(TabDesSalariosFiscal[[#This Row],[id]],TabEmpleados[],COLUMN(TabEmpleados[Fecha de alta NSS]),FALSE))))</f>
        <v>365</v>
      </c>
      <c r="T53" cm="1">
        <f t="array" ref="T53">IFERROR(TabDesSalariosFiscal[[#This Row],[Dias de aguinaldo Fiscal1]]*VLOOKUP(TabDesSalariosFiscal[[#This Row],[Años]],TabFactorIntegracion[],COLUMN(TabFactorIntegracion[Días de
aguinaldo]),FALSE)/'Tablas de informacion'!$N$13,0)</f>
        <v>15</v>
      </c>
    </row>
    <row r="54" spans="1:20" x14ac:dyDescent="0.25">
      <c r="A54" s="176">
        <v>52</v>
      </c>
      <c r="B54" t="str" cm="1">
        <f t="array" ref="B54">VLOOKUP(TabDesSalariosFiscal[[#This Row],[id]],TabEmpleados[],COLUMN(TabEmpleados[Nombre]),FALSE)</f>
        <v xml:space="preserve">CRUZ CORTES ALEX MANUEL </v>
      </c>
      <c r="C54" s="148" cm="1">
        <f t="array" ref="C54">IF(VLOOKUP(TabDesSalariosFiscal[[#This Row],[id]],TabEmpleados[],COLUMN(TabEmpleados[Fecha de alta NSS]),FALSE)&lt;&gt;"",
VLOOKUP(TabDesSalariosFiscal[[#This Row],[id]],TabAsistencias[],COLUMN(TabAsistencias[''Total de dias laborados]),FALSE),
0)</f>
        <v>73</v>
      </c>
      <c r="D54" s="179" cm="1">
        <f t="array" ref="D54">(VLOOKUP(TabDesSalariosFiscal[[#This Row],[id]],TabEmpleados[],COLUMN(TabEmpleados[SD Fiscal]),FALSE))*
TabDesSalariosFiscal[[#This Row],[Dias Lab.]]</f>
        <v>4380</v>
      </c>
      <c r="E54" s="180" cm="1">
        <f t="array" ref="E54">IF(VLOOKUP(TabDesSalariosFiscal[[#This Row],[id]],TabEmpleados[],COLUMN(TabEmpleados[Fecha de alta NSS]),FALSE)&lt;&gt;"",
IF(DATEDIF((VLOOKUP(TabDesSalariosFiscal[[#This Row],[id]],TabEmpleados[],COLUMN(TabEmpleados[Fecha de alta NSS]),FALSE)),'Tablas de informacion'!N$8,"Y")=0,1,
DATEDIF((VLOOKUP(TabDesSalariosFiscal[[#This Row],[id]],TabEmpleados[],COLUMN(TabEmpleados[Fecha de alta NSS]),FALSE)),'Tablas de informacion'!N$8,"Y")),0)</f>
        <v>1</v>
      </c>
      <c r="F54" s="181" cm="1">
        <f t="array" ref="F54">IFERROR((VLOOKUP(TabDesSalariosFiscal[[#This Row],[id]],TabEmpleados[],COLUMN(TabEmpleados[SD Fiscal]),FALSE))*
(VLOOKUP(TabDesSalariosFiscal[[#This Row],[Años]],TabFactorIntegracion[],COLUMN(TabFactorIntegracion[% de prima 
vacacional y dominical]),FALSE))*
IF((VLOOKUP(TabDesSalariosFiscal[[#This Row],[id]],TabAsistencias[],COLUMN(TabAsistencias[''Prima dominical]),FALSE))&lt;DominicalFiscal,(VLOOKUP(TabDesSalariosFiscal[[#This Row],[id]],TabAsistencias[],COLUMN(TabAsistencias[''Total de dias laborados]),FALSE)),DominicalFiscal)*
(VLOOKUP((VLOOKUP(TabDesSalariosFiscal[[#This Row],[id]],TabEmpleados[],COLUMN(TabEmpleados[Puesto]),FALSE)),TabPuestos[],COLUMN(TabPuestos[PRIMA DOMINICAL]),FALSE)),0)</f>
        <v>15</v>
      </c>
      <c r="G54" s="182" cm="1">
        <f t="array" ref="G54">IFERROR((VLOOKUP(TabDesSalariosFiscal[[#This Row],[id]],TabEmpleados[],COLUMN(TabEmpleados[SD Fiscal]),FALSE))*
(VLOOKUP(TabDesSalariosFiscal[[#This Row],[Años]],TabFactorIntegracion[],COLUMN(TabFactorIntegracion[% de prima 
vacacional y dominical]),FALSE))*
((VLOOKUP(TabDesSalariosFiscal[[#This Row],[id]],TabAsistencias[],COLUMN(TabAsistencias[''V]),FALSE))),0)</f>
        <v>0</v>
      </c>
      <c r="H54" s="183" cm="1">
        <f t="array" ref="H54">IFERROR(VLOOKUP(TabDesSalariosFiscal[[#This Row],[id]],TabCuotasIMSS[],COLUMN(TabCuotasIMSS[S.B.C./S.D.I.]),FALSE),0)</f>
        <v>69.045945205479455</v>
      </c>
      <c r="I54" s="184">
        <f>IFERROR(TabDesSalariosFiscal[[#This Row],[S.B.C]]*Bono*TabDesSalariosFiscal[[#This Row],[Dias Lab.]],0)</f>
        <v>504.03540000000004</v>
      </c>
      <c r="J54" s="184">
        <f>IFERROR(TabDesSalariosFiscal[[#This Row],[S.B.C]]*Bono*TabDesSalariosFiscal[[#This Row],[Dias Lab.]],0)</f>
        <v>504.03540000000004</v>
      </c>
      <c r="K54" s="232" cm="1">
        <f t="array" ref="K54">(VLOOKUP(TabDesSalariosFiscal[[#This Row],[id]],TabEmpleados[],COLUMN(TabEmpleados[SD Fiscal]),FALSE))*(VLOOKUP(TabDesSalariosFiscal[[#This Row],[id]],TabAsistencias[],COLUMN(TabAsistencias[''DF]),FALSE))*2</f>
        <v>0</v>
      </c>
      <c r="L54" s="185">
        <f>-1*(SUMIFS(TabPagosFiscal[Monto de pago],TabPagosFiscal[id],TabDesSalariosFiscal[[#This Row],[id]],TabPagosFiscal[Fecha de pago],"&gt;="&amp;Asistencias!$B$2,TabPagosFiscal[Fecha de pago],"&lt;"&amp;Asistencias!$B$3))</f>
        <v>0</v>
      </c>
      <c r="M54" t="str" cm="1">
        <f t="array" ref="M54">getDescripcion(TabDesSalariosFiscal[[#This Row],[id]],"Descuentos-PagosFiscal","TabPagosFiscal",Asistencias!$B$2,Asistencias!$B$3)</f>
        <v/>
      </c>
      <c r="N54" s="186" cm="1">
        <f t="array" ref="N54">IFERROR(-1*(VLOOKUP(TabDesSalariosFiscal[[#This Row],[id]],TabCuotasIMSS[],COLUMN(TabCuotasIMSS[TOTAL
OBRERO19]),FALSE)),0)</f>
        <v>0</v>
      </c>
      <c r="O54" s="187" cm="1">
        <f t="array" ref="O54">IFERROR(-1*(VLOOKUP(TabDesSalariosFiscal[[#This Row],[id]],TabImpuestos[],COLUMN(TabImpuestos[Total ISR]),FALSE)),0)</f>
        <v>-429.74173503999987</v>
      </c>
      <c r="P54" s="188">
        <f>IFERROR(TabDesSalariosFiscal[[#This Row],[Subtotal Fiscal]]+TabDesSalariosFiscal[[#This Row],[Prima dominical]]+TabDesSalariosFiscal[[#This Row],[Prima vacacional]]+TabDesSalariosFiscal[[#This Row],[Bono Asistencia]]+TabDesSalariosFiscal[[#This Row],[Bono Puntualidad]]+TabDesSalariosFiscal[[#This Row],[Dia Festivo/ Descanso]]+TabDesSalariosFiscal[[#This Row],[Descuentos]]+TabDesSalariosFiscal[[#This Row],[IMSS]]+TabDesSalariosFiscal[[#This Row],[ISR]],0)</f>
        <v>4973.3290649599994</v>
      </c>
      <c r="Q54" s="187" cm="1">
        <f t="array" ref="Q54">IFERROR(IF('Desglose Salarios Fiscal'!$Q$1=1,-1*(IF((VLOOKUP(TabDesSalariosFiscal[[#This Row],[id]],TabImpuestos[],COLUMN(TabImpuestos[ISR de Aguinaldo 1]),FALSE))&lt;0,0,(VLOOKUP(TabDesSalariosFiscal[[#This Row],[id]],TabImpuestos[],COLUMN(TabImpuestos[ISR de Aguinaldo 1]),FALSE)))),0),0)</f>
        <v>0</v>
      </c>
      <c r="R54" s="55" cm="1">
        <f t="array" ref="R54">IFERROR(IF('Desglose Salarios Fiscal'!$Q$1=1,(VLOOKUP(TabDesSalariosFiscal[[#This Row],[id]],TabEmpleados[],COLUMN(TabEmpleados[SD Fiscal]),FALSE)*TabDesSalariosFiscal[[#This Row],[Dias de aguinaldo fiscal2]])+TabDesSalariosFiscal[[#This Row],[ISR Aguinaldo]],0),0)</f>
        <v>900</v>
      </c>
      <c r="S54" cm="1">
        <f t="array" ref="S54">IF(YEAR(VLOOKUP(TabDesSalariosFiscal[[#This Row],[id]],TabEmpleados[],COLUMN(TabEmpleados[Fecha de alta NSS]),FALSE))&lt;AñoActual,'Tablas de informacion'!$N$13,_xlfn.DAYS(DATE(AñoActual+1,MONTH(1),DAY(1))-DAY(1),(VLOOKUP(TabDesSalariosFiscal[[#This Row],[id]],TabEmpleados[],COLUMN(TabEmpleados[Fecha de alta NSS]),FALSE))))</f>
        <v>365</v>
      </c>
      <c r="T54" cm="1">
        <f t="array" ref="T54">IFERROR(TabDesSalariosFiscal[[#This Row],[Dias de aguinaldo Fiscal1]]*VLOOKUP(TabDesSalariosFiscal[[#This Row],[Años]],TabFactorIntegracion[],COLUMN(TabFactorIntegracion[Días de
aguinaldo]),FALSE)/'Tablas de informacion'!$N$13,0)</f>
        <v>15</v>
      </c>
    </row>
    <row r="55" spans="1:20" x14ac:dyDescent="0.25">
      <c r="A55" s="176">
        <v>53</v>
      </c>
      <c r="B55" t="str" cm="1">
        <f t="array" ref="B55">VLOOKUP(TabDesSalariosFiscal[[#This Row],[id]],TabEmpleados[],COLUMN(TabEmpleados[Nombre]),FALSE)</f>
        <v>GASPAR VALERIANO WILLEVALDO INOCENCIO</v>
      </c>
      <c r="C55" s="148" cm="1">
        <f t="array" ref="C55">IF(VLOOKUP(TabDesSalariosFiscal[[#This Row],[id]],TabEmpleados[],COLUMN(TabEmpleados[Fecha de alta NSS]),FALSE)&lt;&gt;"",
VLOOKUP(TabDesSalariosFiscal[[#This Row],[id]],TabAsistencias[],COLUMN(TabAsistencias[''Total de dias laborados]),FALSE),
0)</f>
        <v>73</v>
      </c>
      <c r="D55" s="179" cm="1">
        <f t="array" ref="D55">(VLOOKUP(TabDesSalariosFiscal[[#This Row],[id]],TabEmpleados[],COLUMN(TabEmpleados[SD Fiscal]),FALSE))*
TabDesSalariosFiscal[[#This Row],[Dias Lab.]]</f>
        <v>5475</v>
      </c>
      <c r="E55" s="180" cm="1">
        <f t="array" ref="E55">IF(VLOOKUP(TabDesSalariosFiscal[[#This Row],[id]],TabEmpleados[],COLUMN(TabEmpleados[Fecha de alta NSS]),FALSE)&lt;&gt;"",
IF(DATEDIF((VLOOKUP(TabDesSalariosFiscal[[#This Row],[id]],TabEmpleados[],COLUMN(TabEmpleados[Fecha de alta NSS]),FALSE)),'Tablas de informacion'!N$8,"Y")=0,1,
DATEDIF((VLOOKUP(TabDesSalariosFiscal[[#This Row],[id]],TabEmpleados[],COLUMN(TabEmpleados[Fecha de alta NSS]),FALSE)),'Tablas de informacion'!N$8,"Y")),0)</f>
        <v>1</v>
      </c>
      <c r="F55" s="181" cm="1">
        <f t="array" ref="F55">IFERROR((VLOOKUP(TabDesSalariosFiscal[[#This Row],[id]],TabEmpleados[],COLUMN(TabEmpleados[SD Fiscal]),FALSE))*
(VLOOKUP(TabDesSalariosFiscal[[#This Row],[Años]],TabFactorIntegracion[],COLUMN(TabFactorIntegracion[% de prima 
vacacional y dominical]),FALSE))*
IF((VLOOKUP(TabDesSalariosFiscal[[#This Row],[id]],TabAsistencias[],COLUMN(TabAsistencias[''Prima dominical]),FALSE))&lt;DominicalFiscal,(VLOOKUP(TabDesSalariosFiscal[[#This Row],[id]],TabAsistencias[],COLUMN(TabAsistencias[''Total de dias laborados]),FALSE)),DominicalFiscal)*
(VLOOKUP((VLOOKUP(TabDesSalariosFiscal[[#This Row],[id]],TabEmpleados[],COLUMN(TabEmpleados[Puesto]),FALSE)),TabPuestos[],COLUMN(TabPuestos[PRIMA DOMINICAL]),FALSE)),0)</f>
        <v>18.75</v>
      </c>
      <c r="G55" s="182" cm="1">
        <f t="array" ref="G55">IFERROR((VLOOKUP(TabDesSalariosFiscal[[#This Row],[id]],TabEmpleados[],COLUMN(TabEmpleados[SD Fiscal]),FALSE))*
(VLOOKUP(TabDesSalariosFiscal[[#This Row],[Años]],TabFactorIntegracion[],COLUMN(TabFactorIntegracion[% de prima 
vacacional y dominical]),FALSE))*
((VLOOKUP(TabDesSalariosFiscal[[#This Row],[id]],TabAsistencias[],COLUMN(TabAsistencias[''V]),FALSE))),0)</f>
        <v>0</v>
      </c>
      <c r="H55" s="183" cm="1">
        <f t="array" ref="H55">IFERROR(VLOOKUP(TabDesSalariosFiscal[[#This Row],[id]],TabCuotasIMSS[],COLUMN(TabCuotasIMSS[S.B.C./S.D.I.]),FALSE),0)</f>
        <v>86.307431506849312</v>
      </c>
      <c r="I55" s="184">
        <f>IFERROR(TabDesSalariosFiscal[[#This Row],[S.B.C]]*Bono*TabDesSalariosFiscal[[#This Row],[Dias Lab.]],0)</f>
        <v>630.04425000000003</v>
      </c>
      <c r="J55" s="184">
        <f>IFERROR(TabDesSalariosFiscal[[#This Row],[S.B.C]]*Bono*TabDesSalariosFiscal[[#This Row],[Dias Lab.]],0)</f>
        <v>630.04425000000003</v>
      </c>
      <c r="K55" s="232" cm="1">
        <f t="array" ref="K55">(VLOOKUP(TabDesSalariosFiscal[[#This Row],[id]],TabEmpleados[],COLUMN(TabEmpleados[SD Fiscal]),FALSE))*(VLOOKUP(TabDesSalariosFiscal[[#This Row],[id]],TabAsistencias[],COLUMN(TabAsistencias[''DF]),FALSE))*2</f>
        <v>0</v>
      </c>
      <c r="L55" s="185">
        <f>-1*(SUMIFS(TabPagosFiscal[Monto de pago],TabPagosFiscal[id],TabDesSalariosFiscal[[#This Row],[id]],TabPagosFiscal[Fecha de pago],"&gt;="&amp;Asistencias!$B$2,TabPagosFiscal[Fecha de pago],"&lt;"&amp;Asistencias!$B$3))</f>
        <v>0</v>
      </c>
      <c r="M55" t="str" cm="1">
        <f t="array" ref="M55">getDescripcion(TabDesSalariosFiscal[[#This Row],[id]],"Descuentos-PagosFiscal","TabPagosFiscal",Asistencias!$B$2,Asistencias!$B$3)</f>
        <v/>
      </c>
      <c r="N55" s="186" cm="1">
        <f t="array" ref="N55">IFERROR(-1*(VLOOKUP(TabDesSalariosFiscal[[#This Row],[id]],TabCuotasIMSS[],COLUMN(TabCuotasIMSS[TOTAL
OBRERO19]),FALSE)),0)</f>
        <v>0</v>
      </c>
      <c r="O55" s="187" cm="1">
        <f t="array" ref="O55">IFERROR(-1*(VLOOKUP(TabDesSalariosFiscal[[#This Row],[id]],TabImpuestos[],COLUMN(TabImpuestos[Total ISR]),FALSE)),0)</f>
        <v>-646.77830719999986</v>
      </c>
      <c r="P55" s="188">
        <f>IFERROR(TabDesSalariosFiscal[[#This Row],[Subtotal Fiscal]]+TabDesSalariosFiscal[[#This Row],[Prima dominical]]+TabDesSalariosFiscal[[#This Row],[Prima vacacional]]+TabDesSalariosFiscal[[#This Row],[Bono Asistencia]]+TabDesSalariosFiscal[[#This Row],[Bono Puntualidad]]+TabDesSalariosFiscal[[#This Row],[Dia Festivo/ Descanso]]+TabDesSalariosFiscal[[#This Row],[Descuentos]]+TabDesSalariosFiscal[[#This Row],[IMSS]]+TabDesSalariosFiscal[[#This Row],[ISR]],0)</f>
        <v>6107.0601927999996</v>
      </c>
      <c r="Q55" s="187" cm="1">
        <f t="array" ref="Q55">IFERROR(IF('Desglose Salarios Fiscal'!$Q$1=1,-1*(IF((VLOOKUP(TabDesSalariosFiscal[[#This Row],[id]],TabImpuestos[],COLUMN(TabImpuestos[ISR de Aguinaldo 1]),FALSE))&lt;0,0,(VLOOKUP(TabDesSalariosFiscal[[#This Row],[id]],TabImpuestos[],COLUMN(TabImpuestos[ISR de Aguinaldo 1]),FALSE)))),0),0)</f>
        <v>0</v>
      </c>
      <c r="R55" s="55" cm="1">
        <f t="array" ref="R55">IFERROR(IF('Desglose Salarios Fiscal'!$Q$1=1,(VLOOKUP(TabDesSalariosFiscal[[#This Row],[id]],TabEmpleados[],COLUMN(TabEmpleados[SD Fiscal]),FALSE)*TabDesSalariosFiscal[[#This Row],[Dias de aguinaldo fiscal2]])+TabDesSalariosFiscal[[#This Row],[ISR Aguinaldo]],0),0)</f>
        <v>1125</v>
      </c>
      <c r="S55" cm="1">
        <f t="array" ref="S55">IF(YEAR(VLOOKUP(TabDesSalariosFiscal[[#This Row],[id]],TabEmpleados[],COLUMN(TabEmpleados[Fecha de alta NSS]),FALSE))&lt;AñoActual,'Tablas de informacion'!$N$13,_xlfn.DAYS(DATE(AñoActual+1,MONTH(1),DAY(1))-DAY(1),(VLOOKUP(TabDesSalariosFiscal[[#This Row],[id]],TabEmpleados[],COLUMN(TabEmpleados[Fecha de alta NSS]),FALSE))))</f>
        <v>365</v>
      </c>
      <c r="T55" cm="1">
        <f t="array" ref="T55">IFERROR(TabDesSalariosFiscal[[#This Row],[Dias de aguinaldo Fiscal1]]*VLOOKUP(TabDesSalariosFiscal[[#This Row],[Años]],TabFactorIntegracion[],COLUMN(TabFactorIntegracion[Días de
aguinaldo]),FALSE)/'Tablas de informacion'!$N$13,0)</f>
        <v>15</v>
      </c>
    </row>
    <row r="56" spans="1:20" x14ac:dyDescent="0.25">
      <c r="A56" s="176">
        <v>54</v>
      </c>
      <c r="B56" t="str" cm="1">
        <f t="array" ref="B56">VLOOKUP(TabDesSalariosFiscal[[#This Row],[id]],TabEmpleados[],COLUMN(TabEmpleados[Nombre]),FALSE)</f>
        <v>ZANABRIGA VELASQUEZ ELOY</v>
      </c>
      <c r="C56" s="148" cm="1">
        <f t="array" ref="C56">IF(VLOOKUP(TabDesSalariosFiscal[[#This Row],[id]],TabEmpleados[],COLUMN(TabEmpleados[Fecha de alta NSS]),FALSE)&lt;&gt;"",
VLOOKUP(TabDesSalariosFiscal[[#This Row],[id]],TabAsistencias[],COLUMN(TabAsistencias[''Total de dias laborados]),FALSE),
0)</f>
        <v>73</v>
      </c>
      <c r="D56" s="179" cm="1">
        <f t="array" ref="D56">(VLOOKUP(TabDesSalariosFiscal[[#This Row],[id]],TabEmpleados[],COLUMN(TabEmpleados[SD Fiscal]),FALSE))*
TabDesSalariosFiscal[[#This Row],[Dias Lab.]]</f>
        <v>4818</v>
      </c>
      <c r="E56" s="180" cm="1">
        <f t="array" ref="E56">IF(VLOOKUP(TabDesSalariosFiscal[[#This Row],[id]],TabEmpleados[],COLUMN(TabEmpleados[Fecha de alta NSS]),FALSE)&lt;&gt;"",
IF(DATEDIF((VLOOKUP(TabDesSalariosFiscal[[#This Row],[id]],TabEmpleados[],COLUMN(TabEmpleados[Fecha de alta NSS]),FALSE)),'Tablas de informacion'!N$8,"Y")=0,1,
DATEDIF((VLOOKUP(TabDesSalariosFiscal[[#This Row],[id]],TabEmpleados[],COLUMN(TabEmpleados[Fecha de alta NSS]),FALSE)),'Tablas de informacion'!N$8,"Y")),0)</f>
        <v>1</v>
      </c>
      <c r="F56" s="181" cm="1">
        <f t="array" ref="F56">IFERROR((VLOOKUP(TabDesSalariosFiscal[[#This Row],[id]],TabEmpleados[],COLUMN(TabEmpleados[SD Fiscal]),FALSE))*
(VLOOKUP(TabDesSalariosFiscal[[#This Row],[Años]],TabFactorIntegracion[],COLUMN(TabFactorIntegracion[% de prima 
vacacional y dominical]),FALSE))*
IF((VLOOKUP(TabDesSalariosFiscal[[#This Row],[id]],TabAsistencias[],COLUMN(TabAsistencias[''Prima dominical]),FALSE))&lt;DominicalFiscal,(VLOOKUP(TabDesSalariosFiscal[[#This Row],[id]],TabAsistencias[],COLUMN(TabAsistencias[''Total de dias laborados]),FALSE)),DominicalFiscal)*
(VLOOKUP((VLOOKUP(TabDesSalariosFiscal[[#This Row],[id]],TabEmpleados[],COLUMN(TabEmpleados[Puesto]),FALSE)),TabPuestos[],COLUMN(TabPuestos[PRIMA DOMINICAL]),FALSE)),0)</f>
        <v>16.5</v>
      </c>
      <c r="G56" s="182" cm="1">
        <f t="array" ref="G56">IFERROR((VLOOKUP(TabDesSalariosFiscal[[#This Row],[id]],TabEmpleados[],COLUMN(TabEmpleados[SD Fiscal]),FALSE))*
(VLOOKUP(TabDesSalariosFiscal[[#This Row],[Años]],TabFactorIntegracion[],COLUMN(TabFactorIntegracion[% de prima 
vacacional y dominical]),FALSE))*
((VLOOKUP(TabDesSalariosFiscal[[#This Row],[id]],TabAsistencias[],COLUMN(TabAsistencias[''V]),FALSE))),0)</f>
        <v>0</v>
      </c>
      <c r="H56" s="183" cm="1">
        <f t="array" ref="H56">IFERROR(VLOOKUP(TabDesSalariosFiscal[[#This Row],[id]],TabCuotasIMSS[],COLUMN(TabCuotasIMSS[S.B.C./S.D.I.]),FALSE),0)</f>
        <v>75.950539726027401</v>
      </c>
      <c r="I56" s="184">
        <f>IFERROR(TabDesSalariosFiscal[[#This Row],[S.B.C]]*Bono*TabDesSalariosFiscal[[#This Row],[Dias Lab.]],0)</f>
        <v>554.43894000000012</v>
      </c>
      <c r="J56" s="184">
        <f>IFERROR(TabDesSalariosFiscal[[#This Row],[S.B.C]]*Bono*TabDesSalariosFiscal[[#This Row],[Dias Lab.]],0)</f>
        <v>554.43894000000012</v>
      </c>
      <c r="K56" s="232" cm="1">
        <f t="array" ref="K56">(VLOOKUP(TabDesSalariosFiscal[[#This Row],[id]],TabEmpleados[],COLUMN(TabEmpleados[SD Fiscal]),FALSE))*(VLOOKUP(TabDesSalariosFiscal[[#This Row],[id]],TabAsistencias[],COLUMN(TabAsistencias[''DF]),FALSE))*2</f>
        <v>0</v>
      </c>
      <c r="L56" s="185">
        <f>-1*(SUMIFS(TabPagosFiscal[Monto de pago],TabPagosFiscal[id],TabDesSalariosFiscal[[#This Row],[id]],TabPagosFiscal[Fecha de pago],"&gt;="&amp;Asistencias!$B$2,TabPagosFiscal[Fecha de pago],"&lt;"&amp;Asistencias!$B$3))</f>
        <v>0</v>
      </c>
      <c r="M56" t="str" cm="1">
        <f t="array" ref="M56">getDescripcion(TabDesSalariosFiscal[[#This Row],[id]],"Descuentos-PagosFiscal","TabPagosFiscal",Asistencias!$B$2,Asistencias!$B$3)</f>
        <v/>
      </c>
      <c r="N56" s="186" cm="1">
        <f t="array" ref="N56">IFERROR(-1*(VLOOKUP(TabDesSalariosFiscal[[#This Row],[id]],TabCuotasIMSS[],COLUMN(TabCuotasIMSS[TOTAL
OBRERO19]),FALSE)),0)</f>
        <v>0</v>
      </c>
      <c r="O56" s="187" cm="1">
        <f t="array" ref="O56">IFERROR(-1*(VLOOKUP(TabDesSalariosFiscal[[#This Row],[id]],TabImpuestos[],COLUMN(TabImpuestos[Total ISR]),FALSE)),0)</f>
        <v>-510.77886079999996</v>
      </c>
      <c r="P56" s="188">
        <f>IFERROR(TabDesSalariosFiscal[[#This Row],[Subtotal Fiscal]]+TabDesSalariosFiscal[[#This Row],[Prima dominical]]+TabDesSalariosFiscal[[#This Row],[Prima vacacional]]+TabDesSalariosFiscal[[#This Row],[Bono Asistencia]]+TabDesSalariosFiscal[[#This Row],[Bono Puntualidad]]+TabDesSalariosFiscal[[#This Row],[Dia Festivo/ Descanso]]+TabDesSalariosFiscal[[#This Row],[Descuentos]]+TabDesSalariosFiscal[[#This Row],[IMSS]]+TabDesSalariosFiscal[[#This Row],[ISR]],0)</f>
        <v>5432.5990191999999</v>
      </c>
      <c r="Q56" s="187" cm="1">
        <f t="array" ref="Q56">IFERROR(IF('Desglose Salarios Fiscal'!$Q$1=1,-1*(IF((VLOOKUP(TabDesSalariosFiscal[[#This Row],[id]],TabImpuestos[],COLUMN(TabImpuestos[ISR de Aguinaldo 1]),FALSE))&lt;0,0,(VLOOKUP(TabDesSalariosFiscal[[#This Row],[id]],TabImpuestos[],COLUMN(TabImpuestos[ISR de Aguinaldo 1]),FALSE)))),0),0)</f>
        <v>0</v>
      </c>
      <c r="R56" s="55" cm="1">
        <f t="array" ref="R56">IFERROR(IF('Desglose Salarios Fiscal'!$Q$1=1,(VLOOKUP(TabDesSalariosFiscal[[#This Row],[id]],TabEmpleados[],COLUMN(TabEmpleados[SD Fiscal]),FALSE)*TabDesSalariosFiscal[[#This Row],[Dias de aguinaldo fiscal2]])+TabDesSalariosFiscal[[#This Row],[ISR Aguinaldo]],0),0)</f>
        <v>990</v>
      </c>
      <c r="S56" cm="1">
        <f t="array" ref="S56">IF(YEAR(VLOOKUP(TabDesSalariosFiscal[[#This Row],[id]],TabEmpleados[],COLUMN(TabEmpleados[Fecha de alta NSS]),FALSE))&lt;AñoActual,'Tablas de informacion'!$N$13,_xlfn.DAYS(DATE(AñoActual+1,MONTH(1),DAY(1))-DAY(1),(VLOOKUP(TabDesSalariosFiscal[[#This Row],[id]],TabEmpleados[],COLUMN(TabEmpleados[Fecha de alta NSS]),FALSE))))</f>
        <v>365</v>
      </c>
      <c r="T56" cm="1">
        <f t="array" ref="T56">IFERROR(TabDesSalariosFiscal[[#This Row],[Dias de aguinaldo Fiscal1]]*VLOOKUP(TabDesSalariosFiscal[[#This Row],[Años]],TabFactorIntegracion[],COLUMN(TabFactorIntegracion[Días de
aguinaldo]),FALSE)/'Tablas de informacion'!$N$13,0)</f>
        <v>15</v>
      </c>
    </row>
    <row r="57" spans="1:20" x14ac:dyDescent="0.25">
      <c r="A57" s="176">
        <v>55</v>
      </c>
      <c r="B57" t="str" cm="1">
        <f t="array" ref="B57">VLOOKUP(TabDesSalariosFiscal[[#This Row],[id]],TabEmpleados[],COLUMN(TabEmpleados[Nombre]),FALSE)</f>
        <v>MARTINEZ HERNANDEZ URIEL VALENTINO</v>
      </c>
      <c r="C57" s="148" cm="1">
        <f t="array" ref="C57">IF(VLOOKUP(TabDesSalariosFiscal[[#This Row],[id]],TabEmpleados[],COLUMN(TabEmpleados[Fecha de alta NSS]),FALSE)&lt;&gt;"",
VLOOKUP(TabDesSalariosFiscal[[#This Row],[id]],TabAsistencias[],COLUMN(TabAsistencias[''Total de dias laborados]),FALSE),
0)</f>
        <v>73</v>
      </c>
      <c r="D57" s="179" cm="1">
        <f t="array" ref="D57">(VLOOKUP(TabDesSalariosFiscal[[#This Row],[id]],TabEmpleados[],COLUMN(TabEmpleados[SD Fiscal]),FALSE))*
TabDesSalariosFiscal[[#This Row],[Dias Lab.]]</f>
        <v>6570</v>
      </c>
      <c r="E57" s="180" cm="1">
        <f t="array" ref="E57">IF(VLOOKUP(TabDesSalariosFiscal[[#This Row],[id]],TabEmpleados[],COLUMN(TabEmpleados[Fecha de alta NSS]),FALSE)&lt;&gt;"",
IF(DATEDIF((VLOOKUP(TabDesSalariosFiscal[[#This Row],[id]],TabEmpleados[],COLUMN(TabEmpleados[Fecha de alta NSS]),FALSE)),'Tablas de informacion'!N$8,"Y")=0,1,
DATEDIF((VLOOKUP(TabDesSalariosFiscal[[#This Row],[id]],TabEmpleados[],COLUMN(TabEmpleados[Fecha de alta NSS]),FALSE)),'Tablas de informacion'!N$8,"Y")),0)</f>
        <v>1</v>
      </c>
      <c r="F57" s="181" cm="1">
        <f t="array" ref="F57">IFERROR((VLOOKUP(TabDesSalariosFiscal[[#This Row],[id]],TabEmpleados[],COLUMN(TabEmpleados[SD Fiscal]),FALSE))*
(VLOOKUP(TabDesSalariosFiscal[[#This Row],[Años]],TabFactorIntegracion[],COLUMN(TabFactorIntegracion[% de prima 
vacacional y dominical]),FALSE))*
IF((VLOOKUP(TabDesSalariosFiscal[[#This Row],[id]],TabAsistencias[],COLUMN(TabAsistencias[''Prima dominical]),FALSE))&lt;DominicalFiscal,(VLOOKUP(TabDesSalariosFiscal[[#This Row],[id]],TabAsistencias[],COLUMN(TabAsistencias[''Total de dias laborados]),FALSE)),DominicalFiscal)*
(VLOOKUP((VLOOKUP(TabDesSalariosFiscal[[#This Row],[id]],TabEmpleados[],COLUMN(TabEmpleados[Puesto]),FALSE)),TabPuestos[],COLUMN(TabPuestos[PRIMA DOMINICAL]),FALSE)),0)</f>
        <v>22.5</v>
      </c>
      <c r="G57" s="182" cm="1">
        <f t="array" ref="G57">IFERROR((VLOOKUP(TabDesSalariosFiscal[[#This Row],[id]],TabEmpleados[],COLUMN(TabEmpleados[SD Fiscal]),FALSE))*
(VLOOKUP(TabDesSalariosFiscal[[#This Row],[Años]],TabFactorIntegracion[],COLUMN(TabFactorIntegracion[% de prima 
vacacional y dominical]),FALSE))*
((VLOOKUP(TabDesSalariosFiscal[[#This Row],[id]],TabAsistencias[],COLUMN(TabAsistencias[''V]),FALSE))),0)</f>
        <v>0</v>
      </c>
      <c r="H57" s="183" cm="1">
        <f t="array" ref="H57">IFERROR(VLOOKUP(TabDesSalariosFiscal[[#This Row],[id]],TabCuotasIMSS[],COLUMN(TabCuotasIMSS[S.B.C./S.D.I.]),FALSE),0)</f>
        <v>103.56891780821918</v>
      </c>
      <c r="I57" s="184">
        <f>IFERROR(TabDesSalariosFiscal[[#This Row],[S.B.C]]*Bono*TabDesSalariosFiscal[[#This Row],[Dias Lab.]],0)</f>
        <v>756.05310000000009</v>
      </c>
      <c r="J57" s="184">
        <f>IFERROR(TabDesSalariosFiscal[[#This Row],[S.B.C]]*Bono*TabDesSalariosFiscal[[#This Row],[Dias Lab.]],0)</f>
        <v>756.05310000000009</v>
      </c>
      <c r="K57" s="232" cm="1">
        <f t="array" ref="K57">(VLOOKUP(TabDesSalariosFiscal[[#This Row],[id]],TabEmpleados[],COLUMN(TabEmpleados[SD Fiscal]),FALSE))*(VLOOKUP(TabDesSalariosFiscal[[#This Row],[id]],TabAsistencias[],COLUMN(TabAsistencias[''DF]),FALSE))*2</f>
        <v>0</v>
      </c>
      <c r="L57" s="185">
        <f>-1*(SUMIFS(TabPagosFiscal[Monto de pago],TabPagosFiscal[id],TabDesSalariosFiscal[[#This Row],[id]],TabPagosFiscal[Fecha de pago],"&gt;="&amp;Asistencias!$B$2,TabPagosFiscal[Fecha de pago],"&lt;"&amp;Asistencias!$B$3))</f>
        <v>0</v>
      </c>
      <c r="M57" t="str" cm="1">
        <f t="array" ref="M57">getDescripcion(TabDesSalariosFiscal[[#This Row],[id]],"Descuentos-PagosFiscal","TabPagosFiscal",Asistencias!$B$2,Asistencias!$B$3)</f>
        <v/>
      </c>
      <c r="N57" s="186" cm="1">
        <f t="array" ref="N57">IFERROR(-1*(VLOOKUP(TabDesSalariosFiscal[[#This Row],[id]],TabCuotasIMSS[],COLUMN(TabCuotasIMSS[TOTAL
OBRERO19]),FALSE)),0)</f>
        <v>0</v>
      </c>
      <c r="O57" s="187" cm="1">
        <f t="array" ref="O57">IFERROR(-1*(VLOOKUP(TabDesSalariosFiscal[[#This Row],[id]],TabImpuestos[],COLUMN(TabImpuestos[Total ISR]),FALSE)),0)</f>
        <v>-903.2759083200001</v>
      </c>
      <c r="P57" s="188">
        <f>IFERROR(TabDesSalariosFiscal[[#This Row],[Subtotal Fiscal]]+TabDesSalariosFiscal[[#This Row],[Prima dominical]]+TabDesSalariosFiscal[[#This Row],[Prima vacacional]]+TabDesSalariosFiscal[[#This Row],[Bono Asistencia]]+TabDesSalariosFiscal[[#This Row],[Bono Puntualidad]]+TabDesSalariosFiscal[[#This Row],[Dia Festivo/ Descanso]]+TabDesSalariosFiscal[[#This Row],[Descuentos]]+TabDesSalariosFiscal[[#This Row],[IMSS]]+TabDesSalariosFiscal[[#This Row],[ISR]],0)</f>
        <v>7201.3302916800003</v>
      </c>
      <c r="Q57" s="187" cm="1">
        <f t="array" ref="Q57">IFERROR(IF('Desglose Salarios Fiscal'!$Q$1=1,-1*(IF((VLOOKUP(TabDesSalariosFiscal[[#This Row],[id]],TabImpuestos[],COLUMN(TabImpuestos[ISR de Aguinaldo 1]),FALSE))&lt;0,0,(VLOOKUP(TabDesSalariosFiscal[[#This Row],[id]],TabImpuestos[],COLUMN(TabImpuestos[ISR de Aguinaldo 1]),FALSE)))),0),0)</f>
        <v>0</v>
      </c>
      <c r="R57" s="55" cm="1">
        <f t="array" ref="R57">IFERROR(IF('Desglose Salarios Fiscal'!$Q$1=1,(VLOOKUP(TabDesSalariosFiscal[[#This Row],[id]],TabEmpleados[],COLUMN(TabEmpleados[SD Fiscal]),FALSE)*TabDesSalariosFiscal[[#This Row],[Dias de aguinaldo fiscal2]])+TabDesSalariosFiscal[[#This Row],[ISR Aguinaldo]],0),0)</f>
        <v>1350</v>
      </c>
      <c r="S57" cm="1">
        <f t="array" ref="S57">IF(YEAR(VLOOKUP(TabDesSalariosFiscal[[#This Row],[id]],TabEmpleados[],COLUMN(TabEmpleados[Fecha de alta NSS]),FALSE))&lt;AñoActual,'Tablas de informacion'!$N$13,_xlfn.DAYS(DATE(AñoActual+1,MONTH(1),DAY(1))-DAY(1),(VLOOKUP(TabDesSalariosFiscal[[#This Row],[id]],TabEmpleados[],COLUMN(TabEmpleados[Fecha de alta NSS]),FALSE))))</f>
        <v>365</v>
      </c>
      <c r="T57" cm="1">
        <f t="array" ref="T57">IFERROR(TabDesSalariosFiscal[[#This Row],[Dias de aguinaldo Fiscal1]]*VLOOKUP(TabDesSalariosFiscal[[#This Row],[Años]],TabFactorIntegracion[],COLUMN(TabFactorIntegracion[Días de
aguinaldo]),FALSE)/'Tablas de informacion'!$N$13,0)</f>
        <v>15</v>
      </c>
    </row>
    <row r="58" spans="1:20" x14ac:dyDescent="0.25">
      <c r="A58" s="176">
        <v>56</v>
      </c>
      <c r="B58" t="str" cm="1">
        <f t="array" ref="B58">VLOOKUP(TabDesSalariosFiscal[[#This Row],[id]],TabEmpleados[],COLUMN(TabEmpleados[Nombre]),FALSE)</f>
        <v>ESPINDOLA CASTILLO JUAN MANUEL</v>
      </c>
      <c r="C58" s="148" cm="1">
        <f t="array" ref="C58">IF(VLOOKUP(TabDesSalariosFiscal[[#This Row],[id]],TabEmpleados[],COLUMN(TabEmpleados[Fecha de alta NSS]),FALSE)&lt;&gt;"",
VLOOKUP(TabDesSalariosFiscal[[#This Row],[id]],TabAsistencias[],COLUMN(TabAsistencias[''Total de dias laborados]),FALSE),
0)</f>
        <v>73</v>
      </c>
      <c r="D58" s="179" cm="1">
        <f t="array" ref="D58">(VLOOKUP(TabDesSalariosFiscal[[#This Row],[id]],TabEmpleados[],COLUMN(TabEmpleados[SD Fiscal]),FALSE))*
TabDesSalariosFiscal[[#This Row],[Dias Lab.]]</f>
        <v>4380</v>
      </c>
      <c r="E58" s="180" cm="1">
        <f t="array" ref="E58">IF(VLOOKUP(TabDesSalariosFiscal[[#This Row],[id]],TabEmpleados[],COLUMN(TabEmpleados[Fecha de alta NSS]),FALSE)&lt;&gt;"",
IF(DATEDIF((VLOOKUP(TabDesSalariosFiscal[[#This Row],[id]],TabEmpleados[],COLUMN(TabEmpleados[Fecha de alta NSS]),FALSE)),'Tablas de informacion'!N$8,"Y")=0,1,
DATEDIF((VLOOKUP(TabDesSalariosFiscal[[#This Row],[id]],TabEmpleados[],COLUMN(TabEmpleados[Fecha de alta NSS]),FALSE)),'Tablas de informacion'!N$8,"Y")),0)</f>
        <v>1</v>
      </c>
      <c r="F58" s="181" cm="1">
        <f t="array" ref="F58">IFERROR((VLOOKUP(TabDesSalariosFiscal[[#This Row],[id]],TabEmpleados[],COLUMN(TabEmpleados[SD Fiscal]),FALSE))*
(VLOOKUP(TabDesSalariosFiscal[[#This Row],[Años]],TabFactorIntegracion[],COLUMN(TabFactorIntegracion[% de prima 
vacacional y dominical]),FALSE))*
IF((VLOOKUP(TabDesSalariosFiscal[[#This Row],[id]],TabAsistencias[],COLUMN(TabAsistencias[''Prima dominical]),FALSE))&lt;DominicalFiscal,(VLOOKUP(TabDesSalariosFiscal[[#This Row],[id]],TabAsistencias[],COLUMN(TabAsistencias[''Total de dias laborados]),FALSE)),DominicalFiscal)*
(VLOOKUP((VLOOKUP(TabDesSalariosFiscal[[#This Row],[id]],TabEmpleados[],COLUMN(TabEmpleados[Puesto]),FALSE)),TabPuestos[],COLUMN(TabPuestos[PRIMA DOMINICAL]),FALSE)),0)</f>
        <v>15</v>
      </c>
      <c r="G58" s="182" cm="1">
        <f t="array" ref="G58">IFERROR((VLOOKUP(TabDesSalariosFiscal[[#This Row],[id]],TabEmpleados[],COLUMN(TabEmpleados[SD Fiscal]),FALSE))*
(VLOOKUP(TabDesSalariosFiscal[[#This Row],[Años]],TabFactorIntegracion[],COLUMN(TabFactorIntegracion[% de prima 
vacacional y dominical]),FALSE))*
((VLOOKUP(TabDesSalariosFiscal[[#This Row],[id]],TabAsistencias[],COLUMN(TabAsistencias[''V]),FALSE))),0)</f>
        <v>0</v>
      </c>
      <c r="H58" s="183" cm="1">
        <f t="array" ref="H58">IFERROR(VLOOKUP(TabDesSalariosFiscal[[#This Row],[id]],TabCuotasIMSS[],COLUMN(TabCuotasIMSS[S.B.C./S.D.I.]),FALSE),0)</f>
        <v>69.045945205479455</v>
      </c>
      <c r="I58" s="184">
        <f>IFERROR(TabDesSalariosFiscal[[#This Row],[S.B.C]]*Bono*TabDesSalariosFiscal[[#This Row],[Dias Lab.]],0)</f>
        <v>504.03540000000004</v>
      </c>
      <c r="J58" s="184">
        <f>IFERROR(TabDesSalariosFiscal[[#This Row],[S.B.C]]*Bono*TabDesSalariosFiscal[[#This Row],[Dias Lab.]],0)</f>
        <v>504.03540000000004</v>
      </c>
      <c r="K58" s="232" cm="1">
        <f t="array" ref="K58">(VLOOKUP(TabDesSalariosFiscal[[#This Row],[id]],TabEmpleados[],COLUMN(TabEmpleados[SD Fiscal]),FALSE))*(VLOOKUP(TabDesSalariosFiscal[[#This Row],[id]],TabAsistencias[],COLUMN(TabAsistencias[''DF]),FALSE))*2</f>
        <v>0</v>
      </c>
      <c r="L58" s="185">
        <f>-1*(SUMIFS(TabPagosFiscal[Monto de pago],TabPagosFiscal[id],TabDesSalariosFiscal[[#This Row],[id]],TabPagosFiscal[Fecha de pago],"&gt;="&amp;Asistencias!$B$2,TabPagosFiscal[Fecha de pago],"&lt;"&amp;Asistencias!$B$3))</f>
        <v>0</v>
      </c>
      <c r="M58" t="str" cm="1">
        <f t="array" ref="M58">getDescripcion(TabDesSalariosFiscal[[#This Row],[id]],"Descuentos-PagosFiscal","TabPagosFiscal",Asistencias!$B$2,Asistencias!$B$3)</f>
        <v/>
      </c>
      <c r="N58" s="186" cm="1">
        <f t="array" ref="N58">IFERROR(-1*(VLOOKUP(TabDesSalariosFiscal[[#This Row],[id]],TabCuotasIMSS[],COLUMN(TabCuotasIMSS[TOTAL
OBRERO19]),FALSE)),0)</f>
        <v>0</v>
      </c>
      <c r="O58" s="187" cm="1">
        <f t="array" ref="O58">IFERROR(-1*(VLOOKUP(TabDesSalariosFiscal[[#This Row],[id]],TabImpuestos[],COLUMN(TabImpuestos[Total ISR]),FALSE)),0)</f>
        <v>-429.74173503999987</v>
      </c>
      <c r="P58" s="188">
        <f>IFERROR(TabDesSalariosFiscal[[#This Row],[Subtotal Fiscal]]+TabDesSalariosFiscal[[#This Row],[Prima dominical]]+TabDesSalariosFiscal[[#This Row],[Prima vacacional]]+TabDesSalariosFiscal[[#This Row],[Bono Asistencia]]+TabDesSalariosFiscal[[#This Row],[Bono Puntualidad]]+TabDesSalariosFiscal[[#This Row],[Dia Festivo/ Descanso]]+TabDesSalariosFiscal[[#This Row],[Descuentos]]+TabDesSalariosFiscal[[#This Row],[IMSS]]+TabDesSalariosFiscal[[#This Row],[ISR]],0)</f>
        <v>4973.3290649599994</v>
      </c>
      <c r="Q58" s="187" cm="1">
        <f t="array" ref="Q58">IFERROR(IF('Desglose Salarios Fiscal'!$Q$1=1,-1*(IF((VLOOKUP(TabDesSalariosFiscal[[#This Row],[id]],TabImpuestos[],COLUMN(TabImpuestos[ISR de Aguinaldo 1]),FALSE))&lt;0,0,(VLOOKUP(TabDesSalariosFiscal[[#This Row],[id]],TabImpuestos[],COLUMN(TabImpuestos[ISR de Aguinaldo 1]),FALSE)))),0),0)</f>
        <v>0</v>
      </c>
      <c r="R58" s="55" cm="1">
        <f t="array" ref="R58">IFERROR(IF('Desglose Salarios Fiscal'!$Q$1=1,(VLOOKUP(TabDesSalariosFiscal[[#This Row],[id]],TabEmpleados[],COLUMN(TabEmpleados[SD Fiscal]),FALSE)*TabDesSalariosFiscal[[#This Row],[Dias de aguinaldo fiscal2]])+TabDesSalariosFiscal[[#This Row],[ISR Aguinaldo]],0),0)</f>
        <v>900</v>
      </c>
      <c r="S58" cm="1">
        <f t="array" ref="S58">IF(YEAR(VLOOKUP(TabDesSalariosFiscal[[#This Row],[id]],TabEmpleados[],COLUMN(TabEmpleados[Fecha de alta NSS]),FALSE))&lt;AñoActual,'Tablas de informacion'!$N$13,_xlfn.DAYS(DATE(AñoActual+1,MONTH(1),DAY(1))-DAY(1),(VLOOKUP(TabDesSalariosFiscal[[#This Row],[id]],TabEmpleados[],COLUMN(TabEmpleados[Fecha de alta NSS]),FALSE))))</f>
        <v>365</v>
      </c>
      <c r="T58" cm="1">
        <f t="array" ref="T58">IFERROR(TabDesSalariosFiscal[[#This Row],[Dias de aguinaldo Fiscal1]]*VLOOKUP(TabDesSalariosFiscal[[#This Row],[Años]],TabFactorIntegracion[],COLUMN(TabFactorIntegracion[Días de
aguinaldo]),FALSE)/'Tablas de informacion'!$N$13,0)</f>
        <v>15</v>
      </c>
    </row>
    <row r="59" spans="1:20" x14ac:dyDescent="0.25">
      <c r="A59" s="176">
        <v>57</v>
      </c>
      <c r="B59" t="str" cm="1">
        <f t="array" ref="B59">VLOOKUP(TabDesSalariosFiscal[[#This Row],[id]],TabEmpleados[],COLUMN(TabEmpleados[Nombre]),FALSE)</f>
        <v>LOPEZ ALMARAZ JOSE ORIOL</v>
      </c>
      <c r="C59" s="148" cm="1">
        <f t="array" ref="C59">IF(VLOOKUP(TabDesSalariosFiscal[[#This Row],[id]],TabEmpleados[],COLUMN(TabEmpleados[Fecha de alta NSS]),FALSE)&lt;&gt;"",
VLOOKUP(TabDesSalariosFiscal[[#This Row],[id]],TabAsistencias[],COLUMN(TabAsistencias[''Total de dias laborados]),FALSE),
0)</f>
        <v>73</v>
      </c>
      <c r="D59" s="179" cm="1">
        <f t="array" ref="D59">(VLOOKUP(TabDesSalariosFiscal[[#This Row],[id]],TabEmpleados[],COLUMN(TabEmpleados[SD Fiscal]),FALSE))*
TabDesSalariosFiscal[[#This Row],[Dias Lab.]]</f>
        <v>4818</v>
      </c>
      <c r="E59" s="180" cm="1">
        <f t="array" ref="E59">IF(VLOOKUP(TabDesSalariosFiscal[[#This Row],[id]],TabEmpleados[],COLUMN(TabEmpleados[Fecha de alta NSS]),FALSE)&lt;&gt;"",
IF(DATEDIF((VLOOKUP(TabDesSalariosFiscal[[#This Row],[id]],TabEmpleados[],COLUMN(TabEmpleados[Fecha de alta NSS]),FALSE)),'Tablas de informacion'!N$8,"Y")=0,1,
DATEDIF((VLOOKUP(TabDesSalariosFiscal[[#This Row],[id]],TabEmpleados[],COLUMN(TabEmpleados[Fecha de alta NSS]),FALSE)),'Tablas de informacion'!N$8,"Y")),0)</f>
        <v>1</v>
      </c>
      <c r="F59" s="181" cm="1">
        <f t="array" ref="F59">IFERROR((VLOOKUP(TabDesSalariosFiscal[[#This Row],[id]],TabEmpleados[],COLUMN(TabEmpleados[SD Fiscal]),FALSE))*
(VLOOKUP(TabDesSalariosFiscal[[#This Row],[Años]],TabFactorIntegracion[],COLUMN(TabFactorIntegracion[% de prima 
vacacional y dominical]),FALSE))*
IF((VLOOKUP(TabDesSalariosFiscal[[#This Row],[id]],TabAsistencias[],COLUMN(TabAsistencias[''Prima dominical]),FALSE))&lt;DominicalFiscal,(VLOOKUP(TabDesSalariosFiscal[[#This Row],[id]],TabAsistencias[],COLUMN(TabAsistencias[''Total de dias laborados]),FALSE)),DominicalFiscal)*
(VLOOKUP((VLOOKUP(TabDesSalariosFiscal[[#This Row],[id]],TabEmpleados[],COLUMN(TabEmpleados[Puesto]),FALSE)),TabPuestos[],COLUMN(TabPuestos[PRIMA DOMINICAL]),FALSE)),0)</f>
        <v>16.5</v>
      </c>
      <c r="G59" s="182" cm="1">
        <f t="array" ref="G59">IFERROR((VLOOKUP(TabDesSalariosFiscal[[#This Row],[id]],TabEmpleados[],COLUMN(TabEmpleados[SD Fiscal]),FALSE))*
(VLOOKUP(TabDesSalariosFiscal[[#This Row],[Años]],TabFactorIntegracion[],COLUMN(TabFactorIntegracion[% de prima 
vacacional y dominical]),FALSE))*
((VLOOKUP(TabDesSalariosFiscal[[#This Row],[id]],TabAsistencias[],COLUMN(TabAsistencias[''V]),FALSE))),0)</f>
        <v>0</v>
      </c>
      <c r="H59" s="183" cm="1">
        <f t="array" ref="H59">IFERROR(VLOOKUP(TabDesSalariosFiscal[[#This Row],[id]],TabCuotasIMSS[],COLUMN(TabCuotasIMSS[S.B.C./S.D.I.]),FALSE),0)</f>
        <v>75.950539726027401</v>
      </c>
      <c r="I59" s="184">
        <f>IFERROR(TabDesSalariosFiscal[[#This Row],[S.B.C]]*Bono*TabDesSalariosFiscal[[#This Row],[Dias Lab.]],0)</f>
        <v>554.43894000000012</v>
      </c>
      <c r="J59" s="184">
        <f>IFERROR(TabDesSalariosFiscal[[#This Row],[S.B.C]]*Bono*TabDesSalariosFiscal[[#This Row],[Dias Lab.]],0)</f>
        <v>554.43894000000012</v>
      </c>
      <c r="K59" s="232" cm="1">
        <f t="array" ref="K59">(VLOOKUP(TabDesSalariosFiscal[[#This Row],[id]],TabEmpleados[],COLUMN(TabEmpleados[SD Fiscal]),FALSE))*(VLOOKUP(TabDesSalariosFiscal[[#This Row],[id]],TabAsistencias[],COLUMN(TabAsistencias[''DF]),FALSE))*2</f>
        <v>0</v>
      </c>
      <c r="L59" s="185">
        <f>-1*(SUMIFS(TabPagosFiscal[Monto de pago],TabPagosFiscal[id],TabDesSalariosFiscal[[#This Row],[id]],TabPagosFiscal[Fecha de pago],"&gt;="&amp;Asistencias!$B$2,TabPagosFiscal[Fecha de pago],"&lt;"&amp;Asistencias!$B$3))</f>
        <v>0</v>
      </c>
      <c r="M59" t="str" cm="1">
        <f t="array" ref="M59">getDescripcion(TabDesSalariosFiscal[[#This Row],[id]],"Descuentos-PagosFiscal","TabPagosFiscal",Asistencias!$B$2,Asistencias!$B$3)</f>
        <v/>
      </c>
      <c r="N59" s="186" cm="1">
        <f t="array" ref="N59">IFERROR(-1*(VLOOKUP(TabDesSalariosFiscal[[#This Row],[id]],TabCuotasIMSS[],COLUMN(TabCuotasIMSS[TOTAL
OBRERO19]),FALSE)),0)</f>
        <v>0</v>
      </c>
      <c r="O59" s="187" cm="1">
        <f t="array" ref="O59">IFERROR(-1*(VLOOKUP(TabDesSalariosFiscal[[#This Row],[id]],TabImpuestos[],COLUMN(TabImpuestos[Total ISR]),FALSE)),0)</f>
        <v>-510.77886079999996</v>
      </c>
      <c r="P59" s="188">
        <f>IFERROR(TabDesSalariosFiscal[[#This Row],[Subtotal Fiscal]]+TabDesSalariosFiscal[[#This Row],[Prima dominical]]+TabDesSalariosFiscal[[#This Row],[Prima vacacional]]+TabDesSalariosFiscal[[#This Row],[Bono Asistencia]]+TabDesSalariosFiscal[[#This Row],[Bono Puntualidad]]+TabDesSalariosFiscal[[#This Row],[Dia Festivo/ Descanso]]+TabDesSalariosFiscal[[#This Row],[Descuentos]]+TabDesSalariosFiscal[[#This Row],[IMSS]]+TabDesSalariosFiscal[[#This Row],[ISR]],0)</f>
        <v>5432.5990191999999</v>
      </c>
      <c r="Q59" s="187" cm="1">
        <f t="array" ref="Q59">IFERROR(IF('Desglose Salarios Fiscal'!$Q$1=1,-1*(IF((VLOOKUP(TabDesSalariosFiscal[[#This Row],[id]],TabImpuestos[],COLUMN(TabImpuestos[ISR de Aguinaldo 1]),FALSE))&lt;0,0,(VLOOKUP(TabDesSalariosFiscal[[#This Row],[id]],TabImpuestos[],COLUMN(TabImpuestos[ISR de Aguinaldo 1]),FALSE)))),0),0)</f>
        <v>0</v>
      </c>
      <c r="R59" s="55" cm="1">
        <f t="array" ref="R59">IFERROR(IF('Desglose Salarios Fiscal'!$Q$1=1,(VLOOKUP(TabDesSalariosFiscal[[#This Row],[id]],TabEmpleados[],COLUMN(TabEmpleados[SD Fiscal]),FALSE)*TabDesSalariosFiscal[[#This Row],[Dias de aguinaldo fiscal2]])+TabDesSalariosFiscal[[#This Row],[ISR Aguinaldo]],0),0)</f>
        <v>990</v>
      </c>
      <c r="S59" cm="1">
        <f t="array" ref="S59">IF(YEAR(VLOOKUP(TabDesSalariosFiscal[[#This Row],[id]],TabEmpleados[],COLUMN(TabEmpleados[Fecha de alta NSS]),FALSE))&lt;AñoActual,'Tablas de informacion'!$N$13,_xlfn.DAYS(DATE(AñoActual+1,MONTH(1),DAY(1))-DAY(1),(VLOOKUP(TabDesSalariosFiscal[[#This Row],[id]],TabEmpleados[],COLUMN(TabEmpleados[Fecha de alta NSS]),FALSE))))</f>
        <v>365</v>
      </c>
      <c r="T59" cm="1">
        <f t="array" ref="T59">IFERROR(TabDesSalariosFiscal[[#This Row],[Dias de aguinaldo Fiscal1]]*VLOOKUP(TabDesSalariosFiscal[[#This Row],[Años]],TabFactorIntegracion[],COLUMN(TabFactorIntegracion[Días de
aguinaldo]),FALSE)/'Tablas de informacion'!$N$13,0)</f>
        <v>15</v>
      </c>
    </row>
    <row r="60" spans="1:20" x14ac:dyDescent="0.25">
      <c r="A60" s="176">
        <v>58</v>
      </c>
      <c r="B60" t="str" cm="1">
        <f t="array" ref="B60">VLOOKUP(TabDesSalariosFiscal[[#This Row],[id]],TabEmpleados[],COLUMN(TabEmpleados[Nombre]),FALSE)</f>
        <v>JUAREZ GARCIA NED</v>
      </c>
      <c r="C60" s="148" cm="1">
        <f t="array" ref="C60">IF(VLOOKUP(TabDesSalariosFiscal[[#This Row],[id]],TabEmpleados[],COLUMN(TabEmpleados[Fecha de alta NSS]),FALSE)&lt;&gt;"",
VLOOKUP(TabDesSalariosFiscal[[#This Row],[id]],TabAsistencias[],COLUMN(TabAsistencias[''Total de dias laborados]),FALSE),
0)</f>
        <v>73</v>
      </c>
      <c r="D60" s="179" cm="1">
        <f t="array" ref="D60">(VLOOKUP(TabDesSalariosFiscal[[#This Row],[id]],TabEmpleados[],COLUMN(TabEmpleados[SD Fiscal]),FALSE))*
TabDesSalariosFiscal[[#This Row],[Dias Lab.]]</f>
        <v>4818</v>
      </c>
      <c r="E60" s="180" cm="1">
        <f t="array" ref="E60">IF(VLOOKUP(TabDesSalariosFiscal[[#This Row],[id]],TabEmpleados[],COLUMN(TabEmpleados[Fecha de alta NSS]),FALSE)&lt;&gt;"",
IF(DATEDIF((VLOOKUP(TabDesSalariosFiscal[[#This Row],[id]],TabEmpleados[],COLUMN(TabEmpleados[Fecha de alta NSS]),FALSE)),'Tablas de informacion'!N$8,"Y")=0,1,
DATEDIF((VLOOKUP(TabDesSalariosFiscal[[#This Row],[id]],TabEmpleados[],COLUMN(TabEmpleados[Fecha de alta NSS]),FALSE)),'Tablas de informacion'!N$8,"Y")),0)</f>
        <v>1</v>
      </c>
      <c r="F60" s="181" cm="1">
        <f t="array" ref="F60">IFERROR((VLOOKUP(TabDesSalariosFiscal[[#This Row],[id]],TabEmpleados[],COLUMN(TabEmpleados[SD Fiscal]),FALSE))*
(VLOOKUP(TabDesSalariosFiscal[[#This Row],[Años]],TabFactorIntegracion[],COLUMN(TabFactorIntegracion[% de prima 
vacacional y dominical]),FALSE))*
IF((VLOOKUP(TabDesSalariosFiscal[[#This Row],[id]],TabAsistencias[],COLUMN(TabAsistencias[''Prima dominical]),FALSE))&lt;DominicalFiscal,(VLOOKUP(TabDesSalariosFiscal[[#This Row],[id]],TabAsistencias[],COLUMN(TabAsistencias[''Total de dias laborados]),FALSE)),DominicalFiscal)*
(VLOOKUP((VLOOKUP(TabDesSalariosFiscal[[#This Row],[id]],TabEmpleados[],COLUMN(TabEmpleados[Puesto]),FALSE)),TabPuestos[],COLUMN(TabPuestos[PRIMA DOMINICAL]),FALSE)),0)</f>
        <v>16.5</v>
      </c>
      <c r="G60" s="182" cm="1">
        <f t="array" ref="G60">IFERROR((VLOOKUP(TabDesSalariosFiscal[[#This Row],[id]],TabEmpleados[],COLUMN(TabEmpleados[SD Fiscal]),FALSE))*
(VLOOKUP(TabDesSalariosFiscal[[#This Row],[Años]],TabFactorIntegracion[],COLUMN(TabFactorIntegracion[% de prima 
vacacional y dominical]),FALSE))*
((VLOOKUP(TabDesSalariosFiscal[[#This Row],[id]],TabAsistencias[],COLUMN(TabAsistencias[''V]),FALSE))),0)</f>
        <v>0</v>
      </c>
      <c r="H60" s="183" cm="1">
        <f t="array" ref="H60">IFERROR(VLOOKUP(TabDesSalariosFiscal[[#This Row],[id]],TabCuotasIMSS[],COLUMN(TabCuotasIMSS[S.B.C./S.D.I.]),FALSE),0)</f>
        <v>75.950539726027401</v>
      </c>
      <c r="I60" s="184">
        <f>IFERROR(TabDesSalariosFiscal[[#This Row],[S.B.C]]*Bono*TabDesSalariosFiscal[[#This Row],[Dias Lab.]],0)</f>
        <v>554.43894000000012</v>
      </c>
      <c r="J60" s="184">
        <f>IFERROR(TabDesSalariosFiscal[[#This Row],[S.B.C]]*Bono*TabDesSalariosFiscal[[#This Row],[Dias Lab.]],0)</f>
        <v>554.43894000000012</v>
      </c>
      <c r="K60" s="232" cm="1">
        <f t="array" ref="K60">(VLOOKUP(TabDesSalariosFiscal[[#This Row],[id]],TabEmpleados[],COLUMN(TabEmpleados[SD Fiscal]),FALSE))*(VLOOKUP(TabDesSalariosFiscal[[#This Row],[id]],TabAsistencias[],COLUMN(TabAsistencias[''DF]),FALSE))*2</f>
        <v>0</v>
      </c>
      <c r="L60" s="185">
        <f>-1*(SUMIFS(TabPagosFiscal[Monto de pago],TabPagosFiscal[id],TabDesSalariosFiscal[[#This Row],[id]],TabPagosFiscal[Fecha de pago],"&gt;="&amp;Asistencias!$B$2,TabPagosFiscal[Fecha de pago],"&lt;"&amp;Asistencias!$B$3))</f>
        <v>0</v>
      </c>
      <c r="M60" t="str" cm="1">
        <f t="array" ref="M60">getDescripcion(TabDesSalariosFiscal[[#This Row],[id]],"Descuentos-PagosFiscal","TabPagosFiscal",Asistencias!$B$2,Asistencias!$B$3)</f>
        <v/>
      </c>
      <c r="N60" s="186" cm="1">
        <f t="array" ref="N60">IFERROR(-1*(VLOOKUP(TabDesSalariosFiscal[[#This Row],[id]],TabCuotasIMSS[],COLUMN(TabCuotasIMSS[TOTAL
OBRERO19]),FALSE)),0)</f>
        <v>0</v>
      </c>
      <c r="O60" s="187" cm="1">
        <f t="array" ref="O60">IFERROR(-1*(VLOOKUP(TabDesSalariosFiscal[[#This Row],[id]],TabImpuestos[],COLUMN(TabImpuestos[Total ISR]),FALSE)),0)</f>
        <v>-510.77886079999996</v>
      </c>
      <c r="P60" s="188">
        <f>IFERROR(TabDesSalariosFiscal[[#This Row],[Subtotal Fiscal]]+TabDesSalariosFiscal[[#This Row],[Prima dominical]]+TabDesSalariosFiscal[[#This Row],[Prima vacacional]]+TabDesSalariosFiscal[[#This Row],[Bono Asistencia]]+TabDesSalariosFiscal[[#This Row],[Bono Puntualidad]]+TabDesSalariosFiscal[[#This Row],[Dia Festivo/ Descanso]]+TabDesSalariosFiscal[[#This Row],[Descuentos]]+TabDesSalariosFiscal[[#This Row],[IMSS]]+TabDesSalariosFiscal[[#This Row],[ISR]],0)</f>
        <v>5432.5990191999999</v>
      </c>
      <c r="Q60" s="187" cm="1">
        <f t="array" ref="Q60">IFERROR(IF('Desglose Salarios Fiscal'!$Q$1=1,-1*(IF((VLOOKUP(TabDesSalariosFiscal[[#This Row],[id]],TabImpuestos[],COLUMN(TabImpuestos[ISR de Aguinaldo 1]),FALSE))&lt;0,0,(VLOOKUP(TabDesSalariosFiscal[[#This Row],[id]],TabImpuestos[],COLUMN(TabImpuestos[ISR de Aguinaldo 1]),FALSE)))),0),0)</f>
        <v>0</v>
      </c>
      <c r="R60" s="55" cm="1">
        <f t="array" ref="R60">IFERROR(IF('Desglose Salarios Fiscal'!$Q$1=1,(VLOOKUP(TabDesSalariosFiscal[[#This Row],[id]],TabEmpleados[],COLUMN(TabEmpleados[SD Fiscal]),FALSE)*TabDesSalariosFiscal[[#This Row],[Dias de aguinaldo fiscal2]])+TabDesSalariosFiscal[[#This Row],[ISR Aguinaldo]],0),0)</f>
        <v>990</v>
      </c>
      <c r="S60" cm="1">
        <f t="array" ref="S60">IF(YEAR(VLOOKUP(TabDesSalariosFiscal[[#This Row],[id]],TabEmpleados[],COLUMN(TabEmpleados[Fecha de alta NSS]),FALSE))&lt;AñoActual,'Tablas de informacion'!$N$13,_xlfn.DAYS(DATE(AñoActual+1,MONTH(1),DAY(1))-DAY(1),(VLOOKUP(TabDesSalariosFiscal[[#This Row],[id]],TabEmpleados[],COLUMN(TabEmpleados[Fecha de alta NSS]),FALSE))))</f>
        <v>365</v>
      </c>
      <c r="T60" cm="1">
        <f t="array" ref="T60">IFERROR(TabDesSalariosFiscal[[#This Row],[Dias de aguinaldo Fiscal1]]*VLOOKUP(TabDesSalariosFiscal[[#This Row],[Años]],TabFactorIntegracion[],COLUMN(TabFactorIntegracion[Días de
aguinaldo]),FALSE)/'Tablas de informacion'!$N$13,0)</f>
        <v>15</v>
      </c>
    </row>
    <row r="61" spans="1:20" x14ac:dyDescent="0.25">
      <c r="A61" s="176">
        <v>59</v>
      </c>
      <c r="B61" t="str" cm="1">
        <f t="array" ref="B61">VLOOKUP(TabDesSalariosFiscal[[#This Row],[id]],TabEmpleados[],COLUMN(TabEmpleados[Nombre]),FALSE)</f>
        <v>SOLIS HERNANDEZ JAVIER</v>
      </c>
      <c r="C61" s="148" cm="1">
        <f t="array" ref="C61">IF(VLOOKUP(TabDesSalariosFiscal[[#This Row],[id]],TabEmpleados[],COLUMN(TabEmpleados[Fecha de alta NSS]),FALSE)&lt;&gt;"",
VLOOKUP(TabDesSalariosFiscal[[#This Row],[id]],TabAsistencias[],COLUMN(TabAsistencias[''Total de dias laborados]),FALSE),
0)</f>
        <v>73</v>
      </c>
      <c r="D61" s="179" cm="1">
        <f t="array" ref="D61">(VLOOKUP(TabDesSalariosFiscal[[#This Row],[id]],TabEmpleados[],COLUMN(TabEmpleados[SD Fiscal]),FALSE))*
TabDesSalariosFiscal[[#This Row],[Dias Lab.]]</f>
        <v>4380</v>
      </c>
      <c r="E61" s="180" cm="1">
        <f t="array" ref="E61">IF(VLOOKUP(TabDesSalariosFiscal[[#This Row],[id]],TabEmpleados[],COLUMN(TabEmpleados[Fecha de alta NSS]),FALSE)&lt;&gt;"",
IF(DATEDIF((VLOOKUP(TabDesSalariosFiscal[[#This Row],[id]],TabEmpleados[],COLUMN(TabEmpleados[Fecha de alta NSS]),FALSE)),'Tablas de informacion'!N$8,"Y")=0,1,
DATEDIF((VLOOKUP(TabDesSalariosFiscal[[#This Row],[id]],TabEmpleados[],COLUMN(TabEmpleados[Fecha de alta NSS]),FALSE)),'Tablas de informacion'!N$8,"Y")),0)</f>
        <v>1</v>
      </c>
      <c r="F61" s="181" cm="1">
        <f t="array" ref="F61">IFERROR((VLOOKUP(TabDesSalariosFiscal[[#This Row],[id]],TabEmpleados[],COLUMN(TabEmpleados[SD Fiscal]),FALSE))*
(VLOOKUP(TabDesSalariosFiscal[[#This Row],[Años]],TabFactorIntegracion[],COLUMN(TabFactorIntegracion[% de prima 
vacacional y dominical]),FALSE))*
IF((VLOOKUP(TabDesSalariosFiscal[[#This Row],[id]],TabAsistencias[],COLUMN(TabAsistencias[''Prima dominical]),FALSE))&lt;DominicalFiscal,(VLOOKUP(TabDesSalariosFiscal[[#This Row],[id]],TabAsistencias[],COLUMN(TabAsistencias[''Total de dias laborados]),FALSE)),DominicalFiscal)*
(VLOOKUP((VLOOKUP(TabDesSalariosFiscal[[#This Row],[id]],TabEmpleados[],COLUMN(TabEmpleados[Puesto]),FALSE)),TabPuestos[],COLUMN(TabPuestos[PRIMA DOMINICAL]),FALSE)),0)</f>
        <v>15</v>
      </c>
      <c r="G61" s="182" cm="1">
        <f t="array" ref="G61">IFERROR((VLOOKUP(TabDesSalariosFiscal[[#This Row],[id]],TabEmpleados[],COLUMN(TabEmpleados[SD Fiscal]),FALSE))*
(VLOOKUP(TabDesSalariosFiscal[[#This Row],[Años]],TabFactorIntegracion[],COLUMN(TabFactorIntegracion[% de prima 
vacacional y dominical]),FALSE))*
((VLOOKUP(TabDesSalariosFiscal[[#This Row],[id]],TabAsistencias[],COLUMN(TabAsistencias[''V]),FALSE))),0)</f>
        <v>0</v>
      </c>
      <c r="H61" s="183" cm="1">
        <f t="array" ref="H61">IFERROR(VLOOKUP(TabDesSalariosFiscal[[#This Row],[id]],TabCuotasIMSS[],COLUMN(TabCuotasIMSS[S.B.C./S.D.I.]),FALSE),0)</f>
        <v>69.045945205479455</v>
      </c>
      <c r="I61" s="184">
        <f>IFERROR(TabDesSalariosFiscal[[#This Row],[S.B.C]]*Bono*TabDesSalariosFiscal[[#This Row],[Dias Lab.]],0)</f>
        <v>504.03540000000004</v>
      </c>
      <c r="J61" s="184">
        <f>IFERROR(TabDesSalariosFiscal[[#This Row],[S.B.C]]*Bono*TabDesSalariosFiscal[[#This Row],[Dias Lab.]],0)</f>
        <v>504.03540000000004</v>
      </c>
      <c r="K61" s="232" cm="1">
        <f t="array" ref="K61">(VLOOKUP(TabDesSalariosFiscal[[#This Row],[id]],TabEmpleados[],COLUMN(TabEmpleados[SD Fiscal]),FALSE))*(VLOOKUP(TabDesSalariosFiscal[[#This Row],[id]],TabAsistencias[],COLUMN(TabAsistencias[''DF]),FALSE))*2</f>
        <v>0</v>
      </c>
      <c r="L61" s="185">
        <f>-1*(SUMIFS(TabPagosFiscal[Monto de pago],TabPagosFiscal[id],TabDesSalariosFiscal[[#This Row],[id]],TabPagosFiscal[Fecha de pago],"&gt;="&amp;Asistencias!$B$2,TabPagosFiscal[Fecha de pago],"&lt;"&amp;Asistencias!$B$3))</f>
        <v>0</v>
      </c>
      <c r="M61" t="str" cm="1">
        <f t="array" ref="M61">getDescripcion(TabDesSalariosFiscal[[#This Row],[id]],"Descuentos-PagosFiscal","TabPagosFiscal",Asistencias!$B$2,Asistencias!$B$3)</f>
        <v/>
      </c>
      <c r="N61" s="186" cm="1">
        <f t="array" ref="N61">IFERROR(-1*(VLOOKUP(TabDesSalariosFiscal[[#This Row],[id]],TabCuotasIMSS[],COLUMN(TabCuotasIMSS[TOTAL
OBRERO19]),FALSE)),0)</f>
        <v>0</v>
      </c>
      <c r="O61" s="187" cm="1">
        <f t="array" ref="O61">IFERROR(-1*(VLOOKUP(TabDesSalariosFiscal[[#This Row],[id]],TabImpuestos[],COLUMN(TabImpuestos[Total ISR]),FALSE)),0)</f>
        <v>-429.74173503999987</v>
      </c>
      <c r="P61" s="188">
        <f>IFERROR(TabDesSalariosFiscal[[#This Row],[Subtotal Fiscal]]+TabDesSalariosFiscal[[#This Row],[Prima dominical]]+TabDesSalariosFiscal[[#This Row],[Prima vacacional]]+TabDesSalariosFiscal[[#This Row],[Bono Asistencia]]+TabDesSalariosFiscal[[#This Row],[Bono Puntualidad]]+TabDesSalariosFiscal[[#This Row],[Dia Festivo/ Descanso]]+TabDesSalariosFiscal[[#This Row],[Descuentos]]+TabDesSalariosFiscal[[#This Row],[IMSS]]+TabDesSalariosFiscal[[#This Row],[ISR]],0)</f>
        <v>4973.3290649599994</v>
      </c>
      <c r="Q61" s="187" cm="1">
        <f t="array" ref="Q61">IFERROR(IF('Desglose Salarios Fiscal'!$Q$1=1,-1*(IF((VLOOKUP(TabDesSalariosFiscal[[#This Row],[id]],TabImpuestos[],COLUMN(TabImpuestos[ISR de Aguinaldo 1]),FALSE))&lt;0,0,(VLOOKUP(TabDesSalariosFiscal[[#This Row],[id]],TabImpuestos[],COLUMN(TabImpuestos[ISR de Aguinaldo 1]),FALSE)))),0),0)</f>
        <v>0</v>
      </c>
      <c r="R61" s="55" cm="1">
        <f t="array" ref="R61">IFERROR(IF('Desglose Salarios Fiscal'!$Q$1=1,(VLOOKUP(TabDesSalariosFiscal[[#This Row],[id]],TabEmpleados[],COLUMN(TabEmpleados[SD Fiscal]),FALSE)*TabDesSalariosFiscal[[#This Row],[Dias de aguinaldo fiscal2]])+TabDesSalariosFiscal[[#This Row],[ISR Aguinaldo]],0),0)</f>
        <v>900</v>
      </c>
      <c r="S61" cm="1">
        <f t="array" ref="S61">IF(YEAR(VLOOKUP(TabDesSalariosFiscal[[#This Row],[id]],TabEmpleados[],COLUMN(TabEmpleados[Fecha de alta NSS]),FALSE))&lt;AñoActual,'Tablas de informacion'!$N$13,_xlfn.DAYS(DATE(AñoActual+1,MONTH(1),DAY(1))-DAY(1),(VLOOKUP(TabDesSalariosFiscal[[#This Row],[id]],TabEmpleados[],COLUMN(TabEmpleados[Fecha de alta NSS]),FALSE))))</f>
        <v>365</v>
      </c>
      <c r="T61" cm="1">
        <f t="array" ref="T61">IFERROR(TabDesSalariosFiscal[[#This Row],[Dias de aguinaldo Fiscal1]]*VLOOKUP(TabDesSalariosFiscal[[#This Row],[Años]],TabFactorIntegracion[],COLUMN(TabFactorIntegracion[Días de
aguinaldo]),FALSE)/'Tablas de informacion'!$N$13,0)</f>
        <v>15</v>
      </c>
    </row>
    <row r="62" spans="1:20" x14ac:dyDescent="0.25">
      <c r="A62" s="176">
        <v>60</v>
      </c>
      <c r="B62" t="str" cm="1">
        <f t="array" ref="B62">VLOOKUP(TabDesSalariosFiscal[[#This Row],[id]],TabEmpleados[],COLUMN(TabEmpleados[Nombre]),FALSE)</f>
        <v xml:space="preserve">LUIS MARTINEZ CESAR URIEL </v>
      </c>
      <c r="C62" s="148" cm="1">
        <f t="array" ref="C62">IF(VLOOKUP(TabDesSalariosFiscal[[#This Row],[id]],TabEmpleados[],COLUMN(TabEmpleados[Fecha de alta NSS]),FALSE)&lt;&gt;"",
VLOOKUP(TabDesSalariosFiscal[[#This Row],[id]],TabAsistencias[],COLUMN(TabAsistencias[''Total de dias laborados]),FALSE),
0)</f>
        <v>73</v>
      </c>
      <c r="D62" s="179" cm="1">
        <f t="array" ref="D62">(VLOOKUP(TabDesSalariosFiscal[[#This Row],[id]],TabEmpleados[],COLUMN(TabEmpleados[SD Fiscal]),FALSE))*
TabDesSalariosFiscal[[#This Row],[Dias Lab.]]</f>
        <v>4380</v>
      </c>
      <c r="E62" s="180" cm="1">
        <f t="array" ref="E62">IF(VLOOKUP(TabDesSalariosFiscal[[#This Row],[id]],TabEmpleados[],COLUMN(TabEmpleados[Fecha de alta NSS]),FALSE)&lt;&gt;"",
IF(DATEDIF((VLOOKUP(TabDesSalariosFiscal[[#This Row],[id]],TabEmpleados[],COLUMN(TabEmpleados[Fecha de alta NSS]),FALSE)),'Tablas de informacion'!N$8,"Y")=0,1,
DATEDIF((VLOOKUP(TabDesSalariosFiscal[[#This Row],[id]],TabEmpleados[],COLUMN(TabEmpleados[Fecha de alta NSS]),FALSE)),'Tablas de informacion'!N$8,"Y")),0)</f>
        <v>1</v>
      </c>
      <c r="F62" s="181" cm="1">
        <f t="array" ref="F62">IFERROR((VLOOKUP(TabDesSalariosFiscal[[#This Row],[id]],TabEmpleados[],COLUMN(TabEmpleados[SD Fiscal]),FALSE))*
(VLOOKUP(TabDesSalariosFiscal[[#This Row],[Años]],TabFactorIntegracion[],COLUMN(TabFactorIntegracion[% de prima 
vacacional y dominical]),FALSE))*
IF((VLOOKUP(TabDesSalariosFiscal[[#This Row],[id]],TabAsistencias[],COLUMN(TabAsistencias[''Prima dominical]),FALSE))&lt;DominicalFiscal,(VLOOKUP(TabDesSalariosFiscal[[#This Row],[id]],TabAsistencias[],COLUMN(TabAsistencias[''Total de dias laborados]),FALSE)),DominicalFiscal)*
(VLOOKUP((VLOOKUP(TabDesSalariosFiscal[[#This Row],[id]],TabEmpleados[],COLUMN(TabEmpleados[Puesto]),FALSE)),TabPuestos[],COLUMN(TabPuestos[PRIMA DOMINICAL]),FALSE)),0)</f>
        <v>15</v>
      </c>
      <c r="G62" s="182" cm="1">
        <f t="array" ref="G62">IFERROR((VLOOKUP(TabDesSalariosFiscal[[#This Row],[id]],TabEmpleados[],COLUMN(TabEmpleados[SD Fiscal]),FALSE))*
(VLOOKUP(TabDesSalariosFiscal[[#This Row],[Años]],TabFactorIntegracion[],COLUMN(TabFactorIntegracion[% de prima 
vacacional y dominical]),FALSE))*
((VLOOKUP(TabDesSalariosFiscal[[#This Row],[id]],TabAsistencias[],COLUMN(TabAsistencias[''V]),FALSE))),0)</f>
        <v>0</v>
      </c>
      <c r="H62" s="183" cm="1">
        <f t="array" ref="H62">IFERROR(VLOOKUP(TabDesSalariosFiscal[[#This Row],[id]],TabCuotasIMSS[],COLUMN(TabCuotasIMSS[S.B.C./S.D.I.]),FALSE),0)</f>
        <v>69.045945205479455</v>
      </c>
      <c r="I62" s="184">
        <f>IFERROR(TabDesSalariosFiscal[[#This Row],[S.B.C]]*Bono*TabDesSalariosFiscal[[#This Row],[Dias Lab.]],0)</f>
        <v>504.03540000000004</v>
      </c>
      <c r="J62" s="184">
        <f>IFERROR(TabDesSalariosFiscal[[#This Row],[S.B.C]]*Bono*TabDesSalariosFiscal[[#This Row],[Dias Lab.]],0)</f>
        <v>504.03540000000004</v>
      </c>
      <c r="K62" s="232" cm="1">
        <f t="array" ref="K62">(VLOOKUP(TabDesSalariosFiscal[[#This Row],[id]],TabEmpleados[],COLUMN(TabEmpleados[SD Fiscal]),FALSE))*(VLOOKUP(TabDesSalariosFiscal[[#This Row],[id]],TabAsistencias[],COLUMN(TabAsistencias[''DF]),FALSE))*2</f>
        <v>0</v>
      </c>
      <c r="L62" s="185">
        <f>-1*(SUMIFS(TabPagosFiscal[Monto de pago],TabPagosFiscal[id],TabDesSalariosFiscal[[#This Row],[id]],TabPagosFiscal[Fecha de pago],"&gt;="&amp;Asistencias!$B$2,TabPagosFiscal[Fecha de pago],"&lt;"&amp;Asistencias!$B$3))</f>
        <v>0</v>
      </c>
      <c r="M62" t="str" cm="1">
        <f t="array" ref="M62">getDescripcion(TabDesSalariosFiscal[[#This Row],[id]],"Descuentos-PagosFiscal","TabPagosFiscal",Asistencias!$B$2,Asistencias!$B$3)</f>
        <v/>
      </c>
      <c r="N62" s="186" cm="1">
        <f t="array" ref="N62">IFERROR(-1*(VLOOKUP(TabDesSalariosFiscal[[#This Row],[id]],TabCuotasIMSS[],COLUMN(TabCuotasIMSS[TOTAL
OBRERO19]),FALSE)),0)</f>
        <v>0</v>
      </c>
      <c r="O62" s="187" cm="1">
        <f t="array" ref="O62">IFERROR(-1*(VLOOKUP(TabDesSalariosFiscal[[#This Row],[id]],TabImpuestos[],COLUMN(TabImpuestos[Total ISR]),FALSE)),0)</f>
        <v>-429.74173503999987</v>
      </c>
      <c r="P62" s="188">
        <f>IFERROR(TabDesSalariosFiscal[[#This Row],[Subtotal Fiscal]]+TabDesSalariosFiscal[[#This Row],[Prima dominical]]+TabDesSalariosFiscal[[#This Row],[Prima vacacional]]+TabDesSalariosFiscal[[#This Row],[Bono Asistencia]]+TabDesSalariosFiscal[[#This Row],[Bono Puntualidad]]+TabDesSalariosFiscal[[#This Row],[Dia Festivo/ Descanso]]+TabDesSalariosFiscal[[#This Row],[Descuentos]]+TabDesSalariosFiscal[[#This Row],[IMSS]]+TabDesSalariosFiscal[[#This Row],[ISR]],0)</f>
        <v>4973.3290649599994</v>
      </c>
      <c r="Q62" s="187" cm="1">
        <f t="array" ref="Q62">IFERROR(IF('Desglose Salarios Fiscal'!$Q$1=1,-1*(IF((VLOOKUP(TabDesSalariosFiscal[[#This Row],[id]],TabImpuestos[],COLUMN(TabImpuestos[ISR de Aguinaldo 1]),FALSE))&lt;0,0,(VLOOKUP(TabDesSalariosFiscal[[#This Row],[id]],TabImpuestos[],COLUMN(TabImpuestos[ISR de Aguinaldo 1]),FALSE)))),0),0)</f>
        <v>0</v>
      </c>
      <c r="R62" s="55" cm="1">
        <f t="array" ref="R62">IFERROR(IF('Desglose Salarios Fiscal'!$Q$1=1,(VLOOKUP(TabDesSalariosFiscal[[#This Row],[id]],TabEmpleados[],COLUMN(TabEmpleados[SD Fiscal]),FALSE)*TabDesSalariosFiscal[[#This Row],[Dias de aguinaldo fiscal2]])+TabDesSalariosFiscal[[#This Row],[ISR Aguinaldo]],0),0)</f>
        <v>900</v>
      </c>
      <c r="S62" cm="1">
        <f t="array" ref="S62">IF(YEAR(VLOOKUP(TabDesSalariosFiscal[[#This Row],[id]],TabEmpleados[],COLUMN(TabEmpleados[Fecha de alta NSS]),FALSE))&lt;AñoActual,'Tablas de informacion'!$N$13,_xlfn.DAYS(DATE(AñoActual+1,MONTH(1),DAY(1))-DAY(1),(VLOOKUP(TabDesSalariosFiscal[[#This Row],[id]],TabEmpleados[],COLUMN(TabEmpleados[Fecha de alta NSS]),FALSE))))</f>
        <v>365</v>
      </c>
      <c r="T62" cm="1">
        <f t="array" ref="T62">IFERROR(TabDesSalariosFiscal[[#This Row],[Dias de aguinaldo Fiscal1]]*VLOOKUP(TabDesSalariosFiscal[[#This Row],[Años]],TabFactorIntegracion[],COLUMN(TabFactorIntegracion[Días de
aguinaldo]),FALSE)/'Tablas de informacion'!$N$13,0)</f>
        <v>15</v>
      </c>
    </row>
    <row r="63" spans="1:20" x14ac:dyDescent="0.25">
      <c r="A63" s="176">
        <v>61</v>
      </c>
      <c r="B63" t="str" cm="1">
        <f t="array" ref="B63">VLOOKUP(TabDesSalariosFiscal[[#This Row],[id]],TabEmpleados[],COLUMN(TabEmpleados[Nombre]),FALSE)</f>
        <v xml:space="preserve">SOSA GONZALEZ ALEJANDRO </v>
      </c>
      <c r="C63" s="148" cm="1">
        <f t="array" ref="C63">IF(VLOOKUP(TabDesSalariosFiscal[[#This Row],[id]],TabEmpleados[],COLUMN(TabEmpleados[Fecha de alta NSS]),FALSE)&lt;&gt;"",
VLOOKUP(TabDesSalariosFiscal[[#This Row],[id]],TabAsistencias[],COLUMN(TabAsistencias[''Total de dias laborados]),FALSE),
0)</f>
        <v>73</v>
      </c>
      <c r="D63" s="179" cm="1">
        <f t="array" ref="D63">(VLOOKUP(TabDesSalariosFiscal[[#This Row],[id]],TabEmpleados[],COLUMN(TabEmpleados[SD Fiscal]),FALSE))*
TabDesSalariosFiscal[[#This Row],[Dias Lab.]]</f>
        <v>4818</v>
      </c>
      <c r="E63" s="180" cm="1">
        <f t="array" ref="E63">IF(VLOOKUP(TabDesSalariosFiscal[[#This Row],[id]],TabEmpleados[],COLUMN(TabEmpleados[Fecha de alta NSS]),FALSE)&lt;&gt;"",
IF(DATEDIF((VLOOKUP(TabDesSalariosFiscal[[#This Row],[id]],TabEmpleados[],COLUMN(TabEmpleados[Fecha de alta NSS]),FALSE)),'Tablas de informacion'!N$8,"Y")=0,1,
DATEDIF((VLOOKUP(TabDesSalariosFiscal[[#This Row],[id]],TabEmpleados[],COLUMN(TabEmpleados[Fecha de alta NSS]),FALSE)),'Tablas de informacion'!N$8,"Y")),0)</f>
        <v>1</v>
      </c>
      <c r="F63" s="181" cm="1">
        <f t="array" ref="F63">IFERROR((VLOOKUP(TabDesSalariosFiscal[[#This Row],[id]],TabEmpleados[],COLUMN(TabEmpleados[SD Fiscal]),FALSE))*
(VLOOKUP(TabDesSalariosFiscal[[#This Row],[Años]],TabFactorIntegracion[],COLUMN(TabFactorIntegracion[% de prima 
vacacional y dominical]),FALSE))*
IF((VLOOKUP(TabDesSalariosFiscal[[#This Row],[id]],TabAsistencias[],COLUMN(TabAsistencias[''Prima dominical]),FALSE))&lt;DominicalFiscal,(VLOOKUP(TabDesSalariosFiscal[[#This Row],[id]],TabAsistencias[],COLUMN(TabAsistencias[''Total de dias laborados]),FALSE)),DominicalFiscal)*
(VLOOKUP((VLOOKUP(TabDesSalariosFiscal[[#This Row],[id]],TabEmpleados[],COLUMN(TabEmpleados[Puesto]),FALSE)),TabPuestos[],COLUMN(TabPuestos[PRIMA DOMINICAL]),FALSE)),0)</f>
        <v>16.5</v>
      </c>
      <c r="G63" s="182" cm="1">
        <f t="array" ref="G63">IFERROR((VLOOKUP(TabDesSalariosFiscal[[#This Row],[id]],TabEmpleados[],COLUMN(TabEmpleados[SD Fiscal]),FALSE))*
(VLOOKUP(TabDesSalariosFiscal[[#This Row],[Años]],TabFactorIntegracion[],COLUMN(TabFactorIntegracion[% de prima 
vacacional y dominical]),FALSE))*
((VLOOKUP(TabDesSalariosFiscal[[#This Row],[id]],TabAsistencias[],COLUMN(TabAsistencias[''V]),FALSE))),0)</f>
        <v>0</v>
      </c>
      <c r="H63" s="183" cm="1">
        <f t="array" ref="H63">IFERROR(VLOOKUP(TabDesSalariosFiscal[[#This Row],[id]],TabCuotasIMSS[],COLUMN(TabCuotasIMSS[S.B.C./S.D.I.]),FALSE),0)</f>
        <v>75.950539726027401</v>
      </c>
      <c r="I63" s="184">
        <f>IFERROR(TabDesSalariosFiscal[[#This Row],[S.B.C]]*Bono*TabDesSalariosFiscal[[#This Row],[Dias Lab.]],0)</f>
        <v>554.43894000000012</v>
      </c>
      <c r="J63" s="184">
        <f>IFERROR(TabDesSalariosFiscal[[#This Row],[S.B.C]]*Bono*TabDesSalariosFiscal[[#This Row],[Dias Lab.]],0)</f>
        <v>554.43894000000012</v>
      </c>
      <c r="K63" s="232" cm="1">
        <f t="array" ref="K63">(VLOOKUP(TabDesSalariosFiscal[[#This Row],[id]],TabEmpleados[],COLUMN(TabEmpleados[SD Fiscal]),FALSE))*(VLOOKUP(TabDesSalariosFiscal[[#This Row],[id]],TabAsistencias[],COLUMN(TabAsistencias[''DF]),FALSE))*2</f>
        <v>0</v>
      </c>
      <c r="L63" s="185">
        <f>-1*(SUMIFS(TabPagosFiscal[Monto de pago],TabPagosFiscal[id],TabDesSalariosFiscal[[#This Row],[id]],TabPagosFiscal[Fecha de pago],"&gt;="&amp;Asistencias!$B$2,TabPagosFiscal[Fecha de pago],"&lt;"&amp;Asistencias!$B$3))</f>
        <v>0</v>
      </c>
      <c r="M63" t="str" cm="1">
        <f t="array" ref="M63">getDescripcion(TabDesSalariosFiscal[[#This Row],[id]],"Descuentos-PagosFiscal","TabPagosFiscal",Asistencias!$B$2,Asistencias!$B$3)</f>
        <v/>
      </c>
      <c r="N63" s="186" cm="1">
        <f t="array" ref="N63">IFERROR(-1*(VLOOKUP(TabDesSalariosFiscal[[#This Row],[id]],TabCuotasIMSS[],COLUMN(TabCuotasIMSS[TOTAL
OBRERO19]),FALSE)),0)</f>
        <v>0</v>
      </c>
      <c r="O63" s="187" cm="1">
        <f t="array" ref="O63">IFERROR(-1*(VLOOKUP(TabDesSalariosFiscal[[#This Row],[id]],TabImpuestos[],COLUMN(TabImpuestos[Total ISR]),FALSE)),0)</f>
        <v>-510.77886079999996</v>
      </c>
      <c r="P63" s="188">
        <f>IFERROR(TabDesSalariosFiscal[[#This Row],[Subtotal Fiscal]]+TabDesSalariosFiscal[[#This Row],[Prima dominical]]+TabDesSalariosFiscal[[#This Row],[Prima vacacional]]+TabDesSalariosFiscal[[#This Row],[Bono Asistencia]]+TabDesSalariosFiscal[[#This Row],[Bono Puntualidad]]+TabDesSalariosFiscal[[#This Row],[Dia Festivo/ Descanso]]+TabDesSalariosFiscal[[#This Row],[Descuentos]]+TabDesSalariosFiscal[[#This Row],[IMSS]]+TabDesSalariosFiscal[[#This Row],[ISR]],0)</f>
        <v>5432.5990191999999</v>
      </c>
      <c r="Q63" s="187" cm="1">
        <f t="array" ref="Q63">IFERROR(IF('Desglose Salarios Fiscal'!$Q$1=1,-1*(IF((VLOOKUP(TabDesSalariosFiscal[[#This Row],[id]],TabImpuestos[],COLUMN(TabImpuestos[ISR de Aguinaldo 1]),FALSE))&lt;0,0,(VLOOKUP(TabDesSalariosFiscal[[#This Row],[id]],TabImpuestos[],COLUMN(TabImpuestos[ISR de Aguinaldo 1]),FALSE)))),0),0)</f>
        <v>0</v>
      </c>
      <c r="R63" s="55" cm="1">
        <f t="array" ref="R63">IFERROR(IF('Desglose Salarios Fiscal'!$Q$1=1,(VLOOKUP(TabDesSalariosFiscal[[#This Row],[id]],TabEmpleados[],COLUMN(TabEmpleados[SD Fiscal]),FALSE)*TabDesSalariosFiscal[[#This Row],[Dias de aguinaldo fiscal2]])+TabDesSalariosFiscal[[#This Row],[ISR Aguinaldo]],0),0)</f>
        <v>990</v>
      </c>
      <c r="S63" cm="1">
        <f t="array" ref="S63">IF(YEAR(VLOOKUP(TabDesSalariosFiscal[[#This Row],[id]],TabEmpleados[],COLUMN(TabEmpleados[Fecha de alta NSS]),FALSE))&lt;AñoActual,'Tablas de informacion'!$N$13,_xlfn.DAYS(DATE(AñoActual+1,MONTH(1),DAY(1))-DAY(1),(VLOOKUP(TabDesSalariosFiscal[[#This Row],[id]],TabEmpleados[],COLUMN(TabEmpleados[Fecha de alta NSS]),FALSE))))</f>
        <v>365</v>
      </c>
      <c r="T63" cm="1">
        <f t="array" ref="T63">IFERROR(TabDesSalariosFiscal[[#This Row],[Dias de aguinaldo Fiscal1]]*VLOOKUP(TabDesSalariosFiscal[[#This Row],[Años]],TabFactorIntegracion[],COLUMN(TabFactorIntegracion[Días de
aguinaldo]),FALSE)/'Tablas de informacion'!$N$13,0)</f>
        <v>15</v>
      </c>
    </row>
    <row r="64" spans="1:20" x14ac:dyDescent="0.25">
      <c r="A64" s="176">
        <v>62</v>
      </c>
      <c r="B64" t="str" cm="1">
        <f t="array" ref="B64">VLOOKUP(TabDesSalariosFiscal[[#This Row],[id]],TabEmpleados[],COLUMN(TabEmpleados[Nombre]),FALSE)</f>
        <v>GONZALEZ ARAGON ALEJANDRO FEDERICO</v>
      </c>
      <c r="C64" s="148" cm="1">
        <f t="array" ref="C64">IF(VLOOKUP(TabDesSalariosFiscal[[#This Row],[id]],TabEmpleados[],COLUMN(TabEmpleados[Fecha de alta NSS]),FALSE)&lt;&gt;"",
VLOOKUP(TabDesSalariosFiscal[[#This Row],[id]],TabAsistencias[],COLUMN(TabAsistencias[''Total de dias laborados]),FALSE),
0)</f>
        <v>73</v>
      </c>
      <c r="D64" s="179" cm="1">
        <f t="array" ref="D64">(VLOOKUP(TabDesSalariosFiscal[[#This Row],[id]],TabEmpleados[],COLUMN(TabEmpleados[SD Fiscal]),FALSE))*
TabDesSalariosFiscal[[#This Row],[Dias Lab.]]</f>
        <v>6570</v>
      </c>
      <c r="E64" s="180" cm="1">
        <f t="array" ref="E64">IF(VLOOKUP(TabDesSalariosFiscal[[#This Row],[id]],TabEmpleados[],COLUMN(TabEmpleados[Fecha de alta NSS]),FALSE)&lt;&gt;"",
IF(DATEDIF((VLOOKUP(TabDesSalariosFiscal[[#This Row],[id]],TabEmpleados[],COLUMN(TabEmpleados[Fecha de alta NSS]),FALSE)),'Tablas de informacion'!N$8,"Y")=0,1,
DATEDIF((VLOOKUP(TabDesSalariosFiscal[[#This Row],[id]],TabEmpleados[],COLUMN(TabEmpleados[Fecha de alta NSS]),FALSE)),'Tablas de informacion'!N$8,"Y")),0)</f>
        <v>1</v>
      </c>
      <c r="F64" s="181" cm="1">
        <f t="array" ref="F64">IFERROR((VLOOKUP(TabDesSalariosFiscal[[#This Row],[id]],TabEmpleados[],COLUMN(TabEmpleados[SD Fiscal]),FALSE))*
(VLOOKUP(TabDesSalariosFiscal[[#This Row],[Años]],TabFactorIntegracion[],COLUMN(TabFactorIntegracion[% de prima 
vacacional y dominical]),FALSE))*
IF((VLOOKUP(TabDesSalariosFiscal[[#This Row],[id]],TabAsistencias[],COLUMN(TabAsistencias[''Prima dominical]),FALSE))&lt;DominicalFiscal,(VLOOKUP(TabDesSalariosFiscal[[#This Row],[id]],TabAsistencias[],COLUMN(TabAsistencias[''Total de dias laborados]),FALSE)),DominicalFiscal)*
(VLOOKUP((VLOOKUP(TabDesSalariosFiscal[[#This Row],[id]],TabEmpleados[],COLUMN(TabEmpleados[Puesto]),FALSE)),TabPuestos[],COLUMN(TabPuestos[PRIMA DOMINICAL]),FALSE)),0)</f>
        <v>22.5</v>
      </c>
      <c r="G64" s="182" cm="1">
        <f t="array" ref="G64">IFERROR((VLOOKUP(TabDesSalariosFiscal[[#This Row],[id]],TabEmpleados[],COLUMN(TabEmpleados[SD Fiscal]),FALSE))*
(VLOOKUP(TabDesSalariosFiscal[[#This Row],[Años]],TabFactorIntegracion[],COLUMN(TabFactorIntegracion[% de prima 
vacacional y dominical]),FALSE))*
((VLOOKUP(TabDesSalariosFiscal[[#This Row],[id]],TabAsistencias[],COLUMN(TabAsistencias[''V]),FALSE))),0)</f>
        <v>0</v>
      </c>
      <c r="H64" s="183" cm="1">
        <f t="array" ref="H64">IFERROR(VLOOKUP(TabDesSalariosFiscal[[#This Row],[id]],TabCuotasIMSS[],COLUMN(TabCuotasIMSS[S.B.C./S.D.I.]),FALSE),0)</f>
        <v>103.56891780821918</v>
      </c>
      <c r="I64" s="184">
        <f>IFERROR(TabDesSalariosFiscal[[#This Row],[S.B.C]]*Bono*TabDesSalariosFiscal[[#This Row],[Dias Lab.]],0)</f>
        <v>756.05310000000009</v>
      </c>
      <c r="J64" s="184">
        <f>IFERROR(TabDesSalariosFiscal[[#This Row],[S.B.C]]*Bono*TabDesSalariosFiscal[[#This Row],[Dias Lab.]],0)</f>
        <v>756.05310000000009</v>
      </c>
      <c r="K64" s="232" cm="1">
        <f t="array" ref="K64">(VLOOKUP(TabDesSalariosFiscal[[#This Row],[id]],TabEmpleados[],COLUMN(TabEmpleados[SD Fiscal]),FALSE))*(VLOOKUP(TabDesSalariosFiscal[[#This Row],[id]],TabAsistencias[],COLUMN(TabAsistencias[''DF]),FALSE))*2</f>
        <v>0</v>
      </c>
      <c r="L64" s="185">
        <f>-1*(SUMIFS(TabPagosFiscal[Monto de pago],TabPagosFiscal[id],TabDesSalariosFiscal[[#This Row],[id]],TabPagosFiscal[Fecha de pago],"&gt;="&amp;Asistencias!$B$2,TabPagosFiscal[Fecha de pago],"&lt;"&amp;Asistencias!$B$3))</f>
        <v>0</v>
      </c>
      <c r="M64" t="str" cm="1">
        <f t="array" ref="M64">getDescripcion(TabDesSalariosFiscal[[#This Row],[id]],"Descuentos-PagosFiscal","TabPagosFiscal",Asistencias!$B$2,Asistencias!$B$3)</f>
        <v/>
      </c>
      <c r="N64" s="186" cm="1">
        <f t="array" ref="N64">IFERROR(-1*(VLOOKUP(TabDesSalariosFiscal[[#This Row],[id]],TabCuotasIMSS[],COLUMN(TabCuotasIMSS[TOTAL
OBRERO19]),FALSE)),0)</f>
        <v>0</v>
      </c>
      <c r="O64" s="187" cm="1">
        <f t="array" ref="O64">IFERROR(-1*(VLOOKUP(TabDesSalariosFiscal[[#This Row],[id]],TabImpuestos[],COLUMN(TabImpuestos[Total ISR]),FALSE)),0)</f>
        <v>-903.2759083200001</v>
      </c>
      <c r="P64" s="188">
        <f>IFERROR(TabDesSalariosFiscal[[#This Row],[Subtotal Fiscal]]+TabDesSalariosFiscal[[#This Row],[Prima dominical]]+TabDesSalariosFiscal[[#This Row],[Prima vacacional]]+TabDesSalariosFiscal[[#This Row],[Bono Asistencia]]+TabDesSalariosFiscal[[#This Row],[Bono Puntualidad]]+TabDesSalariosFiscal[[#This Row],[Dia Festivo/ Descanso]]+TabDesSalariosFiscal[[#This Row],[Descuentos]]+TabDesSalariosFiscal[[#This Row],[IMSS]]+TabDesSalariosFiscal[[#This Row],[ISR]],0)</f>
        <v>7201.3302916800003</v>
      </c>
      <c r="Q64" s="187" cm="1">
        <f t="array" ref="Q64">IFERROR(IF('Desglose Salarios Fiscal'!$Q$1=1,-1*(IF((VLOOKUP(TabDesSalariosFiscal[[#This Row],[id]],TabImpuestos[],COLUMN(TabImpuestos[ISR de Aguinaldo 1]),FALSE))&lt;0,0,(VLOOKUP(TabDesSalariosFiscal[[#This Row],[id]],TabImpuestos[],COLUMN(TabImpuestos[ISR de Aguinaldo 1]),FALSE)))),0),0)</f>
        <v>0</v>
      </c>
      <c r="R64" s="55" cm="1">
        <f t="array" ref="R64">IFERROR(IF('Desglose Salarios Fiscal'!$Q$1=1,(VLOOKUP(TabDesSalariosFiscal[[#This Row],[id]],TabEmpleados[],COLUMN(TabEmpleados[SD Fiscal]),FALSE)*TabDesSalariosFiscal[[#This Row],[Dias de aguinaldo fiscal2]])+TabDesSalariosFiscal[[#This Row],[ISR Aguinaldo]],0),0)</f>
        <v>1350</v>
      </c>
      <c r="S64" cm="1">
        <f t="array" ref="S64">IF(YEAR(VLOOKUP(TabDesSalariosFiscal[[#This Row],[id]],TabEmpleados[],COLUMN(TabEmpleados[Fecha de alta NSS]),FALSE))&lt;AñoActual,'Tablas de informacion'!$N$13,_xlfn.DAYS(DATE(AñoActual+1,MONTH(1),DAY(1))-DAY(1),(VLOOKUP(TabDesSalariosFiscal[[#This Row],[id]],TabEmpleados[],COLUMN(TabEmpleados[Fecha de alta NSS]),FALSE))))</f>
        <v>365</v>
      </c>
      <c r="T64" cm="1">
        <f t="array" ref="T64">IFERROR(TabDesSalariosFiscal[[#This Row],[Dias de aguinaldo Fiscal1]]*VLOOKUP(TabDesSalariosFiscal[[#This Row],[Años]],TabFactorIntegracion[],COLUMN(TabFactorIntegracion[Días de
aguinaldo]),FALSE)/'Tablas de informacion'!$N$13,0)</f>
        <v>15</v>
      </c>
    </row>
    <row r="65" spans="1:20" x14ac:dyDescent="0.25">
      <c r="A65" s="176">
        <v>63</v>
      </c>
      <c r="B65" t="str" cm="1">
        <f t="array" ref="B65">VLOOKUP(TabDesSalariosFiscal[[#This Row],[id]],TabEmpleados[],COLUMN(TabEmpleados[Nombre]),FALSE)</f>
        <v>SANCHEZ RUIZ INGRID VIVIANA</v>
      </c>
      <c r="C65" s="148" cm="1">
        <f t="array" ref="C65">IF(VLOOKUP(TabDesSalariosFiscal[[#This Row],[id]],TabEmpleados[],COLUMN(TabEmpleados[Fecha de alta NSS]),FALSE)&lt;&gt;"",
VLOOKUP(TabDesSalariosFiscal[[#This Row],[id]],TabAsistencias[],COLUMN(TabAsistencias[''Total de dias laborados]),FALSE),
0)</f>
        <v>73</v>
      </c>
      <c r="D65" s="179" cm="1">
        <f t="array" ref="D65">(VLOOKUP(TabDesSalariosFiscal[[#This Row],[id]],TabEmpleados[],COLUMN(TabEmpleados[SD Fiscal]),FALSE))*
TabDesSalariosFiscal[[#This Row],[Dias Lab.]]</f>
        <v>6570</v>
      </c>
      <c r="E65" s="180" cm="1">
        <f t="array" ref="E65">IF(VLOOKUP(TabDesSalariosFiscal[[#This Row],[id]],TabEmpleados[],COLUMN(TabEmpleados[Fecha de alta NSS]),FALSE)&lt;&gt;"",
IF(DATEDIF((VLOOKUP(TabDesSalariosFiscal[[#This Row],[id]],TabEmpleados[],COLUMN(TabEmpleados[Fecha de alta NSS]),FALSE)),'Tablas de informacion'!N$8,"Y")=0,1,
DATEDIF((VLOOKUP(TabDesSalariosFiscal[[#This Row],[id]],TabEmpleados[],COLUMN(TabEmpleados[Fecha de alta NSS]),FALSE)),'Tablas de informacion'!N$8,"Y")),0)</f>
        <v>1</v>
      </c>
      <c r="F65" s="181" cm="1">
        <f t="array" ref="F65">IFERROR((VLOOKUP(TabDesSalariosFiscal[[#This Row],[id]],TabEmpleados[],COLUMN(TabEmpleados[SD Fiscal]),FALSE))*
(VLOOKUP(TabDesSalariosFiscal[[#This Row],[Años]],TabFactorIntegracion[],COLUMN(TabFactorIntegracion[% de prima 
vacacional y dominical]),FALSE))*
IF((VLOOKUP(TabDesSalariosFiscal[[#This Row],[id]],TabAsistencias[],COLUMN(TabAsistencias[''Prima dominical]),FALSE))&lt;DominicalFiscal,(VLOOKUP(TabDesSalariosFiscal[[#This Row],[id]],TabAsistencias[],COLUMN(TabAsistencias[''Total de dias laborados]),FALSE)),DominicalFiscal)*
(VLOOKUP((VLOOKUP(TabDesSalariosFiscal[[#This Row],[id]],TabEmpleados[],COLUMN(TabEmpleados[Puesto]),FALSE)),TabPuestos[],COLUMN(TabPuestos[PRIMA DOMINICAL]),FALSE)),0)</f>
        <v>22.5</v>
      </c>
      <c r="G65" s="182" cm="1">
        <f t="array" ref="G65">IFERROR((VLOOKUP(TabDesSalariosFiscal[[#This Row],[id]],TabEmpleados[],COLUMN(TabEmpleados[SD Fiscal]),FALSE))*
(VLOOKUP(TabDesSalariosFiscal[[#This Row],[Años]],TabFactorIntegracion[],COLUMN(TabFactorIntegracion[% de prima 
vacacional y dominical]),FALSE))*
((VLOOKUP(TabDesSalariosFiscal[[#This Row],[id]],TabAsistencias[],COLUMN(TabAsistencias[''V]),FALSE))),0)</f>
        <v>0</v>
      </c>
      <c r="H65" s="183" cm="1">
        <f t="array" ref="H65">IFERROR(VLOOKUP(TabDesSalariosFiscal[[#This Row],[id]],TabCuotasIMSS[],COLUMN(TabCuotasIMSS[S.B.C./S.D.I.]),FALSE),0)</f>
        <v>103.56891780821918</v>
      </c>
      <c r="I65" s="184">
        <f>IFERROR(TabDesSalariosFiscal[[#This Row],[S.B.C]]*Bono*TabDesSalariosFiscal[[#This Row],[Dias Lab.]],0)</f>
        <v>756.05310000000009</v>
      </c>
      <c r="J65" s="184">
        <f>IFERROR(TabDesSalariosFiscal[[#This Row],[S.B.C]]*Bono*TabDesSalariosFiscal[[#This Row],[Dias Lab.]],0)</f>
        <v>756.05310000000009</v>
      </c>
      <c r="K65" s="232" cm="1">
        <f t="array" ref="K65">(VLOOKUP(TabDesSalariosFiscal[[#This Row],[id]],TabEmpleados[],COLUMN(TabEmpleados[SD Fiscal]),FALSE))*(VLOOKUP(TabDesSalariosFiscal[[#This Row],[id]],TabAsistencias[],COLUMN(TabAsistencias[''DF]),FALSE))*2</f>
        <v>0</v>
      </c>
      <c r="L65" s="185">
        <f>-1*(SUMIFS(TabPagosFiscal[Monto de pago],TabPagosFiscal[id],TabDesSalariosFiscal[[#This Row],[id]],TabPagosFiscal[Fecha de pago],"&gt;="&amp;Asistencias!$B$2,TabPagosFiscal[Fecha de pago],"&lt;"&amp;Asistencias!$B$3))</f>
        <v>0</v>
      </c>
      <c r="M65" t="str" cm="1">
        <f t="array" ref="M65">getDescripcion(TabDesSalariosFiscal[[#This Row],[id]],"Descuentos-PagosFiscal","TabPagosFiscal",Asistencias!$B$2,Asistencias!$B$3)</f>
        <v/>
      </c>
      <c r="N65" s="186" cm="1">
        <f t="array" ref="N65">IFERROR(-1*(VLOOKUP(TabDesSalariosFiscal[[#This Row],[id]],TabCuotasIMSS[],COLUMN(TabCuotasIMSS[TOTAL
OBRERO19]),FALSE)),0)</f>
        <v>0</v>
      </c>
      <c r="O65" s="187" cm="1">
        <f t="array" ref="O65">IFERROR(-1*(VLOOKUP(TabDesSalariosFiscal[[#This Row],[id]],TabImpuestos[],COLUMN(TabImpuestos[Total ISR]),FALSE)),0)</f>
        <v>-903.2759083200001</v>
      </c>
      <c r="P65" s="188">
        <f>IFERROR(TabDesSalariosFiscal[[#This Row],[Subtotal Fiscal]]+TabDesSalariosFiscal[[#This Row],[Prima dominical]]+TabDesSalariosFiscal[[#This Row],[Prima vacacional]]+TabDesSalariosFiscal[[#This Row],[Bono Asistencia]]+TabDesSalariosFiscal[[#This Row],[Bono Puntualidad]]+TabDesSalariosFiscal[[#This Row],[Dia Festivo/ Descanso]]+TabDesSalariosFiscal[[#This Row],[Descuentos]]+TabDesSalariosFiscal[[#This Row],[IMSS]]+TabDesSalariosFiscal[[#This Row],[ISR]],0)</f>
        <v>7201.3302916800003</v>
      </c>
      <c r="Q65" s="187" cm="1">
        <f t="array" ref="Q65">IFERROR(IF('Desglose Salarios Fiscal'!$Q$1=1,-1*(IF((VLOOKUP(TabDesSalariosFiscal[[#This Row],[id]],TabImpuestos[],COLUMN(TabImpuestos[ISR de Aguinaldo 1]),FALSE))&lt;0,0,(VLOOKUP(TabDesSalariosFiscal[[#This Row],[id]],TabImpuestos[],COLUMN(TabImpuestos[ISR de Aguinaldo 1]),FALSE)))),0),0)</f>
        <v>0</v>
      </c>
      <c r="R65" s="55" cm="1">
        <f t="array" ref="R65">IFERROR(IF('Desglose Salarios Fiscal'!$Q$1=1,(VLOOKUP(TabDesSalariosFiscal[[#This Row],[id]],TabEmpleados[],COLUMN(TabEmpleados[SD Fiscal]),FALSE)*TabDesSalariosFiscal[[#This Row],[Dias de aguinaldo fiscal2]])+TabDesSalariosFiscal[[#This Row],[ISR Aguinaldo]],0),0)</f>
        <v>1350</v>
      </c>
      <c r="S65" cm="1">
        <f t="array" ref="S65">IF(YEAR(VLOOKUP(TabDesSalariosFiscal[[#This Row],[id]],TabEmpleados[],COLUMN(TabEmpleados[Fecha de alta NSS]),FALSE))&lt;AñoActual,'Tablas de informacion'!$N$13,_xlfn.DAYS(DATE(AñoActual+1,MONTH(1),DAY(1))-DAY(1),(VLOOKUP(TabDesSalariosFiscal[[#This Row],[id]],TabEmpleados[],COLUMN(TabEmpleados[Fecha de alta NSS]),FALSE))))</f>
        <v>365</v>
      </c>
      <c r="T65" cm="1">
        <f t="array" ref="T65">IFERROR(TabDesSalariosFiscal[[#This Row],[Dias de aguinaldo Fiscal1]]*VLOOKUP(TabDesSalariosFiscal[[#This Row],[Años]],TabFactorIntegracion[],COLUMN(TabFactorIntegracion[Días de
aguinaldo]),FALSE)/'Tablas de informacion'!$N$13,0)</f>
        <v>15</v>
      </c>
    </row>
    <row r="66" spans="1:20" x14ac:dyDescent="0.25">
      <c r="A66" s="176">
        <v>64</v>
      </c>
      <c r="B66" t="str" cm="1">
        <f t="array" ref="B66">VLOOKUP(TabDesSalariosFiscal[[#This Row],[id]],TabEmpleados[],COLUMN(TabEmpleados[Nombre]),FALSE)</f>
        <v>QUIROZ HERNANDEZ ALEJANDRA MONSERRAT</v>
      </c>
      <c r="C66" s="148" cm="1">
        <f t="array" ref="C66">IF(VLOOKUP(TabDesSalariosFiscal[[#This Row],[id]],TabEmpleados[],COLUMN(TabEmpleados[Fecha de alta NSS]),FALSE)&lt;&gt;"",
VLOOKUP(TabDesSalariosFiscal[[#This Row],[id]],TabAsistencias[],COLUMN(TabAsistencias[''Total de dias laborados]),FALSE),
0)</f>
        <v>73</v>
      </c>
      <c r="D66" s="179" cm="1">
        <f t="array" ref="D66">(VLOOKUP(TabDesSalariosFiscal[[#This Row],[id]],TabEmpleados[],COLUMN(TabEmpleados[SD Fiscal]),FALSE))*
TabDesSalariosFiscal[[#This Row],[Dias Lab.]]</f>
        <v>6570</v>
      </c>
      <c r="E66" s="180" cm="1">
        <f t="array" ref="E66">IF(VLOOKUP(TabDesSalariosFiscal[[#This Row],[id]],TabEmpleados[],COLUMN(TabEmpleados[Fecha de alta NSS]),FALSE)&lt;&gt;"",
IF(DATEDIF((VLOOKUP(TabDesSalariosFiscal[[#This Row],[id]],TabEmpleados[],COLUMN(TabEmpleados[Fecha de alta NSS]),FALSE)),'Tablas de informacion'!N$8,"Y")=0,1,
DATEDIF((VLOOKUP(TabDesSalariosFiscal[[#This Row],[id]],TabEmpleados[],COLUMN(TabEmpleados[Fecha de alta NSS]),FALSE)),'Tablas de informacion'!N$8,"Y")),0)</f>
        <v>1</v>
      </c>
      <c r="F66" s="181" cm="1">
        <f t="array" ref="F66">IFERROR((VLOOKUP(TabDesSalariosFiscal[[#This Row],[id]],TabEmpleados[],COLUMN(TabEmpleados[SD Fiscal]),FALSE))*
(VLOOKUP(TabDesSalariosFiscal[[#This Row],[Años]],TabFactorIntegracion[],COLUMN(TabFactorIntegracion[% de prima 
vacacional y dominical]),FALSE))*
IF((VLOOKUP(TabDesSalariosFiscal[[#This Row],[id]],TabAsistencias[],COLUMN(TabAsistencias[''Prima dominical]),FALSE))&lt;DominicalFiscal,(VLOOKUP(TabDesSalariosFiscal[[#This Row],[id]],TabAsistencias[],COLUMN(TabAsistencias[''Total de dias laborados]),FALSE)),DominicalFiscal)*
(VLOOKUP((VLOOKUP(TabDesSalariosFiscal[[#This Row],[id]],TabEmpleados[],COLUMN(TabEmpleados[Puesto]),FALSE)),TabPuestos[],COLUMN(TabPuestos[PRIMA DOMINICAL]),FALSE)),0)</f>
        <v>22.5</v>
      </c>
      <c r="G66" s="182" cm="1">
        <f t="array" ref="G66">IFERROR((VLOOKUP(TabDesSalariosFiscal[[#This Row],[id]],TabEmpleados[],COLUMN(TabEmpleados[SD Fiscal]),FALSE))*
(VLOOKUP(TabDesSalariosFiscal[[#This Row],[Años]],TabFactorIntegracion[],COLUMN(TabFactorIntegracion[% de prima 
vacacional y dominical]),FALSE))*
((VLOOKUP(TabDesSalariosFiscal[[#This Row],[id]],TabAsistencias[],COLUMN(TabAsistencias[''V]),FALSE))),0)</f>
        <v>0</v>
      </c>
      <c r="H66" s="183" cm="1">
        <f t="array" ref="H66">IFERROR(VLOOKUP(TabDesSalariosFiscal[[#This Row],[id]],TabCuotasIMSS[],COLUMN(TabCuotasIMSS[S.B.C./S.D.I.]),FALSE),0)</f>
        <v>103.56891780821918</v>
      </c>
      <c r="I66" s="184">
        <f>IFERROR(TabDesSalariosFiscal[[#This Row],[S.B.C]]*Bono*TabDesSalariosFiscal[[#This Row],[Dias Lab.]],0)</f>
        <v>756.05310000000009</v>
      </c>
      <c r="J66" s="184">
        <f>IFERROR(TabDesSalariosFiscal[[#This Row],[S.B.C]]*Bono*TabDesSalariosFiscal[[#This Row],[Dias Lab.]],0)</f>
        <v>756.05310000000009</v>
      </c>
      <c r="K66" s="232" cm="1">
        <f t="array" ref="K66">(VLOOKUP(TabDesSalariosFiscal[[#This Row],[id]],TabEmpleados[],COLUMN(TabEmpleados[SD Fiscal]),FALSE))*(VLOOKUP(TabDesSalariosFiscal[[#This Row],[id]],TabAsistencias[],COLUMN(TabAsistencias[''DF]),FALSE))*2</f>
        <v>0</v>
      </c>
      <c r="L66" s="185">
        <f>-1*(SUMIFS(TabPagosFiscal[Monto de pago],TabPagosFiscal[id],TabDesSalariosFiscal[[#This Row],[id]],TabPagosFiscal[Fecha de pago],"&gt;="&amp;Asistencias!$B$2,TabPagosFiscal[Fecha de pago],"&lt;"&amp;Asistencias!$B$3))</f>
        <v>0</v>
      </c>
      <c r="M66" t="str" cm="1">
        <f t="array" ref="M66">getDescripcion(TabDesSalariosFiscal[[#This Row],[id]],"Descuentos-PagosFiscal","TabPagosFiscal",Asistencias!$B$2,Asistencias!$B$3)</f>
        <v/>
      </c>
      <c r="N66" s="186" cm="1">
        <f t="array" ref="N66">IFERROR(-1*(VLOOKUP(TabDesSalariosFiscal[[#This Row],[id]],TabCuotasIMSS[],COLUMN(TabCuotasIMSS[TOTAL
OBRERO19]),FALSE)),0)</f>
        <v>0</v>
      </c>
      <c r="O66" s="187" cm="1">
        <f t="array" ref="O66">IFERROR(-1*(VLOOKUP(TabDesSalariosFiscal[[#This Row],[id]],TabImpuestos[],COLUMN(TabImpuestos[Total ISR]),FALSE)),0)</f>
        <v>-903.2759083200001</v>
      </c>
      <c r="P66" s="188">
        <f>IFERROR(TabDesSalariosFiscal[[#This Row],[Subtotal Fiscal]]+TabDesSalariosFiscal[[#This Row],[Prima dominical]]+TabDesSalariosFiscal[[#This Row],[Prima vacacional]]+TabDesSalariosFiscal[[#This Row],[Bono Asistencia]]+TabDesSalariosFiscal[[#This Row],[Bono Puntualidad]]+TabDesSalariosFiscal[[#This Row],[Dia Festivo/ Descanso]]+TabDesSalariosFiscal[[#This Row],[Descuentos]]+TabDesSalariosFiscal[[#This Row],[IMSS]]+TabDesSalariosFiscal[[#This Row],[ISR]],0)</f>
        <v>7201.3302916800003</v>
      </c>
      <c r="Q66" s="187" cm="1">
        <f t="array" ref="Q66">IFERROR(IF('Desglose Salarios Fiscal'!$Q$1=1,-1*(IF((VLOOKUP(TabDesSalariosFiscal[[#This Row],[id]],TabImpuestos[],COLUMN(TabImpuestos[ISR de Aguinaldo 1]),FALSE))&lt;0,0,(VLOOKUP(TabDesSalariosFiscal[[#This Row],[id]],TabImpuestos[],COLUMN(TabImpuestos[ISR de Aguinaldo 1]),FALSE)))),0),0)</f>
        <v>0</v>
      </c>
      <c r="R66" s="55" cm="1">
        <f t="array" ref="R66">IFERROR(IF('Desglose Salarios Fiscal'!$Q$1=1,(VLOOKUP(TabDesSalariosFiscal[[#This Row],[id]],TabEmpleados[],COLUMN(TabEmpleados[SD Fiscal]),FALSE)*TabDesSalariosFiscal[[#This Row],[Dias de aguinaldo fiscal2]])+TabDesSalariosFiscal[[#This Row],[ISR Aguinaldo]],0),0)</f>
        <v>1350</v>
      </c>
      <c r="S66" cm="1">
        <f t="array" ref="S66">IF(YEAR(VLOOKUP(TabDesSalariosFiscal[[#This Row],[id]],TabEmpleados[],COLUMN(TabEmpleados[Fecha de alta NSS]),FALSE))&lt;AñoActual,'Tablas de informacion'!$N$13,_xlfn.DAYS(DATE(AñoActual+1,MONTH(1),DAY(1))-DAY(1),(VLOOKUP(TabDesSalariosFiscal[[#This Row],[id]],TabEmpleados[],COLUMN(TabEmpleados[Fecha de alta NSS]),FALSE))))</f>
        <v>365</v>
      </c>
      <c r="T66" cm="1">
        <f t="array" ref="T66">IFERROR(TabDesSalariosFiscal[[#This Row],[Dias de aguinaldo Fiscal1]]*VLOOKUP(TabDesSalariosFiscal[[#This Row],[Años]],TabFactorIntegracion[],COLUMN(TabFactorIntegracion[Días de
aguinaldo]),FALSE)/'Tablas de informacion'!$N$13,0)</f>
        <v>15</v>
      </c>
    </row>
    <row r="67" spans="1:20" x14ac:dyDescent="0.25">
      <c r="A67" s="176">
        <v>65</v>
      </c>
      <c r="B67" t="str" cm="1">
        <f t="array" ref="B67">VLOOKUP(TabDesSalariosFiscal[[#This Row],[id]],TabEmpleados[],COLUMN(TabEmpleados[Nombre]),FALSE)</f>
        <v>VASQUEZ PEREZ ARTURO</v>
      </c>
      <c r="C67" s="148" cm="1">
        <f t="array" ref="C67">IF(VLOOKUP(TabDesSalariosFiscal[[#This Row],[id]],TabEmpleados[],COLUMN(TabEmpleados[Fecha de alta NSS]),FALSE)&lt;&gt;"",
VLOOKUP(TabDesSalariosFiscal[[#This Row],[id]],TabAsistencias[],COLUMN(TabAsistencias[''Total de dias laborados]),FALSE),
0)</f>
        <v>73</v>
      </c>
      <c r="D67" s="179" cm="1">
        <f t="array" ref="D67">(VLOOKUP(TabDesSalariosFiscal[[#This Row],[id]],TabEmpleados[],COLUMN(TabEmpleados[SD Fiscal]),FALSE))*
TabDesSalariosFiscal[[#This Row],[Dias Lab.]]</f>
        <v>6570</v>
      </c>
      <c r="E67" s="180" cm="1">
        <f t="array" ref="E67">IF(VLOOKUP(TabDesSalariosFiscal[[#This Row],[id]],TabEmpleados[],COLUMN(TabEmpleados[Fecha de alta NSS]),FALSE)&lt;&gt;"",
IF(DATEDIF((VLOOKUP(TabDesSalariosFiscal[[#This Row],[id]],TabEmpleados[],COLUMN(TabEmpleados[Fecha de alta NSS]),FALSE)),'Tablas de informacion'!N$8,"Y")=0,1,
DATEDIF((VLOOKUP(TabDesSalariosFiscal[[#This Row],[id]],TabEmpleados[],COLUMN(TabEmpleados[Fecha de alta NSS]),FALSE)),'Tablas de informacion'!N$8,"Y")),0)</f>
        <v>1</v>
      </c>
      <c r="F67" s="181" cm="1">
        <f t="array" ref="F67">IFERROR((VLOOKUP(TabDesSalariosFiscal[[#This Row],[id]],TabEmpleados[],COLUMN(TabEmpleados[SD Fiscal]),FALSE))*
(VLOOKUP(TabDesSalariosFiscal[[#This Row],[Años]],TabFactorIntegracion[],COLUMN(TabFactorIntegracion[% de prima 
vacacional y dominical]),FALSE))*
IF((VLOOKUP(TabDesSalariosFiscal[[#This Row],[id]],TabAsistencias[],COLUMN(TabAsistencias[''Prima dominical]),FALSE))&lt;DominicalFiscal,(VLOOKUP(TabDesSalariosFiscal[[#This Row],[id]],TabAsistencias[],COLUMN(TabAsistencias[''Total de dias laborados]),FALSE)),DominicalFiscal)*
(VLOOKUP((VLOOKUP(TabDesSalariosFiscal[[#This Row],[id]],TabEmpleados[],COLUMN(TabEmpleados[Puesto]),FALSE)),TabPuestos[],COLUMN(TabPuestos[PRIMA DOMINICAL]),FALSE)),0)</f>
        <v>0</v>
      </c>
      <c r="G67" s="182" cm="1">
        <f t="array" ref="G67">IFERROR((VLOOKUP(TabDesSalariosFiscal[[#This Row],[id]],TabEmpleados[],COLUMN(TabEmpleados[SD Fiscal]),FALSE))*
(VLOOKUP(TabDesSalariosFiscal[[#This Row],[Años]],TabFactorIntegracion[],COLUMN(TabFactorIntegracion[% de prima 
vacacional y dominical]),FALSE))*
((VLOOKUP(TabDesSalariosFiscal[[#This Row],[id]],TabAsistencias[],COLUMN(TabAsistencias[''V]),FALSE))),0)</f>
        <v>0</v>
      </c>
      <c r="H67" s="183" cm="1">
        <f t="array" ref="H67">IFERROR(VLOOKUP(TabDesSalariosFiscal[[#This Row],[id]],TabCuotasIMSS[],COLUMN(TabCuotasIMSS[S.B.C./S.D.I.]),FALSE),0)</f>
        <v>94.438356164383563</v>
      </c>
      <c r="I67" s="184">
        <f>IFERROR(TabDesSalariosFiscal[[#This Row],[S.B.C]]*Bono*TabDesSalariosFiscal[[#This Row],[Dias Lab.]],0)</f>
        <v>689.4</v>
      </c>
      <c r="J67" s="184">
        <f>IFERROR(TabDesSalariosFiscal[[#This Row],[S.B.C]]*Bono*TabDesSalariosFiscal[[#This Row],[Dias Lab.]],0)</f>
        <v>689.4</v>
      </c>
      <c r="K67" s="232" cm="1">
        <f t="array" ref="K67">(VLOOKUP(TabDesSalariosFiscal[[#This Row],[id]],TabEmpleados[],COLUMN(TabEmpleados[SD Fiscal]),FALSE))*(VLOOKUP(TabDesSalariosFiscal[[#This Row],[id]],TabAsistencias[],COLUMN(TabAsistencias[''DF]),FALSE))*2</f>
        <v>0</v>
      </c>
      <c r="L67" s="185">
        <f>-1*(SUMIFS(TabPagosFiscal[Monto de pago],TabPagosFiscal[id],TabDesSalariosFiscal[[#This Row],[id]],TabPagosFiscal[Fecha de pago],"&gt;="&amp;Asistencias!$B$2,TabPagosFiscal[Fecha de pago],"&lt;"&amp;Asistencias!$B$3))</f>
        <v>0</v>
      </c>
      <c r="M67" t="str" cm="1">
        <f t="array" ref="M67">getDescripcion(TabDesSalariosFiscal[[#This Row],[id]],"Descuentos-PagosFiscal","TabPagosFiscal",Asistencias!$B$2,Asistencias!$B$3)</f>
        <v/>
      </c>
      <c r="N67" s="186" cm="1">
        <f t="array" ref="N67">IFERROR(-1*(VLOOKUP(TabDesSalariosFiscal[[#This Row],[id]],TabCuotasIMSS[],COLUMN(TabCuotasIMSS[TOTAL
OBRERO19]),FALSE)),0)</f>
        <v>0</v>
      </c>
      <c r="O67" s="187" cm="1">
        <f t="array" ref="O67">IFERROR(-1*(VLOOKUP(TabDesSalariosFiscal[[#This Row],[id]],TabImpuestos[],COLUMN(TabImpuestos[Total ISR]),FALSE)),0)</f>
        <v>-874.80170399999986</v>
      </c>
      <c r="P67" s="188">
        <f>IFERROR(TabDesSalariosFiscal[[#This Row],[Subtotal Fiscal]]+TabDesSalariosFiscal[[#This Row],[Prima dominical]]+TabDesSalariosFiscal[[#This Row],[Prima vacacional]]+TabDesSalariosFiscal[[#This Row],[Bono Asistencia]]+TabDesSalariosFiscal[[#This Row],[Bono Puntualidad]]+TabDesSalariosFiscal[[#This Row],[Dia Festivo/ Descanso]]+TabDesSalariosFiscal[[#This Row],[Descuentos]]+TabDesSalariosFiscal[[#This Row],[IMSS]]+TabDesSalariosFiscal[[#This Row],[ISR]],0)</f>
        <v>7073.9982959999998</v>
      </c>
      <c r="Q67" s="187" cm="1">
        <f t="array" ref="Q67">IFERROR(IF('Desglose Salarios Fiscal'!$Q$1=1,-1*(IF((VLOOKUP(TabDesSalariosFiscal[[#This Row],[id]],TabImpuestos[],COLUMN(TabImpuestos[ISR de Aguinaldo 1]),FALSE))&lt;0,0,(VLOOKUP(TabDesSalariosFiscal[[#This Row],[id]],TabImpuestos[],COLUMN(TabImpuestos[ISR de Aguinaldo 1]),FALSE)))),0),0)</f>
        <v>0</v>
      </c>
      <c r="R67" s="55" cm="1">
        <f t="array" ref="R67">IFERROR(IF('Desglose Salarios Fiscal'!$Q$1=1,(VLOOKUP(TabDesSalariosFiscal[[#This Row],[id]],TabEmpleados[],COLUMN(TabEmpleados[SD Fiscal]),FALSE)*TabDesSalariosFiscal[[#This Row],[Dias de aguinaldo fiscal2]])+TabDesSalariosFiscal[[#This Row],[ISR Aguinaldo]],0),0)</f>
        <v>1350</v>
      </c>
      <c r="S67" cm="1">
        <f t="array" ref="S67">IF(YEAR(VLOOKUP(TabDesSalariosFiscal[[#This Row],[id]],TabEmpleados[],COLUMN(TabEmpleados[Fecha de alta NSS]),FALSE))&lt;AñoActual,'Tablas de informacion'!$N$13,_xlfn.DAYS(DATE(AñoActual+1,MONTH(1),DAY(1))-DAY(1),(VLOOKUP(TabDesSalariosFiscal[[#This Row],[id]],TabEmpleados[],COLUMN(TabEmpleados[Fecha de alta NSS]),FALSE))))</f>
        <v>365</v>
      </c>
      <c r="T67" cm="1">
        <f t="array" ref="T67">IFERROR(TabDesSalariosFiscal[[#This Row],[Dias de aguinaldo Fiscal1]]*VLOOKUP(TabDesSalariosFiscal[[#This Row],[Años]],TabFactorIntegracion[],COLUMN(TabFactorIntegracion[Días de
aguinaldo]),FALSE)/'Tablas de informacion'!$N$13,0)</f>
        <v>15</v>
      </c>
    </row>
    <row r="68" spans="1:20" x14ac:dyDescent="0.25">
      <c r="A68" s="176">
        <v>66</v>
      </c>
      <c r="B68" t="str" cm="1">
        <f t="array" ref="B68">VLOOKUP(TabDesSalariosFiscal[[#This Row],[id]],TabEmpleados[],COLUMN(TabEmpleados[Nombre]),FALSE)</f>
        <v xml:space="preserve">SALINAS CORTES ANGEL GABRIEL </v>
      </c>
      <c r="C68" s="148" cm="1">
        <f t="array" ref="C68">IF(VLOOKUP(TabDesSalariosFiscal[[#This Row],[id]],TabEmpleados[],COLUMN(TabEmpleados[Fecha de alta NSS]),FALSE)&lt;&gt;"",
VLOOKUP(TabDesSalariosFiscal[[#This Row],[id]],TabAsistencias[],COLUMN(TabAsistencias[''Total de dias laborados]),FALSE),
0)</f>
        <v>73</v>
      </c>
      <c r="D68" s="179" cm="1">
        <f t="array" ref="D68">(VLOOKUP(TabDesSalariosFiscal[[#This Row],[id]],TabEmpleados[],COLUMN(TabEmpleados[SD Fiscal]),FALSE))*
TabDesSalariosFiscal[[#This Row],[Dias Lab.]]</f>
        <v>4818</v>
      </c>
      <c r="E68" s="180" cm="1">
        <f t="array" ref="E68">IF(VLOOKUP(TabDesSalariosFiscal[[#This Row],[id]],TabEmpleados[],COLUMN(TabEmpleados[Fecha de alta NSS]),FALSE)&lt;&gt;"",
IF(DATEDIF((VLOOKUP(TabDesSalariosFiscal[[#This Row],[id]],TabEmpleados[],COLUMN(TabEmpleados[Fecha de alta NSS]),FALSE)),'Tablas de informacion'!N$8,"Y")=0,1,
DATEDIF((VLOOKUP(TabDesSalariosFiscal[[#This Row],[id]],TabEmpleados[],COLUMN(TabEmpleados[Fecha de alta NSS]),FALSE)),'Tablas de informacion'!N$8,"Y")),0)</f>
        <v>1</v>
      </c>
      <c r="F68" s="181" cm="1">
        <f t="array" ref="F68">IFERROR((VLOOKUP(TabDesSalariosFiscal[[#This Row],[id]],TabEmpleados[],COLUMN(TabEmpleados[SD Fiscal]),FALSE))*
(VLOOKUP(TabDesSalariosFiscal[[#This Row],[Años]],TabFactorIntegracion[],COLUMN(TabFactorIntegracion[% de prima 
vacacional y dominical]),FALSE))*
IF((VLOOKUP(TabDesSalariosFiscal[[#This Row],[id]],TabAsistencias[],COLUMN(TabAsistencias[''Prima dominical]),FALSE))&lt;DominicalFiscal,(VLOOKUP(TabDesSalariosFiscal[[#This Row],[id]],TabAsistencias[],COLUMN(TabAsistencias[''Total de dias laborados]),FALSE)),DominicalFiscal)*
(VLOOKUP((VLOOKUP(TabDesSalariosFiscal[[#This Row],[id]],TabEmpleados[],COLUMN(TabEmpleados[Puesto]),FALSE)),TabPuestos[],COLUMN(TabPuestos[PRIMA DOMINICAL]),FALSE)),0)</f>
        <v>16.5</v>
      </c>
      <c r="G68" s="182" cm="1">
        <f t="array" ref="G68">IFERROR((VLOOKUP(TabDesSalariosFiscal[[#This Row],[id]],TabEmpleados[],COLUMN(TabEmpleados[SD Fiscal]),FALSE))*
(VLOOKUP(TabDesSalariosFiscal[[#This Row],[Años]],TabFactorIntegracion[],COLUMN(TabFactorIntegracion[% de prima 
vacacional y dominical]),FALSE))*
((VLOOKUP(TabDesSalariosFiscal[[#This Row],[id]],TabAsistencias[],COLUMN(TabAsistencias[''V]),FALSE))),0)</f>
        <v>0</v>
      </c>
      <c r="H68" s="183" cm="1">
        <f t="array" ref="H68">IFERROR(VLOOKUP(TabDesSalariosFiscal[[#This Row],[id]],TabCuotasIMSS[],COLUMN(TabCuotasIMSS[S.B.C./S.D.I.]),FALSE),0)</f>
        <v>75.950539726027401</v>
      </c>
      <c r="I68" s="184">
        <f>IFERROR(TabDesSalariosFiscal[[#This Row],[S.B.C]]*Bono*TabDesSalariosFiscal[[#This Row],[Dias Lab.]],0)</f>
        <v>554.43894000000012</v>
      </c>
      <c r="J68" s="184">
        <f>IFERROR(TabDesSalariosFiscal[[#This Row],[S.B.C]]*Bono*TabDesSalariosFiscal[[#This Row],[Dias Lab.]],0)</f>
        <v>554.43894000000012</v>
      </c>
      <c r="K68" s="232" cm="1">
        <f t="array" ref="K68">(VLOOKUP(TabDesSalariosFiscal[[#This Row],[id]],TabEmpleados[],COLUMN(TabEmpleados[SD Fiscal]),FALSE))*(VLOOKUP(TabDesSalariosFiscal[[#This Row],[id]],TabAsistencias[],COLUMN(TabAsistencias[''DF]),FALSE))*2</f>
        <v>0</v>
      </c>
      <c r="L68" s="185">
        <f>-1*(SUMIFS(TabPagosFiscal[Monto de pago],TabPagosFiscal[id],TabDesSalariosFiscal[[#This Row],[id]],TabPagosFiscal[Fecha de pago],"&gt;="&amp;Asistencias!$B$2,TabPagosFiscal[Fecha de pago],"&lt;"&amp;Asistencias!$B$3))</f>
        <v>0</v>
      </c>
      <c r="M68" t="str" cm="1">
        <f t="array" ref="M68">getDescripcion(TabDesSalariosFiscal[[#This Row],[id]],"Descuentos-PagosFiscal","TabPagosFiscal",Asistencias!$B$2,Asistencias!$B$3)</f>
        <v/>
      </c>
      <c r="N68" s="186" cm="1">
        <f t="array" ref="N68">IFERROR(-1*(VLOOKUP(TabDesSalariosFiscal[[#This Row],[id]],TabCuotasIMSS[],COLUMN(TabCuotasIMSS[TOTAL
OBRERO19]),FALSE)),0)</f>
        <v>0</v>
      </c>
      <c r="O68" s="187" cm="1">
        <f t="array" ref="O68">IFERROR(-1*(VLOOKUP(TabDesSalariosFiscal[[#This Row],[id]],TabImpuestos[],COLUMN(TabImpuestos[Total ISR]),FALSE)),0)</f>
        <v>-510.77886079999996</v>
      </c>
      <c r="P68" s="188">
        <f>IFERROR(TabDesSalariosFiscal[[#This Row],[Subtotal Fiscal]]+TabDesSalariosFiscal[[#This Row],[Prima dominical]]+TabDesSalariosFiscal[[#This Row],[Prima vacacional]]+TabDesSalariosFiscal[[#This Row],[Bono Asistencia]]+TabDesSalariosFiscal[[#This Row],[Bono Puntualidad]]+TabDesSalariosFiscal[[#This Row],[Dia Festivo/ Descanso]]+TabDesSalariosFiscal[[#This Row],[Descuentos]]+TabDesSalariosFiscal[[#This Row],[IMSS]]+TabDesSalariosFiscal[[#This Row],[ISR]],0)</f>
        <v>5432.5990191999999</v>
      </c>
      <c r="Q68" s="187" cm="1">
        <f t="array" ref="Q68">IFERROR(IF('Desglose Salarios Fiscal'!$Q$1=1,-1*(IF((VLOOKUP(TabDesSalariosFiscal[[#This Row],[id]],TabImpuestos[],COLUMN(TabImpuestos[ISR de Aguinaldo 1]),FALSE))&lt;0,0,(VLOOKUP(TabDesSalariosFiscal[[#This Row],[id]],TabImpuestos[],COLUMN(TabImpuestos[ISR de Aguinaldo 1]),FALSE)))),0),0)</f>
        <v>0</v>
      </c>
      <c r="R68" s="55" cm="1">
        <f t="array" ref="R68">IFERROR(IF('Desglose Salarios Fiscal'!$Q$1=1,(VLOOKUP(TabDesSalariosFiscal[[#This Row],[id]],TabEmpleados[],COLUMN(TabEmpleados[SD Fiscal]),FALSE)*TabDesSalariosFiscal[[#This Row],[Dias de aguinaldo fiscal2]])+TabDesSalariosFiscal[[#This Row],[ISR Aguinaldo]],0),0)</f>
        <v>990</v>
      </c>
      <c r="S68" cm="1">
        <f t="array" ref="S68">IF(YEAR(VLOOKUP(TabDesSalariosFiscal[[#This Row],[id]],TabEmpleados[],COLUMN(TabEmpleados[Fecha de alta NSS]),FALSE))&lt;AñoActual,'Tablas de informacion'!$N$13,_xlfn.DAYS(DATE(AñoActual+1,MONTH(1),DAY(1))-DAY(1),(VLOOKUP(TabDesSalariosFiscal[[#This Row],[id]],TabEmpleados[],COLUMN(TabEmpleados[Fecha de alta NSS]),FALSE))))</f>
        <v>365</v>
      </c>
      <c r="T68" cm="1">
        <f t="array" ref="T68">IFERROR(TabDesSalariosFiscal[[#This Row],[Dias de aguinaldo Fiscal1]]*VLOOKUP(TabDesSalariosFiscal[[#This Row],[Años]],TabFactorIntegracion[],COLUMN(TabFactorIntegracion[Días de
aguinaldo]),FALSE)/'Tablas de informacion'!$N$13,0)</f>
        <v>15</v>
      </c>
    </row>
    <row r="69" spans="1:20" x14ac:dyDescent="0.25">
      <c r="A69" s="176">
        <v>67</v>
      </c>
      <c r="B69" t="str" cm="1">
        <f t="array" ref="B69">VLOOKUP(TabDesSalariosFiscal[[#This Row],[id]],TabEmpleados[],COLUMN(TabEmpleados[Nombre]),FALSE)</f>
        <v>MORALES JIMENEZ JOSE IGNACIO</v>
      </c>
      <c r="C69" s="148" cm="1">
        <f t="array" ref="C69">IF(VLOOKUP(TabDesSalariosFiscal[[#This Row],[id]],TabEmpleados[],COLUMN(TabEmpleados[Fecha de alta NSS]),FALSE)&lt;&gt;"",
VLOOKUP(TabDesSalariosFiscal[[#This Row],[id]],TabAsistencias[],COLUMN(TabAsistencias[''Total de dias laborados]),FALSE),
0)</f>
        <v>73</v>
      </c>
      <c r="D69" s="179" cm="1">
        <f t="array" ref="D69">(VLOOKUP(TabDesSalariosFiscal[[#This Row],[id]],TabEmpleados[],COLUMN(TabEmpleados[SD Fiscal]),FALSE))*
TabDesSalariosFiscal[[#This Row],[Dias Lab.]]</f>
        <v>4380</v>
      </c>
      <c r="E69" s="180" cm="1">
        <f t="array" ref="E69">IF(VLOOKUP(TabDesSalariosFiscal[[#This Row],[id]],TabEmpleados[],COLUMN(TabEmpleados[Fecha de alta NSS]),FALSE)&lt;&gt;"",
IF(DATEDIF((VLOOKUP(TabDesSalariosFiscal[[#This Row],[id]],TabEmpleados[],COLUMN(TabEmpleados[Fecha de alta NSS]),FALSE)),'Tablas de informacion'!N$8,"Y")=0,1,
DATEDIF((VLOOKUP(TabDesSalariosFiscal[[#This Row],[id]],TabEmpleados[],COLUMN(TabEmpleados[Fecha de alta NSS]),FALSE)),'Tablas de informacion'!N$8,"Y")),0)</f>
        <v>1</v>
      </c>
      <c r="F69" s="181" cm="1">
        <f t="array" ref="F69">IFERROR((VLOOKUP(TabDesSalariosFiscal[[#This Row],[id]],TabEmpleados[],COLUMN(TabEmpleados[SD Fiscal]),FALSE))*
(VLOOKUP(TabDesSalariosFiscal[[#This Row],[Años]],TabFactorIntegracion[],COLUMN(TabFactorIntegracion[% de prima 
vacacional y dominical]),FALSE))*
IF((VLOOKUP(TabDesSalariosFiscal[[#This Row],[id]],TabAsistencias[],COLUMN(TabAsistencias[''Prima dominical]),FALSE))&lt;DominicalFiscal,(VLOOKUP(TabDesSalariosFiscal[[#This Row],[id]],TabAsistencias[],COLUMN(TabAsistencias[''Total de dias laborados]),FALSE)),DominicalFiscal)*
(VLOOKUP((VLOOKUP(TabDesSalariosFiscal[[#This Row],[id]],TabEmpleados[],COLUMN(TabEmpleados[Puesto]),FALSE)),TabPuestos[],COLUMN(TabPuestos[PRIMA DOMINICAL]),FALSE)),0)</f>
        <v>15</v>
      </c>
      <c r="G69" s="182" cm="1">
        <f t="array" ref="G69">IFERROR((VLOOKUP(TabDesSalariosFiscal[[#This Row],[id]],TabEmpleados[],COLUMN(TabEmpleados[SD Fiscal]),FALSE))*
(VLOOKUP(TabDesSalariosFiscal[[#This Row],[Años]],TabFactorIntegracion[],COLUMN(TabFactorIntegracion[% de prima 
vacacional y dominical]),FALSE))*
((VLOOKUP(TabDesSalariosFiscal[[#This Row],[id]],TabAsistencias[],COLUMN(TabAsistencias[''V]),FALSE))),0)</f>
        <v>0</v>
      </c>
      <c r="H69" s="183" cm="1">
        <f t="array" ref="H69">IFERROR(VLOOKUP(TabDesSalariosFiscal[[#This Row],[id]],TabCuotasIMSS[],COLUMN(TabCuotasIMSS[S.B.C./S.D.I.]),FALSE),0)</f>
        <v>69.045945205479455</v>
      </c>
      <c r="I69" s="184">
        <f>IFERROR(TabDesSalariosFiscal[[#This Row],[S.B.C]]*Bono*TabDesSalariosFiscal[[#This Row],[Dias Lab.]],0)</f>
        <v>504.03540000000004</v>
      </c>
      <c r="J69" s="184">
        <f>IFERROR(TabDesSalariosFiscal[[#This Row],[S.B.C]]*Bono*TabDesSalariosFiscal[[#This Row],[Dias Lab.]],0)</f>
        <v>504.03540000000004</v>
      </c>
      <c r="K69" s="232" cm="1">
        <f t="array" ref="K69">(VLOOKUP(TabDesSalariosFiscal[[#This Row],[id]],TabEmpleados[],COLUMN(TabEmpleados[SD Fiscal]),FALSE))*(VLOOKUP(TabDesSalariosFiscal[[#This Row],[id]],TabAsistencias[],COLUMN(TabAsistencias[''DF]),FALSE))*2</f>
        <v>0</v>
      </c>
      <c r="L69" s="185">
        <f>-1*(SUMIFS(TabPagosFiscal[Monto de pago],TabPagosFiscal[id],TabDesSalariosFiscal[[#This Row],[id]],TabPagosFiscal[Fecha de pago],"&gt;="&amp;Asistencias!$B$2,TabPagosFiscal[Fecha de pago],"&lt;"&amp;Asistencias!$B$3))</f>
        <v>0</v>
      </c>
      <c r="M69" t="str" cm="1">
        <f t="array" ref="M69">getDescripcion(TabDesSalariosFiscal[[#This Row],[id]],"Descuentos-PagosFiscal","TabPagosFiscal",Asistencias!$B$2,Asistencias!$B$3)</f>
        <v/>
      </c>
      <c r="N69" s="186" cm="1">
        <f t="array" ref="N69">IFERROR(-1*(VLOOKUP(TabDesSalariosFiscal[[#This Row],[id]],TabCuotasIMSS[],COLUMN(TabCuotasIMSS[TOTAL
OBRERO19]),FALSE)),0)</f>
        <v>0</v>
      </c>
      <c r="O69" s="187" cm="1">
        <f t="array" ref="O69">IFERROR(-1*(VLOOKUP(TabDesSalariosFiscal[[#This Row],[id]],TabImpuestos[],COLUMN(TabImpuestos[Total ISR]),FALSE)),0)</f>
        <v>-429.74173503999987</v>
      </c>
      <c r="P69" s="188">
        <f>IFERROR(TabDesSalariosFiscal[[#This Row],[Subtotal Fiscal]]+TabDesSalariosFiscal[[#This Row],[Prima dominical]]+TabDesSalariosFiscal[[#This Row],[Prima vacacional]]+TabDesSalariosFiscal[[#This Row],[Bono Asistencia]]+TabDesSalariosFiscal[[#This Row],[Bono Puntualidad]]+TabDesSalariosFiscal[[#This Row],[Dia Festivo/ Descanso]]+TabDesSalariosFiscal[[#This Row],[Descuentos]]+TabDesSalariosFiscal[[#This Row],[IMSS]]+TabDesSalariosFiscal[[#This Row],[ISR]],0)</f>
        <v>4973.3290649599994</v>
      </c>
      <c r="Q69" s="187" cm="1">
        <f t="array" ref="Q69">IFERROR(IF('Desglose Salarios Fiscal'!$Q$1=1,-1*(IF((VLOOKUP(TabDesSalariosFiscal[[#This Row],[id]],TabImpuestos[],COLUMN(TabImpuestos[ISR de Aguinaldo 1]),FALSE))&lt;0,0,(VLOOKUP(TabDesSalariosFiscal[[#This Row],[id]],TabImpuestos[],COLUMN(TabImpuestos[ISR de Aguinaldo 1]),FALSE)))),0),0)</f>
        <v>0</v>
      </c>
      <c r="R69" s="55" cm="1">
        <f t="array" ref="R69">IFERROR(IF('Desglose Salarios Fiscal'!$Q$1=1,(VLOOKUP(TabDesSalariosFiscal[[#This Row],[id]],TabEmpleados[],COLUMN(TabEmpleados[SD Fiscal]),FALSE)*TabDesSalariosFiscal[[#This Row],[Dias de aguinaldo fiscal2]])+TabDesSalariosFiscal[[#This Row],[ISR Aguinaldo]],0),0)</f>
        <v>900</v>
      </c>
      <c r="S69" cm="1">
        <f t="array" ref="S69">IF(YEAR(VLOOKUP(TabDesSalariosFiscal[[#This Row],[id]],TabEmpleados[],COLUMN(TabEmpleados[Fecha de alta NSS]),FALSE))&lt;AñoActual,'Tablas de informacion'!$N$13,_xlfn.DAYS(DATE(AñoActual+1,MONTH(1),DAY(1))-DAY(1),(VLOOKUP(TabDesSalariosFiscal[[#This Row],[id]],TabEmpleados[],COLUMN(TabEmpleados[Fecha de alta NSS]),FALSE))))</f>
        <v>365</v>
      </c>
      <c r="T69" cm="1">
        <f t="array" ref="T69">IFERROR(TabDesSalariosFiscal[[#This Row],[Dias de aguinaldo Fiscal1]]*VLOOKUP(TabDesSalariosFiscal[[#This Row],[Años]],TabFactorIntegracion[],COLUMN(TabFactorIntegracion[Días de
aguinaldo]),FALSE)/'Tablas de informacion'!$N$13,0)</f>
        <v>15</v>
      </c>
    </row>
    <row r="70" spans="1:20" x14ac:dyDescent="0.25">
      <c r="A70" s="176">
        <v>68</v>
      </c>
      <c r="B70" t="str" cm="1">
        <f t="array" ref="B70">VLOOKUP(TabDesSalariosFiscal[[#This Row],[id]],TabEmpleados[],COLUMN(TabEmpleados[Nombre]),FALSE)</f>
        <v>LOPEZ VALENCIA ZOSIMO</v>
      </c>
      <c r="C70" s="148" cm="1">
        <f t="array" ref="C70">IF(VLOOKUP(TabDesSalariosFiscal[[#This Row],[id]],TabEmpleados[],COLUMN(TabEmpleados[Fecha de alta NSS]),FALSE)&lt;&gt;"",
VLOOKUP(TabDesSalariosFiscal[[#This Row],[id]],TabAsistencias[],COLUMN(TabAsistencias[''Total de dias laborados]),FALSE),
0)</f>
        <v>73</v>
      </c>
      <c r="D70" s="179" cm="1">
        <f t="array" ref="D70">(VLOOKUP(TabDesSalariosFiscal[[#This Row],[id]],TabEmpleados[],COLUMN(TabEmpleados[SD Fiscal]),FALSE))*
TabDesSalariosFiscal[[#This Row],[Dias Lab.]]</f>
        <v>4818</v>
      </c>
      <c r="E70" s="180" cm="1">
        <f t="array" ref="E70">IF(VLOOKUP(TabDesSalariosFiscal[[#This Row],[id]],TabEmpleados[],COLUMN(TabEmpleados[Fecha de alta NSS]),FALSE)&lt;&gt;"",
IF(DATEDIF((VLOOKUP(TabDesSalariosFiscal[[#This Row],[id]],TabEmpleados[],COLUMN(TabEmpleados[Fecha de alta NSS]),FALSE)),'Tablas de informacion'!N$8,"Y")=0,1,
DATEDIF((VLOOKUP(TabDesSalariosFiscal[[#This Row],[id]],TabEmpleados[],COLUMN(TabEmpleados[Fecha de alta NSS]),FALSE)),'Tablas de informacion'!N$8,"Y")),0)</f>
        <v>1</v>
      </c>
      <c r="F70" s="181" cm="1">
        <f t="array" ref="F70">IFERROR((VLOOKUP(TabDesSalariosFiscal[[#This Row],[id]],TabEmpleados[],COLUMN(TabEmpleados[SD Fiscal]),FALSE))*
(VLOOKUP(TabDesSalariosFiscal[[#This Row],[Años]],TabFactorIntegracion[],COLUMN(TabFactorIntegracion[% de prima 
vacacional y dominical]),FALSE))*
IF((VLOOKUP(TabDesSalariosFiscal[[#This Row],[id]],TabAsistencias[],COLUMN(TabAsistencias[''Prima dominical]),FALSE))&lt;DominicalFiscal,(VLOOKUP(TabDesSalariosFiscal[[#This Row],[id]],TabAsistencias[],COLUMN(TabAsistencias[''Total de dias laborados]),FALSE)),DominicalFiscal)*
(VLOOKUP((VLOOKUP(TabDesSalariosFiscal[[#This Row],[id]],TabEmpleados[],COLUMN(TabEmpleados[Puesto]),FALSE)),TabPuestos[],COLUMN(TabPuestos[PRIMA DOMINICAL]),FALSE)),0)</f>
        <v>16.5</v>
      </c>
      <c r="G70" s="182" cm="1">
        <f t="array" ref="G70">IFERROR((VLOOKUP(TabDesSalariosFiscal[[#This Row],[id]],TabEmpleados[],COLUMN(TabEmpleados[SD Fiscal]),FALSE))*
(VLOOKUP(TabDesSalariosFiscal[[#This Row],[Años]],TabFactorIntegracion[],COLUMN(TabFactorIntegracion[% de prima 
vacacional y dominical]),FALSE))*
((VLOOKUP(TabDesSalariosFiscal[[#This Row],[id]],TabAsistencias[],COLUMN(TabAsistencias[''V]),FALSE))),0)</f>
        <v>0</v>
      </c>
      <c r="H70" s="183" cm="1">
        <f t="array" ref="H70">IFERROR(VLOOKUP(TabDesSalariosFiscal[[#This Row],[id]],TabCuotasIMSS[],COLUMN(TabCuotasIMSS[S.B.C./S.D.I.]),FALSE),0)</f>
        <v>75.950539726027401</v>
      </c>
      <c r="I70" s="184">
        <f>IFERROR(TabDesSalariosFiscal[[#This Row],[S.B.C]]*Bono*TabDesSalariosFiscal[[#This Row],[Dias Lab.]],0)</f>
        <v>554.43894000000012</v>
      </c>
      <c r="J70" s="184">
        <f>IFERROR(TabDesSalariosFiscal[[#This Row],[S.B.C]]*Bono*TabDesSalariosFiscal[[#This Row],[Dias Lab.]],0)</f>
        <v>554.43894000000012</v>
      </c>
      <c r="K70" s="232" cm="1">
        <f t="array" ref="K70">(VLOOKUP(TabDesSalariosFiscal[[#This Row],[id]],TabEmpleados[],COLUMN(TabEmpleados[SD Fiscal]),FALSE))*(VLOOKUP(TabDesSalariosFiscal[[#This Row],[id]],TabAsistencias[],COLUMN(TabAsistencias[''DF]),FALSE))*2</f>
        <v>0</v>
      </c>
      <c r="L70" s="185">
        <f>-1*(SUMIFS(TabPagosFiscal[Monto de pago],TabPagosFiscal[id],TabDesSalariosFiscal[[#This Row],[id]],TabPagosFiscal[Fecha de pago],"&gt;="&amp;Asistencias!$B$2,TabPagosFiscal[Fecha de pago],"&lt;"&amp;Asistencias!$B$3))</f>
        <v>0</v>
      </c>
      <c r="M70" t="str" cm="1">
        <f t="array" ref="M70">getDescripcion(TabDesSalariosFiscal[[#This Row],[id]],"Descuentos-PagosFiscal","TabPagosFiscal",Asistencias!$B$2,Asistencias!$B$3)</f>
        <v/>
      </c>
      <c r="N70" s="186" cm="1">
        <f t="array" ref="N70">IFERROR(-1*(VLOOKUP(TabDesSalariosFiscal[[#This Row],[id]],TabCuotasIMSS[],COLUMN(TabCuotasIMSS[TOTAL
OBRERO19]),FALSE)),0)</f>
        <v>0</v>
      </c>
      <c r="O70" s="187" cm="1">
        <f t="array" ref="O70">IFERROR(-1*(VLOOKUP(TabDesSalariosFiscal[[#This Row],[id]],TabImpuestos[],COLUMN(TabImpuestos[Total ISR]),FALSE)),0)</f>
        <v>-510.77886079999996</v>
      </c>
      <c r="P70" s="188">
        <f>IFERROR(TabDesSalariosFiscal[[#This Row],[Subtotal Fiscal]]+TabDesSalariosFiscal[[#This Row],[Prima dominical]]+TabDesSalariosFiscal[[#This Row],[Prima vacacional]]+TabDesSalariosFiscal[[#This Row],[Bono Asistencia]]+TabDesSalariosFiscal[[#This Row],[Bono Puntualidad]]+TabDesSalariosFiscal[[#This Row],[Dia Festivo/ Descanso]]+TabDesSalariosFiscal[[#This Row],[Descuentos]]+TabDesSalariosFiscal[[#This Row],[IMSS]]+TabDesSalariosFiscal[[#This Row],[ISR]],0)</f>
        <v>5432.5990191999999</v>
      </c>
      <c r="Q70" s="187" cm="1">
        <f t="array" ref="Q70">IFERROR(IF('Desglose Salarios Fiscal'!$Q$1=1,-1*(IF((VLOOKUP(TabDesSalariosFiscal[[#This Row],[id]],TabImpuestos[],COLUMN(TabImpuestos[ISR de Aguinaldo 1]),FALSE))&lt;0,0,(VLOOKUP(TabDesSalariosFiscal[[#This Row],[id]],TabImpuestos[],COLUMN(TabImpuestos[ISR de Aguinaldo 1]),FALSE)))),0),0)</f>
        <v>0</v>
      </c>
      <c r="R70" s="55" cm="1">
        <f t="array" ref="R70">IFERROR(IF('Desglose Salarios Fiscal'!$Q$1=1,(VLOOKUP(TabDesSalariosFiscal[[#This Row],[id]],TabEmpleados[],COLUMN(TabEmpleados[SD Fiscal]),FALSE)*TabDesSalariosFiscal[[#This Row],[Dias de aguinaldo fiscal2]])+TabDesSalariosFiscal[[#This Row],[ISR Aguinaldo]],0),0)</f>
        <v>990</v>
      </c>
      <c r="S70" cm="1">
        <f t="array" ref="S70">IF(YEAR(VLOOKUP(TabDesSalariosFiscal[[#This Row],[id]],TabEmpleados[],COLUMN(TabEmpleados[Fecha de alta NSS]),FALSE))&lt;AñoActual,'Tablas de informacion'!$N$13,_xlfn.DAYS(DATE(AñoActual+1,MONTH(1),DAY(1))-DAY(1),(VLOOKUP(TabDesSalariosFiscal[[#This Row],[id]],TabEmpleados[],COLUMN(TabEmpleados[Fecha de alta NSS]),FALSE))))</f>
        <v>365</v>
      </c>
      <c r="T70" cm="1">
        <f t="array" ref="T70">IFERROR(TabDesSalariosFiscal[[#This Row],[Dias de aguinaldo Fiscal1]]*VLOOKUP(TabDesSalariosFiscal[[#This Row],[Años]],TabFactorIntegracion[],COLUMN(TabFactorIntegracion[Días de
aguinaldo]),FALSE)/'Tablas de informacion'!$N$13,0)</f>
        <v>15</v>
      </c>
    </row>
    <row r="71" spans="1:20" x14ac:dyDescent="0.25">
      <c r="A71" s="176">
        <v>69</v>
      </c>
      <c r="B71" t="str" cm="1">
        <f t="array" ref="B71">VLOOKUP(TabDesSalariosFiscal[[#This Row],[id]],TabEmpleados[],COLUMN(TabEmpleados[Nombre]),FALSE)</f>
        <v xml:space="preserve">RUIZ CRUZ CESAR DANIEL </v>
      </c>
      <c r="C71" s="148" cm="1">
        <f t="array" ref="C71">IF(VLOOKUP(TabDesSalariosFiscal[[#This Row],[id]],TabEmpleados[],COLUMN(TabEmpleados[Fecha de alta NSS]),FALSE)&lt;&gt;"",
VLOOKUP(TabDesSalariosFiscal[[#This Row],[id]],TabAsistencias[],COLUMN(TabAsistencias[''Total de dias laborados]),FALSE),
0)</f>
        <v>73</v>
      </c>
      <c r="D71" s="179" cm="1">
        <f t="array" ref="D71">(VLOOKUP(TabDesSalariosFiscal[[#This Row],[id]],TabEmpleados[],COLUMN(TabEmpleados[SD Fiscal]),FALSE))*
TabDesSalariosFiscal[[#This Row],[Dias Lab.]]</f>
        <v>4380</v>
      </c>
      <c r="E71" s="180" cm="1">
        <f t="array" ref="E71">IF(VLOOKUP(TabDesSalariosFiscal[[#This Row],[id]],TabEmpleados[],COLUMN(TabEmpleados[Fecha de alta NSS]),FALSE)&lt;&gt;"",
IF(DATEDIF((VLOOKUP(TabDesSalariosFiscal[[#This Row],[id]],TabEmpleados[],COLUMN(TabEmpleados[Fecha de alta NSS]),FALSE)),'Tablas de informacion'!N$8,"Y")=0,1,
DATEDIF((VLOOKUP(TabDesSalariosFiscal[[#This Row],[id]],TabEmpleados[],COLUMN(TabEmpleados[Fecha de alta NSS]),FALSE)),'Tablas de informacion'!N$8,"Y")),0)</f>
        <v>1</v>
      </c>
      <c r="F71" s="181" cm="1">
        <f t="array" ref="F71">IFERROR((VLOOKUP(TabDesSalariosFiscal[[#This Row],[id]],TabEmpleados[],COLUMN(TabEmpleados[SD Fiscal]),FALSE))*
(VLOOKUP(TabDesSalariosFiscal[[#This Row],[Años]],TabFactorIntegracion[],COLUMN(TabFactorIntegracion[% de prima 
vacacional y dominical]),FALSE))*
IF((VLOOKUP(TabDesSalariosFiscal[[#This Row],[id]],TabAsistencias[],COLUMN(TabAsistencias[''Prima dominical]),FALSE))&lt;DominicalFiscal,(VLOOKUP(TabDesSalariosFiscal[[#This Row],[id]],TabAsistencias[],COLUMN(TabAsistencias[''Total de dias laborados]),FALSE)),DominicalFiscal)*
(VLOOKUP((VLOOKUP(TabDesSalariosFiscal[[#This Row],[id]],TabEmpleados[],COLUMN(TabEmpleados[Puesto]),FALSE)),TabPuestos[],COLUMN(TabPuestos[PRIMA DOMINICAL]),FALSE)),0)</f>
        <v>0</v>
      </c>
      <c r="G71" s="182" cm="1">
        <f t="array" ref="G71">IFERROR((VLOOKUP(TabDesSalariosFiscal[[#This Row],[id]],TabEmpleados[],COLUMN(TabEmpleados[SD Fiscal]),FALSE))*
(VLOOKUP(TabDesSalariosFiscal[[#This Row],[Años]],TabFactorIntegracion[],COLUMN(TabFactorIntegracion[% de prima 
vacacional y dominical]),FALSE))*
((VLOOKUP(TabDesSalariosFiscal[[#This Row],[id]],TabAsistencias[],COLUMN(TabAsistencias[''V]),FALSE))),0)</f>
        <v>0</v>
      </c>
      <c r="H71" s="183" cm="1">
        <f t="array" ref="H71">IFERROR(VLOOKUP(TabDesSalariosFiscal[[#This Row],[id]],TabCuotasIMSS[],COLUMN(TabCuotasIMSS[S.B.C./S.D.I.]),FALSE),0)</f>
        <v>67.956904109589047</v>
      </c>
      <c r="I71" s="184">
        <f>IFERROR(TabDesSalariosFiscal[[#This Row],[S.B.C]]*Bono*TabDesSalariosFiscal[[#This Row],[Dias Lab.]],0)</f>
        <v>496.08540000000005</v>
      </c>
      <c r="J71" s="184">
        <f>IFERROR(TabDesSalariosFiscal[[#This Row],[S.B.C]]*Bono*TabDesSalariosFiscal[[#This Row],[Dias Lab.]],0)</f>
        <v>496.08540000000005</v>
      </c>
      <c r="K71" s="232" cm="1">
        <f t="array" ref="K71">(VLOOKUP(TabDesSalariosFiscal[[#This Row],[id]],TabEmpleados[],COLUMN(TabEmpleados[SD Fiscal]),FALSE))*(VLOOKUP(TabDesSalariosFiscal[[#This Row],[id]],TabAsistencias[],COLUMN(TabAsistencias[''DF]),FALSE))*2</f>
        <v>0</v>
      </c>
      <c r="L71" s="185">
        <f>-1*(SUMIFS(TabPagosFiscal[Monto de pago],TabPagosFiscal[id],TabDesSalariosFiscal[[#This Row],[id]],TabPagosFiscal[Fecha de pago],"&gt;="&amp;Asistencias!$B$2,TabPagosFiscal[Fecha de pago],"&lt;"&amp;Asistencias!$B$3))</f>
        <v>0</v>
      </c>
      <c r="M71" t="str" cm="1">
        <f t="array" ref="M71">getDescripcion(TabDesSalariosFiscal[[#This Row],[id]],"Descuentos-PagosFiscal","TabPagosFiscal",Asistencias!$B$2,Asistencias!$B$3)</f>
        <v/>
      </c>
      <c r="N71" s="186" cm="1">
        <f t="array" ref="N71">IFERROR(-1*(VLOOKUP(TabDesSalariosFiscal[[#This Row],[id]],TabCuotasIMSS[],COLUMN(TabCuotasIMSS[TOTAL
OBRERO19]),FALSE)),0)</f>
        <v>0</v>
      </c>
      <c r="O71" s="187" cm="1">
        <f t="array" ref="O71">IFERROR(-1*(VLOOKUP(TabDesSalariosFiscal[[#This Row],[id]],TabImpuestos[],COLUMN(TabImpuestos[Total ISR]),FALSE)),0)</f>
        <v>-428.01181503999999</v>
      </c>
      <c r="P71" s="188">
        <f>IFERROR(TabDesSalariosFiscal[[#This Row],[Subtotal Fiscal]]+TabDesSalariosFiscal[[#This Row],[Prima dominical]]+TabDesSalariosFiscal[[#This Row],[Prima vacacional]]+TabDesSalariosFiscal[[#This Row],[Bono Asistencia]]+TabDesSalariosFiscal[[#This Row],[Bono Puntualidad]]+TabDesSalariosFiscal[[#This Row],[Dia Festivo/ Descanso]]+TabDesSalariosFiscal[[#This Row],[Descuentos]]+TabDesSalariosFiscal[[#This Row],[IMSS]]+TabDesSalariosFiscal[[#This Row],[ISR]],0)</f>
        <v>4944.1589849599995</v>
      </c>
      <c r="Q71" s="187" cm="1">
        <f t="array" ref="Q71">IFERROR(IF('Desglose Salarios Fiscal'!$Q$1=1,-1*(IF((VLOOKUP(TabDesSalariosFiscal[[#This Row],[id]],TabImpuestos[],COLUMN(TabImpuestos[ISR de Aguinaldo 1]),FALSE))&lt;0,0,(VLOOKUP(TabDesSalariosFiscal[[#This Row],[id]],TabImpuestos[],COLUMN(TabImpuestos[ISR de Aguinaldo 1]),FALSE)))),0),0)</f>
        <v>0</v>
      </c>
      <c r="R71" s="55" cm="1">
        <f t="array" ref="R71">IFERROR(IF('Desglose Salarios Fiscal'!$Q$1=1,(VLOOKUP(TabDesSalariosFiscal[[#This Row],[id]],TabEmpleados[],COLUMN(TabEmpleados[SD Fiscal]),FALSE)*TabDesSalariosFiscal[[#This Row],[Dias de aguinaldo fiscal2]])+TabDesSalariosFiscal[[#This Row],[ISR Aguinaldo]],0),0)</f>
        <v>900</v>
      </c>
      <c r="S71" cm="1">
        <f t="array" ref="S71">IF(YEAR(VLOOKUP(TabDesSalariosFiscal[[#This Row],[id]],TabEmpleados[],COLUMN(TabEmpleados[Fecha de alta NSS]),FALSE))&lt;AñoActual,'Tablas de informacion'!$N$13,_xlfn.DAYS(DATE(AñoActual+1,MONTH(1),DAY(1))-DAY(1),(VLOOKUP(TabDesSalariosFiscal[[#This Row],[id]],TabEmpleados[],COLUMN(TabEmpleados[Fecha de alta NSS]),FALSE))))</f>
        <v>365</v>
      </c>
      <c r="T71" cm="1">
        <f t="array" ref="T71">IFERROR(TabDesSalariosFiscal[[#This Row],[Dias de aguinaldo Fiscal1]]*VLOOKUP(TabDesSalariosFiscal[[#This Row],[Años]],TabFactorIntegracion[],COLUMN(TabFactorIntegracion[Días de
aguinaldo]),FALSE)/'Tablas de informacion'!$N$13,0)</f>
        <v>15</v>
      </c>
    </row>
    <row r="72" spans="1:20" x14ac:dyDescent="0.25">
      <c r="A72" s="176">
        <v>70</v>
      </c>
      <c r="B72" t="str" cm="1">
        <f t="array" ref="B72">VLOOKUP(TabDesSalariosFiscal[[#This Row],[id]],TabEmpleados[],COLUMN(TabEmpleados[Nombre]),FALSE)</f>
        <v>GONZALEZ LEYVA ADRIAN EDUARDO</v>
      </c>
      <c r="C72" s="148" cm="1">
        <f t="array" ref="C72">IF(VLOOKUP(TabDesSalariosFiscal[[#This Row],[id]],TabEmpleados[],COLUMN(TabEmpleados[Fecha de alta NSS]),FALSE)&lt;&gt;"",
VLOOKUP(TabDesSalariosFiscal[[#This Row],[id]],TabAsistencias[],COLUMN(TabAsistencias[''Total de dias laborados]),FALSE),
0)</f>
        <v>73</v>
      </c>
      <c r="D72" s="179" cm="1">
        <f t="array" ref="D72">(VLOOKUP(TabDesSalariosFiscal[[#This Row],[id]],TabEmpleados[],COLUMN(TabEmpleados[SD Fiscal]),FALSE))*
TabDesSalariosFiscal[[#This Row],[Dias Lab.]]</f>
        <v>4380</v>
      </c>
      <c r="E72" s="180" cm="1">
        <f t="array" ref="E72">IF(VLOOKUP(TabDesSalariosFiscal[[#This Row],[id]],TabEmpleados[],COLUMN(TabEmpleados[Fecha de alta NSS]),FALSE)&lt;&gt;"",
IF(DATEDIF((VLOOKUP(TabDesSalariosFiscal[[#This Row],[id]],TabEmpleados[],COLUMN(TabEmpleados[Fecha de alta NSS]),FALSE)),'Tablas de informacion'!N$8,"Y")=0,1,
DATEDIF((VLOOKUP(TabDesSalariosFiscal[[#This Row],[id]],TabEmpleados[],COLUMN(TabEmpleados[Fecha de alta NSS]),FALSE)),'Tablas de informacion'!N$8,"Y")),0)</f>
        <v>1</v>
      </c>
      <c r="F72" s="181" cm="1">
        <f t="array" ref="F72">IFERROR((VLOOKUP(TabDesSalariosFiscal[[#This Row],[id]],TabEmpleados[],COLUMN(TabEmpleados[SD Fiscal]),FALSE))*
(VLOOKUP(TabDesSalariosFiscal[[#This Row],[Años]],TabFactorIntegracion[],COLUMN(TabFactorIntegracion[% de prima 
vacacional y dominical]),FALSE))*
IF((VLOOKUP(TabDesSalariosFiscal[[#This Row],[id]],TabAsistencias[],COLUMN(TabAsistencias[''Prima dominical]),FALSE))&lt;DominicalFiscal,(VLOOKUP(TabDesSalariosFiscal[[#This Row],[id]],TabAsistencias[],COLUMN(TabAsistencias[''Total de dias laborados]),FALSE)),DominicalFiscal)*
(VLOOKUP((VLOOKUP(TabDesSalariosFiscal[[#This Row],[id]],TabEmpleados[],COLUMN(TabEmpleados[Puesto]),FALSE)),TabPuestos[],COLUMN(TabPuestos[PRIMA DOMINICAL]),FALSE)),0)</f>
        <v>15</v>
      </c>
      <c r="G72" s="182" cm="1">
        <f t="array" ref="G72">IFERROR((VLOOKUP(TabDesSalariosFiscal[[#This Row],[id]],TabEmpleados[],COLUMN(TabEmpleados[SD Fiscal]),FALSE))*
(VLOOKUP(TabDesSalariosFiscal[[#This Row],[Años]],TabFactorIntegracion[],COLUMN(TabFactorIntegracion[% de prima 
vacacional y dominical]),FALSE))*
((VLOOKUP(TabDesSalariosFiscal[[#This Row],[id]],TabAsistencias[],COLUMN(TabAsistencias[''V]),FALSE))),0)</f>
        <v>0</v>
      </c>
      <c r="H72" s="183" cm="1">
        <f t="array" ref="H72">IFERROR(VLOOKUP(TabDesSalariosFiscal[[#This Row],[id]],TabCuotasIMSS[],COLUMN(TabCuotasIMSS[S.B.C./S.D.I.]),FALSE),0)</f>
        <v>69.045945205479455</v>
      </c>
      <c r="I72" s="184">
        <f>IFERROR(TabDesSalariosFiscal[[#This Row],[S.B.C]]*Bono*TabDesSalariosFiscal[[#This Row],[Dias Lab.]],0)</f>
        <v>504.03540000000004</v>
      </c>
      <c r="J72" s="184">
        <f>IFERROR(TabDesSalariosFiscal[[#This Row],[S.B.C]]*Bono*TabDesSalariosFiscal[[#This Row],[Dias Lab.]],0)</f>
        <v>504.03540000000004</v>
      </c>
      <c r="K72" s="232" cm="1">
        <f t="array" ref="K72">(VLOOKUP(TabDesSalariosFiscal[[#This Row],[id]],TabEmpleados[],COLUMN(TabEmpleados[SD Fiscal]),FALSE))*(VLOOKUP(TabDesSalariosFiscal[[#This Row],[id]],TabAsistencias[],COLUMN(TabAsistencias[''DF]),FALSE))*2</f>
        <v>0</v>
      </c>
      <c r="L72" s="185">
        <f>-1*(SUMIFS(TabPagosFiscal[Monto de pago],TabPagosFiscal[id],TabDesSalariosFiscal[[#This Row],[id]],TabPagosFiscal[Fecha de pago],"&gt;="&amp;Asistencias!$B$2,TabPagosFiscal[Fecha de pago],"&lt;"&amp;Asistencias!$B$3))</f>
        <v>0</v>
      </c>
      <c r="M72" t="str" cm="1">
        <f t="array" ref="M72">getDescripcion(TabDesSalariosFiscal[[#This Row],[id]],"Descuentos-PagosFiscal","TabPagosFiscal",Asistencias!$B$2,Asistencias!$B$3)</f>
        <v/>
      </c>
      <c r="N72" s="186" cm="1">
        <f t="array" ref="N72">IFERROR(-1*(VLOOKUP(TabDesSalariosFiscal[[#This Row],[id]],TabCuotasIMSS[],COLUMN(TabCuotasIMSS[TOTAL
OBRERO19]),FALSE)),0)</f>
        <v>0</v>
      </c>
      <c r="O72" s="187" cm="1">
        <f t="array" ref="O72">IFERROR(-1*(VLOOKUP(TabDesSalariosFiscal[[#This Row],[id]],TabImpuestos[],COLUMN(TabImpuestos[Total ISR]),FALSE)),0)</f>
        <v>-429.74173503999987</v>
      </c>
      <c r="P72" s="188">
        <f>IFERROR(TabDesSalariosFiscal[[#This Row],[Subtotal Fiscal]]+TabDesSalariosFiscal[[#This Row],[Prima dominical]]+TabDesSalariosFiscal[[#This Row],[Prima vacacional]]+TabDesSalariosFiscal[[#This Row],[Bono Asistencia]]+TabDesSalariosFiscal[[#This Row],[Bono Puntualidad]]+TabDesSalariosFiscal[[#This Row],[Dia Festivo/ Descanso]]+TabDesSalariosFiscal[[#This Row],[Descuentos]]+TabDesSalariosFiscal[[#This Row],[IMSS]]+TabDesSalariosFiscal[[#This Row],[ISR]],0)</f>
        <v>4973.3290649599994</v>
      </c>
      <c r="Q72" s="187" cm="1">
        <f t="array" ref="Q72">IFERROR(IF('Desglose Salarios Fiscal'!$Q$1=1,-1*(IF((VLOOKUP(TabDesSalariosFiscal[[#This Row],[id]],TabImpuestos[],COLUMN(TabImpuestos[ISR de Aguinaldo 1]),FALSE))&lt;0,0,(VLOOKUP(TabDesSalariosFiscal[[#This Row],[id]],TabImpuestos[],COLUMN(TabImpuestos[ISR de Aguinaldo 1]),FALSE)))),0),0)</f>
        <v>0</v>
      </c>
      <c r="R72" s="55" cm="1">
        <f t="array" ref="R72">IFERROR(IF('Desglose Salarios Fiscal'!$Q$1=1,(VLOOKUP(TabDesSalariosFiscal[[#This Row],[id]],TabEmpleados[],COLUMN(TabEmpleados[SD Fiscal]),FALSE)*TabDesSalariosFiscal[[#This Row],[Dias de aguinaldo fiscal2]])+TabDesSalariosFiscal[[#This Row],[ISR Aguinaldo]],0),0)</f>
        <v>900</v>
      </c>
      <c r="S72" cm="1">
        <f t="array" ref="S72">IF(YEAR(VLOOKUP(TabDesSalariosFiscal[[#This Row],[id]],TabEmpleados[],COLUMN(TabEmpleados[Fecha de alta NSS]),FALSE))&lt;AñoActual,'Tablas de informacion'!$N$13,_xlfn.DAYS(DATE(AñoActual+1,MONTH(1),DAY(1))-DAY(1),(VLOOKUP(TabDesSalariosFiscal[[#This Row],[id]],TabEmpleados[],COLUMN(TabEmpleados[Fecha de alta NSS]),FALSE))))</f>
        <v>365</v>
      </c>
      <c r="T72" cm="1">
        <f t="array" ref="T72">IFERROR(TabDesSalariosFiscal[[#This Row],[Dias de aguinaldo Fiscal1]]*VLOOKUP(TabDesSalariosFiscal[[#This Row],[Años]],TabFactorIntegracion[],COLUMN(TabFactorIntegracion[Días de
aguinaldo]),FALSE)/'Tablas de informacion'!$N$13,0)</f>
        <v>15</v>
      </c>
    </row>
    <row r="73" spans="1:20" x14ac:dyDescent="0.25">
      <c r="A73" s="176">
        <v>71</v>
      </c>
      <c r="B73" t="str" cm="1">
        <f t="array" ref="B73">VLOOKUP(TabDesSalariosFiscal[[#This Row],[id]],TabEmpleados[],COLUMN(TabEmpleados[Nombre]),FALSE)</f>
        <v>GARCIA ALONZO ANGEL MARTIN</v>
      </c>
      <c r="C73" s="148" cm="1">
        <f t="array" ref="C73">IF(VLOOKUP(TabDesSalariosFiscal[[#This Row],[id]],TabEmpleados[],COLUMN(TabEmpleados[Fecha de alta NSS]),FALSE)&lt;&gt;"",
VLOOKUP(TabDesSalariosFiscal[[#This Row],[id]],TabAsistencias[],COLUMN(TabAsistencias[''Total de dias laborados]),FALSE),
0)</f>
        <v>73</v>
      </c>
      <c r="D73" s="179" cm="1">
        <f t="array" ref="D73">(VLOOKUP(TabDesSalariosFiscal[[#This Row],[id]],TabEmpleados[],COLUMN(TabEmpleados[SD Fiscal]),FALSE))*
TabDesSalariosFiscal[[#This Row],[Dias Lab.]]</f>
        <v>4380</v>
      </c>
      <c r="E73" s="180" cm="1">
        <f t="array" ref="E73">IF(VLOOKUP(TabDesSalariosFiscal[[#This Row],[id]],TabEmpleados[],COLUMN(TabEmpleados[Fecha de alta NSS]),FALSE)&lt;&gt;"",
IF(DATEDIF((VLOOKUP(TabDesSalariosFiscal[[#This Row],[id]],TabEmpleados[],COLUMN(TabEmpleados[Fecha de alta NSS]),FALSE)),'Tablas de informacion'!N$8,"Y")=0,1,
DATEDIF((VLOOKUP(TabDesSalariosFiscal[[#This Row],[id]],TabEmpleados[],COLUMN(TabEmpleados[Fecha de alta NSS]),FALSE)),'Tablas de informacion'!N$8,"Y")),0)</f>
        <v>1</v>
      </c>
      <c r="F73" s="181" cm="1">
        <f t="array" ref="F73">IFERROR((VLOOKUP(TabDesSalariosFiscal[[#This Row],[id]],TabEmpleados[],COLUMN(TabEmpleados[SD Fiscal]),FALSE))*
(VLOOKUP(TabDesSalariosFiscal[[#This Row],[Años]],TabFactorIntegracion[],COLUMN(TabFactorIntegracion[% de prima 
vacacional y dominical]),FALSE))*
IF((VLOOKUP(TabDesSalariosFiscal[[#This Row],[id]],TabAsistencias[],COLUMN(TabAsistencias[''Prima dominical]),FALSE))&lt;DominicalFiscal,(VLOOKUP(TabDesSalariosFiscal[[#This Row],[id]],TabAsistencias[],COLUMN(TabAsistencias[''Total de dias laborados]),FALSE)),DominicalFiscal)*
(VLOOKUP((VLOOKUP(TabDesSalariosFiscal[[#This Row],[id]],TabEmpleados[],COLUMN(TabEmpleados[Puesto]),FALSE)),TabPuestos[],COLUMN(TabPuestos[PRIMA DOMINICAL]),FALSE)),0)</f>
        <v>15</v>
      </c>
      <c r="G73" s="182" cm="1">
        <f t="array" ref="G73">IFERROR((VLOOKUP(TabDesSalariosFiscal[[#This Row],[id]],TabEmpleados[],COLUMN(TabEmpleados[SD Fiscal]),FALSE))*
(VLOOKUP(TabDesSalariosFiscal[[#This Row],[Años]],TabFactorIntegracion[],COLUMN(TabFactorIntegracion[% de prima 
vacacional y dominical]),FALSE))*
((VLOOKUP(TabDesSalariosFiscal[[#This Row],[id]],TabAsistencias[],COLUMN(TabAsistencias[''V]),FALSE))),0)</f>
        <v>0</v>
      </c>
      <c r="H73" s="183" cm="1">
        <f t="array" ref="H73">IFERROR(VLOOKUP(TabDesSalariosFiscal[[#This Row],[id]],TabCuotasIMSS[],COLUMN(TabCuotasIMSS[S.B.C./S.D.I.]),FALSE),0)</f>
        <v>69.045945205479455</v>
      </c>
      <c r="I73" s="184">
        <f>IFERROR(TabDesSalariosFiscal[[#This Row],[S.B.C]]*Bono*TabDesSalariosFiscal[[#This Row],[Dias Lab.]],0)</f>
        <v>504.03540000000004</v>
      </c>
      <c r="J73" s="184">
        <f>IFERROR(TabDesSalariosFiscal[[#This Row],[S.B.C]]*Bono*TabDesSalariosFiscal[[#This Row],[Dias Lab.]],0)</f>
        <v>504.03540000000004</v>
      </c>
      <c r="K73" s="232" cm="1">
        <f t="array" ref="K73">(VLOOKUP(TabDesSalariosFiscal[[#This Row],[id]],TabEmpleados[],COLUMN(TabEmpleados[SD Fiscal]),FALSE))*(VLOOKUP(TabDesSalariosFiscal[[#This Row],[id]],TabAsistencias[],COLUMN(TabAsistencias[''DF]),FALSE))*2</f>
        <v>0</v>
      </c>
      <c r="L73" s="185">
        <f>-1*(SUMIFS(TabPagosFiscal[Monto de pago],TabPagosFiscal[id],TabDesSalariosFiscal[[#This Row],[id]],TabPagosFiscal[Fecha de pago],"&gt;="&amp;Asistencias!$B$2,TabPagosFiscal[Fecha de pago],"&lt;"&amp;Asistencias!$B$3))</f>
        <v>0</v>
      </c>
      <c r="M73" t="str" cm="1">
        <f t="array" ref="M73">getDescripcion(TabDesSalariosFiscal[[#This Row],[id]],"Descuentos-PagosFiscal","TabPagosFiscal",Asistencias!$B$2,Asistencias!$B$3)</f>
        <v/>
      </c>
      <c r="N73" s="186" cm="1">
        <f t="array" ref="N73">IFERROR(-1*(VLOOKUP(TabDesSalariosFiscal[[#This Row],[id]],TabCuotasIMSS[],COLUMN(TabCuotasIMSS[TOTAL
OBRERO19]),FALSE)),0)</f>
        <v>0</v>
      </c>
      <c r="O73" s="187" cm="1">
        <f t="array" ref="O73">IFERROR(-1*(VLOOKUP(TabDesSalariosFiscal[[#This Row],[id]],TabImpuestos[],COLUMN(TabImpuestos[Total ISR]),FALSE)),0)</f>
        <v>-429.74173503999987</v>
      </c>
      <c r="P73" s="188">
        <f>IFERROR(TabDesSalariosFiscal[[#This Row],[Subtotal Fiscal]]+TabDesSalariosFiscal[[#This Row],[Prima dominical]]+TabDesSalariosFiscal[[#This Row],[Prima vacacional]]+TabDesSalariosFiscal[[#This Row],[Bono Asistencia]]+TabDesSalariosFiscal[[#This Row],[Bono Puntualidad]]+TabDesSalariosFiscal[[#This Row],[Dia Festivo/ Descanso]]+TabDesSalariosFiscal[[#This Row],[Descuentos]]+TabDesSalariosFiscal[[#This Row],[IMSS]]+TabDesSalariosFiscal[[#This Row],[ISR]],0)</f>
        <v>4973.3290649599994</v>
      </c>
      <c r="Q73" s="187" cm="1">
        <f t="array" ref="Q73">IFERROR(IF('Desglose Salarios Fiscal'!$Q$1=1,-1*(IF((VLOOKUP(TabDesSalariosFiscal[[#This Row],[id]],TabImpuestos[],COLUMN(TabImpuestos[ISR de Aguinaldo 1]),FALSE))&lt;0,0,(VLOOKUP(TabDesSalariosFiscal[[#This Row],[id]],TabImpuestos[],COLUMN(TabImpuestos[ISR de Aguinaldo 1]),FALSE)))),0),0)</f>
        <v>0</v>
      </c>
      <c r="R73" s="55" cm="1">
        <f t="array" ref="R73">IFERROR(IF('Desglose Salarios Fiscal'!$Q$1=1,(VLOOKUP(TabDesSalariosFiscal[[#This Row],[id]],TabEmpleados[],COLUMN(TabEmpleados[SD Fiscal]),FALSE)*TabDesSalariosFiscal[[#This Row],[Dias de aguinaldo fiscal2]])+TabDesSalariosFiscal[[#This Row],[ISR Aguinaldo]],0),0)</f>
        <v>900</v>
      </c>
      <c r="S73" cm="1">
        <f t="array" ref="S73">IF(YEAR(VLOOKUP(TabDesSalariosFiscal[[#This Row],[id]],TabEmpleados[],COLUMN(TabEmpleados[Fecha de alta NSS]),FALSE))&lt;AñoActual,'Tablas de informacion'!$N$13,_xlfn.DAYS(DATE(AñoActual+1,MONTH(1),DAY(1))-DAY(1),(VLOOKUP(TabDesSalariosFiscal[[#This Row],[id]],TabEmpleados[],COLUMN(TabEmpleados[Fecha de alta NSS]),FALSE))))</f>
        <v>365</v>
      </c>
      <c r="T73" cm="1">
        <f t="array" ref="T73">IFERROR(TabDesSalariosFiscal[[#This Row],[Dias de aguinaldo Fiscal1]]*VLOOKUP(TabDesSalariosFiscal[[#This Row],[Años]],TabFactorIntegracion[],COLUMN(TabFactorIntegracion[Días de
aguinaldo]),FALSE)/'Tablas de informacion'!$N$13,0)</f>
        <v>15</v>
      </c>
    </row>
    <row r="74" spans="1:20" x14ac:dyDescent="0.25">
      <c r="A74" s="176">
        <v>72</v>
      </c>
      <c r="B74" t="str" cm="1">
        <f t="array" ref="B74">VLOOKUP(TabDesSalariosFiscal[[#This Row],[id]],TabEmpleados[],COLUMN(TabEmpleados[Nombre]),FALSE)</f>
        <v>JIMENEZ GODINEZ GABRIELA</v>
      </c>
      <c r="C74" s="148" cm="1">
        <f t="array" ref="C74">IF(VLOOKUP(TabDesSalariosFiscal[[#This Row],[id]],TabEmpleados[],COLUMN(TabEmpleados[Fecha de alta NSS]),FALSE)&lt;&gt;"",
VLOOKUP(TabDesSalariosFiscal[[#This Row],[id]],TabAsistencias[],COLUMN(TabAsistencias[''Total de dias laborados]),FALSE),
0)</f>
        <v>73</v>
      </c>
      <c r="D74" s="179" cm="1">
        <f t="array" ref="D74">(VLOOKUP(TabDesSalariosFiscal[[#This Row],[id]],TabEmpleados[],COLUMN(TabEmpleados[SD Fiscal]),FALSE))*
TabDesSalariosFiscal[[#This Row],[Dias Lab.]]</f>
        <v>6570</v>
      </c>
      <c r="E74" s="180" cm="1">
        <f t="array" ref="E74">IF(VLOOKUP(TabDesSalariosFiscal[[#This Row],[id]],TabEmpleados[],COLUMN(TabEmpleados[Fecha de alta NSS]),FALSE)&lt;&gt;"",
IF(DATEDIF((VLOOKUP(TabDesSalariosFiscal[[#This Row],[id]],TabEmpleados[],COLUMN(TabEmpleados[Fecha de alta NSS]),FALSE)),'Tablas de informacion'!N$8,"Y")=0,1,
DATEDIF((VLOOKUP(TabDesSalariosFiscal[[#This Row],[id]],TabEmpleados[],COLUMN(TabEmpleados[Fecha de alta NSS]),FALSE)),'Tablas de informacion'!N$8,"Y")),0)</f>
        <v>1</v>
      </c>
      <c r="F74" s="181" cm="1">
        <f t="array" ref="F74">IFERROR((VLOOKUP(TabDesSalariosFiscal[[#This Row],[id]],TabEmpleados[],COLUMN(TabEmpleados[SD Fiscal]),FALSE))*
(VLOOKUP(TabDesSalariosFiscal[[#This Row],[Años]],TabFactorIntegracion[],COLUMN(TabFactorIntegracion[% de prima 
vacacional y dominical]),FALSE))*
IF((VLOOKUP(TabDesSalariosFiscal[[#This Row],[id]],TabAsistencias[],COLUMN(TabAsistencias[''Prima dominical]),FALSE))&lt;DominicalFiscal,(VLOOKUP(TabDesSalariosFiscal[[#This Row],[id]],TabAsistencias[],COLUMN(TabAsistencias[''Total de dias laborados]),FALSE)),DominicalFiscal)*
(VLOOKUP((VLOOKUP(TabDesSalariosFiscal[[#This Row],[id]],TabEmpleados[],COLUMN(TabEmpleados[Puesto]),FALSE)),TabPuestos[],COLUMN(TabPuestos[PRIMA DOMINICAL]),FALSE)),0)</f>
        <v>22.5</v>
      </c>
      <c r="G74" s="182" cm="1">
        <f t="array" ref="G74">IFERROR((VLOOKUP(TabDesSalariosFiscal[[#This Row],[id]],TabEmpleados[],COLUMN(TabEmpleados[SD Fiscal]),FALSE))*
(VLOOKUP(TabDesSalariosFiscal[[#This Row],[Años]],TabFactorIntegracion[],COLUMN(TabFactorIntegracion[% de prima 
vacacional y dominical]),FALSE))*
((VLOOKUP(TabDesSalariosFiscal[[#This Row],[id]],TabAsistencias[],COLUMN(TabAsistencias[''V]),FALSE))),0)</f>
        <v>0</v>
      </c>
      <c r="H74" s="183" cm="1">
        <f t="array" ref="H74">IFERROR(VLOOKUP(TabDesSalariosFiscal[[#This Row],[id]],TabCuotasIMSS[],COLUMN(TabCuotasIMSS[S.B.C./S.D.I.]),FALSE),0)</f>
        <v>103.56891780821918</v>
      </c>
      <c r="I74" s="184">
        <f>IFERROR(TabDesSalariosFiscal[[#This Row],[S.B.C]]*Bono*TabDesSalariosFiscal[[#This Row],[Dias Lab.]],0)</f>
        <v>756.05310000000009</v>
      </c>
      <c r="J74" s="184">
        <f>IFERROR(TabDesSalariosFiscal[[#This Row],[S.B.C]]*Bono*TabDesSalariosFiscal[[#This Row],[Dias Lab.]],0)</f>
        <v>756.05310000000009</v>
      </c>
      <c r="K74" s="232" cm="1">
        <f t="array" ref="K74">(VLOOKUP(TabDesSalariosFiscal[[#This Row],[id]],TabEmpleados[],COLUMN(TabEmpleados[SD Fiscal]),FALSE))*(VLOOKUP(TabDesSalariosFiscal[[#This Row],[id]],TabAsistencias[],COLUMN(TabAsistencias[''DF]),FALSE))*2</f>
        <v>0</v>
      </c>
      <c r="L74" s="185">
        <f>-1*(SUMIFS(TabPagosFiscal[Monto de pago],TabPagosFiscal[id],TabDesSalariosFiscal[[#This Row],[id]],TabPagosFiscal[Fecha de pago],"&gt;="&amp;Asistencias!$B$2,TabPagosFiscal[Fecha de pago],"&lt;"&amp;Asistencias!$B$3))</f>
        <v>0</v>
      </c>
      <c r="M74" t="str" cm="1">
        <f t="array" ref="M74">getDescripcion(TabDesSalariosFiscal[[#This Row],[id]],"Descuentos-PagosFiscal","TabPagosFiscal",Asistencias!$B$2,Asistencias!$B$3)</f>
        <v/>
      </c>
      <c r="N74" s="186" cm="1">
        <f t="array" ref="N74">IFERROR(-1*(VLOOKUP(TabDesSalariosFiscal[[#This Row],[id]],TabCuotasIMSS[],COLUMN(TabCuotasIMSS[TOTAL
OBRERO19]),FALSE)),0)</f>
        <v>0</v>
      </c>
      <c r="O74" s="187" cm="1">
        <f t="array" ref="O74">IFERROR(-1*(VLOOKUP(TabDesSalariosFiscal[[#This Row],[id]],TabImpuestos[],COLUMN(TabImpuestos[Total ISR]),FALSE)),0)</f>
        <v>-903.2759083200001</v>
      </c>
      <c r="P74" s="188">
        <f>IFERROR(TabDesSalariosFiscal[[#This Row],[Subtotal Fiscal]]+TabDesSalariosFiscal[[#This Row],[Prima dominical]]+TabDesSalariosFiscal[[#This Row],[Prima vacacional]]+TabDesSalariosFiscal[[#This Row],[Bono Asistencia]]+TabDesSalariosFiscal[[#This Row],[Bono Puntualidad]]+TabDesSalariosFiscal[[#This Row],[Dia Festivo/ Descanso]]+TabDesSalariosFiscal[[#This Row],[Descuentos]]+TabDesSalariosFiscal[[#This Row],[IMSS]]+TabDesSalariosFiscal[[#This Row],[ISR]],0)</f>
        <v>7201.3302916800003</v>
      </c>
      <c r="Q74" s="187" cm="1">
        <f t="array" ref="Q74">IFERROR(IF('Desglose Salarios Fiscal'!$Q$1=1,-1*(IF((VLOOKUP(TabDesSalariosFiscal[[#This Row],[id]],TabImpuestos[],COLUMN(TabImpuestos[ISR de Aguinaldo 1]),FALSE))&lt;0,0,(VLOOKUP(TabDesSalariosFiscal[[#This Row],[id]],TabImpuestos[],COLUMN(TabImpuestos[ISR de Aguinaldo 1]),FALSE)))),0),0)</f>
        <v>0</v>
      </c>
      <c r="R74" s="55" cm="1">
        <f t="array" ref="R74">IFERROR(IF('Desglose Salarios Fiscal'!$Q$1=1,(VLOOKUP(TabDesSalariosFiscal[[#This Row],[id]],TabEmpleados[],COLUMN(TabEmpleados[SD Fiscal]),FALSE)*TabDesSalariosFiscal[[#This Row],[Dias de aguinaldo fiscal2]])+TabDesSalariosFiscal[[#This Row],[ISR Aguinaldo]],0),0)</f>
        <v>1350</v>
      </c>
      <c r="S74" cm="1">
        <f t="array" ref="S74">IF(YEAR(VLOOKUP(TabDesSalariosFiscal[[#This Row],[id]],TabEmpleados[],COLUMN(TabEmpleados[Fecha de alta NSS]),FALSE))&lt;AñoActual,'Tablas de informacion'!$N$13,_xlfn.DAYS(DATE(AñoActual+1,MONTH(1),DAY(1))-DAY(1),(VLOOKUP(TabDesSalariosFiscal[[#This Row],[id]],TabEmpleados[],COLUMN(TabEmpleados[Fecha de alta NSS]),FALSE))))</f>
        <v>365</v>
      </c>
      <c r="T74" cm="1">
        <f t="array" ref="T74">IFERROR(TabDesSalariosFiscal[[#This Row],[Dias de aguinaldo Fiscal1]]*VLOOKUP(TabDesSalariosFiscal[[#This Row],[Años]],TabFactorIntegracion[],COLUMN(TabFactorIntegracion[Días de
aguinaldo]),FALSE)/'Tablas de informacion'!$N$13,0)</f>
        <v>15</v>
      </c>
    </row>
    <row r="75" spans="1:20" x14ac:dyDescent="0.25">
      <c r="A75" s="176">
        <v>73</v>
      </c>
      <c r="B75" t="str" cm="1">
        <f t="array" ref="B75">VLOOKUP(TabDesSalariosFiscal[[#This Row],[id]],TabEmpleados[],COLUMN(TabEmpleados[Nombre]),FALSE)</f>
        <v>CORTES SILVA MONICA</v>
      </c>
      <c r="C75" s="148" cm="1">
        <f t="array" ref="C75">IF(VLOOKUP(TabDesSalariosFiscal[[#This Row],[id]],TabEmpleados[],COLUMN(TabEmpleados[Fecha de alta NSS]),FALSE)&lt;&gt;"",
VLOOKUP(TabDesSalariosFiscal[[#This Row],[id]],TabAsistencias[],COLUMN(TabAsistencias[''Total de dias laborados]),FALSE),
0)</f>
        <v>73</v>
      </c>
      <c r="D75" s="179" cm="1">
        <f t="array" ref="D75">(VLOOKUP(TabDesSalariosFiscal[[#This Row],[id]],TabEmpleados[],COLUMN(TabEmpleados[SD Fiscal]),FALSE))*
TabDesSalariosFiscal[[#This Row],[Dias Lab.]]</f>
        <v>6570</v>
      </c>
      <c r="E75" s="180" cm="1">
        <f t="array" ref="E75">IF(VLOOKUP(TabDesSalariosFiscal[[#This Row],[id]],TabEmpleados[],COLUMN(TabEmpleados[Fecha de alta NSS]),FALSE)&lt;&gt;"",
IF(DATEDIF((VLOOKUP(TabDesSalariosFiscal[[#This Row],[id]],TabEmpleados[],COLUMN(TabEmpleados[Fecha de alta NSS]),FALSE)),'Tablas de informacion'!N$8,"Y")=0,1,
DATEDIF((VLOOKUP(TabDesSalariosFiscal[[#This Row],[id]],TabEmpleados[],COLUMN(TabEmpleados[Fecha de alta NSS]),FALSE)),'Tablas de informacion'!N$8,"Y")),0)</f>
        <v>1</v>
      </c>
      <c r="F75" s="181" cm="1">
        <f t="array" ref="F75">IFERROR((VLOOKUP(TabDesSalariosFiscal[[#This Row],[id]],TabEmpleados[],COLUMN(TabEmpleados[SD Fiscal]),FALSE))*
(VLOOKUP(TabDesSalariosFiscal[[#This Row],[Años]],TabFactorIntegracion[],COLUMN(TabFactorIntegracion[% de prima 
vacacional y dominical]),FALSE))*
IF((VLOOKUP(TabDesSalariosFiscal[[#This Row],[id]],TabAsistencias[],COLUMN(TabAsistencias[''Prima dominical]),FALSE))&lt;DominicalFiscal,(VLOOKUP(TabDesSalariosFiscal[[#This Row],[id]],TabAsistencias[],COLUMN(TabAsistencias[''Total de dias laborados]),FALSE)),DominicalFiscal)*
(VLOOKUP((VLOOKUP(TabDesSalariosFiscal[[#This Row],[id]],TabEmpleados[],COLUMN(TabEmpleados[Puesto]),FALSE)),TabPuestos[],COLUMN(TabPuestos[PRIMA DOMINICAL]),FALSE)),0)</f>
        <v>22.5</v>
      </c>
      <c r="G75" s="182" cm="1">
        <f t="array" ref="G75">IFERROR((VLOOKUP(TabDesSalariosFiscal[[#This Row],[id]],TabEmpleados[],COLUMN(TabEmpleados[SD Fiscal]),FALSE))*
(VLOOKUP(TabDesSalariosFiscal[[#This Row],[Años]],TabFactorIntegracion[],COLUMN(TabFactorIntegracion[% de prima 
vacacional y dominical]),FALSE))*
((VLOOKUP(TabDesSalariosFiscal[[#This Row],[id]],TabAsistencias[],COLUMN(TabAsistencias[''V]),FALSE))),0)</f>
        <v>0</v>
      </c>
      <c r="H75" s="183" cm="1">
        <f t="array" ref="H75">IFERROR(VLOOKUP(TabDesSalariosFiscal[[#This Row],[id]],TabCuotasIMSS[],COLUMN(TabCuotasIMSS[S.B.C./S.D.I.]),FALSE),0)</f>
        <v>103.56891780821918</v>
      </c>
      <c r="I75" s="184">
        <f>IFERROR(TabDesSalariosFiscal[[#This Row],[S.B.C]]*Bono*TabDesSalariosFiscal[[#This Row],[Dias Lab.]],0)</f>
        <v>756.05310000000009</v>
      </c>
      <c r="J75" s="184">
        <f>IFERROR(TabDesSalariosFiscal[[#This Row],[S.B.C]]*Bono*TabDesSalariosFiscal[[#This Row],[Dias Lab.]],0)</f>
        <v>756.05310000000009</v>
      </c>
      <c r="K75" s="232" cm="1">
        <f t="array" ref="K75">(VLOOKUP(TabDesSalariosFiscal[[#This Row],[id]],TabEmpleados[],COLUMN(TabEmpleados[SD Fiscal]),FALSE))*(VLOOKUP(TabDesSalariosFiscal[[#This Row],[id]],TabAsistencias[],COLUMN(TabAsistencias[''DF]),FALSE))*2</f>
        <v>0</v>
      </c>
      <c r="L75" s="185">
        <f>-1*(SUMIFS(TabPagosFiscal[Monto de pago],TabPagosFiscal[id],TabDesSalariosFiscal[[#This Row],[id]],TabPagosFiscal[Fecha de pago],"&gt;="&amp;Asistencias!$B$2,TabPagosFiscal[Fecha de pago],"&lt;"&amp;Asistencias!$B$3))</f>
        <v>0</v>
      </c>
      <c r="M75" t="str" cm="1">
        <f t="array" ref="M75">getDescripcion(TabDesSalariosFiscal[[#This Row],[id]],"Descuentos-PagosFiscal","TabPagosFiscal",Asistencias!$B$2,Asistencias!$B$3)</f>
        <v/>
      </c>
      <c r="N75" s="186" cm="1">
        <f t="array" ref="N75">IFERROR(-1*(VLOOKUP(TabDesSalariosFiscal[[#This Row],[id]],TabCuotasIMSS[],COLUMN(TabCuotasIMSS[TOTAL
OBRERO19]),FALSE)),0)</f>
        <v>0</v>
      </c>
      <c r="O75" s="187" cm="1">
        <f t="array" ref="O75">IFERROR(-1*(VLOOKUP(TabDesSalariosFiscal[[#This Row],[id]],TabImpuestos[],COLUMN(TabImpuestos[Total ISR]),FALSE)),0)</f>
        <v>-903.2759083200001</v>
      </c>
      <c r="P75" s="188">
        <f>IFERROR(TabDesSalariosFiscal[[#This Row],[Subtotal Fiscal]]+TabDesSalariosFiscal[[#This Row],[Prima dominical]]+TabDesSalariosFiscal[[#This Row],[Prima vacacional]]+TabDesSalariosFiscal[[#This Row],[Bono Asistencia]]+TabDesSalariosFiscal[[#This Row],[Bono Puntualidad]]+TabDesSalariosFiscal[[#This Row],[Dia Festivo/ Descanso]]+TabDesSalariosFiscal[[#This Row],[Descuentos]]+TabDesSalariosFiscal[[#This Row],[IMSS]]+TabDesSalariosFiscal[[#This Row],[ISR]],0)</f>
        <v>7201.3302916800003</v>
      </c>
      <c r="Q75" s="187" cm="1">
        <f t="array" ref="Q75">IFERROR(IF('Desglose Salarios Fiscal'!$Q$1=1,-1*(IF((VLOOKUP(TabDesSalariosFiscal[[#This Row],[id]],TabImpuestos[],COLUMN(TabImpuestos[ISR de Aguinaldo 1]),FALSE))&lt;0,0,(VLOOKUP(TabDesSalariosFiscal[[#This Row],[id]],TabImpuestos[],COLUMN(TabImpuestos[ISR de Aguinaldo 1]),FALSE)))),0),0)</f>
        <v>0</v>
      </c>
      <c r="R75" s="55" cm="1">
        <f t="array" ref="R75">IFERROR(IF('Desglose Salarios Fiscal'!$Q$1=1,(VLOOKUP(TabDesSalariosFiscal[[#This Row],[id]],TabEmpleados[],COLUMN(TabEmpleados[SD Fiscal]),FALSE)*TabDesSalariosFiscal[[#This Row],[Dias de aguinaldo fiscal2]])+TabDesSalariosFiscal[[#This Row],[ISR Aguinaldo]],0),0)</f>
        <v>1350</v>
      </c>
      <c r="S75" cm="1">
        <f t="array" ref="S75">IF(YEAR(VLOOKUP(TabDesSalariosFiscal[[#This Row],[id]],TabEmpleados[],COLUMN(TabEmpleados[Fecha de alta NSS]),FALSE))&lt;AñoActual,'Tablas de informacion'!$N$13,_xlfn.DAYS(DATE(AñoActual+1,MONTH(1),DAY(1))-DAY(1),(VLOOKUP(TabDesSalariosFiscal[[#This Row],[id]],TabEmpleados[],COLUMN(TabEmpleados[Fecha de alta NSS]),FALSE))))</f>
        <v>365</v>
      </c>
      <c r="T75" cm="1">
        <f t="array" ref="T75">IFERROR(TabDesSalariosFiscal[[#This Row],[Dias de aguinaldo Fiscal1]]*VLOOKUP(TabDesSalariosFiscal[[#This Row],[Años]],TabFactorIntegracion[],COLUMN(TabFactorIntegracion[Días de
aguinaldo]),FALSE)/'Tablas de informacion'!$N$13,0)</f>
        <v>15</v>
      </c>
    </row>
    <row r="76" spans="1:20" x14ac:dyDescent="0.25">
      <c r="A76" s="176">
        <v>74</v>
      </c>
      <c r="B76" t="str" cm="1">
        <f t="array" ref="B76">VLOOKUP(TabDesSalariosFiscal[[#This Row],[id]],TabEmpleados[],COLUMN(TabEmpleados[Nombre]),FALSE)</f>
        <v>SAMARIO PEREZ JESUS FELIPE</v>
      </c>
      <c r="C76" s="148" cm="1">
        <f t="array" ref="C76">IF(VLOOKUP(TabDesSalariosFiscal[[#This Row],[id]],TabEmpleados[],COLUMN(TabEmpleados[Fecha de alta NSS]),FALSE)&lt;&gt;"",
VLOOKUP(TabDesSalariosFiscal[[#This Row],[id]],TabAsistencias[],COLUMN(TabAsistencias[''Total de dias laborados]),FALSE),
0)</f>
        <v>73</v>
      </c>
      <c r="D76" s="179" cm="1">
        <f t="array" ref="D76">(VLOOKUP(TabDesSalariosFiscal[[#This Row],[id]],TabEmpleados[],COLUMN(TabEmpleados[SD Fiscal]),FALSE))*
TabDesSalariosFiscal[[#This Row],[Dias Lab.]]</f>
        <v>4380</v>
      </c>
      <c r="E76" s="180" cm="1">
        <f t="array" ref="E76">IF(VLOOKUP(TabDesSalariosFiscal[[#This Row],[id]],TabEmpleados[],COLUMN(TabEmpleados[Fecha de alta NSS]),FALSE)&lt;&gt;"",
IF(DATEDIF((VLOOKUP(TabDesSalariosFiscal[[#This Row],[id]],TabEmpleados[],COLUMN(TabEmpleados[Fecha de alta NSS]),FALSE)),'Tablas de informacion'!N$8,"Y")=0,1,
DATEDIF((VLOOKUP(TabDesSalariosFiscal[[#This Row],[id]],TabEmpleados[],COLUMN(TabEmpleados[Fecha de alta NSS]),FALSE)),'Tablas de informacion'!N$8,"Y")),0)</f>
        <v>1</v>
      </c>
      <c r="F76" s="181" cm="1">
        <f t="array" ref="F76">IFERROR((VLOOKUP(TabDesSalariosFiscal[[#This Row],[id]],TabEmpleados[],COLUMN(TabEmpleados[SD Fiscal]),FALSE))*
(VLOOKUP(TabDesSalariosFiscal[[#This Row],[Años]],TabFactorIntegracion[],COLUMN(TabFactorIntegracion[% de prima 
vacacional y dominical]),FALSE))*
IF((VLOOKUP(TabDesSalariosFiscal[[#This Row],[id]],TabAsistencias[],COLUMN(TabAsistencias[''Prima dominical]),FALSE))&lt;DominicalFiscal,(VLOOKUP(TabDesSalariosFiscal[[#This Row],[id]],TabAsistencias[],COLUMN(TabAsistencias[''Total de dias laborados]),FALSE)),DominicalFiscal)*
(VLOOKUP((VLOOKUP(TabDesSalariosFiscal[[#This Row],[id]],TabEmpleados[],COLUMN(TabEmpleados[Puesto]),FALSE)),TabPuestos[],COLUMN(TabPuestos[PRIMA DOMINICAL]),FALSE)),0)</f>
        <v>15</v>
      </c>
      <c r="G76" s="182" cm="1">
        <f t="array" ref="G76">IFERROR((VLOOKUP(TabDesSalariosFiscal[[#This Row],[id]],TabEmpleados[],COLUMN(TabEmpleados[SD Fiscal]),FALSE))*
(VLOOKUP(TabDesSalariosFiscal[[#This Row],[Años]],TabFactorIntegracion[],COLUMN(TabFactorIntegracion[% de prima 
vacacional y dominical]),FALSE))*
((VLOOKUP(TabDesSalariosFiscal[[#This Row],[id]],TabAsistencias[],COLUMN(TabAsistencias[''V]),FALSE))),0)</f>
        <v>0</v>
      </c>
      <c r="H76" s="183" cm="1">
        <f t="array" ref="H76">IFERROR(VLOOKUP(TabDesSalariosFiscal[[#This Row],[id]],TabCuotasIMSS[],COLUMN(TabCuotasIMSS[S.B.C./S.D.I.]),FALSE),0)</f>
        <v>69.045945205479455</v>
      </c>
      <c r="I76" s="184">
        <f>IFERROR(TabDesSalariosFiscal[[#This Row],[S.B.C]]*Bono*TabDesSalariosFiscal[[#This Row],[Dias Lab.]],0)</f>
        <v>504.03540000000004</v>
      </c>
      <c r="J76" s="184">
        <f>IFERROR(TabDesSalariosFiscal[[#This Row],[S.B.C]]*Bono*TabDesSalariosFiscal[[#This Row],[Dias Lab.]],0)</f>
        <v>504.03540000000004</v>
      </c>
      <c r="K76" s="232" cm="1">
        <f t="array" ref="K76">(VLOOKUP(TabDesSalariosFiscal[[#This Row],[id]],TabEmpleados[],COLUMN(TabEmpleados[SD Fiscal]),FALSE))*(VLOOKUP(TabDesSalariosFiscal[[#This Row],[id]],TabAsistencias[],COLUMN(TabAsistencias[''DF]),FALSE))*2</f>
        <v>0</v>
      </c>
      <c r="L76" s="185">
        <f>-1*(SUMIFS(TabPagosFiscal[Monto de pago],TabPagosFiscal[id],TabDesSalariosFiscal[[#This Row],[id]],TabPagosFiscal[Fecha de pago],"&gt;="&amp;Asistencias!$B$2,TabPagosFiscal[Fecha de pago],"&lt;"&amp;Asistencias!$B$3))</f>
        <v>0</v>
      </c>
      <c r="M76" t="str" cm="1">
        <f t="array" ref="M76">getDescripcion(TabDesSalariosFiscal[[#This Row],[id]],"Descuentos-PagosFiscal","TabPagosFiscal",Asistencias!$B$2,Asistencias!$B$3)</f>
        <v/>
      </c>
      <c r="N76" s="186" cm="1">
        <f t="array" ref="N76">IFERROR(-1*(VLOOKUP(TabDesSalariosFiscal[[#This Row],[id]],TabCuotasIMSS[],COLUMN(TabCuotasIMSS[TOTAL
OBRERO19]),FALSE)),0)</f>
        <v>0</v>
      </c>
      <c r="O76" s="187" cm="1">
        <f t="array" ref="O76">IFERROR(-1*(VLOOKUP(TabDesSalariosFiscal[[#This Row],[id]],TabImpuestos[],COLUMN(TabImpuestos[Total ISR]),FALSE)),0)</f>
        <v>-429.74173503999987</v>
      </c>
      <c r="P76" s="188">
        <f>IFERROR(TabDesSalariosFiscal[[#This Row],[Subtotal Fiscal]]+TabDesSalariosFiscal[[#This Row],[Prima dominical]]+TabDesSalariosFiscal[[#This Row],[Prima vacacional]]+TabDesSalariosFiscal[[#This Row],[Bono Asistencia]]+TabDesSalariosFiscal[[#This Row],[Bono Puntualidad]]+TabDesSalariosFiscal[[#This Row],[Dia Festivo/ Descanso]]+TabDesSalariosFiscal[[#This Row],[Descuentos]]+TabDesSalariosFiscal[[#This Row],[IMSS]]+TabDesSalariosFiscal[[#This Row],[ISR]],0)</f>
        <v>4973.3290649599994</v>
      </c>
      <c r="Q76" s="187" cm="1">
        <f t="array" ref="Q76">IFERROR(IF('Desglose Salarios Fiscal'!$Q$1=1,-1*(IF((VLOOKUP(TabDesSalariosFiscal[[#This Row],[id]],TabImpuestos[],COLUMN(TabImpuestos[ISR de Aguinaldo 1]),FALSE))&lt;0,0,(VLOOKUP(TabDesSalariosFiscal[[#This Row],[id]],TabImpuestos[],COLUMN(TabImpuestos[ISR de Aguinaldo 1]),FALSE)))),0),0)</f>
        <v>0</v>
      </c>
      <c r="R76" s="55" cm="1">
        <f t="array" ref="R76">IFERROR(IF('Desglose Salarios Fiscal'!$Q$1=1,(VLOOKUP(TabDesSalariosFiscal[[#This Row],[id]],TabEmpleados[],COLUMN(TabEmpleados[SD Fiscal]),FALSE)*TabDesSalariosFiscal[[#This Row],[Dias de aguinaldo fiscal2]])+TabDesSalariosFiscal[[#This Row],[ISR Aguinaldo]],0),0)</f>
        <v>900</v>
      </c>
      <c r="S76" cm="1">
        <f t="array" ref="S76">IF(YEAR(VLOOKUP(TabDesSalariosFiscal[[#This Row],[id]],TabEmpleados[],COLUMN(TabEmpleados[Fecha de alta NSS]),FALSE))&lt;AñoActual,'Tablas de informacion'!$N$13,_xlfn.DAYS(DATE(AñoActual+1,MONTH(1),DAY(1))-DAY(1),(VLOOKUP(TabDesSalariosFiscal[[#This Row],[id]],TabEmpleados[],COLUMN(TabEmpleados[Fecha de alta NSS]),FALSE))))</f>
        <v>365</v>
      </c>
      <c r="T76" cm="1">
        <f t="array" ref="T76">IFERROR(TabDesSalariosFiscal[[#This Row],[Dias de aguinaldo Fiscal1]]*VLOOKUP(TabDesSalariosFiscal[[#This Row],[Años]],TabFactorIntegracion[],COLUMN(TabFactorIntegracion[Días de
aguinaldo]),FALSE)/'Tablas de informacion'!$N$13,0)</f>
        <v>15</v>
      </c>
    </row>
    <row r="77" spans="1:20" ht="15.75" thickBot="1" x14ac:dyDescent="0.3">
      <c r="A77" s="177">
        <v>75</v>
      </c>
      <c r="B77" t="str" cm="1">
        <f t="array" ref="B77">VLOOKUP(TabDesSalariosFiscal[[#This Row],[id]],TabEmpleados[],COLUMN(TabEmpleados[Nombre]),FALSE)</f>
        <v xml:space="preserve">RUIZ MIJANGOS ISABEL </v>
      </c>
      <c r="C77" s="148" cm="1">
        <f t="array" ref="C77">IF(VLOOKUP(TabDesSalariosFiscal[[#This Row],[id]],TabEmpleados[],COLUMN(TabEmpleados[Fecha de alta NSS]),FALSE)&lt;&gt;"",
VLOOKUP(TabDesSalariosFiscal[[#This Row],[id]],TabAsistencias[],COLUMN(TabAsistencias[''Total de dias laborados]),FALSE),
0)</f>
        <v>73</v>
      </c>
      <c r="D77" s="179" cm="1">
        <f t="array" ref="D77">(VLOOKUP(TabDesSalariosFiscal[[#This Row],[id]],TabEmpleados[],COLUMN(TabEmpleados[SD Fiscal]),FALSE))*
TabDesSalariosFiscal[[#This Row],[Dias Lab.]]</f>
        <v>15038</v>
      </c>
      <c r="E77" s="180" cm="1">
        <f t="array" ref="E77">IF(VLOOKUP(TabDesSalariosFiscal[[#This Row],[id]],TabEmpleados[],COLUMN(TabEmpleados[Fecha de alta NSS]),FALSE)&lt;&gt;"",
IF(DATEDIF((VLOOKUP(TabDesSalariosFiscal[[#This Row],[id]],TabEmpleados[],COLUMN(TabEmpleados[Fecha de alta NSS]),FALSE)),'Tablas de informacion'!N$8,"Y")=0,1,
DATEDIF((VLOOKUP(TabDesSalariosFiscal[[#This Row],[id]],TabEmpleados[],COLUMN(TabEmpleados[Fecha de alta NSS]),FALSE)),'Tablas de informacion'!N$8,"Y")),0)</f>
        <v>1</v>
      </c>
      <c r="F77" s="181" cm="1">
        <f t="array" ref="F77">IFERROR((VLOOKUP(TabDesSalariosFiscal[[#This Row],[id]],TabEmpleados[],COLUMN(TabEmpleados[SD Fiscal]),FALSE))*
(VLOOKUP(TabDesSalariosFiscal[[#This Row],[Años]],TabFactorIntegracion[],COLUMN(TabFactorIntegracion[% de prima 
vacacional y dominical]),FALSE))*
IF((VLOOKUP(TabDesSalariosFiscal[[#This Row],[id]],TabAsistencias[],COLUMN(TabAsistencias[''Prima dominical]),FALSE))&lt;DominicalFiscal,(VLOOKUP(TabDesSalariosFiscal[[#This Row],[id]],TabAsistencias[],COLUMN(TabAsistencias[''Total de dias laborados]),FALSE)),DominicalFiscal)*
(VLOOKUP((VLOOKUP(TabDesSalariosFiscal[[#This Row],[id]],TabEmpleados[],COLUMN(TabEmpleados[Puesto]),FALSE)),TabPuestos[],COLUMN(TabPuestos[PRIMA DOMINICAL]),FALSE)),0)</f>
        <v>51.5</v>
      </c>
      <c r="G77" s="182" cm="1">
        <f t="array" ref="G77">IFERROR((VLOOKUP(TabDesSalariosFiscal[[#This Row],[id]],TabEmpleados[],COLUMN(TabEmpleados[SD Fiscal]),FALSE))*
(VLOOKUP(TabDesSalariosFiscal[[#This Row],[Años]],TabFactorIntegracion[],COLUMN(TabFactorIntegracion[% de prima 
vacacional y dominical]),FALSE))*
((VLOOKUP(TabDesSalariosFiscal[[#This Row],[id]],TabAsistencias[],COLUMN(TabAsistencias[''V]),FALSE))),0)</f>
        <v>0</v>
      </c>
      <c r="H77" s="183" cm="1">
        <f t="array" ref="H77">IFERROR(VLOOKUP(TabDesSalariosFiscal[[#This Row],[id]],TabCuotasIMSS[],COLUMN(TabCuotasIMSS[S.B.C./S.D.I.]),FALSE),0)</f>
        <v>237.05774520547942</v>
      </c>
      <c r="I77" s="184">
        <f>IFERROR(TabDesSalariosFiscal[[#This Row],[S.B.C]]*Bono*TabDesSalariosFiscal[[#This Row],[Dias Lab.]],0)</f>
        <v>1730.52154</v>
      </c>
      <c r="J77" s="184">
        <f>IFERROR(TabDesSalariosFiscal[[#This Row],[S.B.C]]*Bono*TabDesSalariosFiscal[[#This Row],[Dias Lab.]],0)</f>
        <v>1730.52154</v>
      </c>
      <c r="K77" s="232" cm="1">
        <f t="array" ref="K77">(VLOOKUP(TabDesSalariosFiscal[[#This Row],[id]],TabEmpleados[],COLUMN(TabEmpleados[SD Fiscal]),FALSE))*(VLOOKUP(TabDesSalariosFiscal[[#This Row],[id]],TabAsistencias[],COLUMN(TabAsistencias[''DF]),FALSE))*2</f>
        <v>0</v>
      </c>
      <c r="L77" s="185">
        <f>-1*(SUMIFS(TabPagosFiscal[Monto de pago],TabPagosFiscal[id],TabDesSalariosFiscal[[#This Row],[id]],TabPagosFiscal[Fecha de pago],"&gt;="&amp;Asistencias!$B$2,TabPagosFiscal[Fecha de pago],"&lt;"&amp;Asistencias!$B$3))</f>
        <v>0</v>
      </c>
      <c r="M77" t="str" cm="1">
        <f t="array" ref="M77">getDescripcion(TabDesSalariosFiscal[[#This Row],[id]],"Descuentos-PagosFiscal","TabPagosFiscal",Asistencias!$B$2,Asistencias!$B$3)</f>
        <v/>
      </c>
      <c r="N77" s="186" cm="1">
        <f t="array" ref="N77">IFERROR(-1*(VLOOKUP(TabDesSalariosFiscal[[#This Row],[id]],TabCuotasIMSS[],COLUMN(TabCuotasIMSS[TOTAL
OBRERO19]),FALSE)),0)</f>
        <v>-410.99886574999994</v>
      </c>
      <c r="O77" s="187" cm="1">
        <f t="array" ref="O77">IFERROR(-1*(VLOOKUP(TabDesSalariosFiscal[[#This Row],[id]],TabImpuestos[],COLUMN(TabImpuestos[Total ISR]),FALSE)),0)</f>
        <v>-3195.0320204160007</v>
      </c>
      <c r="P77" s="188">
        <f>IFERROR(TabDesSalariosFiscal[[#This Row],[Subtotal Fiscal]]+TabDesSalariosFiscal[[#This Row],[Prima dominical]]+TabDesSalariosFiscal[[#This Row],[Prima vacacional]]+TabDesSalariosFiscal[[#This Row],[Bono Asistencia]]+TabDesSalariosFiscal[[#This Row],[Bono Puntualidad]]+TabDesSalariosFiscal[[#This Row],[Dia Festivo/ Descanso]]+TabDesSalariosFiscal[[#This Row],[Descuentos]]+TabDesSalariosFiscal[[#This Row],[IMSS]]+TabDesSalariosFiscal[[#This Row],[ISR]],0)</f>
        <v>14944.512193834002</v>
      </c>
      <c r="Q77" s="187" cm="1">
        <f t="array" ref="Q77">IFERROR(IF('Desglose Salarios Fiscal'!$Q$1=1,-1*(IF((VLOOKUP(TabDesSalariosFiscal[[#This Row],[id]],TabImpuestos[],COLUMN(TabImpuestos[ISR de Aguinaldo 1]),FALSE))&lt;0,0,(VLOOKUP(TabDesSalariosFiscal[[#This Row],[id]],TabImpuestos[],COLUMN(TabImpuestos[ISR de Aguinaldo 1]),FALSE)))),0),0)</f>
        <v>-34.059407999999848</v>
      </c>
      <c r="R77" s="55" cm="1">
        <f t="array" ref="R77">IFERROR(IF('Desglose Salarios Fiscal'!$Q$1=1,(VLOOKUP(TabDesSalariosFiscal[[#This Row],[id]],TabEmpleados[],COLUMN(TabEmpleados[SD Fiscal]),FALSE)*TabDesSalariosFiscal[[#This Row],[Dias de aguinaldo fiscal2]])+TabDesSalariosFiscal[[#This Row],[ISR Aguinaldo]],0),0)</f>
        <v>3055.9405919999999</v>
      </c>
      <c r="S77" cm="1">
        <f t="array" ref="S77">IF(YEAR(VLOOKUP(TabDesSalariosFiscal[[#This Row],[id]],TabEmpleados[],COLUMN(TabEmpleados[Fecha de alta NSS]),FALSE))&lt;AñoActual,'Tablas de informacion'!$N$13,_xlfn.DAYS(DATE(AñoActual+1,MONTH(1),DAY(1))-DAY(1),(VLOOKUP(TabDesSalariosFiscal[[#This Row],[id]],TabEmpleados[],COLUMN(TabEmpleados[Fecha de alta NSS]),FALSE))))</f>
        <v>365</v>
      </c>
      <c r="T77" cm="1">
        <f t="array" ref="T77">IFERROR(TabDesSalariosFiscal[[#This Row],[Dias de aguinaldo Fiscal1]]*VLOOKUP(TabDesSalariosFiscal[[#This Row],[Años]],TabFactorIntegracion[],COLUMN(TabFactorIntegracion[Días de
aguinaldo]),FALSE)/'Tablas de informacion'!$N$13,0)</f>
        <v>15</v>
      </c>
    </row>
  </sheetData>
  <mergeCells count="1">
    <mergeCell ref="A1:P1"/>
  </mergeCells>
  <conditionalFormatting sqref="A3:A77">
    <cfRule type="duplicateValues" dxfId="102" priority="1"/>
  </conditionalFormatting>
  <dataValidations count="1">
    <dataValidation type="whole" allowBlank="1" showInputMessage="1" showErrorMessage="1" promptTitle="1 = SI, 0 =NO" prompt="Poner número." sqref="Q1" xr:uid="{79403F09-2597-4EFF-8C25-DACC536EED31}">
      <formula1>0</formula1>
      <formula2>1</formula2>
    </dataValidation>
  </dataValidations>
  <pageMargins left="0.7" right="0.7" top="0.75" bottom="0.75" header="0.3" footer="0.3"/>
  <legacyDrawing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C9A0E2-F2BC-4ACA-A7C1-6EEBBAA7E3BF}">
  <sheetPr codeName="Hoja6">
    <tabColor rgb="FF92D050"/>
  </sheetPr>
  <dimension ref="A1:Z88"/>
  <sheetViews>
    <sheetView workbookViewId="0">
      <pane xSplit="2" ySplit="2" topLeftCell="G5" activePane="bottomRight" state="frozen"/>
      <selection pane="topRight" activeCell="C1" sqref="C1"/>
      <selection pane="bottomLeft" activeCell="A3" sqref="A3"/>
      <selection pane="bottomRight" activeCell="M7" sqref="M7"/>
    </sheetView>
  </sheetViews>
  <sheetFormatPr baseColWidth="10" defaultRowHeight="15" x14ac:dyDescent="0.25"/>
  <cols>
    <col min="1" max="1" width="4.7109375" bestFit="1" customWidth="1"/>
    <col min="2" max="2" width="30.28515625" bestFit="1" customWidth="1"/>
    <col min="3" max="3" width="10.7109375" bestFit="1" customWidth="1"/>
    <col min="4" max="4" width="14.5703125" customWidth="1"/>
    <col min="5" max="5" width="5.5703125" customWidth="1"/>
    <col min="6" max="6" width="15.85546875" customWidth="1"/>
    <col min="7" max="7" width="16.7109375" customWidth="1"/>
    <col min="8" max="8" width="11.85546875" customWidth="1"/>
    <col min="9" max="9" width="12.28515625" customWidth="1"/>
    <col min="10" max="10" width="12.42578125" customWidth="1"/>
    <col min="11" max="11" width="13.42578125" customWidth="1"/>
    <col min="12" max="12" width="12.28515625" customWidth="1"/>
    <col min="13" max="13" width="25.7109375" customWidth="1"/>
    <col min="16" max="16" width="12.28515625" bestFit="1" customWidth="1"/>
    <col min="17" max="17" width="13.7109375" customWidth="1"/>
    <col min="18" max="18" width="13.7109375" bestFit="1" customWidth="1"/>
    <col min="19" max="19" width="12.42578125" bestFit="1" customWidth="1"/>
    <col min="20" max="20" width="12.42578125" customWidth="1"/>
    <col min="21" max="21" width="12.28515625" customWidth="1"/>
    <col min="22" max="23" width="11.5703125" hidden="1" customWidth="1"/>
    <col min="24" max="24" width="12.42578125" customWidth="1"/>
  </cols>
  <sheetData>
    <row r="1" spans="1:26" s="168" customFormat="1" ht="25.15" customHeight="1" thickBot="1" x14ac:dyDescent="0.3">
      <c r="A1" s="357" t="s">
        <v>335</v>
      </c>
      <c r="B1" s="358"/>
      <c r="C1" s="358"/>
      <c r="D1" s="358"/>
      <c r="E1" s="358"/>
      <c r="F1" s="358"/>
      <c r="G1" s="358"/>
      <c r="H1" s="358"/>
      <c r="I1" s="358"/>
      <c r="J1" s="358"/>
      <c r="K1" s="358"/>
      <c r="L1" s="358"/>
      <c r="M1" s="358"/>
      <c r="N1" s="358"/>
      <c r="O1" s="358"/>
      <c r="P1" s="358"/>
      <c r="Q1" s="359"/>
      <c r="R1" s="192"/>
      <c r="S1" s="193"/>
      <c r="T1" s="194"/>
    </row>
    <row r="2" spans="1:26" s="169" customFormat="1" ht="45.6" customHeight="1" thickBot="1" x14ac:dyDescent="0.3">
      <c r="A2" s="205" t="s">
        <v>322</v>
      </c>
      <c r="B2" s="151" t="s">
        <v>0</v>
      </c>
      <c r="C2" s="151" t="s">
        <v>344</v>
      </c>
      <c r="D2" s="151" t="s">
        <v>336</v>
      </c>
      <c r="E2" s="151" t="s">
        <v>279</v>
      </c>
      <c r="F2" s="206" t="s">
        <v>231</v>
      </c>
      <c r="G2" s="151" t="s">
        <v>334</v>
      </c>
      <c r="H2" s="151" t="s">
        <v>337</v>
      </c>
      <c r="I2" s="151" t="s">
        <v>338</v>
      </c>
      <c r="J2" s="189" t="s">
        <v>339</v>
      </c>
      <c r="K2" s="190" t="s">
        <v>340</v>
      </c>
      <c r="L2" s="151" t="s">
        <v>341</v>
      </c>
      <c r="M2" s="166" t="s">
        <v>342</v>
      </c>
      <c r="N2" s="190" t="s">
        <v>457</v>
      </c>
      <c r="O2" s="190" t="s">
        <v>343</v>
      </c>
      <c r="P2" s="151" t="s">
        <v>418</v>
      </c>
      <c r="Q2" s="207" t="s">
        <v>346</v>
      </c>
      <c r="R2" s="195" t="s">
        <v>419</v>
      </c>
      <c r="S2" s="151" t="s">
        <v>347</v>
      </c>
      <c r="T2" s="196" t="s">
        <v>348</v>
      </c>
      <c r="U2" s="151" t="s">
        <v>363</v>
      </c>
      <c r="V2" s="151" t="s">
        <v>370</v>
      </c>
      <c r="W2" s="151" t="s">
        <v>371</v>
      </c>
      <c r="X2" s="151" t="s">
        <v>372</v>
      </c>
    </row>
    <row r="3" spans="1:26" ht="15.75" thickTop="1" x14ac:dyDescent="0.25">
      <c r="A3" s="176">
        <v>1</v>
      </c>
      <c r="B3" t="str" cm="1">
        <f t="array" ref="B3">VLOOKUP(TabDesSalariosReal[[#This Row],[id]],TabEmpleados[],COLUMN(TabEmpleados[Nombre]),FALSE)</f>
        <v>RUIZ OLMEDO ALEJANDRO AMADO</v>
      </c>
      <c r="C3" s="148" cm="1">
        <f t="array" ref="C3">VLOOKUP(TabDesSalariosReal[[#This Row],[id]],TabAsistencias[],COLUMN(TabAsistencias[Total de dias laborados]),FALSE)</f>
        <v>30</v>
      </c>
      <c r="D3" s="179" cm="1">
        <f t="array" ref="D3">(VLOOKUP(TabDesSalariosReal[[#This Row],[id]],TabEmpleados[],COLUMN(TabEmpleados[SD Real]),FALSE))*TabDesSalariosReal[[#This Row],[Dias Lab.]]</f>
        <v>9000</v>
      </c>
      <c r="E3" s="180" cm="1">
        <f t="array" ref="E3">IF(DATEDIF((VLOOKUP(TabDesSalariosReal[[#This Row],[id]],TabEmpleados[],COLUMN(TabEmpleados[Fecha de ingreso]),FALSE)),Asistencias!$B$3,"Y")=0,1,DATEDIF((VLOOKUP(TabDesSalariosReal[[#This Row],[id]],TabEmpleados[],COLUMN(TabEmpleados[Fecha de ingreso]),FALSE)),Asistencias!$B$3,"Y"))</f>
        <v>1</v>
      </c>
      <c r="F3" s="181" cm="1">
        <f t="array" ref="F3">((VLOOKUP(TabDesSalariosReal[[#This Row],[id]],TabEmpleados[],COLUMN(TabEmpleados[SD Real]),FALSE))*(VLOOKUP(TabDesSalariosReal[[#This Row],[Años]],TabFactorIntegracion[],COLUMN(TabFactorIntegracion[% de prima 
vacacional y dominical]),FALSE))*(VLOOKUP(TabDesSalariosReal[[#This Row],[id]],TabAsistencias[],COLUMN(TabAsistencias[Prima dominical]),FALSE)))*(VLOOKUP((VLOOKUP(TabDesSalariosReal[[#This Row],[id]],TabEmpleados[],COLUMN(TabEmpleados[Puesto]),FALSE)),TabPuestos[],COLUMN(TabPuestos[PRIMA DOMINICAL]),FALSE))</f>
        <v>0</v>
      </c>
      <c r="G3" s="182" cm="1">
        <f t="array" ref="G3">(VLOOKUP(TabDesSalariosReal[[#This Row],[id]],TabEmpleados[],COLUMN(TabEmpleados[SD Real]),FALSE))*(VLOOKUP(TabDesSalariosReal[[#This Row],[Años]],TabFactorIntegracion[],COLUMN(TabFactorIntegracion[% de prima 
vacacional y dominical]),FALSE))*((VLOOKUP(TabDesSalariosReal[[#This Row],[id]],TabAsistencias[],COLUMN(TabAsistencias[V]),FALSE)))</f>
        <v>0</v>
      </c>
      <c r="H3" s="148" cm="1">
        <f t="array" ref="H3">VLOOKUP(TabDesSalariosReal[[#This Row],[id]],TabAsistencias[],COLUMN(TabAsistencias[I]),FALSE)</f>
        <v>0</v>
      </c>
      <c r="I3" s="148" cm="1">
        <f t="array" ref="I3">VLOOKUP(TabDesSalariosReal[[#This Row],[id]],TabAsistencias[],COLUMN(TabAsistencias[IG]),FALSE)</f>
        <v>0</v>
      </c>
      <c r="J3" s="191">
        <v>0.4</v>
      </c>
      <c r="K3" s="179" cm="1">
        <f t="array" ref="K3">IF(TabDesSalariosReal[[#This Row],[Dias Incapacidad/General]]&gt;3,((TabDesSalariosReal[[#This Row],[Dias Incapacidad/General]]-3)*((VLOOKUP(TabDesSalariosReal[[#This Row],[id]],TabEmpleados[],COLUMN(TabEmpleados[SD Real]),FALSE)))*TabDesSalariosReal[[#This Row],[% pagado por incapacidad]]),0)</f>
        <v>0</v>
      </c>
      <c r="L3" s="185">
        <f>-1*(SUMIFS(TabPagos[Monto de pago],TabPagos[id],TabDesSalariosReal[[#This Row],[id]],TabPagos[Fecha de pago],"&gt;="&amp;Asistencias!$B$2,TabPagos[Fecha de pago],"&lt;"&amp;Asistencias!$B$3))</f>
        <v>0</v>
      </c>
      <c r="M3" t="str" cm="1">
        <f t="array" ref="M3">getDescripcion(TabDesSalariosReal[[#This Row],[id]],"Descuentos-Pagos","TabPagos",Asistencias!$B$2,Asistencias!$B$3)</f>
        <v/>
      </c>
      <c r="N3" s="309" cm="1">
        <f t="array" ref="N3">IF((TabDesSalariosReal[[#This Row],[Subtotal Real]]+TabDesSalariosReal[[#This Row],[Prima dominical]]+TabDesSalariosReal[[#This Row],[Prima vacacional]]+TabDesSalariosReal[[#This Row],[$ por incpacidad]]+TabDesSalariosReal[[#This Row],[Descuentos]]+TabDesSalariosReal[[#This Row],[Extras]]-TabDesSalariosReal[[#This Row],[Fiscal Real]])&gt;500,AporteComision,0)</f>
        <v>0</v>
      </c>
      <c r="O3" s="276">
        <v>0</v>
      </c>
      <c r="P3" s="188" t="str" cm="1">
        <f t="array" ref="P3">VLOOKUP(TabDesSalariosReal[[#This Row],[id]],TabEmpleados[],COLUMN(TabEmpleados[Banco de pago]),FALSE)</f>
        <v>Banorte</v>
      </c>
      <c r="Q3" s="188">
        <f>TabDesSalariosReal[[#This Row],[Subtotal Real]]+TabDesSalariosReal[[#This Row],[Prima dominical]]+TabDesSalariosReal[[#This Row],[Prima vacacional]]+TabDesSalariosReal[[#This Row],[$ por incpacidad]]+TabDesSalariosReal[[#This Row],[Descuentos]]+TabDesSalariosReal[[#This Row],[Aporte por comision]]+TabDesSalariosReal[[#This Row],[Extras]]</f>
        <v>9000</v>
      </c>
      <c r="R3" s="277">
        <f>TabDesSalariosReal[[#This Row],[Total Real]]-TabDesSalariosReal[[#This Row],[Fiscal Real]]</f>
        <v>-98480.824870000011</v>
      </c>
      <c r="S3" s="179" cm="1">
        <f t="array" ref="S3">IFERROR(VLOOKUP(TabDesSalariosReal[[#This Row],[id]],TabDesSalariosFiscal[],COLUMN(TabDesSalariosFiscal[Total Fiscal]),FALSE),0)</f>
        <v>107480.82487000001</v>
      </c>
      <c r="T3" s="197">
        <f>IFERROR(TabDesSalariosReal[[#This Row],[Persepcion Fiscal]],0)</f>
        <v>107480.82487000001</v>
      </c>
      <c r="U3" s="55" cm="1">
        <f t="array" ref="U3">IF('Desglose Salarios Fiscal'!$Q$1=1,VLOOKUP(TabDesSalariosReal[[#This Row],[id]],TabEmpleados[],COLUMN(TabEmpleados[SD Real]),FALSE)*TabDesSalariosReal[[#This Row],[Dias de agunaldo Real2]],0)</f>
        <v>4500</v>
      </c>
      <c r="V3" s="173" cm="1">
        <f t="array" ref="V3">IF(YEAR(VLOOKUP(TabDesSalariosReal[[#This Row],[id]],TabEmpleados[],COLUMN(TabEmpleados[Fecha de ingreso]),FALSE))&lt;AñoActual,'Tablas de informacion'!$N$13,_xlfn.DAYS(DATE(AñoActual+1,MONTH(1),DAY(1))-DAY(1),(VLOOKUP(TabDesSalariosReal[[#This Row],[id]],TabEmpleados[],COLUMN(TabEmpleados[Fecha de ingreso]),FALSE))))</f>
        <v>365</v>
      </c>
      <c r="W3" cm="1">
        <f t="array" ref="W3">TabDesSalariosReal[[#This Row],[Dias de aguinaldo Real1]]*VLOOKUP(TabDesSalariosReal[[#This Row],[Años]],TabFactorIntegracion[],COLUMN(TabFactorIntegracion[Días de
aguinaldo]),FALSE)/'Tablas de informacion'!$N$13</f>
        <v>15</v>
      </c>
      <c r="X3" s="141" cm="1">
        <f t="array" ref="X3">TabDesSalariosReal[[#This Row],[Aguinaldo Real]]-IFERROR(VLOOKUP(TabDesSalariosReal[[#This Row],[id]],TabDesSalariosFiscal[],COLUMN(TabDesSalariosFiscal[Aguinaldo Fiscal]),FALSE),0)</f>
        <v>-14676.028200000001</v>
      </c>
      <c r="Z3" s="141"/>
    </row>
    <row r="4" spans="1:26" x14ac:dyDescent="0.25">
      <c r="A4" s="176">
        <v>2</v>
      </c>
      <c r="B4" t="str" cm="1">
        <f t="array" ref="B4">VLOOKUP(TabDesSalariosReal[[#This Row],[id]],TabEmpleados[],COLUMN(TabEmpleados[Nombre]),FALSE)</f>
        <v>RUIZ OLMEDO MARCO ANTONIO</v>
      </c>
      <c r="C4" s="148" cm="1">
        <f t="array" ref="C4">VLOOKUP(TabDesSalariosReal[[#This Row],[id]],TabAsistencias[],COLUMN(TabAsistencias[Total de dias laborados]),FALSE)</f>
        <v>30</v>
      </c>
      <c r="D4" s="179" cm="1">
        <f t="array" ref="D4">(VLOOKUP(TabDesSalariosReal[[#This Row],[id]],TabEmpleados[],COLUMN(TabEmpleados[SD Real]),FALSE))*TabDesSalariosReal[[#This Row],[Dias Lab.]]</f>
        <v>99999.999960000001</v>
      </c>
      <c r="E4" s="180" cm="1">
        <f t="array" ref="E4">IF(DATEDIF((VLOOKUP(TabDesSalariosReal[[#This Row],[id]],TabEmpleados[],COLUMN(TabEmpleados[Fecha de ingreso]),FALSE)),Asistencias!$B$3,"Y")=0,1,DATEDIF((VLOOKUP(TabDesSalariosReal[[#This Row],[id]],TabEmpleados[],COLUMN(TabEmpleados[Fecha de ingreso]),FALSE)),Asistencias!$B$3,"Y"))</f>
        <v>6</v>
      </c>
      <c r="F4" s="181" cm="1">
        <f t="array" ref="F4">((VLOOKUP(TabDesSalariosReal[[#This Row],[id]],TabEmpleados[],COLUMN(TabEmpleados[SD Real]),FALSE))*(VLOOKUP(TabDesSalariosReal[[#This Row],[Años]],TabFactorIntegracion[],COLUMN(TabFactorIntegracion[% de prima 
vacacional y dominical]),FALSE))*(VLOOKUP(TabDesSalariosReal[[#This Row],[id]],TabAsistencias[],COLUMN(TabAsistencias[Prima dominical]),FALSE)))*(VLOOKUP((VLOOKUP(TabDesSalariosReal[[#This Row],[id]],TabEmpleados[],COLUMN(TabEmpleados[Puesto]),FALSE)),TabPuestos[],COLUMN(TabPuestos[PRIMA DOMINICAL]),FALSE))</f>
        <v>0</v>
      </c>
      <c r="G4" s="182" cm="1">
        <f t="array" ref="G4">(VLOOKUP(TabDesSalariosReal[[#This Row],[id]],TabEmpleados[],COLUMN(TabEmpleados[SD Real]),FALSE))*(VLOOKUP(TabDesSalariosReal[[#This Row],[Años]],TabFactorIntegracion[],COLUMN(TabFactorIntegracion[% de prima 
vacacional y dominical]),FALSE))*((VLOOKUP(TabDesSalariosReal[[#This Row],[id]],TabAsistencias[],COLUMN(TabAsistencias[V]),FALSE)))</f>
        <v>0</v>
      </c>
      <c r="H4" s="148" cm="1">
        <f t="array" ref="H4">VLOOKUP(TabDesSalariosReal[[#This Row],[id]],TabAsistencias[],COLUMN(TabAsistencias[I]),FALSE)</f>
        <v>0</v>
      </c>
      <c r="I4" s="148" cm="1">
        <f t="array" ref="I4">VLOOKUP(TabDesSalariosReal[[#This Row],[id]],TabAsistencias[],COLUMN(TabAsistencias[IG]),FALSE)</f>
        <v>0</v>
      </c>
      <c r="J4" s="191">
        <v>0.4</v>
      </c>
      <c r="K4" s="179" cm="1">
        <f t="array" ref="K4">IF(TabDesSalariosReal[[#This Row],[Dias Incapacidad/General]]&gt;3,((TabDesSalariosReal[[#This Row],[Dias Incapacidad/General]]-3)*((VLOOKUP(TabDesSalariosReal[[#This Row],[id]],TabEmpleados[],COLUMN(TabEmpleados[SD Real]),FALSE)))*TabDesSalariosReal[[#This Row],[% pagado por incapacidad]]),0)</f>
        <v>0</v>
      </c>
      <c r="L4" s="185">
        <f>-1*(SUMIFS(TabPagos[Monto de pago],TabPagos[id],TabDesSalariosReal[[#This Row],[id]],TabPagos[Fecha de pago],"&gt;="&amp;Asistencias!$B$2,TabPagos[Fecha de pago],"&lt;"&amp;Asistencias!$B$3))</f>
        <v>0</v>
      </c>
      <c r="M4" t="str" cm="1">
        <f t="array" ref="M4">getDescripcion(TabDesSalariosReal[[#This Row],[id]],"Descuentos-Pagos","TabPagos",Asistencias!$B$2,Asistencias!$B$3)</f>
        <v/>
      </c>
      <c r="N4" s="309" cm="1">
        <f t="array" ref="N4">IF((TabDesSalariosReal[[#This Row],[Subtotal Real]]+TabDesSalariosReal[[#This Row],[Prima dominical]]+TabDesSalariosReal[[#This Row],[Prima vacacional]]+TabDesSalariosReal[[#This Row],[$ por incpacidad]]+TabDesSalariosReal[[#This Row],[Descuentos]]+TabDesSalariosReal[[#This Row],[Extras]]-TabDesSalariosReal[[#This Row],[Fiscal Real]])&gt;500,AporteComision,0)</f>
        <v>0</v>
      </c>
      <c r="O4" s="276">
        <v>0</v>
      </c>
      <c r="P4" s="188" t="str" cm="1">
        <f t="array" ref="P4">VLOOKUP(TabDesSalariosReal[[#This Row],[id]],TabEmpleados[],COLUMN(TabEmpleados[Banco de pago]),FALSE)</f>
        <v>Santander</v>
      </c>
      <c r="Q4" s="188">
        <f>TabDesSalariosReal[[#This Row],[Subtotal Real]]+TabDesSalariosReal[[#This Row],[Prima dominical]]+TabDesSalariosReal[[#This Row],[Prima vacacional]]+TabDesSalariosReal[[#This Row],[$ por incpacidad]]+TabDesSalariosReal[[#This Row],[Descuentos]]+TabDesSalariosReal[[#This Row],[Aporte por comision]]+TabDesSalariosReal[[#This Row],[Extras]]</f>
        <v>99999.999960000001</v>
      </c>
      <c r="R4" s="277">
        <f>TabDesSalariosReal[[#This Row],[Total Real]]-TabDesSalariosReal[[#This Row],[Fiscal Real]]</f>
        <v>-8713.8566406249884</v>
      </c>
      <c r="S4" s="179" cm="1">
        <f t="array" ref="S4">IFERROR(VLOOKUP(TabDesSalariosReal[[#This Row],[id]],TabDesSalariosFiscal[],COLUMN(TabDesSalariosFiscal[Total Fiscal]),FALSE),0)</f>
        <v>108713.85660062499</v>
      </c>
      <c r="T4" s="197">
        <f>IFERROR(TabDesSalariosReal[[#This Row],[Persepcion Fiscal]],0)</f>
        <v>108713.85660062499</v>
      </c>
      <c r="U4" s="55" cm="1">
        <f t="array" ref="U4">IF('Desglose Salarios Fiscal'!$Q$1=1,VLOOKUP(TabDesSalariosReal[[#This Row],[id]],TabEmpleados[],COLUMN(TabEmpleados[SD Real]),FALSE)*TabDesSalariosReal[[#This Row],[Dias de agunaldo Real2]],0)</f>
        <v>49999.999980000001</v>
      </c>
      <c r="V4" s="173" cm="1">
        <f t="array" ref="V4">IF(YEAR(VLOOKUP(TabDesSalariosReal[[#This Row],[id]],TabEmpleados[],COLUMN(TabEmpleados[Fecha de ingreso]),FALSE))&lt;AñoActual,'Tablas de informacion'!$N$13,_xlfn.DAYS(DATE(AñoActual+1,MONTH(1),DAY(1))-DAY(1),(VLOOKUP(TabDesSalariosReal[[#This Row],[id]],TabEmpleados[],COLUMN(TabEmpleados[Fecha de ingreso]),FALSE))))</f>
        <v>365</v>
      </c>
      <c r="W4" cm="1">
        <f t="array" ref="W4">TabDesSalariosReal[[#This Row],[Dias de aguinaldo Real1]]*VLOOKUP(TabDesSalariosReal[[#This Row],[Años]],TabFactorIntegracion[],COLUMN(TabFactorIntegracion[Días de
aguinaldo]),FALSE)/'Tablas de informacion'!$N$13</f>
        <v>15</v>
      </c>
      <c r="X4" s="141" cm="1">
        <f t="array" ref="X4">TabDesSalariosReal[[#This Row],[Aguinaldo Real]]-IFERROR(VLOOKUP(TabDesSalariosReal[[#This Row],[id]],TabDesSalariosFiscal[],COLUMN(TabDesSalariosFiscal[Aguinaldo Fiscal]),FALSE),0)</f>
        <v>30823.97178</v>
      </c>
    </row>
    <row r="5" spans="1:26" x14ac:dyDescent="0.25">
      <c r="A5" s="176">
        <v>3</v>
      </c>
      <c r="B5" t="str" cm="1">
        <f t="array" ref="B5">VLOOKUP(TabDesSalariosReal[[#This Row],[id]],TabEmpleados[],COLUMN(TabEmpleados[Nombre]),FALSE)</f>
        <v xml:space="preserve">GALAN SANCHEZ BRENDA LETICIA </v>
      </c>
      <c r="C5" s="148" cm="1">
        <f t="array" ref="C5">VLOOKUP(TabDesSalariosReal[[#This Row],[id]],TabAsistencias[],COLUMN(TabAsistencias[Total de dias laborados]),FALSE)</f>
        <v>30</v>
      </c>
      <c r="D5" s="179" cm="1">
        <f t="array" ref="D5">(VLOOKUP(TabDesSalariosReal[[#This Row],[id]],TabEmpleados[],COLUMN(TabEmpleados[SD Real]),FALSE))*TabDesSalariosReal[[#This Row],[Dias Lab.]]</f>
        <v>14000.1</v>
      </c>
      <c r="E5" s="180" cm="1">
        <f t="array" ref="E5">IF(DATEDIF((VLOOKUP(TabDesSalariosReal[[#This Row],[id]],TabEmpleados[],COLUMN(TabEmpleados[Fecha de ingreso]),FALSE)),Asistencias!$B$3,"Y")=0,1,DATEDIF((VLOOKUP(TabDesSalariosReal[[#This Row],[id]],TabEmpleados[],COLUMN(TabEmpleados[Fecha de ingreso]),FALSE)),Asistencias!$B$3,"Y"))</f>
        <v>2</v>
      </c>
      <c r="F5" s="181" cm="1">
        <f t="array" ref="F5">((VLOOKUP(TabDesSalariosReal[[#This Row],[id]],TabEmpleados[],COLUMN(TabEmpleados[SD Real]),FALSE))*(VLOOKUP(TabDesSalariosReal[[#This Row],[Años]],TabFactorIntegracion[],COLUMN(TabFactorIntegracion[% de prima 
vacacional y dominical]),FALSE))*(VLOOKUP(TabDesSalariosReal[[#This Row],[id]],TabAsistencias[],COLUMN(TabAsistencias[Prima dominical]),FALSE)))*(VLOOKUP((VLOOKUP(TabDesSalariosReal[[#This Row],[id]],TabEmpleados[],COLUMN(TabEmpleados[Puesto]),FALSE)),TabPuestos[],COLUMN(TabPuestos[PRIMA DOMINICAL]),FALSE))</f>
        <v>0</v>
      </c>
      <c r="G5" s="182" cm="1">
        <f t="array" ref="G5">(VLOOKUP(TabDesSalariosReal[[#This Row],[id]],TabEmpleados[],COLUMN(TabEmpleados[SD Real]),FALSE))*(VLOOKUP(TabDesSalariosReal[[#This Row],[Años]],TabFactorIntegracion[],COLUMN(TabFactorIntegracion[% de prima 
vacacional y dominical]),FALSE))*((VLOOKUP(TabDesSalariosReal[[#This Row],[id]],TabAsistencias[],COLUMN(TabAsistencias[V]),FALSE)))</f>
        <v>0</v>
      </c>
      <c r="H5" s="148" cm="1">
        <f t="array" ref="H5">VLOOKUP(TabDesSalariosReal[[#This Row],[id]],TabAsistencias[],COLUMN(TabAsistencias[I]),FALSE)</f>
        <v>0</v>
      </c>
      <c r="I5" s="148" cm="1">
        <f t="array" ref="I5">VLOOKUP(TabDesSalariosReal[[#This Row],[id]],TabAsistencias[],COLUMN(TabAsistencias[IG]),FALSE)</f>
        <v>0</v>
      </c>
      <c r="J5" s="191">
        <v>0.4</v>
      </c>
      <c r="K5" s="179" cm="1">
        <f t="array" ref="K5">IF(TabDesSalariosReal[[#This Row],[Dias Incapacidad/General]]&gt;3,((TabDesSalariosReal[[#This Row],[Dias Incapacidad/General]]-3)*((VLOOKUP(TabDesSalariosReal[[#This Row],[id]],TabEmpleados[],COLUMN(TabEmpleados[SD Real]),FALSE)))*TabDesSalariosReal[[#This Row],[% pagado por incapacidad]]),0)</f>
        <v>0</v>
      </c>
      <c r="L5" s="185">
        <f>-1*(SUMIFS(TabPagos[Monto de pago],TabPagos[id],TabDesSalariosReal[[#This Row],[id]],TabPagos[Fecha de pago],"&gt;="&amp;Asistencias!$B$2,TabPagos[Fecha de pago],"&lt;"&amp;Asistencias!$B$3))</f>
        <v>0</v>
      </c>
      <c r="M5" t="str" cm="1">
        <f t="array" ref="M5">getDescripcion(TabDesSalariosReal[[#This Row],[id]],"Descuentos-Pagos","TabPagos",Asistencias!$B$2,Asistencias!$B$3)</f>
        <v/>
      </c>
      <c r="N5" s="309" cm="1">
        <f t="array" ref="N5">IF((TabDesSalariosReal[[#This Row],[Subtotal Real]]+TabDesSalariosReal[[#This Row],[Prima dominical]]+TabDesSalariosReal[[#This Row],[Prima vacacional]]+TabDesSalariosReal[[#This Row],[$ por incpacidad]]+TabDesSalariosReal[[#This Row],[Descuentos]]+TabDesSalariosReal[[#This Row],[Extras]]-TabDesSalariosReal[[#This Row],[Fiscal Real]])&gt;500,AporteComision,0)</f>
        <v>0</v>
      </c>
      <c r="O5" s="276">
        <v>0</v>
      </c>
      <c r="P5" s="188" t="str" cm="1">
        <f t="array" ref="P5">VLOOKUP(TabDesSalariosReal[[#This Row],[id]],TabEmpleados[],COLUMN(TabEmpleados[Banco de pago]),FALSE)</f>
        <v>Santander</v>
      </c>
      <c r="Q5" s="188">
        <f>TabDesSalariosReal[[#This Row],[Subtotal Real]]+TabDesSalariosReal[[#This Row],[Prima dominical]]+TabDesSalariosReal[[#This Row],[Prima vacacional]]+TabDesSalariosReal[[#This Row],[$ por incpacidad]]+TabDesSalariosReal[[#This Row],[Descuentos]]+TabDesSalariosReal[[#This Row],[Aporte por comision]]+TabDesSalariosReal[[#This Row],[Extras]]</f>
        <v>14000.1</v>
      </c>
      <c r="R5" s="277">
        <f>TabDesSalariosReal[[#This Row],[Total Real]]-TabDesSalariosReal[[#This Row],[Fiscal Real]]</f>
        <v>-4248.4527319999997</v>
      </c>
      <c r="S5" s="179" cm="1">
        <f t="array" ref="S5">IFERROR(VLOOKUP(TabDesSalariosReal[[#This Row],[id]],TabDesSalariosFiscal[],COLUMN(TabDesSalariosFiscal[Total Fiscal]),FALSE),0)</f>
        <v>18248.552732</v>
      </c>
      <c r="T5" s="197">
        <f>IFERROR(TabDesSalariosReal[[#This Row],[Persepcion Fiscal]],0)</f>
        <v>18248.552732</v>
      </c>
      <c r="U5" s="55" cm="1">
        <f t="array" ref="U5">IF('Desglose Salarios Fiscal'!$Q$1=1,VLOOKUP(TabDesSalariosReal[[#This Row],[id]],TabEmpleados[],COLUMN(TabEmpleados[SD Real]),FALSE)*TabDesSalariosReal[[#This Row],[Dias de agunaldo Real2]],0)</f>
        <v>7000.05</v>
      </c>
      <c r="V5" s="173" cm="1">
        <f t="array" ref="V5">IF(YEAR(VLOOKUP(TabDesSalariosReal[[#This Row],[id]],TabEmpleados[],COLUMN(TabEmpleados[Fecha de ingreso]),FALSE))&lt;AñoActual,'Tablas de informacion'!$N$13,_xlfn.DAYS(DATE(AñoActual+1,MONTH(1),DAY(1))-DAY(1),(VLOOKUP(TabDesSalariosReal[[#This Row],[id]],TabEmpleados[],COLUMN(TabEmpleados[Fecha de ingreso]),FALSE))))</f>
        <v>365</v>
      </c>
      <c r="W5" cm="1">
        <f t="array" ref="W5">TabDesSalariosReal[[#This Row],[Dias de aguinaldo Real1]]*VLOOKUP(TabDesSalariosReal[[#This Row],[Años]],TabFactorIntegracion[],COLUMN(TabFactorIntegracion[Días de
aguinaldo]),FALSE)/'Tablas de informacion'!$N$13</f>
        <v>15</v>
      </c>
      <c r="X5" s="141" cm="1">
        <f t="array" ref="X5">TabDesSalariosReal[[#This Row],[Aguinaldo Real]]-IFERROR(VLOOKUP(TabDesSalariosReal[[#This Row],[id]],TabDesSalariosFiscal[],COLUMN(TabDesSalariosFiscal[Aguinaldo Fiscal]),FALSE),0)</f>
        <v>3316.51224</v>
      </c>
    </row>
    <row r="6" spans="1:26" x14ac:dyDescent="0.25">
      <c r="A6" s="176">
        <v>4</v>
      </c>
      <c r="B6" t="str" cm="1">
        <f t="array" ref="B6">VLOOKUP(TabDesSalariosReal[[#This Row],[id]],TabEmpleados[],COLUMN(TabEmpleados[Nombre]),FALSE)</f>
        <v>HERNANDEZ MORALES CITLALI ITZEL</v>
      </c>
      <c r="C6" s="148" cm="1">
        <f t="array" ref="C6">VLOOKUP(TabDesSalariosReal[[#This Row],[id]],TabAsistencias[],COLUMN(TabAsistencias[Total de dias laborados]),FALSE)</f>
        <v>30</v>
      </c>
      <c r="D6" s="179" cm="1">
        <f t="array" ref="D6">(VLOOKUP(TabDesSalariosReal[[#This Row],[id]],TabEmpleados[],COLUMN(TabEmpleados[SD Real]),FALSE))*TabDesSalariosReal[[#This Row],[Dias Lab.]]</f>
        <v>10500</v>
      </c>
      <c r="E6" s="180" cm="1">
        <f t="array" ref="E6">IF(DATEDIF((VLOOKUP(TabDesSalariosReal[[#This Row],[id]],TabEmpleados[],COLUMN(TabEmpleados[Fecha de ingreso]),FALSE)),Asistencias!$B$3,"Y")=0,1,DATEDIF((VLOOKUP(TabDesSalariosReal[[#This Row],[id]],TabEmpleados[],COLUMN(TabEmpleados[Fecha de ingreso]),FALSE)),Asistencias!$B$3,"Y"))</f>
        <v>1</v>
      </c>
      <c r="F6" s="181" cm="1">
        <f t="array" ref="F6">((VLOOKUP(TabDesSalariosReal[[#This Row],[id]],TabEmpleados[],COLUMN(TabEmpleados[SD Real]),FALSE))*(VLOOKUP(TabDesSalariosReal[[#This Row],[Años]],TabFactorIntegracion[],COLUMN(TabFactorIntegracion[% de prima 
vacacional y dominical]),FALSE))*(VLOOKUP(TabDesSalariosReal[[#This Row],[id]],TabAsistencias[],COLUMN(TabAsistencias[Prima dominical]),FALSE)))*(VLOOKUP((VLOOKUP(TabDesSalariosReal[[#This Row],[id]],TabEmpleados[],COLUMN(TabEmpleados[Puesto]),FALSE)),TabPuestos[],COLUMN(TabPuestos[PRIMA DOMINICAL]),FALSE))</f>
        <v>0</v>
      </c>
      <c r="G6" s="182" cm="1">
        <f t="array" ref="G6">(VLOOKUP(TabDesSalariosReal[[#This Row],[id]],TabEmpleados[],COLUMN(TabEmpleados[SD Real]),FALSE))*(VLOOKUP(TabDesSalariosReal[[#This Row],[Años]],TabFactorIntegracion[],COLUMN(TabFactorIntegracion[% de prima 
vacacional y dominical]),FALSE))*((VLOOKUP(TabDesSalariosReal[[#This Row],[id]],TabAsistencias[],COLUMN(TabAsistencias[V]),FALSE)))</f>
        <v>0</v>
      </c>
      <c r="H6" s="148" cm="1">
        <f t="array" ref="H6">VLOOKUP(TabDesSalariosReal[[#This Row],[id]],TabAsistencias[],COLUMN(TabAsistencias[I]),FALSE)</f>
        <v>0</v>
      </c>
      <c r="I6" s="148" cm="1">
        <f t="array" ref="I6">VLOOKUP(TabDesSalariosReal[[#This Row],[id]],TabAsistencias[],COLUMN(TabAsistencias[IG]),FALSE)</f>
        <v>0</v>
      </c>
      <c r="J6" s="191">
        <v>0.4</v>
      </c>
      <c r="K6" s="179" cm="1">
        <f t="array" ref="K6">IF(TabDesSalariosReal[[#This Row],[Dias Incapacidad/General]]&gt;3,((TabDesSalariosReal[[#This Row],[Dias Incapacidad/General]]-3)*((VLOOKUP(TabDesSalariosReal[[#This Row],[id]],TabEmpleados[],COLUMN(TabEmpleados[SD Real]),FALSE)))*TabDesSalariosReal[[#This Row],[% pagado por incapacidad]]),0)</f>
        <v>0</v>
      </c>
      <c r="L6" s="185">
        <f ca="1">-1*(SUMIFS(TabPagos[Monto de pago],TabPagos[id],TabDesSalariosReal[[#This Row],[id]],TabPagos[Fecha de pago],"&gt;="&amp;Asistencias!$B$2,TabPagos[Fecha de pago],"&lt;"&amp;Asistencias!$B$3))</f>
        <v>0</v>
      </c>
      <c r="M6" t="str" cm="1">
        <f t="array" aca="1" ref="M6" ca="1">getDescripcion(TabDesSalariosReal[[#This Row],[id]],"Descuentos-Pagos","TabPagos",Asistencias!$B$2,Asistencias!$B$3)</f>
        <v/>
      </c>
      <c r="N6" s="309" cm="1">
        <f t="array" aca="1" ref="N6" ca="1">IF((TabDesSalariosReal[[#This Row],[Subtotal Real]]+TabDesSalariosReal[[#This Row],[Prima dominical]]+TabDesSalariosReal[[#This Row],[Prima vacacional]]+TabDesSalariosReal[[#This Row],[$ por incpacidad]]+TabDesSalariosReal[[#This Row],[Descuentos]]+TabDesSalariosReal[[#This Row],[Extras]]-TabDesSalariosReal[[#This Row],[Fiscal Real]])&gt;500,AporteComision,0)</f>
        <v>15</v>
      </c>
      <c r="O6" s="276">
        <v>0</v>
      </c>
      <c r="P6" s="188" t="str" cm="1">
        <f t="array" ref="P6">VLOOKUP(TabDesSalariosReal[[#This Row],[id]],TabEmpleados[],COLUMN(TabEmpleados[Banco de pago]),FALSE)</f>
        <v>Santander</v>
      </c>
      <c r="Q6" s="188">
        <f ca="1">TabDesSalariosReal[[#This Row],[Subtotal Real]]+TabDesSalariosReal[[#This Row],[Prima dominical]]+TabDesSalariosReal[[#This Row],[Prima vacacional]]+TabDesSalariosReal[[#This Row],[$ por incpacidad]]+TabDesSalariosReal[[#This Row],[Descuentos]]+TabDesSalariosReal[[#This Row],[Aporte por comision]]+TabDesSalariosReal[[#This Row],[Extras]]</f>
        <v>10515</v>
      </c>
      <c r="R6" s="277">
        <f ca="1">TabDesSalariosReal[[#This Row],[Total Real]]-TabDesSalariosReal[[#This Row],[Fiscal Real]]</f>
        <v>10392</v>
      </c>
      <c r="S6" s="179" cm="1">
        <f t="array" ref="S6">IFERROR(VLOOKUP(TabDesSalariosReal[[#This Row],[id]],TabDesSalariosFiscal[],COLUMN(TabDesSalariosFiscal[Total Fiscal]),FALSE),0)</f>
        <v>14851.767211867918</v>
      </c>
      <c r="T6" s="197">
        <v>123</v>
      </c>
      <c r="U6" s="55" cm="1">
        <f t="array" ref="U6">IF('Desglose Salarios Fiscal'!$Q$1=1,VLOOKUP(TabDesSalariosReal[[#This Row],[id]],TabEmpleados[],COLUMN(TabEmpleados[SD Real]),FALSE)*TabDesSalariosReal[[#This Row],[Dias de agunaldo Real2]],0)</f>
        <v>5250</v>
      </c>
      <c r="V6" s="173" cm="1">
        <f t="array" ref="V6">IF(YEAR(VLOOKUP(TabDesSalariosReal[[#This Row],[id]],TabEmpleados[],COLUMN(TabEmpleados[Fecha de ingreso]),FALSE))&lt;AñoActual,'Tablas de informacion'!$N$13,_xlfn.DAYS(DATE(AñoActual+1,MONTH(1),DAY(1))-DAY(1),(VLOOKUP(TabDesSalariosReal[[#This Row],[id]],TabEmpleados[],COLUMN(TabEmpleados[Fecha de ingreso]),FALSE))))</f>
        <v>365</v>
      </c>
      <c r="W6" cm="1">
        <f t="array" ref="W6">TabDesSalariosReal[[#This Row],[Dias de aguinaldo Real1]]*VLOOKUP(TabDesSalariosReal[[#This Row],[Años]],TabFactorIntegracion[],COLUMN(TabFactorIntegracion[Días de
aguinaldo]),FALSE)/'Tablas de informacion'!$N$13</f>
        <v>15</v>
      </c>
      <c r="X6" s="141" cm="1">
        <f t="array" ref="X6">TabDesSalariosReal[[#This Row],[Aguinaldo Real]]-IFERROR(VLOOKUP(TabDesSalariosReal[[#This Row],[id]],TabDesSalariosFiscal[],COLUMN(TabDesSalariosFiscal[Aguinaldo Fiscal]),FALSE),0)</f>
        <v>2161.5719615999997</v>
      </c>
    </row>
    <row r="7" spans="1:26" x14ac:dyDescent="0.25">
      <c r="A7" s="176">
        <v>5</v>
      </c>
      <c r="B7" t="str" cm="1">
        <f t="array" ref="B7">VLOOKUP(TabDesSalariosReal[[#This Row],[id]],TabEmpleados[],COLUMN(TabEmpleados[Nombre]),FALSE)</f>
        <v>LOPEZ CRUZ LAURA</v>
      </c>
      <c r="C7" s="148" cm="1">
        <f t="array" ref="C7">VLOOKUP(TabDesSalariosReal[[#This Row],[id]],TabAsistencias[],COLUMN(TabAsistencias[Total de dias laborados]),FALSE)</f>
        <v>30</v>
      </c>
      <c r="D7" s="179" cm="1">
        <f t="array" ref="D7">(VLOOKUP(TabDesSalariosReal[[#This Row],[id]],TabEmpleados[],COLUMN(TabEmpleados[SD Real]),FALSE))*TabDesSalariosReal[[#This Row],[Dias Lab.]]</f>
        <v>15000</v>
      </c>
      <c r="E7" s="180" cm="1">
        <f t="array" ref="E7">IF(DATEDIF((VLOOKUP(TabDesSalariosReal[[#This Row],[id]],TabEmpleados[],COLUMN(TabEmpleados[Fecha de ingreso]),FALSE)),Asistencias!$B$3,"Y")=0,1,DATEDIF((VLOOKUP(TabDesSalariosReal[[#This Row],[id]],TabEmpleados[],COLUMN(TabEmpleados[Fecha de ingreso]),FALSE)),Asistencias!$B$3,"Y"))</f>
        <v>2</v>
      </c>
      <c r="F7" s="181" cm="1">
        <f t="array" ref="F7">((VLOOKUP(TabDesSalariosReal[[#This Row],[id]],TabEmpleados[],COLUMN(TabEmpleados[SD Real]),FALSE))*(VLOOKUP(TabDesSalariosReal[[#This Row],[Años]],TabFactorIntegracion[],COLUMN(TabFactorIntegracion[% de prima 
vacacional y dominical]),FALSE))*(VLOOKUP(TabDesSalariosReal[[#This Row],[id]],TabAsistencias[],COLUMN(TabAsistencias[Prima dominical]),FALSE)))*(VLOOKUP((VLOOKUP(TabDesSalariosReal[[#This Row],[id]],TabEmpleados[],COLUMN(TabEmpleados[Puesto]),FALSE)),TabPuestos[],COLUMN(TabPuestos[PRIMA DOMINICAL]),FALSE))</f>
        <v>500</v>
      </c>
      <c r="G7" s="182" cm="1">
        <f t="array" ref="G7">(VLOOKUP(TabDesSalariosReal[[#This Row],[id]],TabEmpleados[],COLUMN(TabEmpleados[SD Real]),FALSE))*(VLOOKUP(TabDesSalariosReal[[#This Row],[Años]],TabFactorIntegracion[],COLUMN(TabFactorIntegracion[% de prima 
vacacional y dominical]),FALSE))*((VLOOKUP(TabDesSalariosReal[[#This Row],[id]],TabAsistencias[],COLUMN(TabAsistencias[V]),FALSE)))</f>
        <v>0</v>
      </c>
      <c r="H7" s="148" cm="1">
        <f t="array" ref="H7">VLOOKUP(TabDesSalariosReal[[#This Row],[id]],TabAsistencias[],COLUMN(TabAsistencias[I]),FALSE)</f>
        <v>0</v>
      </c>
      <c r="I7" s="148" cm="1">
        <f t="array" ref="I7">VLOOKUP(TabDesSalariosReal[[#This Row],[id]],TabAsistencias[],COLUMN(TabAsistencias[IG]),FALSE)</f>
        <v>0</v>
      </c>
      <c r="J7" s="191">
        <v>0.4</v>
      </c>
      <c r="K7" s="179" cm="1">
        <f t="array" ref="K7">IF(TabDesSalariosReal[[#This Row],[Dias Incapacidad/General]]&gt;3,((TabDesSalariosReal[[#This Row],[Dias Incapacidad/General]]-3)*((VLOOKUP(TabDesSalariosReal[[#This Row],[id]],TabEmpleados[],COLUMN(TabEmpleados[SD Real]),FALSE)))*TabDesSalariosReal[[#This Row],[% pagado por incapacidad]]),0)</f>
        <v>0</v>
      </c>
      <c r="L7" s="185">
        <f>-1*(SUMIFS(TabPagos[Monto de pago],TabPagos[id],TabDesSalariosReal[[#This Row],[id]],TabPagos[Fecha de pago],"&gt;="&amp;Asistencias!$B$2,TabPagos[Fecha de pago],"&lt;"&amp;Asistencias!$B$3))</f>
        <v>0</v>
      </c>
      <c r="M7" t="str" cm="1">
        <f t="array" ref="M7">getDescripcion(TabDesSalariosReal[[#This Row],[id]],"Descuentos-Pagos","TabPagos",Asistencias!$B$2,Asistencias!$B$3)</f>
        <v/>
      </c>
      <c r="N7" s="309" cm="1">
        <f t="array" aca="1" ref="N7" ca="1">IF((TabDesSalariosReal[[#This Row],[Subtotal Real]]+TabDesSalariosReal[[#This Row],[Prima dominical]]+TabDesSalariosReal[[#This Row],[Prima vacacional]]+TabDesSalariosReal[[#This Row],[$ por incpacidad]]+TabDesSalariosReal[[#This Row],[Descuentos]]+TabDesSalariosReal[[#This Row],[Extras]]-TabDesSalariosReal[[#This Row],[Fiscal Real]])&gt;500,AporteComision,0)</f>
        <v>0</v>
      </c>
      <c r="O7" s="276">
        <v>0</v>
      </c>
      <c r="P7" s="188" t="str" cm="1">
        <f t="array" ref="P7">VLOOKUP(TabDesSalariosReal[[#This Row],[id]],TabEmpleados[],COLUMN(TabEmpleados[Banco de pago]),FALSE)</f>
        <v>Santander</v>
      </c>
      <c r="Q7" s="188">
        <f ca="1">TabDesSalariosReal[[#This Row],[Subtotal Real]]+TabDesSalariosReal[[#This Row],[Prima dominical]]+TabDesSalariosReal[[#This Row],[Prima vacacional]]+TabDesSalariosReal[[#This Row],[$ por incpacidad]]+TabDesSalariosReal[[#This Row],[Descuentos]]+TabDesSalariosReal[[#This Row],[Aporte por comision]]+TabDesSalariosReal[[#This Row],[Extras]]</f>
        <v>15500</v>
      </c>
      <c r="R7" s="277">
        <f ca="1">TabDesSalariosReal[[#This Row],[Total Real]]-TabDesSalariosReal[[#This Row],[Fiscal Real]]</f>
        <v>-238.43520912000167</v>
      </c>
      <c r="S7" s="179" cm="1">
        <f t="array" aca="1" ref="S7" ca="1">IFERROR(VLOOKUP(TabDesSalariosReal[[#This Row],[id]],TabDesSalariosFiscal[],COLUMN(TabDesSalariosFiscal[Total Fiscal]),FALSE),0)</f>
        <v>15738.435209120002</v>
      </c>
      <c r="T7" s="197">
        <f ca="1">IFERROR(TabDesSalariosReal[[#This Row],[Persepcion Fiscal]],0)</f>
        <v>15738.435209120002</v>
      </c>
      <c r="U7" s="55" cm="1">
        <f t="array" ref="U7">IF('Desglose Salarios Fiscal'!$Q$1=1,VLOOKUP(TabDesSalariosReal[[#This Row],[id]],TabEmpleados[],COLUMN(TabEmpleados[SD Real]),FALSE)*TabDesSalariosReal[[#This Row],[Dias de agunaldo Real2]],0)</f>
        <v>7500</v>
      </c>
      <c r="V7" s="173" cm="1">
        <f t="array" ref="V7">IF(YEAR(VLOOKUP(TabDesSalariosReal[[#This Row],[id]],TabEmpleados[],COLUMN(TabEmpleados[Fecha de ingreso]),FALSE))&lt;AñoActual,'Tablas de informacion'!$N$13,_xlfn.DAYS(DATE(AñoActual+1,MONTH(1),DAY(1))-DAY(1),(VLOOKUP(TabDesSalariosReal[[#This Row],[id]],TabEmpleados[],COLUMN(TabEmpleados[Fecha de ingreso]),FALSE))))</f>
        <v>365</v>
      </c>
      <c r="W7" cm="1">
        <f t="array" ref="W7">TabDesSalariosReal[[#This Row],[Dias de aguinaldo Real1]]*VLOOKUP(TabDesSalariosReal[[#This Row],[Años]],TabFactorIntegracion[],COLUMN(TabFactorIntegracion[Días de
aguinaldo]),FALSE)/'Tablas de informacion'!$N$13</f>
        <v>15</v>
      </c>
      <c r="X7" s="141" cm="1">
        <f t="array" ref="X7">TabDesSalariosReal[[#This Row],[Aguinaldo Real]]-IFERROR(VLOOKUP(TabDesSalariosReal[[#This Row],[id]],TabDesSalariosFiscal[],COLUMN(TabDesSalariosFiscal[Aguinaldo Fiscal]),FALSE),0)</f>
        <v>4274.0812800000003</v>
      </c>
    </row>
    <row r="8" spans="1:26" x14ac:dyDescent="0.25">
      <c r="A8" s="176">
        <v>6</v>
      </c>
      <c r="B8" t="str" cm="1">
        <f t="array" ref="B8">VLOOKUP(TabDesSalariosReal[[#This Row],[id]],TabEmpleados[],COLUMN(TabEmpleados[Nombre]),FALSE)</f>
        <v>CAMACHO RAMIREZ ARELI</v>
      </c>
      <c r="C8" s="148" cm="1">
        <f t="array" ref="C8">VLOOKUP(TabDesSalariosReal[[#This Row],[id]],TabAsistencias[],COLUMN(TabAsistencias[Total de dias laborados]),FALSE)</f>
        <v>30</v>
      </c>
      <c r="D8" s="179" cm="1">
        <f t="array" ref="D8">(VLOOKUP(TabDesSalariosReal[[#This Row],[id]],TabEmpleados[],COLUMN(TabEmpleados[SD Real]),FALSE))*TabDesSalariosReal[[#This Row],[Dias Lab.]]</f>
        <v>10500</v>
      </c>
      <c r="E8" s="180" cm="1">
        <f t="array" ref="E8">IF(DATEDIF((VLOOKUP(TabDesSalariosReal[[#This Row],[id]],TabEmpleados[],COLUMN(TabEmpleados[Fecha de ingreso]),FALSE)),Asistencias!$B$3,"Y")=0,1,DATEDIF((VLOOKUP(TabDesSalariosReal[[#This Row],[id]],TabEmpleados[],COLUMN(TabEmpleados[Fecha de ingreso]),FALSE)),Asistencias!$B$3,"Y"))</f>
        <v>1</v>
      </c>
      <c r="F8" s="181" cm="1">
        <f t="array" ref="F8">((VLOOKUP(TabDesSalariosReal[[#This Row],[id]],TabEmpleados[],COLUMN(TabEmpleados[SD Real]),FALSE))*(VLOOKUP(TabDesSalariosReal[[#This Row],[Años]],TabFactorIntegracion[],COLUMN(TabFactorIntegracion[% de prima 
vacacional y dominical]),FALSE))*(VLOOKUP(TabDesSalariosReal[[#This Row],[id]],TabAsistencias[],COLUMN(TabAsistencias[Prima dominical]),FALSE)))*(VLOOKUP((VLOOKUP(TabDesSalariosReal[[#This Row],[id]],TabEmpleados[],COLUMN(TabEmpleados[Puesto]),FALSE)),TabPuestos[],COLUMN(TabPuestos[PRIMA DOMINICAL]),FALSE))</f>
        <v>0</v>
      </c>
      <c r="G8" s="182" cm="1">
        <f t="array" ref="G8">(VLOOKUP(TabDesSalariosReal[[#This Row],[id]],TabEmpleados[],COLUMN(TabEmpleados[SD Real]),FALSE))*(VLOOKUP(TabDesSalariosReal[[#This Row],[Años]],TabFactorIntegracion[],COLUMN(TabFactorIntegracion[% de prima 
vacacional y dominical]),FALSE))*((VLOOKUP(TabDesSalariosReal[[#This Row],[id]],TabAsistencias[],COLUMN(TabAsistencias[V]),FALSE)))</f>
        <v>0</v>
      </c>
      <c r="H8" s="148" cm="1">
        <f t="array" ref="H8">VLOOKUP(TabDesSalariosReal[[#This Row],[id]],TabAsistencias[],COLUMN(TabAsistencias[I]),FALSE)</f>
        <v>0</v>
      </c>
      <c r="I8" s="148" cm="1">
        <f t="array" ref="I8">VLOOKUP(TabDesSalariosReal[[#This Row],[id]],TabAsistencias[],COLUMN(TabAsistencias[IG]),FALSE)</f>
        <v>0</v>
      </c>
      <c r="J8" s="191">
        <v>0.4</v>
      </c>
      <c r="K8" s="179" cm="1">
        <f t="array" ref="K8">IF(TabDesSalariosReal[[#This Row],[Dias Incapacidad/General]]&gt;3,((TabDesSalariosReal[[#This Row],[Dias Incapacidad/General]]-3)*((VLOOKUP(TabDesSalariosReal[[#This Row],[id]],TabEmpleados[],COLUMN(TabEmpleados[SD Real]),FALSE)))*TabDesSalariosReal[[#This Row],[% pagado por incapacidad]]),0)</f>
        <v>0</v>
      </c>
      <c r="L8" s="185">
        <f>-1*(SUMIFS(TabPagos[Monto de pago],TabPagos[id],TabDesSalariosReal[[#This Row],[id]],TabPagos[Fecha de pago],"&gt;="&amp;Asistencias!$B$2,TabPagos[Fecha de pago],"&lt;"&amp;Asistencias!$B$3))</f>
        <v>0</v>
      </c>
      <c r="M8" t="str" cm="1">
        <f t="array" ref="M8">getDescripcion(TabDesSalariosReal[[#This Row],[id]],"Descuentos-Pagos","TabPagos",Asistencias!$B$2,Asistencias!$B$3)</f>
        <v/>
      </c>
      <c r="N8" s="309" cm="1">
        <f t="array" ref="N8">IF((TabDesSalariosReal[[#This Row],[Subtotal Real]]+TabDesSalariosReal[[#This Row],[Prima dominical]]+TabDesSalariosReal[[#This Row],[Prima vacacional]]+TabDesSalariosReal[[#This Row],[$ por incpacidad]]+TabDesSalariosReal[[#This Row],[Descuentos]]+TabDesSalariosReal[[#This Row],[Extras]]-TabDesSalariosReal[[#This Row],[Fiscal Real]])&gt;500,AporteComision,0)</f>
        <v>0</v>
      </c>
      <c r="O8" s="276">
        <v>0</v>
      </c>
      <c r="P8" s="188" t="str" cm="1">
        <f t="array" ref="P8">VLOOKUP(TabDesSalariosReal[[#This Row],[id]],TabEmpleados[],COLUMN(TabEmpleados[Banco de pago]),FALSE)</f>
        <v>Santander</v>
      </c>
      <c r="Q8" s="188">
        <f>TabDesSalariosReal[[#This Row],[Subtotal Real]]+TabDesSalariosReal[[#This Row],[Prima dominical]]+TabDesSalariosReal[[#This Row],[Prima vacacional]]+TabDesSalariosReal[[#This Row],[$ por incpacidad]]+TabDesSalariosReal[[#This Row],[Descuentos]]+TabDesSalariosReal[[#This Row],[Aporte por comision]]+TabDesSalariosReal[[#This Row],[Extras]]</f>
        <v>10500</v>
      </c>
      <c r="R8" s="277">
        <f>TabDesSalariosReal[[#This Row],[Total Real]]-TabDesSalariosReal[[#This Row],[Fiscal Real]]</f>
        <v>-4403.9597118679158</v>
      </c>
      <c r="S8" s="179" cm="1">
        <f t="array" ref="S8">IFERROR(VLOOKUP(TabDesSalariosReal[[#This Row],[id]],TabDesSalariosFiscal[],COLUMN(TabDesSalariosFiscal[Total Fiscal]),FALSE),0)</f>
        <v>14903.959711867916</v>
      </c>
      <c r="T8" s="197">
        <f>IFERROR(TabDesSalariosReal[[#This Row],[Persepcion Fiscal]],0)</f>
        <v>14903.959711867916</v>
      </c>
      <c r="U8" s="55" cm="1">
        <f t="array" ref="U8">IF('Desglose Salarios Fiscal'!$Q$1=1,VLOOKUP(TabDesSalariosReal[[#This Row],[id]],TabEmpleados[],COLUMN(TabEmpleados[SD Real]),FALSE)*TabDesSalariosReal[[#This Row],[Dias de agunaldo Real2]],0)</f>
        <v>5250</v>
      </c>
      <c r="V8" s="173" cm="1">
        <f t="array" ref="V8">IF(YEAR(VLOOKUP(TabDesSalariosReal[[#This Row],[id]],TabEmpleados[],COLUMN(TabEmpleados[Fecha de ingreso]),FALSE))&lt;AñoActual,'Tablas de informacion'!$N$13,_xlfn.DAYS(DATE(AñoActual+1,MONTH(1),DAY(1))-DAY(1),(VLOOKUP(TabDesSalariosReal[[#This Row],[id]],TabEmpleados[],COLUMN(TabEmpleados[Fecha de ingreso]),FALSE))))</f>
        <v>365</v>
      </c>
      <c r="W8" cm="1">
        <f t="array" ref="W8">TabDesSalariosReal[[#This Row],[Dias de aguinaldo Real1]]*VLOOKUP(TabDesSalariosReal[[#This Row],[Años]],TabFactorIntegracion[],COLUMN(TabFactorIntegracion[Días de
aguinaldo]),FALSE)/'Tablas de informacion'!$N$13</f>
        <v>15</v>
      </c>
      <c r="X8" s="141" cm="1">
        <f t="array" ref="X8">TabDesSalariosReal[[#This Row],[Aguinaldo Real]]-IFERROR(VLOOKUP(TabDesSalariosReal[[#This Row],[id]],TabDesSalariosFiscal[],COLUMN(TabDesSalariosFiscal[Aguinaldo Fiscal]),FALSE),0)</f>
        <v>2161.5719615999997</v>
      </c>
    </row>
    <row r="9" spans="1:26" x14ac:dyDescent="0.25">
      <c r="A9" s="176">
        <v>7</v>
      </c>
      <c r="B9" t="str" cm="1">
        <f t="array" ref="B9">VLOOKUP(TabDesSalariosReal[[#This Row],[id]],TabEmpleados[],COLUMN(TabEmpleados[Nombre]),FALSE)</f>
        <v>GONZALEZ DURAN EDER</v>
      </c>
      <c r="C9" s="148" cm="1">
        <f t="array" ref="C9">VLOOKUP(TabDesSalariosReal[[#This Row],[id]],TabAsistencias[],COLUMN(TabAsistencias[Total de dias laborados]),FALSE)</f>
        <v>30</v>
      </c>
      <c r="D9" s="179" cm="1">
        <f t="array" ref="D9">(VLOOKUP(TabDesSalariosReal[[#This Row],[id]],TabEmpleados[],COLUMN(TabEmpleados[SD Real]),FALSE))*TabDesSalariosReal[[#This Row],[Dias Lab.]]</f>
        <v>10999.999980000001</v>
      </c>
      <c r="E9" s="180" cm="1">
        <f t="array" ref="E9">IF(DATEDIF((VLOOKUP(TabDesSalariosReal[[#This Row],[id]],TabEmpleados[],COLUMN(TabEmpleados[Fecha de ingreso]),FALSE)),Asistencias!$B$3,"Y")=0,1,DATEDIF((VLOOKUP(TabDesSalariosReal[[#This Row],[id]],TabEmpleados[],COLUMN(TabEmpleados[Fecha de ingreso]),FALSE)),Asistencias!$B$3,"Y"))</f>
        <v>1</v>
      </c>
      <c r="F9" s="181" cm="1">
        <f t="array" ref="F9">((VLOOKUP(TabDesSalariosReal[[#This Row],[id]],TabEmpleados[],COLUMN(TabEmpleados[SD Real]),FALSE))*(VLOOKUP(TabDesSalariosReal[[#This Row],[Años]],TabFactorIntegracion[],COLUMN(TabFactorIntegracion[% de prima 
vacacional y dominical]),FALSE))*(VLOOKUP(TabDesSalariosReal[[#This Row],[id]],TabAsistencias[],COLUMN(TabAsistencias[Prima dominical]),FALSE)))*(VLOOKUP((VLOOKUP(TabDesSalariosReal[[#This Row],[id]],TabEmpleados[],COLUMN(TabEmpleados[Puesto]),FALSE)),TabPuestos[],COLUMN(TabPuestos[PRIMA DOMINICAL]),FALSE))</f>
        <v>0</v>
      </c>
      <c r="G9" s="182" cm="1">
        <f t="array" ref="G9">(VLOOKUP(TabDesSalariosReal[[#This Row],[id]],TabEmpleados[],COLUMN(TabEmpleados[SD Real]),FALSE))*(VLOOKUP(TabDesSalariosReal[[#This Row],[Años]],TabFactorIntegracion[],COLUMN(TabFactorIntegracion[% de prima 
vacacional y dominical]),FALSE))*((VLOOKUP(TabDesSalariosReal[[#This Row],[id]],TabAsistencias[],COLUMN(TabAsistencias[V]),FALSE)))</f>
        <v>0</v>
      </c>
      <c r="H9" s="148" cm="1">
        <f t="array" ref="H9">VLOOKUP(TabDesSalariosReal[[#This Row],[id]],TabAsistencias[],COLUMN(TabAsistencias[I]),FALSE)</f>
        <v>0</v>
      </c>
      <c r="I9" s="148" cm="1">
        <f t="array" ref="I9">VLOOKUP(TabDesSalariosReal[[#This Row],[id]],TabAsistencias[],COLUMN(TabAsistencias[IG]),FALSE)</f>
        <v>0</v>
      </c>
      <c r="J9" s="191">
        <v>0.4</v>
      </c>
      <c r="K9" s="179" cm="1">
        <f t="array" ref="K9">IF(TabDesSalariosReal[[#This Row],[Dias Incapacidad/General]]&gt;3,((TabDesSalariosReal[[#This Row],[Dias Incapacidad/General]]-3)*((VLOOKUP(TabDesSalariosReal[[#This Row],[id]],TabEmpleados[],COLUMN(TabEmpleados[SD Real]),FALSE)))*TabDesSalariosReal[[#This Row],[% pagado por incapacidad]]),0)</f>
        <v>0</v>
      </c>
      <c r="L9" s="185">
        <f>-1*(SUMIFS(TabPagos[Monto de pago],TabPagos[id],TabDesSalariosReal[[#This Row],[id]],TabPagos[Fecha de pago],"&gt;="&amp;Asistencias!$B$2,TabPagos[Fecha de pago],"&lt;"&amp;Asistencias!$B$3))</f>
        <v>0</v>
      </c>
      <c r="M9" t="str" cm="1">
        <f t="array" ref="M9">getDescripcion(TabDesSalariosReal[[#This Row],[id]],"Descuentos-Pagos","TabPagos",Asistencias!$B$2,Asistencias!$B$3)</f>
        <v/>
      </c>
      <c r="N9" s="309" cm="1">
        <f t="array" aca="1" ref="N9" ca="1">IF((TabDesSalariosReal[[#This Row],[Subtotal Real]]+TabDesSalariosReal[[#This Row],[Prima dominical]]+TabDesSalariosReal[[#This Row],[Prima vacacional]]+TabDesSalariosReal[[#This Row],[$ por incpacidad]]+TabDesSalariosReal[[#This Row],[Descuentos]]+TabDesSalariosReal[[#This Row],[Extras]]-TabDesSalariosReal[[#This Row],[Fiscal Real]])&gt;500,AporteComision,0)</f>
        <v>15</v>
      </c>
      <c r="O9" s="276">
        <v>0</v>
      </c>
      <c r="P9" s="188" t="str" cm="1">
        <f t="array" ref="P9">VLOOKUP(TabDesSalariosReal[[#This Row],[id]],TabEmpleados[],COLUMN(TabEmpleados[Banco de pago]),FALSE)</f>
        <v>Santander</v>
      </c>
      <c r="Q9" s="188">
        <f ca="1">TabDesSalariosReal[[#This Row],[Subtotal Real]]+TabDesSalariosReal[[#This Row],[Prima dominical]]+TabDesSalariosReal[[#This Row],[Prima vacacional]]+TabDesSalariosReal[[#This Row],[$ por incpacidad]]+TabDesSalariosReal[[#This Row],[Descuentos]]+TabDesSalariosReal[[#This Row],[Aporte por comision]]+TabDesSalariosReal[[#This Row],[Extras]]</f>
        <v>11014.999980000001</v>
      </c>
      <c r="R9" s="277">
        <f ca="1">TabDesSalariosReal[[#This Row],[Total Real]]-TabDesSalariosReal[[#This Row],[Fiscal Real]]</f>
        <v>2551.9047378909709</v>
      </c>
      <c r="S9" s="179" cm="1">
        <f t="array" aca="1" ref="S9" ca="1">IFERROR(VLOOKUP(TabDesSalariosReal[[#This Row],[id]],TabDesSalariosFiscal[],COLUMN(TabDesSalariosFiscal[Total Fiscal]),FALSE),0)</f>
        <v>8463.0952421090296</v>
      </c>
      <c r="T9" s="197">
        <f ca="1">IFERROR(TabDesSalariosReal[[#This Row],[Persepcion Fiscal]],0)</f>
        <v>8463.0952421090296</v>
      </c>
      <c r="U9" s="55" cm="1">
        <f t="array" ref="U9">IF('Desglose Salarios Fiscal'!$Q$1=1,VLOOKUP(TabDesSalariosReal[[#This Row],[id]],TabEmpleados[],COLUMN(TabEmpleados[SD Real]),FALSE)*TabDesSalariosReal[[#This Row],[Dias de agunaldo Real2]],0)</f>
        <v>5499.9999900000003</v>
      </c>
      <c r="V9" s="173" cm="1">
        <f t="array" ref="V9">IF(YEAR(VLOOKUP(TabDesSalariosReal[[#This Row],[id]],TabEmpleados[],COLUMN(TabEmpleados[Fecha de ingreso]),FALSE))&lt;AñoActual,'Tablas de informacion'!$N$13,_xlfn.DAYS(DATE(AñoActual+1,MONTH(1),DAY(1))-DAY(1),(VLOOKUP(TabDesSalariosReal[[#This Row],[id]],TabEmpleados[],COLUMN(TabEmpleados[Fecha de ingreso]),FALSE))))</f>
        <v>365</v>
      </c>
      <c r="W9" cm="1">
        <f t="array" ref="W9">TabDesSalariosReal[[#This Row],[Dias de aguinaldo Real1]]*VLOOKUP(TabDesSalariosReal[[#This Row],[Años]],TabFactorIntegracion[],COLUMN(TabFactorIntegracion[Días de
aguinaldo]),FALSE)/'Tablas de informacion'!$N$13</f>
        <v>15</v>
      </c>
      <c r="X9" s="141" cm="1">
        <f t="array" ref="X9">TabDesSalariosReal[[#This Row],[Aguinaldo Real]]-IFERROR(VLOOKUP(TabDesSalariosReal[[#This Row],[id]],TabDesSalariosFiscal[],COLUMN(TabDesSalariosFiscal[Aguinaldo Fiscal]),FALSE),0)</f>
        <v>3849.9999930000004</v>
      </c>
    </row>
    <row r="10" spans="1:26" x14ac:dyDescent="0.25">
      <c r="A10" s="176">
        <v>8</v>
      </c>
      <c r="B10" t="str" cm="1">
        <f t="array" ref="B10">VLOOKUP(TabDesSalariosReal[[#This Row],[id]],TabEmpleados[],COLUMN(TabEmpleados[Nombre]),FALSE)</f>
        <v>REYES JARQUIN DANIEL</v>
      </c>
      <c r="C10" s="148" cm="1">
        <f t="array" ref="C10">VLOOKUP(TabDesSalariosReal[[#This Row],[id]],TabAsistencias[],COLUMN(TabAsistencias[Total de dias laborados]),FALSE)</f>
        <v>30</v>
      </c>
      <c r="D10" s="179" cm="1">
        <f t="array" ref="D10">(VLOOKUP(TabDesSalariosReal[[#This Row],[id]],TabEmpleados[],COLUMN(TabEmpleados[SD Real]),FALSE))*TabDesSalariosReal[[#This Row],[Dias Lab.]]</f>
        <v>8499.9999989999997</v>
      </c>
      <c r="E10" s="180" cm="1">
        <f t="array" ref="E10">IF(DATEDIF((VLOOKUP(TabDesSalariosReal[[#This Row],[id]],TabEmpleados[],COLUMN(TabEmpleados[Fecha de ingreso]),FALSE)),Asistencias!$B$3,"Y")=0,1,DATEDIF((VLOOKUP(TabDesSalariosReal[[#This Row],[id]],TabEmpleados[],COLUMN(TabEmpleados[Fecha de ingreso]),FALSE)),Asistencias!$B$3,"Y"))</f>
        <v>1</v>
      </c>
      <c r="F10" s="181" cm="1">
        <f t="array" ref="F10">((VLOOKUP(TabDesSalariosReal[[#This Row],[id]],TabEmpleados[],COLUMN(TabEmpleados[SD Real]),FALSE))*(VLOOKUP(TabDesSalariosReal[[#This Row],[Años]],TabFactorIntegracion[],COLUMN(TabFactorIntegracion[% de prima 
vacacional y dominical]),FALSE))*(VLOOKUP(TabDesSalariosReal[[#This Row],[id]],TabAsistencias[],COLUMN(TabAsistencias[Prima dominical]),FALSE)))*(VLOOKUP((VLOOKUP(TabDesSalariosReal[[#This Row],[id]],TabEmpleados[],COLUMN(TabEmpleados[Puesto]),FALSE)),TabPuestos[],COLUMN(TabPuestos[PRIMA DOMINICAL]),FALSE))</f>
        <v>0</v>
      </c>
      <c r="G10" s="182" cm="1">
        <f t="array" ref="G10">(VLOOKUP(TabDesSalariosReal[[#This Row],[id]],TabEmpleados[],COLUMN(TabEmpleados[SD Real]),FALSE))*(VLOOKUP(TabDesSalariosReal[[#This Row],[Años]],TabFactorIntegracion[],COLUMN(TabFactorIntegracion[% de prima 
vacacional y dominical]),FALSE))*((VLOOKUP(TabDesSalariosReal[[#This Row],[id]],TabAsistencias[],COLUMN(TabAsistencias[V]),FALSE)))</f>
        <v>0</v>
      </c>
      <c r="H10" s="148" cm="1">
        <f t="array" ref="H10">VLOOKUP(TabDesSalariosReal[[#This Row],[id]],TabAsistencias[],COLUMN(TabAsistencias[I]),FALSE)</f>
        <v>0</v>
      </c>
      <c r="I10" s="148" cm="1">
        <f t="array" ref="I10">VLOOKUP(TabDesSalariosReal[[#This Row],[id]],TabAsistencias[],COLUMN(TabAsistencias[IG]),FALSE)</f>
        <v>0</v>
      </c>
      <c r="J10" s="191">
        <v>0.4</v>
      </c>
      <c r="K10" s="179" cm="1">
        <f t="array" ref="K10">IF(TabDesSalariosReal[[#This Row],[Dias Incapacidad/General]]&gt;3,((TabDesSalariosReal[[#This Row],[Dias Incapacidad/General]]-3)*((VLOOKUP(TabDesSalariosReal[[#This Row],[id]],TabEmpleados[],COLUMN(TabEmpleados[SD Real]),FALSE)))*TabDesSalariosReal[[#This Row],[% pagado por incapacidad]]),0)</f>
        <v>0</v>
      </c>
      <c r="L10" s="185">
        <f>-1*(SUMIFS(TabPagos[Monto de pago],TabPagos[id],TabDesSalariosReal[[#This Row],[id]],TabPagos[Fecha de pago],"&gt;="&amp;Asistencias!$B$2,TabPagos[Fecha de pago],"&lt;"&amp;Asistencias!$B$3))</f>
        <v>0</v>
      </c>
      <c r="M10" t="str" cm="1">
        <f t="array" ref="M10">getDescripcion(TabDesSalariosReal[[#This Row],[id]],"Descuentos-Pagos","TabPagos",Asistencias!$B$2,Asistencias!$B$3)</f>
        <v/>
      </c>
      <c r="N10" s="309" cm="1">
        <f t="array" ref="N10">IF((TabDesSalariosReal[[#This Row],[Subtotal Real]]+TabDesSalariosReal[[#This Row],[Prima dominical]]+TabDesSalariosReal[[#This Row],[Prima vacacional]]+TabDesSalariosReal[[#This Row],[$ por incpacidad]]+TabDesSalariosReal[[#This Row],[Descuentos]]+TabDesSalariosReal[[#This Row],[Extras]]-TabDesSalariosReal[[#This Row],[Fiscal Real]])&gt;500,AporteComision,0)</f>
        <v>15</v>
      </c>
      <c r="O10" s="276">
        <v>0</v>
      </c>
      <c r="P10" s="188" t="str" cm="1">
        <f t="array" ref="P10">VLOOKUP(TabDesSalariosReal[[#This Row],[id]],TabEmpleados[],COLUMN(TabEmpleados[Banco de pago]),FALSE)</f>
        <v>Efectivo</v>
      </c>
      <c r="Q10" s="188">
        <f>TabDesSalariosReal[[#This Row],[Subtotal Real]]+TabDesSalariosReal[[#This Row],[Prima dominical]]+TabDesSalariosReal[[#This Row],[Prima vacacional]]+TabDesSalariosReal[[#This Row],[$ por incpacidad]]+TabDesSalariosReal[[#This Row],[Descuentos]]+TabDesSalariosReal[[#This Row],[Aporte por comision]]+TabDesSalariosReal[[#This Row],[Extras]]</f>
        <v>8514.9999989999997</v>
      </c>
      <c r="R10" s="277">
        <f>TabDesSalariosReal[[#This Row],[Total Real]]-TabDesSalariosReal[[#This Row],[Fiscal Real]]</f>
        <v>1792.9406877249303</v>
      </c>
      <c r="S10" s="179" cm="1">
        <f t="array" ref="S10">IFERROR(VLOOKUP(TabDesSalariosReal[[#This Row],[id]],TabDesSalariosFiscal[],COLUMN(TabDesSalariosFiscal[Total Fiscal]),FALSE),0)</f>
        <v>6722.0593112750694</v>
      </c>
      <c r="T10" s="197">
        <f>IFERROR(TabDesSalariosReal[[#This Row],[Persepcion Fiscal]],0)</f>
        <v>6722.0593112750694</v>
      </c>
      <c r="U10" s="55" cm="1">
        <f t="array" ref="U10">IF('Desglose Salarios Fiscal'!$Q$1=1,VLOOKUP(TabDesSalariosReal[[#This Row],[id]],TabEmpleados[],COLUMN(TabEmpleados[SD Real]),FALSE)*TabDesSalariosReal[[#This Row],[Dias de agunaldo Real2]],0)</f>
        <v>4249.9999994999998</v>
      </c>
      <c r="V10" s="173" cm="1">
        <f t="array" ref="V10">IF(YEAR(VLOOKUP(TabDesSalariosReal[[#This Row],[id]],TabEmpleados[],COLUMN(TabEmpleados[Fecha de ingreso]),FALSE))&lt;AñoActual,'Tablas de informacion'!$N$13,_xlfn.DAYS(DATE(AñoActual+1,MONTH(1),DAY(1))-DAY(1),(VLOOKUP(TabDesSalariosReal[[#This Row],[id]],TabEmpleados[],COLUMN(TabEmpleados[Fecha de ingreso]),FALSE))))</f>
        <v>365</v>
      </c>
      <c r="W10" cm="1">
        <f t="array" ref="W10">TabDesSalariosReal[[#This Row],[Dias de aguinaldo Real1]]*VLOOKUP(TabDesSalariosReal[[#This Row],[Años]],TabFactorIntegracion[],COLUMN(TabFactorIntegracion[Días de
aguinaldo]),FALSE)/'Tablas de informacion'!$N$13</f>
        <v>15</v>
      </c>
      <c r="X10" s="141" cm="1">
        <f t="array" ref="X10">TabDesSalariosReal[[#This Row],[Aguinaldo Real]]-IFERROR(VLOOKUP(TabDesSalariosReal[[#This Row],[id]],TabDesSalariosFiscal[],COLUMN(TabDesSalariosFiscal[Aguinaldo Fiscal]),FALSE),0)</f>
        <v>2974.9999996500001</v>
      </c>
    </row>
    <row r="11" spans="1:26" x14ac:dyDescent="0.25">
      <c r="A11" s="176">
        <v>9</v>
      </c>
      <c r="B11" t="str" cm="1">
        <f t="array" ref="B11">VLOOKUP(TabDesSalariosReal[[#This Row],[id]],TabEmpleados[],COLUMN(TabEmpleados[Nombre]),FALSE)</f>
        <v xml:space="preserve">ANTONIO LOPEZ JAVIER </v>
      </c>
      <c r="C11" s="148" cm="1">
        <f t="array" ref="C11">VLOOKUP(TabDesSalariosReal[[#This Row],[id]],TabAsistencias[],COLUMN(TabAsistencias[Total de dias laborados]),FALSE)</f>
        <v>30</v>
      </c>
      <c r="D11" s="179" cm="1">
        <f t="array" ref="D11">(VLOOKUP(TabDesSalariosReal[[#This Row],[id]],TabEmpleados[],COLUMN(TabEmpleados[SD Real]),FALSE))*TabDesSalariosReal[[#This Row],[Dias Lab.]]</f>
        <v>8400</v>
      </c>
      <c r="E11" s="180" cm="1">
        <f t="array" ref="E11">IF(DATEDIF((VLOOKUP(TabDesSalariosReal[[#This Row],[id]],TabEmpleados[],COLUMN(TabEmpleados[Fecha de ingreso]),FALSE)),Asistencias!$B$3,"Y")=0,1,DATEDIF((VLOOKUP(TabDesSalariosReal[[#This Row],[id]],TabEmpleados[],COLUMN(TabEmpleados[Fecha de ingreso]),FALSE)),Asistencias!$B$3,"Y"))</f>
        <v>11</v>
      </c>
      <c r="F11" s="181" cm="1">
        <f t="array" ref="F11">((VLOOKUP(TabDesSalariosReal[[#This Row],[id]],TabEmpleados[],COLUMN(TabEmpleados[SD Real]),FALSE))*(VLOOKUP(TabDesSalariosReal[[#This Row],[Años]],TabFactorIntegracion[],COLUMN(TabFactorIntegracion[% de prima 
vacacional y dominical]),FALSE))*(VLOOKUP(TabDesSalariosReal[[#This Row],[id]],TabAsistencias[],COLUMN(TabAsistencias[Prima dominical]),FALSE)))*(VLOOKUP((VLOOKUP(TabDesSalariosReal[[#This Row],[id]],TabEmpleados[],COLUMN(TabEmpleados[Puesto]),FALSE)),TabPuestos[],COLUMN(TabPuestos[PRIMA DOMINICAL]),FALSE))</f>
        <v>280</v>
      </c>
      <c r="G11" s="182" cm="1">
        <f t="array" ref="G11">(VLOOKUP(TabDesSalariosReal[[#This Row],[id]],TabEmpleados[],COLUMN(TabEmpleados[SD Real]),FALSE))*(VLOOKUP(TabDesSalariosReal[[#This Row],[Años]],TabFactorIntegracion[],COLUMN(TabFactorIntegracion[% de prima 
vacacional y dominical]),FALSE))*((VLOOKUP(TabDesSalariosReal[[#This Row],[id]],TabAsistencias[],COLUMN(TabAsistencias[V]),FALSE)))</f>
        <v>0</v>
      </c>
      <c r="H11" s="148" cm="1">
        <f t="array" ref="H11">VLOOKUP(TabDesSalariosReal[[#This Row],[id]],TabAsistencias[],COLUMN(TabAsistencias[I]),FALSE)</f>
        <v>0</v>
      </c>
      <c r="I11" s="148" cm="1">
        <f t="array" ref="I11">VLOOKUP(TabDesSalariosReal[[#This Row],[id]],TabAsistencias[],COLUMN(TabAsistencias[IG]),FALSE)</f>
        <v>0</v>
      </c>
      <c r="J11" s="191">
        <v>0.4</v>
      </c>
      <c r="K11" s="179" cm="1">
        <f t="array" ref="K11">IF(TabDesSalariosReal[[#This Row],[Dias Incapacidad/General]]&gt;3,((TabDesSalariosReal[[#This Row],[Dias Incapacidad/General]]-3)*((VLOOKUP(TabDesSalariosReal[[#This Row],[id]],TabEmpleados[],COLUMN(TabEmpleados[SD Real]),FALSE)))*TabDesSalariosReal[[#This Row],[% pagado por incapacidad]]),0)</f>
        <v>0</v>
      </c>
      <c r="L11" s="185">
        <f>-1*(SUMIFS(TabPagos[Monto de pago],TabPagos[id],TabDesSalariosReal[[#This Row],[id]],TabPagos[Fecha de pago],"&gt;="&amp;Asistencias!$B$2,TabPagos[Fecha de pago],"&lt;"&amp;Asistencias!$B$3))</f>
        <v>0</v>
      </c>
      <c r="M11" t="str" cm="1">
        <f t="array" ref="M11">getDescripcion(TabDesSalariosReal[[#This Row],[id]],"Descuentos-Pagos","TabPagos",Asistencias!$B$2,Asistencias!$B$3)</f>
        <v/>
      </c>
      <c r="N11" s="309" cm="1">
        <f t="array" ref="N11">IF((TabDesSalariosReal[[#This Row],[Subtotal Real]]+TabDesSalariosReal[[#This Row],[Prima dominical]]+TabDesSalariosReal[[#This Row],[Prima vacacional]]+TabDesSalariosReal[[#This Row],[$ por incpacidad]]+TabDesSalariosReal[[#This Row],[Descuentos]]+TabDesSalariosReal[[#This Row],[Extras]]-TabDesSalariosReal[[#This Row],[Fiscal Real]])&gt;500,AporteComision,0)</f>
        <v>15</v>
      </c>
      <c r="O11" s="276">
        <v>0</v>
      </c>
      <c r="P11" s="188" t="str" cm="1">
        <f t="array" ref="P11">VLOOKUP(TabDesSalariosReal[[#This Row],[id]],TabEmpleados[],COLUMN(TabEmpleados[Banco de pago]),FALSE)</f>
        <v>Efectivo</v>
      </c>
      <c r="Q11" s="188">
        <f>TabDesSalariosReal[[#This Row],[Subtotal Real]]+TabDesSalariosReal[[#This Row],[Prima dominical]]+TabDesSalariosReal[[#This Row],[Prima vacacional]]+TabDesSalariosReal[[#This Row],[$ por incpacidad]]+TabDesSalariosReal[[#This Row],[Descuentos]]+TabDesSalariosReal[[#This Row],[Aporte por comision]]+TabDesSalariosReal[[#This Row],[Extras]]</f>
        <v>8695</v>
      </c>
      <c r="R11" s="277">
        <f>TabDesSalariosReal[[#This Row],[Total Real]]-TabDesSalariosReal[[#This Row],[Fiscal Real]]</f>
        <v>8695</v>
      </c>
      <c r="S11" s="179" cm="1">
        <f t="array" ref="S11">IFERROR(VLOOKUP(TabDesSalariosReal[[#This Row],[id]],TabDesSalariosFiscal[],COLUMN(TabDesSalariosFiscal[Total Fiscal]),FALSE),0)</f>
        <v>0</v>
      </c>
      <c r="T11" s="197">
        <f>IFERROR(TabDesSalariosReal[[#This Row],[Persepcion Fiscal]],0)</f>
        <v>0</v>
      </c>
      <c r="U11" s="55" cm="1">
        <f t="array" ref="U11">IF('Desglose Salarios Fiscal'!$Q$1=1,VLOOKUP(TabDesSalariosReal[[#This Row],[id]],TabEmpleados[],COLUMN(TabEmpleados[SD Real]),FALSE)*TabDesSalariosReal[[#This Row],[Dias de agunaldo Real2]],0)</f>
        <v>4200</v>
      </c>
      <c r="V11" s="173" cm="1">
        <f t="array" ref="V11">IF(YEAR(VLOOKUP(TabDesSalariosReal[[#This Row],[id]],TabEmpleados[],COLUMN(TabEmpleados[Fecha de ingreso]),FALSE))&lt;AñoActual,'Tablas de informacion'!$N$13,_xlfn.DAYS(DATE(AñoActual+1,MONTH(1),DAY(1))-DAY(1),(VLOOKUP(TabDesSalariosReal[[#This Row],[id]],TabEmpleados[],COLUMN(TabEmpleados[Fecha de ingreso]),FALSE))))</f>
        <v>365</v>
      </c>
      <c r="W11" cm="1">
        <f t="array" ref="W11">TabDesSalariosReal[[#This Row],[Dias de aguinaldo Real1]]*VLOOKUP(TabDesSalariosReal[[#This Row],[Años]],TabFactorIntegracion[],COLUMN(TabFactorIntegracion[Días de
aguinaldo]),FALSE)/'Tablas de informacion'!$N$13</f>
        <v>15</v>
      </c>
      <c r="X11" s="141" cm="1">
        <f t="array" ref="X11">TabDesSalariosReal[[#This Row],[Aguinaldo Real]]-IFERROR(VLOOKUP(TabDesSalariosReal[[#This Row],[id]],TabDesSalariosFiscal[],COLUMN(TabDesSalariosFiscal[Aguinaldo Fiscal]),FALSE),0)</f>
        <v>4200</v>
      </c>
    </row>
    <row r="12" spans="1:26" x14ac:dyDescent="0.25">
      <c r="A12" s="176">
        <v>10</v>
      </c>
      <c r="B12" t="str" cm="1">
        <f t="array" ref="B12">VLOOKUP(TabDesSalariosReal[[#This Row],[id]],TabEmpleados[],COLUMN(TabEmpleados[Nombre]),FALSE)</f>
        <v>GALVAN HERNANDEZ FLOR SILVANA</v>
      </c>
      <c r="C12" s="148" cm="1">
        <f t="array" ref="C12">VLOOKUP(TabDesSalariosReal[[#This Row],[id]],TabAsistencias[],COLUMN(TabAsistencias[Total de dias laborados]),FALSE)</f>
        <v>30</v>
      </c>
      <c r="D12" s="179" cm="1">
        <f t="array" ref="D12">(VLOOKUP(TabDesSalariosReal[[#This Row],[id]],TabEmpleados[],COLUMN(TabEmpleados[SD Real]),FALSE))*TabDesSalariosReal[[#This Row],[Dias Lab.]]</f>
        <v>7500</v>
      </c>
      <c r="E12" s="180" cm="1">
        <f t="array" ref="E12">IF(DATEDIF((VLOOKUP(TabDesSalariosReal[[#This Row],[id]],TabEmpleados[],COLUMN(TabEmpleados[Fecha de ingreso]),FALSE)),Asistencias!$B$3,"Y")=0,1,DATEDIF((VLOOKUP(TabDesSalariosReal[[#This Row],[id]],TabEmpleados[],COLUMN(TabEmpleados[Fecha de ingreso]),FALSE)),Asistencias!$B$3,"Y"))</f>
        <v>1</v>
      </c>
      <c r="F12" s="181" cm="1">
        <f t="array" ref="F12">((VLOOKUP(TabDesSalariosReal[[#This Row],[id]],TabEmpleados[],COLUMN(TabEmpleados[SD Real]),FALSE))*(VLOOKUP(TabDesSalariosReal[[#This Row],[Años]],TabFactorIntegracion[],COLUMN(TabFactorIntegracion[% de prima 
vacacional y dominical]),FALSE))*(VLOOKUP(TabDesSalariosReal[[#This Row],[id]],TabAsistencias[],COLUMN(TabAsistencias[Prima dominical]),FALSE)))*(VLOOKUP((VLOOKUP(TabDesSalariosReal[[#This Row],[id]],TabEmpleados[],COLUMN(TabEmpleados[Puesto]),FALSE)),TabPuestos[],COLUMN(TabPuestos[PRIMA DOMINICAL]),FALSE))</f>
        <v>250</v>
      </c>
      <c r="G12" s="182" cm="1">
        <f t="array" ref="G12">(VLOOKUP(TabDesSalariosReal[[#This Row],[id]],TabEmpleados[],COLUMN(TabEmpleados[SD Real]),FALSE))*(VLOOKUP(TabDesSalariosReal[[#This Row],[Años]],TabFactorIntegracion[],COLUMN(TabFactorIntegracion[% de prima 
vacacional y dominical]),FALSE))*((VLOOKUP(TabDesSalariosReal[[#This Row],[id]],TabAsistencias[],COLUMN(TabAsistencias[V]),FALSE)))</f>
        <v>0</v>
      </c>
      <c r="H12" s="148" cm="1">
        <f t="array" ref="H12">VLOOKUP(TabDesSalariosReal[[#This Row],[id]],TabAsistencias[],COLUMN(TabAsistencias[I]),FALSE)</f>
        <v>0</v>
      </c>
      <c r="I12" s="148" cm="1">
        <f t="array" ref="I12">VLOOKUP(TabDesSalariosReal[[#This Row],[id]],TabAsistencias[],COLUMN(TabAsistencias[IG]),FALSE)</f>
        <v>0</v>
      </c>
      <c r="J12" s="191">
        <v>0.4</v>
      </c>
      <c r="K12" s="179" cm="1">
        <f t="array" ref="K12">IF(TabDesSalariosReal[[#This Row],[Dias Incapacidad/General]]&gt;3,((TabDesSalariosReal[[#This Row],[Dias Incapacidad/General]]-3)*((VLOOKUP(TabDesSalariosReal[[#This Row],[id]],TabEmpleados[],COLUMN(TabEmpleados[SD Real]),FALSE)))*TabDesSalariosReal[[#This Row],[% pagado por incapacidad]]),0)</f>
        <v>0</v>
      </c>
      <c r="L12" s="185">
        <f>-1*(SUMIFS(TabPagos[Monto de pago],TabPagos[id],TabDesSalariosReal[[#This Row],[id]],TabPagos[Fecha de pago],"&gt;="&amp;Asistencias!$B$2,TabPagos[Fecha de pago],"&lt;"&amp;Asistencias!$B$3))</f>
        <v>0</v>
      </c>
      <c r="M12" t="str" cm="1">
        <f t="array" ref="M12">getDescripcion(TabDesSalariosReal[[#This Row],[id]],"Descuentos-Pagos","TabPagos",Asistencias!$B$2,Asistencias!$B$3)</f>
        <v/>
      </c>
      <c r="N12" s="309" cm="1">
        <f t="array" ref="N12">IF((TabDesSalariosReal[[#This Row],[Subtotal Real]]+TabDesSalariosReal[[#This Row],[Prima dominical]]+TabDesSalariosReal[[#This Row],[Prima vacacional]]+TabDesSalariosReal[[#This Row],[$ por incpacidad]]+TabDesSalariosReal[[#This Row],[Descuentos]]+TabDesSalariosReal[[#This Row],[Extras]]-TabDesSalariosReal[[#This Row],[Fiscal Real]])&gt;500,AporteComision,0)</f>
        <v>15</v>
      </c>
      <c r="O12" s="276">
        <v>0</v>
      </c>
      <c r="P12" s="188" t="str" cm="1">
        <f t="array" ref="P12">VLOOKUP(TabDesSalariosReal[[#This Row],[id]],TabEmpleados[],COLUMN(TabEmpleados[Banco de pago]),FALSE)</f>
        <v>Santander</v>
      </c>
      <c r="Q12" s="188">
        <f>TabDesSalariosReal[[#This Row],[Subtotal Real]]+TabDesSalariosReal[[#This Row],[Prima dominical]]+TabDesSalariosReal[[#This Row],[Prima vacacional]]+TabDesSalariosReal[[#This Row],[$ por incpacidad]]+TabDesSalariosReal[[#This Row],[Descuentos]]+TabDesSalariosReal[[#This Row],[Aporte por comision]]+TabDesSalariosReal[[#This Row],[Extras]]</f>
        <v>7765</v>
      </c>
      <c r="R12" s="277">
        <f>TabDesSalariosReal[[#This Row],[Total Real]]-TabDesSalariosReal[[#This Row],[Fiscal Real]]</f>
        <v>1657.9398072000004</v>
      </c>
      <c r="S12" s="179" cm="1">
        <f t="array" ref="S12">IFERROR(VLOOKUP(TabDesSalariosReal[[#This Row],[id]],TabDesSalariosFiscal[],COLUMN(TabDesSalariosFiscal[Total Fiscal]),FALSE),0)</f>
        <v>6107.0601927999996</v>
      </c>
      <c r="T12" s="197">
        <f>IFERROR(TabDesSalariosReal[[#This Row],[Persepcion Fiscal]],0)</f>
        <v>6107.0601927999996</v>
      </c>
      <c r="U12" s="55" cm="1">
        <f t="array" ref="U12">IF('Desglose Salarios Fiscal'!$Q$1=1,VLOOKUP(TabDesSalariosReal[[#This Row],[id]],TabEmpleados[],COLUMN(TabEmpleados[SD Real]),FALSE)*TabDesSalariosReal[[#This Row],[Dias de agunaldo Real2]],0)</f>
        <v>3750</v>
      </c>
      <c r="V12" s="173" cm="1">
        <f t="array" ref="V12">IF(YEAR(VLOOKUP(TabDesSalariosReal[[#This Row],[id]],TabEmpleados[],COLUMN(TabEmpleados[Fecha de ingreso]),FALSE))&lt;AñoActual,'Tablas de informacion'!$N$13,_xlfn.DAYS(DATE(AñoActual+1,MONTH(1),DAY(1))-DAY(1),(VLOOKUP(TabDesSalariosReal[[#This Row],[id]],TabEmpleados[],COLUMN(TabEmpleados[Fecha de ingreso]),FALSE))))</f>
        <v>365</v>
      </c>
      <c r="W12" cm="1">
        <f t="array" ref="W12">TabDesSalariosReal[[#This Row],[Dias de aguinaldo Real1]]*VLOOKUP(TabDesSalariosReal[[#This Row],[Años]],TabFactorIntegracion[],COLUMN(TabFactorIntegracion[Días de
aguinaldo]),FALSE)/'Tablas de informacion'!$N$13</f>
        <v>15</v>
      </c>
      <c r="X12" s="141" cm="1">
        <f t="array" ref="X12">TabDesSalariosReal[[#This Row],[Aguinaldo Real]]-IFERROR(VLOOKUP(TabDesSalariosReal[[#This Row],[id]],TabDesSalariosFiscal[],COLUMN(TabDesSalariosFiscal[Aguinaldo Fiscal]),FALSE),0)</f>
        <v>2625</v>
      </c>
    </row>
    <row r="13" spans="1:26" x14ac:dyDescent="0.25">
      <c r="A13" s="176">
        <v>11</v>
      </c>
      <c r="B13" t="str" cm="1">
        <f t="array" ref="B13">VLOOKUP(TabDesSalariosReal[[#This Row],[id]],TabEmpleados[],COLUMN(TabEmpleados[Nombre]),FALSE)</f>
        <v>VELASCO TEAHULOS MARIA ASUNCION</v>
      </c>
      <c r="C13" s="148" cm="1">
        <f t="array" ref="C13">VLOOKUP(TabDesSalariosReal[[#This Row],[id]],TabAsistencias[],COLUMN(TabAsistencias[Total de dias laborados]),FALSE)</f>
        <v>30</v>
      </c>
      <c r="D13" s="179" cm="1">
        <f t="array" ref="D13">(VLOOKUP(TabDesSalariosReal[[#This Row],[id]],TabEmpleados[],COLUMN(TabEmpleados[SD Real]),FALSE))*TabDesSalariosReal[[#This Row],[Dias Lab.]]</f>
        <v>13500</v>
      </c>
      <c r="E13" s="180" cm="1">
        <f t="array" ref="E13">IF(DATEDIF((VLOOKUP(TabDesSalariosReal[[#This Row],[id]],TabEmpleados[],COLUMN(TabEmpleados[Fecha de ingreso]),FALSE)),Asistencias!$B$3,"Y")=0,1,DATEDIF((VLOOKUP(TabDesSalariosReal[[#This Row],[id]],TabEmpleados[],COLUMN(TabEmpleados[Fecha de ingreso]),FALSE)),Asistencias!$B$3,"Y"))</f>
        <v>1</v>
      </c>
      <c r="F13" s="181" cm="1">
        <f t="array" ref="F13">((VLOOKUP(TabDesSalariosReal[[#This Row],[id]],TabEmpleados[],COLUMN(TabEmpleados[SD Real]),FALSE))*(VLOOKUP(TabDesSalariosReal[[#This Row],[Años]],TabFactorIntegracion[],COLUMN(TabFactorIntegracion[% de prima 
vacacional y dominical]),FALSE))*(VLOOKUP(TabDesSalariosReal[[#This Row],[id]],TabAsistencias[],COLUMN(TabAsistencias[Prima dominical]),FALSE)))*(VLOOKUP((VLOOKUP(TabDesSalariosReal[[#This Row],[id]],TabEmpleados[],COLUMN(TabEmpleados[Puesto]),FALSE)),TabPuestos[],COLUMN(TabPuestos[PRIMA DOMINICAL]),FALSE))</f>
        <v>450</v>
      </c>
      <c r="G13" s="182" cm="1">
        <f t="array" ref="G13">(VLOOKUP(TabDesSalariosReal[[#This Row],[id]],TabEmpleados[],COLUMN(TabEmpleados[SD Real]),FALSE))*(VLOOKUP(TabDesSalariosReal[[#This Row],[Años]],TabFactorIntegracion[],COLUMN(TabFactorIntegracion[% de prima 
vacacional y dominical]),FALSE))*((VLOOKUP(TabDesSalariosReal[[#This Row],[id]],TabAsistencias[],COLUMN(TabAsistencias[V]),FALSE)))</f>
        <v>0</v>
      </c>
      <c r="H13" s="148" cm="1">
        <f t="array" ref="H13">VLOOKUP(TabDesSalariosReal[[#This Row],[id]],TabAsistencias[],COLUMN(TabAsistencias[I]),FALSE)</f>
        <v>0</v>
      </c>
      <c r="I13" s="148" cm="1">
        <f t="array" ref="I13">VLOOKUP(TabDesSalariosReal[[#This Row],[id]],TabAsistencias[],COLUMN(TabAsistencias[IG]),FALSE)</f>
        <v>0</v>
      </c>
      <c r="J13" s="191">
        <v>0.4</v>
      </c>
      <c r="K13" s="179" cm="1">
        <f t="array" ref="K13">IF(TabDesSalariosReal[[#This Row],[Dias Incapacidad/General]]&gt;3,((TabDesSalariosReal[[#This Row],[Dias Incapacidad/General]]-3)*((VLOOKUP(TabDesSalariosReal[[#This Row],[id]],TabEmpleados[],COLUMN(TabEmpleados[SD Real]),FALSE)))*TabDesSalariosReal[[#This Row],[% pagado por incapacidad]]),0)</f>
        <v>0</v>
      </c>
      <c r="L13" s="185">
        <f>-1*(SUMIFS(TabPagos[Monto de pago],TabPagos[id],TabDesSalariosReal[[#This Row],[id]],TabPagos[Fecha de pago],"&gt;="&amp;Asistencias!$B$2,TabPagos[Fecha de pago],"&lt;"&amp;Asistencias!$B$3))</f>
        <v>0</v>
      </c>
      <c r="M13" t="str" cm="1">
        <f t="array" ref="M13">getDescripcion(TabDesSalariosReal[[#This Row],[id]],"Descuentos-Pagos","TabPagos",Asistencias!$B$2,Asistencias!$B$3)</f>
        <v/>
      </c>
      <c r="N13" s="309" cm="1">
        <f t="array" ref="N13">IF((TabDesSalariosReal[[#This Row],[Subtotal Real]]+TabDesSalariosReal[[#This Row],[Prima dominical]]+TabDesSalariosReal[[#This Row],[Prima vacacional]]+TabDesSalariosReal[[#This Row],[$ por incpacidad]]+TabDesSalariosReal[[#This Row],[Descuentos]]+TabDesSalariosReal[[#This Row],[Extras]]-TabDesSalariosReal[[#This Row],[Fiscal Real]])&gt;500,AporteComision,0)</f>
        <v>15</v>
      </c>
      <c r="O13" s="276">
        <v>0</v>
      </c>
      <c r="P13" s="188" t="str" cm="1">
        <f t="array" ref="P13">VLOOKUP(TabDesSalariosReal[[#This Row],[id]],TabEmpleados[],COLUMN(TabEmpleados[Banco de pago]),FALSE)</f>
        <v>Santander</v>
      </c>
      <c r="Q13" s="188">
        <f>TabDesSalariosReal[[#This Row],[Subtotal Real]]+TabDesSalariosReal[[#This Row],[Prima dominical]]+TabDesSalariosReal[[#This Row],[Prima vacacional]]+TabDesSalariosReal[[#This Row],[$ por incpacidad]]+TabDesSalariosReal[[#This Row],[Descuentos]]+TabDesSalariosReal[[#This Row],[Aporte por comision]]+TabDesSalariosReal[[#This Row],[Extras]]</f>
        <v>13965</v>
      </c>
      <c r="R13" s="277">
        <f>TabDesSalariosReal[[#This Row],[Total Real]]-TabDesSalariosReal[[#This Row],[Fiscal Real]]</f>
        <v>3574.5355504800009</v>
      </c>
      <c r="S13" s="179" cm="1">
        <f t="array" ref="S13">IFERROR(VLOOKUP(TabDesSalariosReal[[#This Row],[id]],TabDesSalariosFiscal[],COLUMN(TabDesSalariosFiscal[Total Fiscal]),FALSE),0)</f>
        <v>10390.464449519999</v>
      </c>
      <c r="T13" s="197">
        <f>IFERROR(TabDesSalariosReal[[#This Row],[Persepcion Fiscal]],0)</f>
        <v>10390.464449519999</v>
      </c>
      <c r="U13" s="55" cm="1">
        <f t="array" ref="U13">IF('Desglose Salarios Fiscal'!$Q$1=1,VLOOKUP(TabDesSalariosReal[[#This Row],[id]],TabEmpleados[],COLUMN(TabEmpleados[SD Real]),FALSE)*TabDesSalariosReal[[#This Row],[Dias de agunaldo Real2]],0)</f>
        <v>6750</v>
      </c>
      <c r="V13" s="173" cm="1">
        <f t="array" ref="V13">IF(YEAR(VLOOKUP(TabDesSalariosReal[[#This Row],[id]],TabEmpleados[],COLUMN(TabEmpleados[Fecha de ingreso]),FALSE))&lt;AñoActual,'Tablas de informacion'!$N$13,_xlfn.DAYS(DATE(AñoActual+1,MONTH(1),DAY(1))-DAY(1),(VLOOKUP(TabDesSalariosReal[[#This Row],[id]],TabEmpleados[],COLUMN(TabEmpleados[Fecha de ingreso]),FALSE))))</f>
        <v>365</v>
      </c>
      <c r="W13" cm="1">
        <f t="array" ref="W13">TabDesSalariosReal[[#This Row],[Dias de aguinaldo Real1]]*VLOOKUP(TabDesSalariosReal[[#This Row],[Años]],TabFactorIntegracion[],COLUMN(TabFactorIntegracion[Días de
aguinaldo]),FALSE)/'Tablas de informacion'!$N$13</f>
        <v>15</v>
      </c>
      <c r="X13" s="141" cm="1">
        <f t="array" ref="X13">TabDesSalariosReal[[#This Row],[Aguinaldo Real]]-IFERROR(VLOOKUP(TabDesSalariosReal[[#This Row],[id]],TabDesSalariosFiscal[],COLUMN(TabDesSalariosFiscal[Aguinaldo Fiscal]),FALSE),0)</f>
        <v>4725</v>
      </c>
    </row>
    <row r="14" spans="1:26" x14ac:dyDescent="0.25">
      <c r="A14" s="176">
        <v>12</v>
      </c>
      <c r="B14" t="str" cm="1">
        <f t="array" ref="B14">VLOOKUP(TabDesSalariosReal[[#This Row],[id]],TabEmpleados[],COLUMN(TabEmpleados[Nombre]),FALSE)</f>
        <v>GARCIA MARTINEZ JORGE MANUEL</v>
      </c>
      <c r="C14" s="148" cm="1">
        <f t="array" ref="C14">VLOOKUP(TabDesSalariosReal[[#This Row],[id]],TabAsistencias[],COLUMN(TabAsistencias[Total de dias laborados]),FALSE)</f>
        <v>30</v>
      </c>
      <c r="D14" s="179" cm="1">
        <f t="array" ref="D14">(VLOOKUP(TabDesSalariosReal[[#This Row],[id]],TabEmpleados[],COLUMN(TabEmpleados[SD Real]),FALSE))*TabDesSalariosReal[[#This Row],[Dias Lab.]]</f>
        <v>19500</v>
      </c>
      <c r="E14" s="180" cm="1">
        <f t="array" ref="E14">IF(DATEDIF((VLOOKUP(TabDesSalariosReal[[#This Row],[id]],TabEmpleados[],COLUMN(TabEmpleados[Fecha de ingreso]),FALSE)),Asistencias!$B$3,"Y")=0,1,DATEDIF((VLOOKUP(TabDesSalariosReal[[#This Row],[id]],TabEmpleados[],COLUMN(TabEmpleados[Fecha de ingreso]),FALSE)),Asistencias!$B$3,"Y"))</f>
        <v>1</v>
      </c>
      <c r="F14" s="181" cm="1">
        <f t="array" ref="F14">((VLOOKUP(TabDesSalariosReal[[#This Row],[id]],TabEmpleados[],COLUMN(TabEmpleados[SD Real]),FALSE))*(VLOOKUP(TabDesSalariosReal[[#This Row],[Años]],TabFactorIntegracion[],COLUMN(TabFactorIntegracion[% de prima 
vacacional y dominical]),FALSE))*(VLOOKUP(TabDesSalariosReal[[#This Row],[id]],TabAsistencias[],COLUMN(TabAsistencias[Prima dominical]),FALSE)))*(VLOOKUP((VLOOKUP(TabDesSalariosReal[[#This Row],[id]],TabEmpleados[],COLUMN(TabEmpleados[Puesto]),FALSE)),TabPuestos[],COLUMN(TabPuestos[PRIMA DOMINICAL]),FALSE))</f>
        <v>650</v>
      </c>
      <c r="G14" s="182" cm="1">
        <f t="array" ref="G14">(VLOOKUP(TabDesSalariosReal[[#This Row],[id]],TabEmpleados[],COLUMN(TabEmpleados[SD Real]),FALSE))*(VLOOKUP(TabDesSalariosReal[[#This Row],[Años]],TabFactorIntegracion[],COLUMN(TabFactorIntegracion[% de prima 
vacacional y dominical]),FALSE))*((VLOOKUP(TabDesSalariosReal[[#This Row],[id]],TabAsistencias[],COLUMN(TabAsistencias[V]),FALSE)))</f>
        <v>0</v>
      </c>
      <c r="H14" s="148" cm="1">
        <f t="array" ref="H14">VLOOKUP(TabDesSalariosReal[[#This Row],[id]],TabAsistencias[],COLUMN(TabAsistencias[I]),FALSE)</f>
        <v>0</v>
      </c>
      <c r="I14" s="148" cm="1">
        <f t="array" ref="I14">VLOOKUP(TabDesSalariosReal[[#This Row],[id]],TabAsistencias[],COLUMN(TabAsistencias[IG]),FALSE)</f>
        <v>0</v>
      </c>
      <c r="J14" s="191">
        <v>0.4</v>
      </c>
      <c r="K14" s="179" cm="1">
        <f t="array" ref="K14">IF(TabDesSalariosReal[[#This Row],[Dias Incapacidad/General]]&gt;3,((TabDesSalariosReal[[#This Row],[Dias Incapacidad/General]]-3)*((VLOOKUP(TabDesSalariosReal[[#This Row],[id]],TabEmpleados[],COLUMN(TabEmpleados[SD Real]),FALSE)))*TabDesSalariosReal[[#This Row],[% pagado por incapacidad]]),0)</f>
        <v>0</v>
      </c>
      <c r="L14" s="185">
        <f>-1*(SUMIFS(TabPagos[Monto de pago],TabPagos[id],TabDesSalariosReal[[#This Row],[id]],TabPagos[Fecha de pago],"&gt;="&amp;Asistencias!$B$2,TabPagos[Fecha de pago],"&lt;"&amp;Asistencias!$B$3))</f>
        <v>0</v>
      </c>
      <c r="M14" t="str" cm="1">
        <f t="array" ref="M14">getDescripcion(TabDesSalariosReal[[#This Row],[id]],"Descuentos-Pagos","TabPagos",Asistencias!$B$2,Asistencias!$B$3)</f>
        <v/>
      </c>
      <c r="N14" s="309" cm="1">
        <f t="array" ref="N14">IF((TabDesSalariosReal[[#This Row],[Subtotal Real]]+TabDesSalariosReal[[#This Row],[Prima dominical]]+TabDesSalariosReal[[#This Row],[Prima vacacional]]+TabDesSalariosReal[[#This Row],[$ por incpacidad]]+TabDesSalariosReal[[#This Row],[Descuentos]]+TabDesSalariosReal[[#This Row],[Extras]]-TabDesSalariosReal[[#This Row],[Fiscal Real]])&gt;500,AporteComision,0)</f>
        <v>15</v>
      </c>
      <c r="O14" s="276">
        <v>0</v>
      </c>
      <c r="P14" s="188" t="str" cm="1">
        <f t="array" ref="P14">VLOOKUP(TabDesSalariosReal[[#This Row],[id]],TabEmpleados[],COLUMN(TabEmpleados[Banco de pago]),FALSE)</f>
        <v>Santander</v>
      </c>
      <c r="Q14" s="188">
        <f>TabDesSalariosReal[[#This Row],[Subtotal Real]]+TabDesSalariosReal[[#This Row],[Prima dominical]]+TabDesSalariosReal[[#This Row],[Prima vacacional]]+TabDesSalariosReal[[#This Row],[$ por incpacidad]]+TabDesSalariosReal[[#This Row],[Descuentos]]+TabDesSalariosReal[[#This Row],[Aporte por comision]]+TabDesSalariosReal[[#This Row],[Extras]]</f>
        <v>20165</v>
      </c>
      <c r="R14" s="277">
        <f>TabDesSalariosReal[[#This Row],[Total Real]]-TabDesSalariosReal[[#This Row],[Fiscal Real]]</f>
        <v>5956.7706318949986</v>
      </c>
      <c r="S14" s="179" cm="1">
        <f t="array" ref="S14">IFERROR(VLOOKUP(TabDesSalariosReal[[#This Row],[id]],TabDesSalariosFiscal[],COLUMN(TabDesSalariosFiscal[Total Fiscal]),FALSE),0)</f>
        <v>14208.229368105001</v>
      </c>
      <c r="T14" s="197">
        <f>IFERROR(TabDesSalariosReal[[#This Row],[Persepcion Fiscal]],0)</f>
        <v>14208.229368105001</v>
      </c>
      <c r="U14" s="55" cm="1">
        <f t="array" ref="U14">IF('Desglose Salarios Fiscal'!$Q$1=1,VLOOKUP(TabDesSalariosReal[[#This Row],[id]],TabEmpleados[],COLUMN(TabEmpleados[SD Real]),FALSE)*TabDesSalariosReal[[#This Row],[Dias de agunaldo Real2]],0)</f>
        <v>9750</v>
      </c>
      <c r="V14" s="173" cm="1">
        <f t="array" ref="V14">IF(YEAR(VLOOKUP(TabDesSalariosReal[[#This Row],[id]],TabEmpleados[],COLUMN(TabEmpleados[Fecha de ingreso]),FALSE))&lt;AñoActual,'Tablas de informacion'!$N$13,_xlfn.DAYS(DATE(AñoActual+1,MONTH(1),DAY(1))-DAY(1),(VLOOKUP(TabDesSalariosReal[[#This Row],[id]],TabEmpleados[],COLUMN(TabEmpleados[Fecha de ingreso]),FALSE))))</f>
        <v>365</v>
      </c>
      <c r="W14" cm="1">
        <f t="array" ref="W14">TabDesSalariosReal[[#This Row],[Dias de aguinaldo Real1]]*VLOOKUP(TabDesSalariosReal[[#This Row],[Años]],TabFactorIntegracion[],COLUMN(TabFactorIntegracion[Días de
aguinaldo]),FALSE)/'Tablas de informacion'!$N$13</f>
        <v>15</v>
      </c>
      <c r="X14" s="141" cm="1">
        <f t="array" ref="X14">TabDesSalariosReal[[#This Row],[Aguinaldo Real]]-IFERROR(VLOOKUP(TabDesSalariosReal[[#This Row],[id]],TabDesSalariosFiscal[],COLUMN(TabDesSalariosFiscal[Aguinaldo Fiscal]),FALSE),0)</f>
        <v>6831.1440000000002</v>
      </c>
    </row>
    <row r="15" spans="1:26" x14ac:dyDescent="0.25">
      <c r="A15" s="176">
        <v>13</v>
      </c>
      <c r="B15" t="str" cm="1">
        <f t="array" ref="B15">VLOOKUP(TabDesSalariosReal[[#This Row],[id]],TabEmpleados[],COLUMN(TabEmpleados[Nombre]),FALSE)</f>
        <v>APARICIO MORALES EFRAIN</v>
      </c>
      <c r="C15" s="148" cm="1">
        <f t="array" ref="C15">VLOOKUP(TabDesSalariosReal[[#This Row],[id]],TabAsistencias[],COLUMN(TabAsistencias[Total de dias laborados]),FALSE)</f>
        <v>30</v>
      </c>
      <c r="D15" s="179" cm="1">
        <f t="array" ref="D15">(VLOOKUP(TabDesSalariosReal[[#This Row],[id]],TabEmpleados[],COLUMN(TabEmpleados[SD Real]),FALSE))*TabDesSalariosReal[[#This Row],[Dias Lab.]]</f>
        <v>18000</v>
      </c>
      <c r="E15" s="180" cm="1">
        <f t="array" ref="E15">IF(DATEDIF((VLOOKUP(TabDesSalariosReal[[#This Row],[id]],TabEmpleados[],COLUMN(TabEmpleados[Fecha de ingreso]),FALSE)),Asistencias!$B$3,"Y")=0,1,DATEDIF((VLOOKUP(TabDesSalariosReal[[#This Row],[id]],TabEmpleados[],COLUMN(TabEmpleados[Fecha de ingreso]),FALSE)),Asistencias!$B$3,"Y"))</f>
        <v>1</v>
      </c>
      <c r="F15" s="181" cm="1">
        <f t="array" ref="F15">((VLOOKUP(TabDesSalariosReal[[#This Row],[id]],TabEmpleados[],COLUMN(TabEmpleados[SD Real]),FALSE))*(VLOOKUP(TabDesSalariosReal[[#This Row],[Años]],TabFactorIntegracion[],COLUMN(TabFactorIntegracion[% de prima 
vacacional y dominical]),FALSE))*(VLOOKUP(TabDesSalariosReal[[#This Row],[id]],TabAsistencias[],COLUMN(TabAsistencias[Prima dominical]),FALSE)))*(VLOOKUP((VLOOKUP(TabDesSalariosReal[[#This Row],[id]],TabEmpleados[],COLUMN(TabEmpleados[Puesto]),FALSE)),TabPuestos[],COLUMN(TabPuestos[PRIMA DOMINICAL]),FALSE))</f>
        <v>600</v>
      </c>
      <c r="G15" s="182" cm="1">
        <f t="array" ref="G15">(VLOOKUP(TabDesSalariosReal[[#This Row],[id]],TabEmpleados[],COLUMN(TabEmpleados[SD Real]),FALSE))*(VLOOKUP(TabDesSalariosReal[[#This Row],[Años]],TabFactorIntegracion[],COLUMN(TabFactorIntegracion[% de prima 
vacacional y dominical]),FALSE))*((VLOOKUP(TabDesSalariosReal[[#This Row],[id]],TabAsistencias[],COLUMN(TabAsistencias[V]),FALSE)))</f>
        <v>0</v>
      </c>
      <c r="H15" s="148" cm="1">
        <f t="array" ref="H15">VLOOKUP(TabDesSalariosReal[[#This Row],[id]],TabAsistencias[],COLUMN(TabAsistencias[I]),FALSE)</f>
        <v>0</v>
      </c>
      <c r="I15" s="148" cm="1">
        <f t="array" ref="I15">VLOOKUP(TabDesSalariosReal[[#This Row],[id]],TabAsistencias[],COLUMN(TabAsistencias[IG]),FALSE)</f>
        <v>0</v>
      </c>
      <c r="J15" s="191">
        <v>0.4</v>
      </c>
      <c r="K15" s="179" cm="1">
        <f t="array" ref="K15">IF(TabDesSalariosReal[[#This Row],[Dias Incapacidad/General]]&gt;3,((TabDesSalariosReal[[#This Row],[Dias Incapacidad/General]]-3)*((VLOOKUP(TabDesSalariosReal[[#This Row],[id]],TabEmpleados[],COLUMN(TabEmpleados[SD Real]),FALSE)))*TabDesSalariosReal[[#This Row],[% pagado por incapacidad]]),0)</f>
        <v>0</v>
      </c>
      <c r="L15" s="185">
        <f>-1*(SUMIFS(TabPagos[Monto de pago],TabPagos[id],TabDesSalariosReal[[#This Row],[id]],TabPagos[Fecha de pago],"&gt;="&amp;Asistencias!$B$2,TabPagos[Fecha de pago],"&lt;"&amp;Asistencias!$B$3))</f>
        <v>0</v>
      </c>
      <c r="M15" t="str" cm="1">
        <f t="array" ref="M15">getDescripcion(TabDesSalariosReal[[#This Row],[id]],"Descuentos-Pagos","TabPagos",Asistencias!$B$2,Asistencias!$B$3)</f>
        <v/>
      </c>
      <c r="N15" s="309" cm="1">
        <f t="array" ref="N15">IF((TabDesSalariosReal[[#This Row],[Subtotal Real]]+TabDesSalariosReal[[#This Row],[Prima dominical]]+TabDesSalariosReal[[#This Row],[Prima vacacional]]+TabDesSalariosReal[[#This Row],[$ por incpacidad]]+TabDesSalariosReal[[#This Row],[Descuentos]]+TabDesSalariosReal[[#This Row],[Extras]]-TabDesSalariosReal[[#This Row],[Fiscal Real]])&gt;500,AporteComision,0)</f>
        <v>15</v>
      </c>
      <c r="O15" s="276">
        <v>0</v>
      </c>
      <c r="P15" s="188" t="str" cm="1">
        <f t="array" ref="P15">VLOOKUP(TabDesSalariosReal[[#This Row],[id]],TabEmpleados[],COLUMN(TabEmpleados[Banco de pago]),FALSE)</f>
        <v>Santander</v>
      </c>
      <c r="Q15" s="188">
        <f>TabDesSalariosReal[[#This Row],[Subtotal Real]]+TabDesSalariosReal[[#This Row],[Prima dominical]]+TabDesSalariosReal[[#This Row],[Prima vacacional]]+TabDesSalariosReal[[#This Row],[$ por incpacidad]]+TabDesSalariosReal[[#This Row],[Descuentos]]+TabDesSalariosReal[[#This Row],[Aporte por comision]]+TabDesSalariosReal[[#This Row],[Extras]]</f>
        <v>18615</v>
      </c>
      <c r="R15" s="277">
        <f>TabDesSalariosReal[[#This Row],[Total Real]]-TabDesSalariosReal[[#This Row],[Fiscal Real]]</f>
        <v>5410.7926669799999</v>
      </c>
      <c r="S15" s="179" cm="1">
        <f t="array" ref="S15">IFERROR(VLOOKUP(TabDesSalariosReal[[#This Row],[id]],TabDesSalariosFiscal[],COLUMN(TabDesSalariosFiscal[Total Fiscal]),FALSE),0)</f>
        <v>13204.20733302</v>
      </c>
      <c r="T15" s="197">
        <f>IFERROR(TabDesSalariosReal[[#This Row],[Persepcion Fiscal]],0)</f>
        <v>13204.20733302</v>
      </c>
      <c r="U15" s="55" cm="1">
        <f t="array" ref="U15">IF('Desglose Salarios Fiscal'!$Q$1=1,VLOOKUP(TabDesSalariosReal[[#This Row],[id]],TabEmpleados[],COLUMN(TabEmpleados[SD Real]),FALSE)*TabDesSalariosReal[[#This Row],[Dias de agunaldo Real2]],0)</f>
        <v>9000</v>
      </c>
      <c r="V15" s="173" cm="1">
        <f t="array" ref="V15">IF(YEAR(VLOOKUP(TabDesSalariosReal[[#This Row],[id]],TabEmpleados[],COLUMN(TabEmpleados[Fecha de ingreso]),FALSE))&lt;AñoActual,'Tablas de informacion'!$N$13,_xlfn.DAYS(DATE(AñoActual+1,MONTH(1),DAY(1))-DAY(1),(VLOOKUP(TabDesSalariosReal[[#This Row],[id]],TabEmpleados[],COLUMN(TabEmpleados[Fecha de ingreso]),FALSE))))</f>
        <v>365</v>
      </c>
      <c r="W15" cm="1">
        <f t="array" ref="W15">TabDesSalariosReal[[#This Row],[Dias de aguinaldo Real1]]*VLOOKUP(TabDesSalariosReal[[#This Row],[Años]],TabFactorIntegracion[],COLUMN(TabFactorIntegracion[Días de
aguinaldo]),FALSE)/'Tablas de informacion'!$N$13</f>
        <v>15</v>
      </c>
      <c r="X15" s="141" cm="1">
        <f t="array" ref="X15">TabDesSalariosReal[[#This Row],[Aguinaldo Real]]-IFERROR(VLOOKUP(TabDesSalariosReal[[#This Row],[id]],TabDesSalariosFiscal[],COLUMN(TabDesSalariosFiscal[Aguinaldo Fiscal]),FALSE),0)</f>
        <v>6300</v>
      </c>
    </row>
    <row r="16" spans="1:26" x14ac:dyDescent="0.25">
      <c r="A16" s="176">
        <v>14</v>
      </c>
      <c r="B16" t="str" cm="1">
        <f t="array" ref="B16">VLOOKUP(TabDesSalariosReal[[#This Row],[id]],TabEmpleados[],COLUMN(TabEmpleados[Nombre]),FALSE)</f>
        <v>MIGUEL MIGUEL CAROLINA</v>
      </c>
      <c r="C16" s="148" cm="1">
        <f t="array" ref="C16">VLOOKUP(TabDesSalariosReal[[#This Row],[id]],TabAsistencias[],COLUMN(TabAsistencias[Total de dias laborados]),FALSE)</f>
        <v>30</v>
      </c>
      <c r="D16" s="179" cm="1">
        <f t="array" ref="D16">(VLOOKUP(TabDesSalariosReal[[#This Row],[id]],TabEmpleados[],COLUMN(TabEmpleados[SD Real]),FALSE))*TabDesSalariosReal[[#This Row],[Dias Lab.]]</f>
        <v>9000</v>
      </c>
      <c r="E16" s="180" cm="1">
        <f t="array" ref="E16">IF(DATEDIF((VLOOKUP(TabDesSalariosReal[[#This Row],[id]],TabEmpleados[],COLUMN(TabEmpleados[Fecha de ingreso]),FALSE)),Asistencias!$B$3,"Y")=0,1,DATEDIF((VLOOKUP(TabDesSalariosReal[[#This Row],[id]],TabEmpleados[],COLUMN(TabEmpleados[Fecha de ingreso]),FALSE)),Asistencias!$B$3,"Y"))</f>
        <v>1</v>
      </c>
      <c r="F16" s="181" cm="1">
        <f t="array" ref="F16">((VLOOKUP(TabDesSalariosReal[[#This Row],[id]],TabEmpleados[],COLUMN(TabEmpleados[SD Real]),FALSE))*(VLOOKUP(TabDesSalariosReal[[#This Row],[Años]],TabFactorIntegracion[],COLUMN(TabFactorIntegracion[% de prima 
vacacional y dominical]),FALSE))*(VLOOKUP(TabDesSalariosReal[[#This Row],[id]],TabAsistencias[],COLUMN(TabAsistencias[Prima dominical]),FALSE)))*(VLOOKUP((VLOOKUP(TabDesSalariosReal[[#This Row],[id]],TabEmpleados[],COLUMN(TabEmpleados[Puesto]),FALSE)),TabPuestos[],COLUMN(TabPuestos[PRIMA DOMINICAL]),FALSE))</f>
        <v>300</v>
      </c>
      <c r="G16" s="182" cm="1">
        <f t="array" ref="G16">(VLOOKUP(TabDesSalariosReal[[#This Row],[id]],TabEmpleados[],COLUMN(TabEmpleados[SD Real]),FALSE))*(VLOOKUP(TabDesSalariosReal[[#This Row],[Años]],TabFactorIntegracion[],COLUMN(TabFactorIntegracion[% de prima 
vacacional y dominical]),FALSE))*((VLOOKUP(TabDesSalariosReal[[#This Row],[id]],TabAsistencias[],COLUMN(TabAsistencias[V]),FALSE)))</f>
        <v>0</v>
      </c>
      <c r="H16" s="148" cm="1">
        <f t="array" ref="H16">VLOOKUP(TabDesSalariosReal[[#This Row],[id]],TabAsistencias[],COLUMN(TabAsistencias[I]),FALSE)</f>
        <v>0</v>
      </c>
      <c r="I16" s="148" cm="1">
        <f t="array" ref="I16">VLOOKUP(TabDesSalariosReal[[#This Row],[id]],TabAsistencias[],COLUMN(TabAsistencias[IG]),FALSE)</f>
        <v>0</v>
      </c>
      <c r="J16" s="191">
        <v>0.4</v>
      </c>
      <c r="K16" s="179" cm="1">
        <f t="array" ref="K16">IF(TabDesSalariosReal[[#This Row],[Dias Incapacidad/General]]&gt;3,((TabDesSalariosReal[[#This Row],[Dias Incapacidad/General]]-3)*((VLOOKUP(TabDesSalariosReal[[#This Row],[id]],TabEmpleados[],COLUMN(TabEmpleados[SD Real]),FALSE)))*TabDesSalariosReal[[#This Row],[% pagado por incapacidad]]),0)</f>
        <v>0</v>
      </c>
      <c r="L16" s="185">
        <f>-1*(SUMIFS(TabPagos[Monto de pago],TabPagos[id],TabDesSalariosReal[[#This Row],[id]],TabPagos[Fecha de pago],"&gt;="&amp;Asistencias!$B$2,TabPagos[Fecha de pago],"&lt;"&amp;Asistencias!$B$3))</f>
        <v>0</v>
      </c>
      <c r="M16" t="str" cm="1">
        <f t="array" ref="M16">getDescripcion(TabDesSalariosReal[[#This Row],[id]],"Descuentos-Pagos","TabPagos",Asistencias!$B$2,Asistencias!$B$3)</f>
        <v/>
      </c>
      <c r="N16" s="309" cm="1">
        <f t="array" ref="N16">IF((TabDesSalariosReal[[#This Row],[Subtotal Real]]+TabDesSalariosReal[[#This Row],[Prima dominical]]+TabDesSalariosReal[[#This Row],[Prima vacacional]]+TabDesSalariosReal[[#This Row],[$ por incpacidad]]+TabDesSalariosReal[[#This Row],[Descuentos]]+TabDesSalariosReal[[#This Row],[Extras]]-TabDesSalariosReal[[#This Row],[Fiscal Real]])&gt;500,AporteComision,0)</f>
        <v>15</v>
      </c>
      <c r="O16" s="276">
        <v>0</v>
      </c>
      <c r="P16" s="188" t="str" cm="1">
        <f t="array" ref="P16">VLOOKUP(TabDesSalariosReal[[#This Row],[id]],TabEmpleados[],COLUMN(TabEmpleados[Banco de pago]),FALSE)</f>
        <v>Santander</v>
      </c>
      <c r="Q16" s="188">
        <f>TabDesSalariosReal[[#This Row],[Subtotal Real]]+TabDesSalariosReal[[#This Row],[Prima dominical]]+TabDesSalariosReal[[#This Row],[Prima vacacional]]+TabDesSalariosReal[[#This Row],[$ por incpacidad]]+TabDesSalariosReal[[#This Row],[Descuentos]]+TabDesSalariosReal[[#This Row],[Aporte por comision]]+TabDesSalariosReal[[#This Row],[Extras]]</f>
        <v>9315</v>
      </c>
      <c r="R16" s="277">
        <f>TabDesSalariosReal[[#This Row],[Total Real]]-TabDesSalariosReal[[#This Row],[Fiscal Real]]</f>
        <v>2113.6697083199997</v>
      </c>
      <c r="S16" s="179" cm="1">
        <f t="array" ref="S16">IFERROR(VLOOKUP(TabDesSalariosReal[[#This Row],[id]],TabDesSalariosFiscal[],COLUMN(TabDesSalariosFiscal[Total Fiscal]),FALSE),0)</f>
        <v>7201.3302916800003</v>
      </c>
      <c r="T16" s="197">
        <f>IFERROR(TabDesSalariosReal[[#This Row],[Persepcion Fiscal]],0)</f>
        <v>7201.3302916800003</v>
      </c>
      <c r="U16" s="55" cm="1">
        <f t="array" ref="U16">IF('Desglose Salarios Fiscal'!$Q$1=1,VLOOKUP(TabDesSalariosReal[[#This Row],[id]],TabEmpleados[],COLUMN(TabEmpleados[SD Real]),FALSE)*TabDesSalariosReal[[#This Row],[Dias de agunaldo Real2]],0)</f>
        <v>4500</v>
      </c>
      <c r="V16" s="173" cm="1">
        <f t="array" ref="V16">IF(YEAR(VLOOKUP(TabDesSalariosReal[[#This Row],[id]],TabEmpleados[],COLUMN(TabEmpleados[Fecha de ingreso]),FALSE))&lt;AñoActual,'Tablas de informacion'!$N$13,_xlfn.DAYS(DATE(AñoActual+1,MONTH(1),DAY(1))-DAY(1),(VLOOKUP(TabDesSalariosReal[[#This Row],[id]],TabEmpleados[],COLUMN(TabEmpleados[Fecha de ingreso]),FALSE))))</f>
        <v>365</v>
      </c>
      <c r="W16" cm="1">
        <f t="array" ref="W16">TabDesSalariosReal[[#This Row],[Dias de aguinaldo Real1]]*VLOOKUP(TabDesSalariosReal[[#This Row],[Años]],TabFactorIntegracion[],COLUMN(TabFactorIntegracion[Días de
aguinaldo]),FALSE)/'Tablas de informacion'!$N$13</f>
        <v>15</v>
      </c>
      <c r="X16" s="141" cm="1">
        <f t="array" ref="X16">TabDesSalariosReal[[#This Row],[Aguinaldo Real]]-IFERROR(VLOOKUP(TabDesSalariosReal[[#This Row],[id]],TabDesSalariosFiscal[],COLUMN(TabDesSalariosFiscal[Aguinaldo Fiscal]),FALSE),0)</f>
        <v>3150</v>
      </c>
    </row>
    <row r="17" spans="1:24" x14ac:dyDescent="0.25">
      <c r="A17" s="176">
        <v>15</v>
      </c>
      <c r="B17" t="str" cm="1">
        <f t="array" ref="B17">VLOOKUP(TabDesSalariosReal[[#This Row],[id]],TabEmpleados[],COLUMN(TabEmpleados[Nombre]),FALSE)</f>
        <v>HERNANDEZ MARTINEZ NORMA ITZEL</v>
      </c>
      <c r="C17" s="148" cm="1">
        <f t="array" ref="C17">VLOOKUP(TabDesSalariosReal[[#This Row],[id]],TabAsistencias[],COLUMN(TabAsistencias[Total de dias laborados]),FALSE)</f>
        <v>30</v>
      </c>
      <c r="D17" s="179" cm="1">
        <f t="array" ref="D17">(VLOOKUP(TabDesSalariosReal[[#This Row],[id]],TabEmpleados[],COLUMN(TabEmpleados[SD Real]),FALSE))*TabDesSalariosReal[[#This Row],[Dias Lab.]]</f>
        <v>11400</v>
      </c>
      <c r="E17" s="180" cm="1">
        <f t="array" ref="E17">IF(DATEDIF((VLOOKUP(TabDesSalariosReal[[#This Row],[id]],TabEmpleados[],COLUMN(TabEmpleados[Fecha de ingreso]),FALSE)),Asistencias!$B$3,"Y")=0,1,DATEDIF((VLOOKUP(TabDesSalariosReal[[#This Row],[id]],TabEmpleados[],COLUMN(TabEmpleados[Fecha de ingreso]),FALSE)),Asistencias!$B$3,"Y"))</f>
        <v>1</v>
      </c>
      <c r="F17" s="181" cm="1">
        <f t="array" ref="F17">((VLOOKUP(TabDesSalariosReal[[#This Row],[id]],TabEmpleados[],COLUMN(TabEmpleados[SD Real]),FALSE))*(VLOOKUP(TabDesSalariosReal[[#This Row],[Años]],TabFactorIntegracion[],COLUMN(TabFactorIntegracion[% de prima 
vacacional y dominical]),FALSE))*(VLOOKUP(TabDesSalariosReal[[#This Row],[id]],TabAsistencias[],COLUMN(TabAsistencias[Prima dominical]),FALSE)))*(VLOOKUP((VLOOKUP(TabDesSalariosReal[[#This Row],[id]],TabEmpleados[],COLUMN(TabEmpleados[Puesto]),FALSE)),TabPuestos[],COLUMN(TabPuestos[PRIMA DOMINICAL]),FALSE))</f>
        <v>380</v>
      </c>
      <c r="G17" s="182" cm="1">
        <f t="array" ref="G17">(VLOOKUP(TabDesSalariosReal[[#This Row],[id]],TabEmpleados[],COLUMN(TabEmpleados[SD Real]),FALSE))*(VLOOKUP(TabDesSalariosReal[[#This Row],[Años]],TabFactorIntegracion[],COLUMN(TabFactorIntegracion[% de prima 
vacacional y dominical]),FALSE))*((VLOOKUP(TabDesSalariosReal[[#This Row],[id]],TabAsistencias[],COLUMN(TabAsistencias[V]),FALSE)))</f>
        <v>0</v>
      </c>
      <c r="H17" s="148" cm="1">
        <f t="array" ref="H17">VLOOKUP(TabDesSalariosReal[[#This Row],[id]],TabAsistencias[],COLUMN(TabAsistencias[I]),FALSE)</f>
        <v>0</v>
      </c>
      <c r="I17" s="148" cm="1">
        <f t="array" ref="I17">VLOOKUP(TabDesSalariosReal[[#This Row],[id]],TabAsistencias[],COLUMN(TabAsistencias[IG]),FALSE)</f>
        <v>0</v>
      </c>
      <c r="J17" s="191">
        <v>0.4</v>
      </c>
      <c r="K17" s="179" cm="1">
        <f t="array" ref="K17">IF(TabDesSalariosReal[[#This Row],[Dias Incapacidad/General]]&gt;3,((TabDesSalariosReal[[#This Row],[Dias Incapacidad/General]]-3)*((VLOOKUP(TabDesSalariosReal[[#This Row],[id]],TabEmpleados[],COLUMN(TabEmpleados[SD Real]),FALSE)))*TabDesSalariosReal[[#This Row],[% pagado por incapacidad]]),0)</f>
        <v>0</v>
      </c>
      <c r="L17" s="185">
        <f>-1*(SUMIFS(TabPagos[Monto de pago],TabPagos[id],TabDesSalariosReal[[#This Row],[id]],TabPagos[Fecha de pago],"&gt;="&amp;Asistencias!$B$2,TabPagos[Fecha de pago],"&lt;"&amp;Asistencias!$B$3))</f>
        <v>0</v>
      </c>
      <c r="M17" t="str" cm="1">
        <f t="array" ref="M17">getDescripcion(TabDesSalariosReal[[#This Row],[id]],"Descuentos-Pagos","TabPagos",Asistencias!$B$2,Asistencias!$B$3)</f>
        <v/>
      </c>
      <c r="N17" s="309" cm="1">
        <f t="array" ref="N17">IF((TabDesSalariosReal[[#This Row],[Subtotal Real]]+TabDesSalariosReal[[#This Row],[Prima dominical]]+TabDesSalariosReal[[#This Row],[Prima vacacional]]+TabDesSalariosReal[[#This Row],[$ por incpacidad]]+TabDesSalariosReal[[#This Row],[Descuentos]]+TabDesSalariosReal[[#This Row],[Extras]]-TabDesSalariosReal[[#This Row],[Fiscal Real]])&gt;500,AporteComision,0)</f>
        <v>15</v>
      </c>
      <c r="O17" s="276">
        <v>0</v>
      </c>
      <c r="P17" s="188" t="str" cm="1">
        <f t="array" ref="P17">VLOOKUP(TabDesSalariosReal[[#This Row],[id]],TabEmpleados[],COLUMN(TabEmpleados[Banco de pago]),FALSE)</f>
        <v>Banorte</v>
      </c>
      <c r="Q17" s="188">
        <f>TabDesSalariosReal[[#This Row],[Subtotal Real]]+TabDesSalariosReal[[#This Row],[Prima dominical]]+TabDesSalariosReal[[#This Row],[Prima vacacional]]+TabDesSalariosReal[[#This Row],[$ por incpacidad]]+TabDesSalariosReal[[#This Row],[Descuentos]]+TabDesSalariosReal[[#This Row],[Aporte por comision]]+TabDesSalariosReal[[#This Row],[Extras]]</f>
        <v>11795</v>
      </c>
      <c r="R17" s="277">
        <f>TabDesSalariosReal[[#This Row],[Total Real]]-TabDesSalariosReal[[#This Row],[Fiscal Real]]</f>
        <v>2892.7981574719997</v>
      </c>
      <c r="S17" s="179" cm="1">
        <f t="array" ref="S17">IFERROR(VLOOKUP(TabDesSalariosReal[[#This Row],[id]],TabDesSalariosFiscal[],COLUMN(TabDesSalariosFiscal[Total Fiscal]),FALSE),0)</f>
        <v>8902.2018425280003</v>
      </c>
      <c r="T17" s="197">
        <f>IFERROR(TabDesSalariosReal[[#This Row],[Persepcion Fiscal]],0)</f>
        <v>8902.2018425280003</v>
      </c>
      <c r="U17" s="55" cm="1">
        <f t="array" ref="U17">IF('Desglose Salarios Fiscal'!$Q$1=1,VLOOKUP(TabDesSalariosReal[[#This Row],[id]],TabEmpleados[],COLUMN(TabEmpleados[SD Real]),FALSE)*TabDesSalariosReal[[#This Row],[Dias de agunaldo Real2]],0)</f>
        <v>5700</v>
      </c>
      <c r="V17" s="173" cm="1">
        <f t="array" ref="V17">IF(YEAR(VLOOKUP(TabDesSalariosReal[[#This Row],[id]],TabEmpleados[],COLUMN(TabEmpleados[Fecha de ingreso]),FALSE))&lt;AñoActual,'Tablas de informacion'!$N$13,_xlfn.DAYS(DATE(AñoActual+1,MONTH(1),DAY(1))-DAY(1),(VLOOKUP(TabDesSalariosReal[[#This Row],[id]],TabEmpleados[],COLUMN(TabEmpleados[Fecha de ingreso]),FALSE))))</f>
        <v>365</v>
      </c>
      <c r="W17" cm="1">
        <f t="array" ref="W17">TabDesSalariosReal[[#This Row],[Dias de aguinaldo Real1]]*VLOOKUP(TabDesSalariosReal[[#This Row],[Años]],TabFactorIntegracion[],COLUMN(TabFactorIntegracion[Días de
aguinaldo]),FALSE)/'Tablas de informacion'!$N$13</f>
        <v>15</v>
      </c>
      <c r="X17" s="141" cm="1">
        <f t="array" ref="X17">TabDesSalariosReal[[#This Row],[Aguinaldo Real]]-IFERROR(VLOOKUP(TabDesSalariosReal[[#This Row],[id]],TabDesSalariosFiscal[],COLUMN(TabDesSalariosFiscal[Aguinaldo Fiscal]),FALSE),0)</f>
        <v>3990</v>
      </c>
    </row>
    <row r="18" spans="1:24" x14ac:dyDescent="0.25">
      <c r="A18" s="176">
        <v>16</v>
      </c>
      <c r="B18" t="str" cm="1">
        <f t="array" ref="B18">VLOOKUP(TabDesSalariosReal[[#This Row],[id]],TabEmpleados[],COLUMN(TabEmpleados[Nombre]),FALSE)</f>
        <v>HERNANDEZ HERNANDEZ MODESTA</v>
      </c>
      <c r="C18" s="148" cm="1">
        <f t="array" ref="C18">VLOOKUP(TabDesSalariosReal[[#This Row],[id]],TabAsistencias[],COLUMN(TabAsistencias[Total de dias laborados]),FALSE)</f>
        <v>30</v>
      </c>
      <c r="D18" s="179" cm="1">
        <f t="array" ref="D18">(VLOOKUP(TabDesSalariosReal[[#This Row],[id]],TabEmpleados[],COLUMN(TabEmpleados[SD Real]),FALSE))*TabDesSalariosReal[[#This Row],[Dias Lab.]]</f>
        <v>10500</v>
      </c>
      <c r="E18" s="180" cm="1">
        <f t="array" ref="E18">IF(DATEDIF((VLOOKUP(TabDesSalariosReal[[#This Row],[id]],TabEmpleados[],COLUMN(TabEmpleados[Fecha de ingreso]),FALSE)),Asistencias!$B$3,"Y")=0,1,DATEDIF((VLOOKUP(TabDesSalariosReal[[#This Row],[id]],TabEmpleados[],COLUMN(TabEmpleados[Fecha de ingreso]),FALSE)),Asistencias!$B$3,"Y"))</f>
        <v>1</v>
      </c>
      <c r="F18" s="181" cm="1">
        <f t="array" ref="F18">((VLOOKUP(TabDesSalariosReal[[#This Row],[id]],TabEmpleados[],COLUMN(TabEmpleados[SD Real]),FALSE))*(VLOOKUP(TabDesSalariosReal[[#This Row],[Años]],TabFactorIntegracion[],COLUMN(TabFactorIntegracion[% de prima 
vacacional y dominical]),FALSE))*(VLOOKUP(TabDesSalariosReal[[#This Row],[id]],TabAsistencias[],COLUMN(TabAsistencias[Prima dominical]),FALSE)))*(VLOOKUP((VLOOKUP(TabDesSalariosReal[[#This Row],[id]],TabEmpleados[],COLUMN(TabEmpleados[Puesto]),FALSE)),TabPuestos[],COLUMN(TabPuestos[PRIMA DOMINICAL]),FALSE))</f>
        <v>350</v>
      </c>
      <c r="G18" s="182" cm="1">
        <f t="array" ref="G18">(VLOOKUP(TabDesSalariosReal[[#This Row],[id]],TabEmpleados[],COLUMN(TabEmpleados[SD Real]),FALSE))*(VLOOKUP(TabDesSalariosReal[[#This Row],[Años]],TabFactorIntegracion[],COLUMN(TabFactorIntegracion[% de prima 
vacacional y dominical]),FALSE))*((VLOOKUP(TabDesSalariosReal[[#This Row],[id]],TabAsistencias[],COLUMN(TabAsistencias[V]),FALSE)))</f>
        <v>0</v>
      </c>
      <c r="H18" s="148" cm="1">
        <f t="array" ref="H18">VLOOKUP(TabDesSalariosReal[[#This Row],[id]],TabAsistencias[],COLUMN(TabAsistencias[I]),FALSE)</f>
        <v>0</v>
      </c>
      <c r="I18" s="148" cm="1">
        <f t="array" ref="I18">VLOOKUP(TabDesSalariosReal[[#This Row],[id]],TabAsistencias[],COLUMN(TabAsistencias[IG]),FALSE)</f>
        <v>0</v>
      </c>
      <c r="J18" s="191">
        <v>0.4</v>
      </c>
      <c r="K18" s="179" cm="1">
        <f t="array" ref="K18">IF(TabDesSalariosReal[[#This Row],[Dias Incapacidad/General]]&gt;3,((TabDesSalariosReal[[#This Row],[Dias Incapacidad/General]]-3)*((VLOOKUP(TabDesSalariosReal[[#This Row],[id]],TabEmpleados[],COLUMN(TabEmpleados[SD Real]),FALSE)))*TabDesSalariosReal[[#This Row],[% pagado por incapacidad]]),0)</f>
        <v>0</v>
      </c>
      <c r="L18" s="185">
        <f>-1*(SUMIFS(TabPagos[Monto de pago],TabPagos[id],TabDesSalariosReal[[#This Row],[id]],TabPagos[Fecha de pago],"&gt;="&amp;Asistencias!$B$2,TabPagos[Fecha de pago],"&lt;"&amp;Asistencias!$B$3))</f>
        <v>0</v>
      </c>
      <c r="M18" t="str" cm="1">
        <f t="array" ref="M18">getDescripcion(TabDesSalariosReal[[#This Row],[id]],"Descuentos-Pagos","TabPagos",Asistencias!$B$2,Asistencias!$B$3)</f>
        <v/>
      </c>
      <c r="N18" s="309" cm="1">
        <f t="array" ref="N18">IF((TabDesSalariosReal[[#This Row],[Subtotal Real]]+TabDesSalariosReal[[#This Row],[Prima dominical]]+TabDesSalariosReal[[#This Row],[Prima vacacional]]+TabDesSalariosReal[[#This Row],[$ por incpacidad]]+TabDesSalariosReal[[#This Row],[Descuentos]]+TabDesSalariosReal[[#This Row],[Extras]]-TabDesSalariosReal[[#This Row],[Fiscal Real]])&gt;500,AporteComision,0)</f>
        <v>15</v>
      </c>
      <c r="O18" s="276">
        <v>0</v>
      </c>
      <c r="P18" s="188" t="str" cm="1">
        <f t="array" ref="P18">VLOOKUP(TabDesSalariosReal[[#This Row],[id]],TabEmpleados[],COLUMN(TabEmpleados[Banco de pago]),FALSE)</f>
        <v>Santander</v>
      </c>
      <c r="Q18" s="188">
        <f>TabDesSalariosReal[[#This Row],[Subtotal Real]]+TabDesSalariosReal[[#This Row],[Prima dominical]]+TabDesSalariosReal[[#This Row],[Prima vacacional]]+TabDesSalariosReal[[#This Row],[$ por incpacidad]]+TabDesSalariosReal[[#This Row],[Descuentos]]+TabDesSalariosReal[[#This Row],[Aporte por comision]]+TabDesSalariosReal[[#This Row],[Extras]]</f>
        <v>10865</v>
      </c>
      <c r="R18" s="277">
        <f>TabDesSalariosReal[[#This Row],[Total Real]]-TabDesSalariosReal[[#This Row],[Fiscal Real]]</f>
        <v>2600.6249890400013</v>
      </c>
      <c r="S18" s="179" cm="1">
        <f t="array" ref="S18">IFERROR(VLOOKUP(TabDesSalariosReal[[#This Row],[id]],TabDesSalariosFiscal[],COLUMN(TabDesSalariosFiscal[Total Fiscal]),FALSE),0)</f>
        <v>8264.3750109599987</v>
      </c>
      <c r="T18" s="197">
        <f>IFERROR(TabDesSalariosReal[[#This Row],[Persepcion Fiscal]],0)</f>
        <v>8264.3750109599987</v>
      </c>
      <c r="U18" s="55" cm="1">
        <f t="array" ref="U18">IF('Desglose Salarios Fiscal'!$Q$1=1,VLOOKUP(TabDesSalariosReal[[#This Row],[id]],TabEmpleados[],COLUMN(TabEmpleados[SD Real]),FALSE)*TabDesSalariosReal[[#This Row],[Dias de agunaldo Real2]],0)</f>
        <v>5250</v>
      </c>
      <c r="V18" s="173" cm="1">
        <f t="array" ref="V18">IF(YEAR(VLOOKUP(TabDesSalariosReal[[#This Row],[id]],TabEmpleados[],COLUMN(TabEmpleados[Fecha de ingreso]),FALSE))&lt;AñoActual,'Tablas de informacion'!$N$13,_xlfn.DAYS(DATE(AñoActual+1,MONTH(1),DAY(1))-DAY(1),(VLOOKUP(TabDesSalariosReal[[#This Row],[id]],TabEmpleados[],COLUMN(TabEmpleados[Fecha de ingreso]),FALSE))))</f>
        <v>365</v>
      </c>
      <c r="W18" cm="1">
        <f t="array" ref="W18">TabDesSalariosReal[[#This Row],[Dias de aguinaldo Real1]]*VLOOKUP(TabDesSalariosReal[[#This Row],[Años]],TabFactorIntegracion[],COLUMN(TabFactorIntegracion[Días de
aguinaldo]),FALSE)/'Tablas de informacion'!$N$13</f>
        <v>15</v>
      </c>
      <c r="X18" s="141" cm="1">
        <f t="array" ref="X18">TabDesSalariosReal[[#This Row],[Aguinaldo Real]]-IFERROR(VLOOKUP(TabDesSalariosReal[[#This Row],[id]],TabDesSalariosFiscal[],COLUMN(TabDesSalariosFiscal[Aguinaldo Fiscal]),FALSE),0)</f>
        <v>3675</v>
      </c>
    </row>
    <row r="19" spans="1:24" x14ac:dyDescent="0.25">
      <c r="A19" s="176">
        <v>17</v>
      </c>
      <c r="B19" t="str" cm="1">
        <f t="array" ref="B19">VLOOKUP(TabDesSalariosReal[[#This Row],[id]],TabEmpleados[],COLUMN(TabEmpleados[Nombre]),FALSE)</f>
        <v>ANTONIO ENRIQUEZ GERMAN</v>
      </c>
      <c r="C19" s="148" cm="1">
        <f t="array" ref="C19">VLOOKUP(TabDesSalariosReal[[#This Row],[id]],TabAsistencias[],COLUMN(TabAsistencias[Total de dias laborados]),FALSE)</f>
        <v>30</v>
      </c>
      <c r="D19" s="179" cm="1">
        <f t="array" ref="D19">(VLOOKUP(TabDesSalariosReal[[#This Row],[id]],TabEmpleados[],COLUMN(TabEmpleados[SD Real]),FALSE))*TabDesSalariosReal[[#This Row],[Dias Lab.]]</f>
        <v>12000</v>
      </c>
      <c r="E19" s="180" cm="1">
        <f t="array" ref="E19">IF(DATEDIF((VLOOKUP(TabDesSalariosReal[[#This Row],[id]],TabEmpleados[],COLUMN(TabEmpleados[Fecha de ingreso]),FALSE)),Asistencias!$B$3,"Y")=0,1,DATEDIF((VLOOKUP(TabDesSalariosReal[[#This Row],[id]],TabEmpleados[],COLUMN(TabEmpleados[Fecha de ingreso]),FALSE)),Asistencias!$B$3,"Y"))</f>
        <v>10</v>
      </c>
      <c r="F19" s="181" cm="1">
        <f t="array" ref="F19">((VLOOKUP(TabDesSalariosReal[[#This Row],[id]],TabEmpleados[],COLUMN(TabEmpleados[SD Real]),FALSE))*(VLOOKUP(TabDesSalariosReal[[#This Row],[Años]],TabFactorIntegracion[],COLUMN(TabFactorIntegracion[% de prima 
vacacional y dominical]),FALSE))*(VLOOKUP(TabDesSalariosReal[[#This Row],[id]],TabAsistencias[],COLUMN(TabAsistencias[Prima dominical]),FALSE)))*(VLOOKUP((VLOOKUP(TabDesSalariosReal[[#This Row],[id]],TabEmpleados[],COLUMN(TabEmpleados[Puesto]),FALSE)),TabPuestos[],COLUMN(TabPuestos[PRIMA DOMINICAL]),FALSE))</f>
        <v>400</v>
      </c>
      <c r="G19" s="182" cm="1">
        <f t="array" ref="G19">(VLOOKUP(TabDesSalariosReal[[#This Row],[id]],TabEmpleados[],COLUMN(TabEmpleados[SD Real]),FALSE))*(VLOOKUP(TabDesSalariosReal[[#This Row],[Años]],TabFactorIntegracion[],COLUMN(TabFactorIntegracion[% de prima 
vacacional y dominical]),FALSE))*((VLOOKUP(TabDesSalariosReal[[#This Row],[id]],TabAsistencias[],COLUMN(TabAsistencias[V]),FALSE)))</f>
        <v>0</v>
      </c>
      <c r="H19" s="148" cm="1">
        <f t="array" ref="H19">VLOOKUP(TabDesSalariosReal[[#This Row],[id]],TabAsistencias[],COLUMN(TabAsistencias[I]),FALSE)</f>
        <v>0</v>
      </c>
      <c r="I19" s="148" cm="1">
        <f t="array" ref="I19">VLOOKUP(TabDesSalariosReal[[#This Row],[id]],TabAsistencias[],COLUMN(TabAsistencias[IG]),FALSE)</f>
        <v>0</v>
      </c>
      <c r="J19" s="191">
        <v>0.4</v>
      </c>
      <c r="K19" s="179" cm="1">
        <f t="array" ref="K19">IF(TabDesSalariosReal[[#This Row],[Dias Incapacidad/General]]&gt;3,((TabDesSalariosReal[[#This Row],[Dias Incapacidad/General]]-3)*((VLOOKUP(TabDesSalariosReal[[#This Row],[id]],TabEmpleados[],COLUMN(TabEmpleados[SD Real]),FALSE)))*TabDesSalariosReal[[#This Row],[% pagado por incapacidad]]),0)</f>
        <v>0</v>
      </c>
      <c r="L19" s="185">
        <f>-1*(SUMIFS(TabPagos[Monto de pago],TabPagos[id],TabDesSalariosReal[[#This Row],[id]],TabPagos[Fecha de pago],"&gt;="&amp;Asistencias!$B$2,TabPagos[Fecha de pago],"&lt;"&amp;Asistencias!$B$3))</f>
        <v>0</v>
      </c>
      <c r="M19" t="str" cm="1">
        <f t="array" ref="M19">getDescripcion(TabDesSalariosReal[[#This Row],[id]],"Descuentos-Pagos","TabPagos",Asistencias!$B$2,Asistencias!$B$3)</f>
        <v/>
      </c>
      <c r="N19" s="309" cm="1">
        <f t="array" ref="N19">IF((TabDesSalariosReal[[#This Row],[Subtotal Real]]+TabDesSalariosReal[[#This Row],[Prima dominical]]+TabDesSalariosReal[[#This Row],[Prima vacacional]]+TabDesSalariosReal[[#This Row],[$ por incpacidad]]+TabDesSalariosReal[[#This Row],[Descuentos]]+TabDesSalariosReal[[#This Row],[Extras]]-TabDesSalariosReal[[#This Row],[Fiscal Real]])&gt;500,AporteComision,0)</f>
        <v>0</v>
      </c>
      <c r="O19" s="276">
        <v>0</v>
      </c>
      <c r="P19" s="188" t="str" cm="1">
        <f t="array" ref="P19">VLOOKUP(TabDesSalariosReal[[#This Row],[id]],TabEmpleados[],COLUMN(TabEmpleados[Banco de pago]),FALSE)</f>
        <v>Santander</v>
      </c>
      <c r="Q19" s="188">
        <f>TabDesSalariosReal[[#This Row],[Subtotal Real]]+TabDesSalariosReal[[#This Row],[Prima dominical]]+TabDesSalariosReal[[#This Row],[Prima vacacional]]+TabDesSalariosReal[[#This Row],[$ por incpacidad]]+TabDesSalariosReal[[#This Row],[Descuentos]]+TabDesSalariosReal[[#This Row],[Aporte por comision]]+TabDesSalariosReal[[#This Row],[Extras]]</f>
        <v>12400</v>
      </c>
      <c r="R19" s="277">
        <f>TabDesSalariosReal[[#This Row],[Total Real]]-TabDesSalariosReal[[#This Row],[Fiscal Real]]</f>
        <v>-344.60504864699942</v>
      </c>
      <c r="S19" s="179" cm="1">
        <f t="array" ref="S19">IFERROR(VLOOKUP(TabDesSalariosReal[[#This Row],[id]],TabDesSalariosFiscal[],COLUMN(TabDesSalariosFiscal[Total Fiscal]),FALSE),0)</f>
        <v>12744.605048646999</v>
      </c>
      <c r="T19" s="197">
        <f>IFERROR(TabDesSalariosReal[[#This Row],[Persepcion Fiscal]],0)</f>
        <v>12744.605048646999</v>
      </c>
      <c r="U19" s="55" cm="1">
        <f t="array" ref="U19">IF('Desglose Salarios Fiscal'!$Q$1=1,VLOOKUP(TabDesSalariosReal[[#This Row],[id]],TabEmpleados[],COLUMN(TabEmpleados[SD Real]),FALSE)*TabDesSalariosReal[[#This Row],[Dias de agunaldo Real2]],0)</f>
        <v>6000</v>
      </c>
      <c r="V19" s="173" cm="1">
        <f t="array" ref="V19">IF(YEAR(VLOOKUP(TabDesSalariosReal[[#This Row],[id]],TabEmpleados[],COLUMN(TabEmpleados[Fecha de ingreso]),FALSE))&lt;AñoActual,'Tablas de informacion'!$N$13,_xlfn.DAYS(DATE(AñoActual+1,MONTH(1),DAY(1))-DAY(1),(VLOOKUP(TabDesSalariosReal[[#This Row],[id]],TabEmpleados[],COLUMN(TabEmpleados[Fecha de ingreso]),FALSE))))</f>
        <v>365</v>
      </c>
      <c r="W19" cm="1">
        <f t="array" ref="W19">TabDesSalariosReal[[#This Row],[Dias de aguinaldo Real1]]*VLOOKUP(TabDesSalariosReal[[#This Row],[Años]],TabFactorIntegracion[],COLUMN(TabFactorIntegracion[Días de
aguinaldo]),FALSE)/'Tablas de informacion'!$N$13</f>
        <v>15</v>
      </c>
      <c r="X19" s="141" cm="1">
        <f t="array" ref="X19">TabDesSalariosReal[[#This Row],[Aguinaldo Real]]-IFERROR(VLOOKUP(TabDesSalariosReal[[#This Row],[id]],TabDesSalariosFiscal[],COLUMN(TabDesSalariosFiscal[Aguinaldo Fiscal]),FALSE),0)</f>
        <v>3405</v>
      </c>
    </row>
    <row r="20" spans="1:24" x14ac:dyDescent="0.25">
      <c r="A20" s="176">
        <v>18</v>
      </c>
      <c r="B20" t="str" cm="1">
        <f t="array" ref="B20">VLOOKUP(TabDesSalariosReal[[#This Row],[id]],TabEmpleados[],COLUMN(TabEmpleados[Nombre]),FALSE)</f>
        <v>RAMIREZ SANTIAGO IRVIN DANIEL</v>
      </c>
      <c r="C20" s="148" cm="1">
        <f t="array" ref="C20">VLOOKUP(TabDesSalariosReal[[#This Row],[id]],TabAsistencias[],COLUMN(TabAsistencias[Total de dias laborados]),FALSE)</f>
        <v>30</v>
      </c>
      <c r="D20" s="179" cm="1">
        <f t="array" ref="D20">(VLOOKUP(TabDesSalariosReal[[#This Row],[id]],TabEmpleados[],COLUMN(TabEmpleados[SD Real]),FALSE))*TabDesSalariosReal[[#This Row],[Dias Lab.]]</f>
        <v>10500</v>
      </c>
      <c r="E20" s="180" cm="1">
        <f t="array" ref="E20">IF(DATEDIF((VLOOKUP(TabDesSalariosReal[[#This Row],[id]],TabEmpleados[],COLUMN(TabEmpleados[Fecha de ingreso]),FALSE)),Asistencias!$B$3,"Y")=0,1,DATEDIF((VLOOKUP(TabDesSalariosReal[[#This Row],[id]],TabEmpleados[],COLUMN(TabEmpleados[Fecha de ingreso]),FALSE)),Asistencias!$B$3,"Y"))</f>
        <v>1</v>
      </c>
      <c r="F20" s="181" cm="1">
        <f t="array" ref="F20">((VLOOKUP(TabDesSalariosReal[[#This Row],[id]],TabEmpleados[],COLUMN(TabEmpleados[SD Real]),FALSE))*(VLOOKUP(TabDesSalariosReal[[#This Row],[Años]],TabFactorIntegracion[],COLUMN(TabFactorIntegracion[% de prima 
vacacional y dominical]),FALSE))*(VLOOKUP(TabDesSalariosReal[[#This Row],[id]],TabAsistencias[],COLUMN(TabAsistencias[Prima dominical]),FALSE)))*(VLOOKUP((VLOOKUP(TabDesSalariosReal[[#This Row],[id]],TabEmpleados[],COLUMN(TabEmpleados[Puesto]),FALSE)),TabPuestos[],COLUMN(TabPuestos[PRIMA DOMINICAL]),FALSE))</f>
        <v>350</v>
      </c>
      <c r="G20" s="182" cm="1">
        <f t="array" ref="G20">(VLOOKUP(TabDesSalariosReal[[#This Row],[id]],TabEmpleados[],COLUMN(TabEmpleados[SD Real]),FALSE))*(VLOOKUP(TabDesSalariosReal[[#This Row],[Años]],TabFactorIntegracion[],COLUMN(TabFactorIntegracion[% de prima 
vacacional y dominical]),FALSE))*((VLOOKUP(TabDesSalariosReal[[#This Row],[id]],TabAsistencias[],COLUMN(TabAsistencias[V]),FALSE)))</f>
        <v>0</v>
      </c>
      <c r="H20" s="148" cm="1">
        <f t="array" ref="H20">VLOOKUP(TabDesSalariosReal[[#This Row],[id]],TabAsistencias[],COLUMN(TabAsistencias[I]),FALSE)</f>
        <v>0</v>
      </c>
      <c r="I20" s="148" cm="1">
        <f t="array" ref="I20">VLOOKUP(TabDesSalariosReal[[#This Row],[id]],TabAsistencias[],COLUMN(TabAsistencias[IG]),FALSE)</f>
        <v>0</v>
      </c>
      <c r="J20" s="191">
        <v>0.4</v>
      </c>
      <c r="K20" s="179" cm="1">
        <f t="array" ref="K20">IF(TabDesSalariosReal[[#This Row],[Dias Incapacidad/General]]&gt;3,((TabDesSalariosReal[[#This Row],[Dias Incapacidad/General]]-3)*((VLOOKUP(TabDesSalariosReal[[#This Row],[id]],TabEmpleados[],COLUMN(TabEmpleados[SD Real]),FALSE)))*TabDesSalariosReal[[#This Row],[% pagado por incapacidad]]),0)</f>
        <v>0</v>
      </c>
      <c r="L20" s="185">
        <f>-1*(SUMIFS(TabPagos[Monto de pago],TabPagos[id],TabDesSalariosReal[[#This Row],[id]],TabPagos[Fecha de pago],"&gt;="&amp;Asistencias!$B$2,TabPagos[Fecha de pago],"&lt;"&amp;Asistencias!$B$3))</f>
        <v>0</v>
      </c>
      <c r="M20" t="str" cm="1">
        <f t="array" ref="M20">getDescripcion(TabDesSalariosReal[[#This Row],[id]],"Descuentos-Pagos","TabPagos",Asistencias!$B$2,Asistencias!$B$3)</f>
        <v/>
      </c>
      <c r="N20" s="309" cm="1">
        <f t="array" ref="N20">IF((TabDesSalariosReal[[#This Row],[Subtotal Real]]+TabDesSalariosReal[[#This Row],[Prima dominical]]+TabDesSalariosReal[[#This Row],[Prima vacacional]]+TabDesSalariosReal[[#This Row],[$ por incpacidad]]+TabDesSalariosReal[[#This Row],[Descuentos]]+TabDesSalariosReal[[#This Row],[Extras]]-TabDesSalariosReal[[#This Row],[Fiscal Real]])&gt;500,AporteComision,0)</f>
        <v>15</v>
      </c>
      <c r="O20" s="276">
        <v>0</v>
      </c>
      <c r="P20" s="188" t="str" cm="1">
        <f t="array" ref="P20">VLOOKUP(TabDesSalariosReal[[#This Row],[id]],TabEmpleados[],COLUMN(TabEmpleados[Banco de pago]),FALSE)</f>
        <v>Santander</v>
      </c>
      <c r="Q20" s="188">
        <f>TabDesSalariosReal[[#This Row],[Subtotal Real]]+TabDesSalariosReal[[#This Row],[Prima dominical]]+TabDesSalariosReal[[#This Row],[Prima vacacional]]+TabDesSalariosReal[[#This Row],[$ por incpacidad]]+TabDesSalariosReal[[#This Row],[Descuentos]]+TabDesSalariosReal[[#This Row],[Aporte por comision]]+TabDesSalariosReal[[#This Row],[Extras]]</f>
        <v>10865</v>
      </c>
      <c r="R20" s="277">
        <f>TabDesSalariosReal[[#This Row],[Total Real]]-TabDesSalariosReal[[#This Row],[Fiscal Real]]</f>
        <v>2600.6249890400013</v>
      </c>
      <c r="S20" s="179" cm="1">
        <f t="array" ref="S20">IFERROR(VLOOKUP(TabDesSalariosReal[[#This Row],[id]],TabDesSalariosFiscal[],COLUMN(TabDesSalariosFiscal[Total Fiscal]),FALSE),0)</f>
        <v>8264.3750109599987</v>
      </c>
      <c r="T20" s="197">
        <f>IFERROR(TabDesSalariosReal[[#This Row],[Persepcion Fiscal]],0)</f>
        <v>8264.3750109599987</v>
      </c>
      <c r="U20" s="55" cm="1">
        <f t="array" ref="U20">IF('Desglose Salarios Fiscal'!$Q$1=1,VLOOKUP(TabDesSalariosReal[[#This Row],[id]],TabEmpleados[],COLUMN(TabEmpleados[SD Real]),FALSE)*TabDesSalariosReal[[#This Row],[Dias de agunaldo Real2]],0)</f>
        <v>5250</v>
      </c>
      <c r="V20" s="173" cm="1">
        <f t="array" ref="V20">IF(YEAR(VLOOKUP(TabDesSalariosReal[[#This Row],[id]],TabEmpleados[],COLUMN(TabEmpleados[Fecha de ingreso]),FALSE))&lt;AñoActual,'Tablas de informacion'!$N$13,_xlfn.DAYS(DATE(AñoActual+1,MONTH(1),DAY(1))-DAY(1),(VLOOKUP(TabDesSalariosReal[[#This Row],[id]],TabEmpleados[],COLUMN(TabEmpleados[Fecha de ingreso]),FALSE))))</f>
        <v>365</v>
      </c>
      <c r="W20" cm="1">
        <f t="array" ref="W20">TabDesSalariosReal[[#This Row],[Dias de aguinaldo Real1]]*VLOOKUP(TabDesSalariosReal[[#This Row],[Años]],TabFactorIntegracion[],COLUMN(TabFactorIntegracion[Días de
aguinaldo]),FALSE)/'Tablas de informacion'!$N$13</f>
        <v>15</v>
      </c>
      <c r="X20" s="141" cm="1">
        <f t="array" ref="X20">TabDesSalariosReal[[#This Row],[Aguinaldo Real]]-IFERROR(VLOOKUP(TabDesSalariosReal[[#This Row],[id]],TabDesSalariosFiscal[],COLUMN(TabDesSalariosFiscal[Aguinaldo Fiscal]),FALSE),0)</f>
        <v>3675</v>
      </c>
    </row>
    <row r="21" spans="1:24" x14ac:dyDescent="0.25">
      <c r="A21" s="176">
        <v>19</v>
      </c>
      <c r="B21" t="str" cm="1">
        <f t="array" ref="B21">VLOOKUP(TabDesSalariosReal[[#This Row],[id]],TabEmpleados[],COLUMN(TabEmpleados[Nombre]),FALSE)</f>
        <v>SOSA ALCÁNTARA JOSUE</v>
      </c>
      <c r="C21" s="148" cm="1">
        <f t="array" ref="C21">VLOOKUP(TabDesSalariosReal[[#This Row],[id]],TabAsistencias[],COLUMN(TabAsistencias[Total de dias laborados]),FALSE)</f>
        <v>30</v>
      </c>
      <c r="D21" s="179" cm="1">
        <f t="array" ref="D21">(VLOOKUP(TabDesSalariosReal[[#This Row],[id]],TabEmpleados[],COLUMN(TabEmpleados[SD Real]),FALSE))*TabDesSalariosReal[[#This Row],[Dias Lab.]]</f>
        <v>13500</v>
      </c>
      <c r="E21" s="180" cm="1">
        <f t="array" ref="E21">IF(DATEDIF((VLOOKUP(TabDesSalariosReal[[#This Row],[id]],TabEmpleados[],COLUMN(TabEmpleados[Fecha de ingreso]),FALSE)),Asistencias!$B$3,"Y")=0,1,DATEDIF((VLOOKUP(TabDesSalariosReal[[#This Row],[id]],TabEmpleados[],COLUMN(TabEmpleados[Fecha de ingreso]),FALSE)),Asistencias!$B$3,"Y"))</f>
        <v>1</v>
      </c>
      <c r="F21" s="181" cm="1">
        <f t="array" ref="F21">((VLOOKUP(TabDesSalariosReal[[#This Row],[id]],TabEmpleados[],COLUMN(TabEmpleados[SD Real]),FALSE))*(VLOOKUP(TabDesSalariosReal[[#This Row],[Años]],TabFactorIntegracion[],COLUMN(TabFactorIntegracion[% de prima 
vacacional y dominical]),FALSE))*(VLOOKUP(TabDesSalariosReal[[#This Row],[id]],TabAsistencias[],COLUMN(TabAsistencias[Prima dominical]),FALSE)))*(VLOOKUP((VLOOKUP(TabDesSalariosReal[[#This Row],[id]],TabEmpleados[],COLUMN(TabEmpleados[Puesto]),FALSE)),TabPuestos[],COLUMN(TabPuestos[PRIMA DOMINICAL]),FALSE))</f>
        <v>450</v>
      </c>
      <c r="G21" s="182" cm="1">
        <f t="array" ref="G21">(VLOOKUP(TabDesSalariosReal[[#This Row],[id]],TabEmpleados[],COLUMN(TabEmpleados[SD Real]),FALSE))*(VLOOKUP(TabDesSalariosReal[[#This Row],[Años]],TabFactorIntegracion[],COLUMN(TabFactorIntegracion[% de prima 
vacacional y dominical]),FALSE))*((VLOOKUP(TabDesSalariosReal[[#This Row],[id]],TabAsistencias[],COLUMN(TabAsistencias[V]),FALSE)))</f>
        <v>0</v>
      </c>
      <c r="H21" s="148" cm="1">
        <f t="array" ref="H21">VLOOKUP(TabDesSalariosReal[[#This Row],[id]],TabAsistencias[],COLUMN(TabAsistencias[I]),FALSE)</f>
        <v>0</v>
      </c>
      <c r="I21" s="148" cm="1">
        <f t="array" ref="I21">VLOOKUP(TabDesSalariosReal[[#This Row],[id]],TabAsistencias[],COLUMN(TabAsistencias[IG]),FALSE)</f>
        <v>0</v>
      </c>
      <c r="J21" s="191">
        <v>0.4</v>
      </c>
      <c r="K21" s="179" cm="1">
        <f t="array" ref="K21">IF(TabDesSalariosReal[[#This Row],[Dias Incapacidad/General]]&gt;3,((TabDesSalariosReal[[#This Row],[Dias Incapacidad/General]]-3)*((VLOOKUP(TabDesSalariosReal[[#This Row],[id]],TabEmpleados[],COLUMN(TabEmpleados[SD Real]),FALSE)))*TabDesSalariosReal[[#This Row],[% pagado por incapacidad]]),0)</f>
        <v>0</v>
      </c>
      <c r="L21" s="185">
        <f>-1*(SUMIFS(TabPagos[Monto de pago],TabPagos[id],TabDesSalariosReal[[#This Row],[id]],TabPagos[Fecha de pago],"&gt;="&amp;Asistencias!$B$2,TabPagos[Fecha de pago],"&lt;"&amp;Asistencias!$B$3))</f>
        <v>0</v>
      </c>
      <c r="M21" t="str" cm="1">
        <f t="array" ref="M21">getDescripcion(TabDesSalariosReal[[#This Row],[id]],"Descuentos-Pagos","TabPagos",Asistencias!$B$2,Asistencias!$B$3)</f>
        <v/>
      </c>
      <c r="N21" s="309" cm="1">
        <f t="array" ref="N21">IF((TabDesSalariosReal[[#This Row],[Subtotal Real]]+TabDesSalariosReal[[#This Row],[Prima dominical]]+TabDesSalariosReal[[#This Row],[Prima vacacional]]+TabDesSalariosReal[[#This Row],[$ por incpacidad]]+TabDesSalariosReal[[#This Row],[Descuentos]]+TabDesSalariosReal[[#This Row],[Extras]]-TabDesSalariosReal[[#This Row],[Fiscal Real]])&gt;500,AporteComision,0)</f>
        <v>15</v>
      </c>
      <c r="O21" s="276">
        <v>0</v>
      </c>
      <c r="P21" s="188" t="str" cm="1">
        <f t="array" ref="P21">VLOOKUP(TabDesSalariosReal[[#This Row],[id]],TabEmpleados[],COLUMN(TabEmpleados[Banco de pago]),FALSE)</f>
        <v>Santander</v>
      </c>
      <c r="Q21" s="188">
        <f>TabDesSalariosReal[[#This Row],[Subtotal Real]]+TabDesSalariosReal[[#This Row],[Prima dominical]]+TabDesSalariosReal[[#This Row],[Prima vacacional]]+TabDesSalariosReal[[#This Row],[$ por incpacidad]]+TabDesSalariosReal[[#This Row],[Descuentos]]+TabDesSalariosReal[[#This Row],[Aporte por comision]]+TabDesSalariosReal[[#This Row],[Extras]]</f>
        <v>13965</v>
      </c>
      <c r="R21" s="277">
        <f>TabDesSalariosReal[[#This Row],[Total Real]]-TabDesSalariosReal[[#This Row],[Fiscal Real]]</f>
        <v>3574.5355504800009</v>
      </c>
      <c r="S21" s="179" cm="1">
        <f t="array" ref="S21">IFERROR(VLOOKUP(TabDesSalariosReal[[#This Row],[id]],TabDesSalariosFiscal[],COLUMN(TabDesSalariosFiscal[Total Fiscal]),FALSE),0)</f>
        <v>10390.464449519999</v>
      </c>
      <c r="T21" s="197">
        <f>IFERROR(TabDesSalariosReal[[#This Row],[Persepcion Fiscal]],0)</f>
        <v>10390.464449519999</v>
      </c>
      <c r="U21" s="55" cm="1">
        <f t="array" ref="U21">IF('Desglose Salarios Fiscal'!$Q$1=1,VLOOKUP(TabDesSalariosReal[[#This Row],[id]],TabEmpleados[],COLUMN(TabEmpleados[SD Real]),FALSE)*TabDesSalariosReal[[#This Row],[Dias de agunaldo Real2]],0)</f>
        <v>6750</v>
      </c>
      <c r="V21" s="173" cm="1">
        <f t="array" ref="V21">IF(YEAR(VLOOKUP(TabDesSalariosReal[[#This Row],[id]],TabEmpleados[],COLUMN(TabEmpleados[Fecha de ingreso]),FALSE))&lt;AñoActual,'Tablas de informacion'!$N$13,_xlfn.DAYS(DATE(AñoActual+1,MONTH(1),DAY(1))-DAY(1),(VLOOKUP(TabDesSalariosReal[[#This Row],[id]],TabEmpleados[],COLUMN(TabEmpleados[Fecha de ingreso]),FALSE))))</f>
        <v>365</v>
      </c>
      <c r="W21" cm="1">
        <f t="array" ref="W21">TabDesSalariosReal[[#This Row],[Dias de aguinaldo Real1]]*VLOOKUP(TabDesSalariosReal[[#This Row],[Años]],TabFactorIntegracion[],COLUMN(TabFactorIntegracion[Días de
aguinaldo]),FALSE)/'Tablas de informacion'!$N$13</f>
        <v>15</v>
      </c>
      <c r="X21" s="141" cm="1">
        <f t="array" ref="X21">TabDesSalariosReal[[#This Row],[Aguinaldo Real]]-IFERROR(VLOOKUP(TabDesSalariosReal[[#This Row],[id]],TabDesSalariosFiscal[],COLUMN(TabDesSalariosFiscal[Aguinaldo Fiscal]),FALSE),0)</f>
        <v>4725</v>
      </c>
    </row>
    <row r="22" spans="1:24" x14ac:dyDescent="0.25">
      <c r="A22" s="176">
        <v>20</v>
      </c>
      <c r="B22" t="str" cm="1">
        <f t="array" ref="B22">VLOOKUP(TabDesSalariosReal[[#This Row],[id]],TabEmpleados[],COLUMN(TabEmpleados[Nombre]),FALSE)</f>
        <v>DECIDERIO ESPINA ISMAEL</v>
      </c>
      <c r="C22" s="148" cm="1">
        <f t="array" ref="C22">VLOOKUP(TabDesSalariosReal[[#This Row],[id]],TabAsistencias[],COLUMN(TabAsistencias[Total de dias laborados]),FALSE)</f>
        <v>30</v>
      </c>
      <c r="D22" s="179" cm="1">
        <f t="array" ref="D22">(VLOOKUP(TabDesSalariosReal[[#This Row],[id]],TabEmpleados[],COLUMN(TabEmpleados[SD Real]),FALSE))*TabDesSalariosReal[[#This Row],[Dias Lab.]]</f>
        <v>12000</v>
      </c>
      <c r="E22" s="180" cm="1">
        <f t="array" ref="E22">IF(DATEDIF((VLOOKUP(TabDesSalariosReal[[#This Row],[id]],TabEmpleados[],COLUMN(TabEmpleados[Fecha de ingreso]),FALSE)),Asistencias!$B$3,"Y")=0,1,DATEDIF((VLOOKUP(TabDesSalariosReal[[#This Row],[id]],TabEmpleados[],COLUMN(TabEmpleados[Fecha de ingreso]),FALSE)),Asistencias!$B$3,"Y"))</f>
        <v>1</v>
      </c>
      <c r="F22" s="181" cm="1">
        <f t="array" ref="F22">((VLOOKUP(TabDesSalariosReal[[#This Row],[id]],TabEmpleados[],COLUMN(TabEmpleados[SD Real]),FALSE))*(VLOOKUP(TabDesSalariosReal[[#This Row],[Años]],TabFactorIntegracion[],COLUMN(TabFactorIntegracion[% de prima 
vacacional y dominical]),FALSE))*(VLOOKUP(TabDesSalariosReal[[#This Row],[id]],TabAsistencias[],COLUMN(TabAsistencias[Prima dominical]),FALSE)))*(VLOOKUP((VLOOKUP(TabDesSalariosReal[[#This Row],[id]],TabEmpleados[],COLUMN(TabEmpleados[Puesto]),FALSE)),TabPuestos[],COLUMN(TabPuestos[PRIMA DOMINICAL]),FALSE))</f>
        <v>400</v>
      </c>
      <c r="G22" s="182" cm="1">
        <f t="array" ref="G22">(VLOOKUP(TabDesSalariosReal[[#This Row],[id]],TabEmpleados[],COLUMN(TabEmpleados[SD Real]),FALSE))*(VLOOKUP(TabDesSalariosReal[[#This Row],[Años]],TabFactorIntegracion[],COLUMN(TabFactorIntegracion[% de prima 
vacacional y dominical]),FALSE))*((VLOOKUP(TabDesSalariosReal[[#This Row],[id]],TabAsistencias[],COLUMN(TabAsistencias[V]),FALSE)))</f>
        <v>0</v>
      </c>
      <c r="H22" s="148" cm="1">
        <f t="array" ref="H22">VLOOKUP(TabDesSalariosReal[[#This Row],[id]],TabAsistencias[],COLUMN(TabAsistencias[I]),FALSE)</f>
        <v>0</v>
      </c>
      <c r="I22" s="148" cm="1">
        <f t="array" ref="I22">VLOOKUP(TabDesSalariosReal[[#This Row],[id]],TabAsistencias[],COLUMN(TabAsistencias[IG]),FALSE)</f>
        <v>0</v>
      </c>
      <c r="J22" s="191">
        <v>0.4</v>
      </c>
      <c r="K22" s="179" cm="1">
        <f t="array" ref="K22">IF(TabDesSalariosReal[[#This Row],[Dias Incapacidad/General]]&gt;3,((TabDesSalariosReal[[#This Row],[Dias Incapacidad/General]]-3)*((VLOOKUP(TabDesSalariosReal[[#This Row],[id]],TabEmpleados[],COLUMN(TabEmpleados[SD Real]),FALSE)))*TabDesSalariosReal[[#This Row],[% pagado por incapacidad]]),0)</f>
        <v>0</v>
      </c>
      <c r="L22" s="185">
        <f>-1*(SUMIFS(TabPagos[Monto de pago],TabPagos[id],TabDesSalariosReal[[#This Row],[id]],TabPagos[Fecha de pago],"&gt;="&amp;Asistencias!$B$2,TabPagos[Fecha de pago],"&lt;"&amp;Asistencias!$B$3))</f>
        <v>0</v>
      </c>
      <c r="M22" t="str" cm="1">
        <f t="array" ref="M22">getDescripcion(TabDesSalariosReal[[#This Row],[id]],"Descuentos-Pagos","TabPagos",Asistencias!$B$2,Asistencias!$B$3)</f>
        <v/>
      </c>
      <c r="N22" s="309" cm="1">
        <f t="array" ref="N22">IF((TabDesSalariosReal[[#This Row],[Subtotal Real]]+TabDesSalariosReal[[#This Row],[Prima dominical]]+TabDesSalariosReal[[#This Row],[Prima vacacional]]+TabDesSalariosReal[[#This Row],[$ por incpacidad]]+TabDesSalariosReal[[#This Row],[Descuentos]]+TabDesSalariosReal[[#This Row],[Extras]]-TabDesSalariosReal[[#This Row],[Fiscal Real]])&gt;500,AporteComision,0)</f>
        <v>15</v>
      </c>
      <c r="O22" s="276">
        <v>0</v>
      </c>
      <c r="P22" s="188" t="str" cm="1">
        <f t="array" ref="P22">VLOOKUP(TabDesSalariosReal[[#This Row],[id]],TabEmpleados[],COLUMN(TabEmpleados[Banco de pago]),FALSE)</f>
        <v>Santander</v>
      </c>
      <c r="Q22" s="188">
        <f>TabDesSalariosReal[[#This Row],[Subtotal Real]]+TabDesSalariosReal[[#This Row],[Prima dominical]]+TabDesSalariosReal[[#This Row],[Prima vacacional]]+TabDesSalariosReal[[#This Row],[$ por incpacidad]]+TabDesSalariosReal[[#This Row],[Descuentos]]+TabDesSalariosReal[[#This Row],[Aporte por comision]]+TabDesSalariosReal[[#This Row],[Extras]]</f>
        <v>12415</v>
      </c>
      <c r="R22" s="277">
        <f>TabDesSalariosReal[[#This Row],[Total Real]]-TabDesSalariosReal[[#This Row],[Fiscal Real]]</f>
        <v>3087.5802697600011</v>
      </c>
      <c r="S22" s="179" cm="1">
        <f t="array" ref="S22">IFERROR(VLOOKUP(TabDesSalariosReal[[#This Row],[id]],TabDesSalariosFiscal[],COLUMN(TabDesSalariosFiscal[Total Fiscal]),FALSE),0)</f>
        <v>9327.4197302399989</v>
      </c>
      <c r="T22" s="197">
        <f>IFERROR(TabDesSalariosReal[[#This Row],[Persepcion Fiscal]],0)</f>
        <v>9327.4197302399989</v>
      </c>
      <c r="U22" s="55" cm="1">
        <f t="array" ref="U22">IF('Desglose Salarios Fiscal'!$Q$1=1,VLOOKUP(TabDesSalariosReal[[#This Row],[id]],TabEmpleados[],COLUMN(TabEmpleados[SD Real]),FALSE)*TabDesSalariosReal[[#This Row],[Dias de agunaldo Real2]],0)</f>
        <v>6000</v>
      </c>
      <c r="V22" s="173" cm="1">
        <f t="array" ref="V22">IF(YEAR(VLOOKUP(TabDesSalariosReal[[#This Row],[id]],TabEmpleados[],COLUMN(TabEmpleados[Fecha de ingreso]),FALSE))&lt;AñoActual,'Tablas de informacion'!$N$13,_xlfn.DAYS(DATE(AñoActual+1,MONTH(1),DAY(1))-DAY(1),(VLOOKUP(TabDesSalariosReal[[#This Row],[id]],TabEmpleados[],COLUMN(TabEmpleados[Fecha de ingreso]),FALSE))))</f>
        <v>365</v>
      </c>
      <c r="W22" cm="1">
        <f t="array" ref="W22">TabDesSalariosReal[[#This Row],[Dias de aguinaldo Real1]]*VLOOKUP(TabDesSalariosReal[[#This Row],[Años]],TabFactorIntegracion[],COLUMN(TabFactorIntegracion[Días de
aguinaldo]),FALSE)/'Tablas de informacion'!$N$13</f>
        <v>15</v>
      </c>
      <c r="X22" s="141" cm="1">
        <f t="array" ref="X22">TabDesSalariosReal[[#This Row],[Aguinaldo Real]]-IFERROR(VLOOKUP(TabDesSalariosReal[[#This Row],[id]],TabDesSalariosFiscal[],COLUMN(TabDesSalariosFiscal[Aguinaldo Fiscal]),FALSE),0)</f>
        <v>4200</v>
      </c>
    </row>
    <row r="23" spans="1:24" x14ac:dyDescent="0.25">
      <c r="A23" s="176">
        <v>21</v>
      </c>
      <c r="B23" t="str" cm="1">
        <f t="array" ref="B23">VLOOKUP(TabDesSalariosReal[[#This Row],[id]],TabEmpleados[],COLUMN(TabEmpleados[Nombre]),FALSE)</f>
        <v>HERNANDEZ MIGUEL GRISELDA ITAHI</v>
      </c>
      <c r="C23" s="148" cm="1">
        <f t="array" ref="C23">VLOOKUP(TabDesSalariosReal[[#This Row],[id]],TabAsistencias[],COLUMN(TabAsistencias[Total de dias laborados]),FALSE)</f>
        <v>30</v>
      </c>
      <c r="D23" s="179" cm="1">
        <f t="array" ref="D23">(VLOOKUP(TabDesSalariosReal[[#This Row],[id]],TabEmpleados[],COLUMN(TabEmpleados[SD Real]),FALSE))*TabDesSalariosReal[[#This Row],[Dias Lab.]]</f>
        <v>8400</v>
      </c>
      <c r="E23" s="180" cm="1">
        <f t="array" ref="E23">IF(DATEDIF((VLOOKUP(TabDesSalariosReal[[#This Row],[id]],TabEmpleados[],COLUMN(TabEmpleados[Fecha de ingreso]),FALSE)),Asistencias!$B$3,"Y")=0,1,DATEDIF((VLOOKUP(TabDesSalariosReal[[#This Row],[id]],TabEmpleados[],COLUMN(TabEmpleados[Fecha de ingreso]),FALSE)),Asistencias!$B$3,"Y"))</f>
        <v>1</v>
      </c>
      <c r="F23" s="181" cm="1">
        <f t="array" ref="F23">((VLOOKUP(TabDesSalariosReal[[#This Row],[id]],TabEmpleados[],COLUMN(TabEmpleados[SD Real]),FALSE))*(VLOOKUP(TabDesSalariosReal[[#This Row],[Años]],TabFactorIntegracion[],COLUMN(TabFactorIntegracion[% de prima 
vacacional y dominical]),FALSE))*(VLOOKUP(TabDesSalariosReal[[#This Row],[id]],TabAsistencias[],COLUMN(TabAsistencias[Prima dominical]),FALSE)))*(VLOOKUP((VLOOKUP(TabDesSalariosReal[[#This Row],[id]],TabEmpleados[],COLUMN(TabEmpleados[Puesto]),FALSE)),TabPuestos[],COLUMN(TabPuestos[PRIMA DOMINICAL]),FALSE))</f>
        <v>280</v>
      </c>
      <c r="G23" s="182" cm="1">
        <f t="array" ref="G23">(VLOOKUP(TabDesSalariosReal[[#This Row],[id]],TabEmpleados[],COLUMN(TabEmpleados[SD Real]),FALSE))*(VLOOKUP(TabDesSalariosReal[[#This Row],[Años]],TabFactorIntegracion[],COLUMN(TabFactorIntegracion[% de prima 
vacacional y dominical]),FALSE))*((VLOOKUP(TabDesSalariosReal[[#This Row],[id]],TabAsistencias[],COLUMN(TabAsistencias[V]),FALSE)))</f>
        <v>0</v>
      </c>
      <c r="H23" s="148" cm="1">
        <f t="array" ref="H23">VLOOKUP(TabDesSalariosReal[[#This Row],[id]],TabAsistencias[],COLUMN(TabAsistencias[I]),FALSE)</f>
        <v>0</v>
      </c>
      <c r="I23" s="148" cm="1">
        <f t="array" ref="I23">VLOOKUP(TabDesSalariosReal[[#This Row],[id]],TabAsistencias[],COLUMN(TabAsistencias[IG]),FALSE)</f>
        <v>0</v>
      </c>
      <c r="J23" s="191">
        <v>0.4</v>
      </c>
      <c r="K23" s="179" cm="1">
        <f t="array" ref="K23">IF(TabDesSalariosReal[[#This Row],[Dias Incapacidad/General]]&gt;3,((TabDesSalariosReal[[#This Row],[Dias Incapacidad/General]]-3)*((VLOOKUP(TabDesSalariosReal[[#This Row],[id]],TabEmpleados[],COLUMN(TabEmpleados[SD Real]),FALSE)))*TabDesSalariosReal[[#This Row],[% pagado por incapacidad]]),0)</f>
        <v>0</v>
      </c>
      <c r="L23" s="185">
        <f>-1*(SUMIFS(TabPagos[Monto de pago],TabPagos[id],TabDesSalariosReal[[#This Row],[id]],TabPagos[Fecha de pago],"&gt;="&amp;Asistencias!$B$2,TabPagos[Fecha de pago],"&lt;"&amp;Asistencias!$B$3))</f>
        <v>0</v>
      </c>
      <c r="M23" t="str" cm="1">
        <f t="array" ref="M23">getDescripcion(TabDesSalariosReal[[#This Row],[id]],"Descuentos-Pagos","TabPagos",Asistencias!$B$2,Asistencias!$B$3)</f>
        <v/>
      </c>
      <c r="N23" s="309" cm="1">
        <f t="array" ref="N23">IF((TabDesSalariosReal[[#This Row],[Subtotal Real]]+TabDesSalariosReal[[#This Row],[Prima dominical]]+TabDesSalariosReal[[#This Row],[Prima vacacional]]+TabDesSalariosReal[[#This Row],[$ por incpacidad]]+TabDesSalariosReal[[#This Row],[Descuentos]]+TabDesSalariosReal[[#This Row],[Extras]]-TabDesSalariosReal[[#This Row],[Fiscal Real]])&gt;500,AporteComision,0)</f>
        <v>15</v>
      </c>
      <c r="O23" s="276">
        <v>0</v>
      </c>
      <c r="P23" s="188" t="str" cm="1">
        <f t="array" ref="P23">VLOOKUP(TabDesSalariosReal[[#This Row],[id]],TabEmpleados[],COLUMN(TabEmpleados[Banco de pago]),FALSE)</f>
        <v>Santander</v>
      </c>
      <c r="Q23" s="188">
        <f>TabDesSalariosReal[[#This Row],[Subtotal Real]]+TabDesSalariosReal[[#This Row],[Prima dominical]]+TabDesSalariosReal[[#This Row],[Prima vacacional]]+TabDesSalariosReal[[#This Row],[$ por incpacidad]]+TabDesSalariosReal[[#This Row],[Descuentos]]+TabDesSalariosReal[[#This Row],[Aporte por comision]]+TabDesSalariosReal[[#This Row],[Extras]]</f>
        <v>8695</v>
      </c>
      <c r="R23" s="277">
        <f>TabDesSalariosReal[[#This Row],[Total Real]]-TabDesSalariosReal[[#This Row],[Fiscal Real]]</f>
        <v>1922.3105303040002</v>
      </c>
      <c r="S23" s="179" cm="1">
        <f t="array" ref="S23">IFERROR(VLOOKUP(TabDesSalariosReal[[#This Row],[id]],TabDesSalariosFiscal[],COLUMN(TabDesSalariosFiscal[Total Fiscal]),FALSE),0)</f>
        <v>6772.6894696959998</v>
      </c>
      <c r="T23" s="197">
        <f>IFERROR(TabDesSalariosReal[[#This Row],[Persepcion Fiscal]],0)</f>
        <v>6772.6894696959998</v>
      </c>
      <c r="U23" s="55" cm="1">
        <f t="array" ref="U23">IF('Desglose Salarios Fiscal'!$Q$1=1,VLOOKUP(TabDesSalariosReal[[#This Row],[id]],TabEmpleados[],COLUMN(TabEmpleados[SD Real]),FALSE)*TabDesSalariosReal[[#This Row],[Dias de agunaldo Real2]],0)</f>
        <v>4200</v>
      </c>
      <c r="V23" s="173" cm="1">
        <f t="array" ref="V23">IF(YEAR(VLOOKUP(TabDesSalariosReal[[#This Row],[id]],TabEmpleados[],COLUMN(TabEmpleados[Fecha de ingreso]),FALSE))&lt;AñoActual,'Tablas de informacion'!$N$13,_xlfn.DAYS(DATE(AñoActual+1,MONTH(1),DAY(1))-DAY(1),(VLOOKUP(TabDesSalariosReal[[#This Row],[id]],TabEmpleados[],COLUMN(TabEmpleados[Fecha de ingreso]),FALSE))))</f>
        <v>365</v>
      </c>
      <c r="W23" cm="1">
        <f t="array" ref="W23">TabDesSalariosReal[[#This Row],[Dias de aguinaldo Real1]]*VLOOKUP(TabDesSalariosReal[[#This Row],[Años]],TabFactorIntegracion[],COLUMN(TabFactorIntegracion[Días de
aguinaldo]),FALSE)/'Tablas de informacion'!$N$13</f>
        <v>15</v>
      </c>
      <c r="X23" s="141" cm="1">
        <f t="array" ref="X23">TabDesSalariosReal[[#This Row],[Aguinaldo Real]]-IFERROR(VLOOKUP(TabDesSalariosReal[[#This Row],[id]],TabDesSalariosFiscal[],COLUMN(TabDesSalariosFiscal[Aguinaldo Fiscal]),FALSE),0)</f>
        <v>2940</v>
      </c>
    </row>
    <row r="24" spans="1:24" x14ac:dyDescent="0.25">
      <c r="A24" s="176">
        <v>22</v>
      </c>
      <c r="B24" t="str" cm="1">
        <f t="array" ref="B24">VLOOKUP(TabDesSalariosReal[[#This Row],[id]],TabEmpleados[],COLUMN(TabEmpleados[Nombre]),FALSE)</f>
        <v>GONZALEZ ARAGON TANIA YURICEL</v>
      </c>
      <c r="C24" s="148" cm="1">
        <f t="array" ref="C24">VLOOKUP(TabDesSalariosReal[[#This Row],[id]],TabAsistencias[],COLUMN(TabAsistencias[Total de dias laborados]),FALSE)</f>
        <v>30</v>
      </c>
      <c r="D24" s="179" cm="1">
        <f t="array" ref="D24">(VLOOKUP(TabDesSalariosReal[[#This Row],[id]],TabEmpleados[],COLUMN(TabEmpleados[SD Real]),FALSE))*TabDesSalariosReal[[#This Row],[Dias Lab.]]</f>
        <v>8400</v>
      </c>
      <c r="E24" s="180" cm="1">
        <f t="array" ref="E24">IF(DATEDIF((VLOOKUP(TabDesSalariosReal[[#This Row],[id]],TabEmpleados[],COLUMN(TabEmpleados[Fecha de ingreso]),FALSE)),Asistencias!$B$3,"Y")=0,1,DATEDIF((VLOOKUP(TabDesSalariosReal[[#This Row],[id]],TabEmpleados[],COLUMN(TabEmpleados[Fecha de ingreso]),FALSE)),Asistencias!$B$3,"Y"))</f>
        <v>1</v>
      </c>
      <c r="F24" s="181" cm="1">
        <f t="array" ref="F24">((VLOOKUP(TabDesSalariosReal[[#This Row],[id]],TabEmpleados[],COLUMN(TabEmpleados[SD Real]),FALSE))*(VLOOKUP(TabDesSalariosReal[[#This Row],[Años]],TabFactorIntegracion[],COLUMN(TabFactorIntegracion[% de prima 
vacacional y dominical]),FALSE))*(VLOOKUP(TabDesSalariosReal[[#This Row],[id]],TabAsistencias[],COLUMN(TabAsistencias[Prima dominical]),FALSE)))*(VLOOKUP((VLOOKUP(TabDesSalariosReal[[#This Row],[id]],TabEmpleados[],COLUMN(TabEmpleados[Puesto]),FALSE)),TabPuestos[],COLUMN(TabPuestos[PRIMA DOMINICAL]),FALSE))</f>
        <v>280</v>
      </c>
      <c r="G24" s="182" cm="1">
        <f t="array" ref="G24">(VLOOKUP(TabDesSalariosReal[[#This Row],[id]],TabEmpleados[],COLUMN(TabEmpleados[SD Real]),FALSE))*(VLOOKUP(TabDesSalariosReal[[#This Row],[Años]],TabFactorIntegracion[],COLUMN(TabFactorIntegracion[% de prima 
vacacional y dominical]),FALSE))*((VLOOKUP(TabDesSalariosReal[[#This Row],[id]],TabAsistencias[],COLUMN(TabAsistencias[V]),FALSE)))</f>
        <v>0</v>
      </c>
      <c r="H24" s="148" cm="1">
        <f t="array" ref="H24">VLOOKUP(TabDesSalariosReal[[#This Row],[id]],TabAsistencias[],COLUMN(TabAsistencias[I]),FALSE)</f>
        <v>0</v>
      </c>
      <c r="I24" s="148" cm="1">
        <f t="array" ref="I24">VLOOKUP(TabDesSalariosReal[[#This Row],[id]],TabAsistencias[],COLUMN(TabAsistencias[IG]),FALSE)</f>
        <v>0</v>
      </c>
      <c r="J24" s="191">
        <v>0.4</v>
      </c>
      <c r="K24" s="179" cm="1">
        <f t="array" ref="K24">IF(TabDesSalariosReal[[#This Row],[Dias Incapacidad/General]]&gt;3,((TabDesSalariosReal[[#This Row],[Dias Incapacidad/General]]-3)*((VLOOKUP(TabDesSalariosReal[[#This Row],[id]],TabEmpleados[],COLUMN(TabEmpleados[SD Real]),FALSE)))*TabDesSalariosReal[[#This Row],[% pagado por incapacidad]]),0)</f>
        <v>0</v>
      </c>
      <c r="L24" s="185">
        <f>-1*(SUMIFS(TabPagos[Monto de pago],TabPagos[id],TabDesSalariosReal[[#This Row],[id]],TabPagos[Fecha de pago],"&gt;="&amp;Asistencias!$B$2,TabPagos[Fecha de pago],"&lt;"&amp;Asistencias!$B$3))</f>
        <v>0</v>
      </c>
      <c r="M24" t="str" cm="1">
        <f t="array" ref="M24">getDescripcion(TabDesSalariosReal[[#This Row],[id]],"Descuentos-Pagos","TabPagos",Asistencias!$B$2,Asistencias!$B$3)</f>
        <v/>
      </c>
      <c r="N24" s="309" cm="1">
        <f t="array" ref="N24">IF((TabDesSalariosReal[[#This Row],[Subtotal Real]]+TabDesSalariosReal[[#This Row],[Prima dominical]]+TabDesSalariosReal[[#This Row],[Prima vacacional]]+TabDesSalariosReal[[#This Row],[$ por incpacidad]]+TabDesSalariosReal[[#This Row],[Descuentos]]+TabDesSalariosReal[[#This Row],[Extras]]-TabDesSalariosReal[[#This Row],[Fiscal Real]])&gt;500,AporteComision,0)</f>
        <v>15</v>
      </c>
      <c r="O24" s="276">
        <v>0</v>
      </c>
      <c r="P24" s="188" t="str" cm="1">
        <f t="array" ref="P24">VLOOKUP(TabDesSalariosReal[[#This Row],[id]],TabEmpleados[],COLUMN(TabEmpleados[Banco de pago]),FALSE)</f>
        <v>Santander</v>
      </c>
      <c r="Q24" s="188">
        <f>TabDesSalariosReal[[#This Row],[Subtotal Real]]+TabDesSalariosReal[[#This Row],[Prima dominical]]+TabDesSalariosReal[[#This Row],[Prima vacacional]]+TabDesSalariosReal[[#This Row],[$ por incpacidad]]+TabDesSalariosReal[[#This Row],[Descuentos]]+TabDesSalariosReal[[#This Row],[Aporte por comision]]+TabDesSalariosReal[[#This Row],[Extras]]</f>
        <v>8695</v>
      </c>
      <c r="R24" s="277">
        <f>TabDesSalariosReal[[#This Row],[Total Real]]-TabDesSalariosReal[[#This Row],[Fiscal Real]]</f>
        <v>1922.3105303040002</v>
      </c>
      <c r="S24" s="179" cm="1">
        <f t="array" ref="S24">IFERROR(VLOOKUP(TabDesSalariosReal[[#This Row],[id]],TabDesSalariosFiscal[],COLUMN(TabDesSalariosFiscal[Total Fiscal]),FALSE),0)</f>
        <v>6772.6894696959998</v>
      </c>
      <c r="T24" s="197">
        <f>IFERROR(TabDesSalariosReal[[#This Row],[Persepcion Fiscal]],0)</f>
        <v>6772.6894696959998</v>
      </c>
      <c r="U24" s="55" cm="1">
        <f t="array" ref="U24">IF('Desglose Salarios Fiscal'!$Q$1=1,VLOOKUP(TabDesSalariosReal[[#This Row],[id]],TabEmpleados[],COLUMN(TabEmpleados[SD Real]),FALSE)*TabDesSalariosReal[[#This Row],[Dias de agunaldo Real2]],0)</f>
        <v>4200</v>
      </c>
      <c r="V24" s="173" cm="1">
        <f t="array" ref="V24">IF(YEAR(VLOOKUP(TabDesSalariosReal[[#This Row],[id]],TabEmpleados[],COLUMN(TabEmpleados[Fecha de ingreso]),FALSE))&lt;AñoActual,'Tablas de informacion'!$N$13,_xlfn.DAYS(DATE(AñoActual+1,MONTH(1),DAY(1))-DAY(1),(VLOOKUP(TabDesSalariosReal[[#This Row],[id]],TabEmpleados[],COLUMN(TabEmpleados[Fecha de ingreso]),FALSE))))</f>
        <v>365</v>
      </c>
      <c r="W24" cm="1">
        <f t="array" ref="W24">TabDesSalariosReal[[#This Row],[Dias de aguinaldo Real1]]*VLOOKUP(TabDesSalariosReal[[#This Row],[Años]],TabFactorIntegracion[],COLUMN(TabFactorIntegracion[Días de
aguinaldo]),FALSE)/'Tablas de informacion'!$N$13</f>
        <v>15</v>
      </c>
      <c r="X24" s="141" cm="1">
        <f t="array" ref="X24">TabDesSalariosReal[[#This Row],[Aguinaldo Real]]-IFERROR(VLOOKUP(TabDesSalariosReal[[#This Row],[id]],TabDesSalariosFiscal[],COLUMN(TabDesSalariosFiscal[Aguinaldo Fiscal]),FALSE),0)</f>
        <v>2940</v>
      </c>
    </row>
    <row r="25" spans="1:24" x14ac:dyDescent="0.25">
      <c r="A25" s="176">
        <v>23</v>
      </c>
      <c r="B25" t="str" cm="1">
        <f t="array" ref="B25">VLOOKUP(TabDesSalariosReal[[#This Row],[id]],TabEmpleados[],COLUMN(TabEmpleados[Nombre]),FALSE)</f>
        <v>CHAVEZ HERNANDEZ DIANA IRIS</v>
      </c>
      <c r="C25" s="148" cm="1">
        <f t="array" ref="C25">VLOOKUP(TabDesSalariosReal[[#This Row],[id]],TabAsistencias[],COLUMN(TabAsistencias[Total de dias laborados]),FALSE)</f>
        <v>30</v>
      </c>
      <c r="D25" s="179" cm="1">
        <f t="array" ref="D25">(VLOOKUP(TabDesSalariosReal[[#This Row],[id]],TabEmpleados[],COLUMN(TabEmpleados[SD Real]),FALSE))*TabDesSalariosReal[[#This Row],[Dias Lab.]]</f>
        <v>10500</v>
      </c>
      <c r="E25" s="180" cm="1">
        <f t="array" ref="E25">IF(DATEDIF((VLOOKUP(TabDesSalariosReal[[#This Row],[id]],TabEmpleados[],COLUMN(TabEmpleados[Fecha de ingreso]),FALSE)),Asistencias!$B$3,"Y")=0,1,DATEDIF((VLOOKUP(TabDesSalariosReal[[#This Row],[id]],TabEmpleados[],COLUMN(TabEmpleados[Fecha de ingreso]),FALSE)),Asistencias!$B$3,"Y"))</f>
        <v>1</v>
      </c>
      <c r="F25" s="181" cm="1">
        <f t="array" ref="F25">((VLOOKUP(TabDesSalariosReal[[#This Row],[id]],TabEmpleados[],COLUMN(TabEmpleados[SD Real]),FALSE))*(VLOOKUP(TabDesSalariosReal[[#This Row],[Años]],TabFactorIntegracion[],COLUMN(TabFactorIntegracion[% de prima 
vacacional y dominical]),FALSE))*(VLOOKUP(TabDesSalariosReal[[#This Row],[id]],TabAsistencias[],COLUMN(TabAsistencias[Prima dominical]),FALSE)))*(VLOOKUP((VLOOKUP(TabDesSalariosReal[[#This Row],[id]],TabEmpleados[],COLUMN(TabEmpleados[Puesto]),FALSE)),TabPuestos[],COLUMN(TabPuestos[PRIMA DOMINICAL]),FALSE))</f>
        <v>350</v>
      </c>
      <c r="G25" s="182" cm="1">
        <f t="array" ref="G25">(VLOOKUP(TabDesSalariosReal[[#This Row],[id]],TabEmpleados[],COLUMN(TabEmpleados[SD Real]),FALSE))*(VLOOKUP(TabDesSalariosReal[[#This Row],[Años]],TabFactorIntegracion[],COLUMN(TabFactorIntegracion[% de prima 
vacacional y dominical]),FALSE))*((VLOOKUP(TabDesSalariosReal[[#This Row],[id]],TabAsistencias[],COLUMN(TabAsistencias[V]),FALSE)))</f>
        <v>0</v>
      </c>
      <c r="H25" s="148" cm="1">
        <f t="array" ref="H25">VLOOKUP(TabDesSalariosReal[[#This Row],[id]],TabAsistencias[],COLUMN(TabAsistencias[I]),FALSE)</f>
        <v>0</v>
      </c>
      <c r="I25" s="148" cm="1">
        <f t="array" ref="I25">VLOOKUP(TabDesSalariosReal[[#This Row],[id]],TabAsistencias[],COLUMN(TabAsistencias[IG]),FALSE)</f>
        <v>0</v>
      </c>
      <c r="J25" s="191">
        <v>0.4</v>
      </c>
      <c r="K25" s="179" cm="1">
        <f t="array" ref="K25">IF(TabDesSalariosReal[[#This Row],[Dias Incapacidad/General]]&gt;3,((TabDesSalariosReal[[#This Row],[Dias Incapacidad/General]]-3)*((VLOOKUP(TabDesSalariosReal[[#This Row],[id]],TabEmpleados[],COLUMN(TabEmpleados[SD Real]),FALSE)))*TabDesSalariosReal[[#This Row],[% pagado por incapacidad]]),0)</f>
        <v>0</v>
      </c>
      <c r="L25" s="185">
        <f>-1*(SUMIFS(TabPagos[Monto de pago],TabPagos[id],TabDesSalariosReal[[#This Row],[id]],TabPagos[Fecha de pago],"&gt;="&amp;Asistencias!$B$2,TabPagos[Fecha de pago],"&lt;"&amp;Asistencias!$B$3))</f>
        <v>0</v>
      </c>
      <c r="M25" t="str" cm="1">
        <f t="array" ref="M25">getDescripcion(TabDesSalariosReal[[#This Row],[id]],"Descuentos-Pagos","TabPagos",Asistencias!$B$2,Asistencias!$B$3)</f>
        <v/>
      </c>
      <c r="N25" s="309" cm="1">
        <f t="array" ref="N25">IF((TabDesSalariosReal[[#This Row],[Subtotal Real]]+TabDesSalariosReal[[#This Row],[Prima dominical]]+TabDesSalariosReal[[#This Row],[Prima vacacional]]+TabDesSalariosReal[[#This Row],[$ por incpacidad]]+TabDesSalariosReal[[#This Row],[Descuentos]]+TabDesSalariosReal[[#This Row],[Extras]]-TabDesSalariosReal[[#This Row],[Fiscal Real]])&gt;500,AporteComision,0)</f>
        <v>15</v>
      </c>
      <c r="O25" s="276">
        <v>0</v>
      </c>
      <c r="P25" s="188" t="str" cm="1">
        <f t="array" ref="P25">VLOOKUP(TabDesSalariosReal[[#This Row],[id]],TabEmpleados[],COLUMN(TabEmpleados[Banco de pago]),FALSE)</f>
        <v>Santander</v>
      </c>
      <c r="Q25" s="188">
        <f>TabDesSalariosReal[[#This Row],[Subtotal Real]]+TabDesSalariosReal[[#This Row],[Prima dominical]]+TabDesSalariosReal[[#This Row],[Prima vacacional]]+TabDesSalariosReal[[#This Row],[$ por incpacidad]]+TabDesSalariosReal[[#This Row],[Descuentos]]+TabDesSalariosReal[[#This Row],[Aporte por comision]]+TabDesSalariosReal[[#This Row],[Extras]]</f>
        <v>10865</v>
      </c>
      <c r="R25" s="277">
        <f>TabDesSalariosReal[[#This Row],[Total Real]]-TabDesSalariosReal[[#This Row],[Fiscal Real]]</f>
        <v>2600.6249890400013</v>
      </c>
      <c r="S25" s="179" cm="1">
        <f t="array" ref="S25">IFERROR(VLOOKUP(TabDesSalariosReal[[#This Row],[id]],TabDesSalariosFiscal[],COLUMN(TabDesSalariosFiscal[Total Fiscal]),FALSE),0)</f>
        <v>8264.3750109599987</v>
      </c>
      <c r="T25" s="197">
        <f>IFERROR(TabDesSalariosReal[[#This Row],[Persepcion Fiscal]],0)</f>
        <v>8264.3750109599987</v>
      </c>
      <c r="U25" s="55" cm="1">
        <f t="array" ref="U25">IF('Desglose Salarios Fiscal'!$Q$1=1,VLOOKUP(TabDesSalariosReal[[#This Row],[id]],TabEmpleados[],COLUMN(TabEmpleados[SD Real]),FALSE)*TabDesSalariosReal[[#This Row],[Dias de agunaldo Real2]],0)</f>
        <v>5250</v>
      </c>
      <c r="V25" s="173" cm="1">
        <f t="array" ref="V25">IF(YEAR(VLOOKUP(TabDesSalariosReal[[#This Row],[id]],TabEmpleados[],COLUMN(TabEmpleados[Fecha de ingreso]),FALSE))&lt;AñoActual,'Tablas de informacion'!$N$13,_xlfn.DAYS(DATE(AñoActual+1,MONTH(1),DAY(1))-DAY(1),(VLOOKUP(TabDesSalariosReal[[#This Row],[id]],TabEmpleados[],COLUMN(TabEmpleados[Fecha de ingreso]),FALSE))))</f>
        <v>365</v>
      </c>
      <c r="W25" cm="1">
        <f t="array" ref="W25">TabDesSalariosReal[[#This Row],[Dias de aguinaldo Real1]]*VLOOKUP(TabDesSalariosReal[[#This Row],[Años]],TabFactorIntegracion[],COLUMN(TabFactorIntegracion[Días de
aguinaldo]),FALSE)/'Tablas de informacion'!$N$13</f>
        <v>15</v>
      </c>
      <c r="X25" s="141" cm="1">
        <f t="array" ref="X25">TabDesSalariosReal[[#This Row],[Aguinaldo Real]]-IFERROR(VLOOKUP(TabDesSalariosReal[[#This Row],[id]],TabDesSalariosFiscal[],COLUMN(TabDesSalariosFiscal[Aguinaldo Fiscal]),FALSE),0)</f>
        <v>3675</v>
      </c>
    </row>
    <row r="26" spans="1:24" x14ac:dyDescent="0.25">
      <c r="A26" s="176">
        <v>24</v>
      </c>
      <c r="B26" t="str" cm="1">
        <f t="array" ref="B26">VLOOKUP(TabDesSalariosReal[[#This Row],[id]],TabEmpleados[],COLUMN(TabEmpleados[Nombre]),FALSE)</f>
        <v xml:space="preserve">LOPEZ VELASCO  EDWIN URIEL </v>
      </c>
      <c r="C26" s="148" cm="1">
        <f t="array" ref="C26">VLOOKUP(TabDesSalariosReal[[#This Row],[id]],TabAsistencias[],COLUMN(TabAsistencias[Total de dias laborados]),FALSE)</f>
        <v>30</v>
      </c>
      <c r="D26" s="179" cm="1">
        <f t="array" ref="D26">(VLOOKUP(TabDesSalariosReal[[#This Row],[id]],TabEmpleados[],COLUMN(TabEmpleados[SD Real]),FALSE))*TabDesSalariosReal[[#This Row],[Dias Lab.]]</f>
        <v>9000</v>
      </c>
      <c r="E26" s="180" cm="1">
        <f t="array" ref="E26">IF(DATEDIF((VLOOKUP(TabDesSalariosReal[[#This Row],[id]],TabEmpleados[],COLUMN(TabEmpleados[Fecha de ingreso]),FALSE)),Asistencias!$B$3,"Y")=0,1,DATEDIF((VLOOKUP(TabDesSalariosReal[[#This Row],[id]],TabEmpleados[],COLUMN(TabEmpleados[Fecha de ingreso]),FALSE)),Asistencias!$B$3,"Y"))</f>
        <v>1</v>
      </c>
      <c r="F26" s="181" cm="1">
        <f t="array" ref="F26">((VLOOKUP(TabDesSalariosReal[[#This Row],[id]],TabEmpleados[],COLUMN(TabEmpleados[SD Real]),FALSE))*(VLOOKUP(TabDesSalariosReal[[#This Row],[Años]],TabFactorIntegracion[],COLUMN(TabFactorIntegracion[% de prima 
vacacional y dominical]),FALSE))*(VLOOKUP(TabDesSalariosReal[[#This Row],[id]],TabAsistencias[],COLUMN(TabAsistencias[Prima dominical]),FALSE)))*(VLOOKUP((VLOOKUP(TabDesSalariosReal[[#This Row],[id]],TabEmpleados[],COLUMN(TabEmpleados[Puesto]),FALSE)),TabPuestos[],COLUMN(TabPuestos[PRIMA DOMINICAL]),FALSE))</f>
        <v>300</v>
      </c>
      <c r="G26" s="182" cm="1">
        <f t="array" ref="G26">(VLOOKUP(TabDesSalariosReal[[#This Row],[id]],TabEmpleados[],COLUMN(TabEmpleados[SD Real]),FALSE))*(VLOOKUP(TabDesSalariosReal[[#This Row],[Años]],TabFactorIntegracion[],COLUMN(TabFactorIntegracion[% de prima 
vacacional y dominical]),FALSE))*((VLOOKUP(TabDesSalariosReal[[#This Row],[id]],TabAsistencias[],COLUMN(TabAsistencias[V]),FALSE)))</f>
        <v>0</v>
      </c>
      <c r="H26" s="148" cm="1">
        <f t="array" ref="H26">VLOOKUP(TabDesSalariosReal[[#This Row],[id]],TabAsistencias[],COLUMN(TabAsistencias[I]),FALSE)</f>
        <v>0</v>
      </c>
      <c r="I26" s="148" cm="1">
        <f t="array" ref="I26">VLOOKUP(TabDesSalariosReal[[#This Row],[id]],TabAsistencias[],COLUMN(TabAsistencias[IG]),FALSE)</f>
        <v>0</v>
      </c>
      <c r="J26" s="191">
        <v>0.4</v>
      </c>
      <c r="K26" s="179" cm="1">
        <f t="array" ref="K26">IF(TabDesSalariosReal[[#This Row],[Dias Incapacidad/General]]&gt;3,((TabDesSalariosReal[[#This Row],[Dias Incapacidad/General]]-3)*((VLOOKUP(TabDesSalariosReal[[#This Row],[id]],TabEmpleados[],COLUMN(TabEmpleados[SD Real]),FALSE)))*TabDesSalariosReal[[#This Row],[% pagado por incapacidad]]),0)</f>
        <v>0</v>
      </c>
      <c r="L26" s="185">
        <f>-1*(SUMIFS(TabPagos[Monto de pago],TabPagos[id],TabDesSalariosReal[[#This Row],[id]],TabPagos[Fecha de pago],"&gt;="&amp;Asistencias!$B$2,TabPagos[Fecha de pago],"&lt;"&amp;Asistencias!$B$3))</f>
        <v>0</v>
      </c>
      <c r="M26" t="str" cm="1">
        <f t="array" ref="M26">getDescripcion(TabDesSalariosReal[[#This Row],[id]],"Descuentos-Pagos","TabPagos",Asistencias!$B$2,Asistencias!$B$3)</f>
        <v/>
      </c>
      <c r="N26" s="309" cm="1">
        <f t="array" ref="N26">IF((TabDesSalariosReal[[#This Row],[Subtotal Real]]+TabDesSalariosReal[[#This Row],[Prima dominical]]+TabDesSalariosReal[[#This Row],[Prima vacacional]]+TabDesSalariosReal[[#This Row],[$ por incpacidad]]+TabDesSalariosReal[[#This Row],[Descuentos]]+TabDesSalariosReal[[#This Row],[Extras]]-TabDesSalariosReal[[#This Row],[Fiscal Real]])&gt;500,AporteComision,0)</f>
        <v>15</v>
      </c>
      <c r="O26" s="276">
        <v>0</v>
      </c>
      <c r="P26" s="188" t="str" cm="1">
        <f t="array" ref="P26">VLOOKUP(TabDesSalariosReal[[#This Row],[id]],TabEmpleados[],COLUMN(TabEmpleados[Banco de pago]),FALSE)</f>
        <v>Efectivo</v>
      </c>
      <c r="Q26" s="188">
        <f>TabDesSalariosReal[[#This Row],[Subtotal Real]]+TabDesSalariosReal[[#This Row],[Prima dominical]]+TabDesSalariosReal[[#This Row],[Prima vacacional]]+TabDesSalariosReal[[#This Row],[$ por incpacidad]]+TabDesSalariosReal[[#This Row],[Descuentos]]+TabDesSalariosReal[[#This Row],[Aporte por comision]]+TabDesSalariosReal[[#This Row],[Extras]]</f>
        <v>9315</v>
      </c>
      <c r="R26" s="277">
        <f>TabDesSalariosReal[[#This Row],[Total Real]]-TabDesSalariosReal[[#This Row],[Fiscal Real]]</f>
        <v>9315</v>
      </c>
      <c r="S26" s="179" cm="1">
        <f t="array" ref="S26">IFERROR(VLOOKUP(TabDesSalariosReal[[#This Row],[id]],TabDesSalariosFiscal[],COLUMN(TabDesSalariosFiscal[Total Fiscal]),FALSE),0)</f>
        <v>0</v>
      </c>
      <c r="T26" s="197">
        <f>IFERROR(TabDesSalariosReal[[#This Row],[Persepcion Fiscal]],0)</f>
        <v>0</v>
      </c>
      <c r="U26" s="55" cm="1">
        <f t="array" ref="U26">IF('Desglose Salarios Fiscal'!$Q$1=1,VLOOKUP(TabDesSalariosReal[[#This Row],[id]],TabEmpleados[],COLUMN(TabEmpleados[SD Real]),FALSE)*TabDesSalariosReal[[#This Row],[Dias de agunaldo Real2]],0)</f>
        <v>4500</v>
      </c>
      <c r="V26" s="173" cm="1">
        <f t="array" ref="V26">IF(YEAR(VLOOKUP(TabDesSalariosReal[[#This Row],[id]],TabEmpleados[],COLUMN(TabEmpleados[Fecha de ingreso]),FALSE))&lt;AñoActual,'Tablas de informacion'!$N$13,_xlfn.DAYS(DATE(AñoActual+1,MONTH(1),DAY(1))-DAY(1),(VLOOKUP(TabDesSalariosReal[[#This Row],[id]],TabEmpleados[],COLUMN(TabEmpleados[Fecha de ingreso]),FALSE))))</f>
        <v>365</v>
      </c>
      <c r="W26" cm="1">
        <f t="array" ref="W26">TabDesSalariosReal[[#This Row],[Dias de aguinaldo Real1]]*VLOOKUP(TabDesSalariosReal[[#This Row],[Años]],TabFactorIntegracion[],COLUMN(TabFactorIntegracion[Días de
aguinaldo]),FALSE)/'Tablas de informacion'!$N$13</f>
        <v>15</v>
      </c>
      <c r="X26" s="141" cm="1">
        <f t="array" ref="X26">TabDesSalariosReal[[#This Row],[Aguinaldo Real]]-IFERROR(VLOOKUP(TabDesSalariosReal[[#This Row],[id]],TabDesSalariosFiscal[],COLUMN(TabDesSalariosFiscal[Aguinaldo Fiscal]),FALSE),0)</f>
        <v>4500</v>
      </c>
    </row>
    <row r="27" spans="1:24" x14ac:dyDescent="0.25">
      <c r="A27" s="176">
        <v>25</v>
      </c>
      <c r="B27" t="str" cm="1">
        <f t="array" ref="B27">VLOOKUP(TabDesSalariosReal[[#This Row],[id]],TabEmpleados[],COLUMN(TabEmpleados[Nombre]),FALSE)</f>
        <v>DE LA CRUZ BARTOLO JOSE LUIS</v>
      </c>
      <c r="C27" s="148" cm="1">
        <f t="array" ref="C27">VLOOKUP(TabDesSalariosReal[[#This Row],[id]],TabAsistencias[],COLUMN(TabAsistencias[Total de dias laborados]),FALSE)</f>
        <v>30</v>
      </c>
      <c r="D27" s="179" cm="1">
        <f t="array" ref="D27">(VLOOKUP(TabDesSalariosReal[[#This Row],[id]],TabEmpleados[],COLUMN(TabEmpleados[SD Real]),FALSE))*TabDesSalariosReal[[#This Row],[Dias Lab.]]</f>
        <v>10500</v>
      </c>
      <c r="E27" s="180" cm="1">
        <f t="array" ref="E27">IF(DATEDIF((VLOOKUP(TabDesSalariosReal[[#This Row],[id]],TabEmpleados[],COLUMN(TabEmpleados[Fecha de ingreso]),FALSE)),Asistencias!$B$3,"Y")=0,1,DATEDIF((VLOOKUP(TabDesSalariosReal[[#This Row],[id]],TabEmpleados[],COLUMN(TabEmpleados[Fecha de ingreso]),FALSE)),Asistencias!$B$3,"Y"))</f>
        <v>1</v>
      </c>
      <c r="F27" s="181" cm="1">
        <f t="array" ref="F27">((VLOOKUP(TabDesSalariosReal[[#This Row],[id]],TabEmpleados[],COLUMN(TabEmpleados[SD Real]),FALSE))*(VLOOKUP(TabDesSalariosReal[[#This Row],[Años]],TabFactorIntegracion[],COLUMN(TabFactorIntegracion[% de prima 
vacacional y dominical]),FALSE))*(VLOOKUP(TabDesSalariosReal[[#This Row],[id]],TabAsistencias[],COLUMN(TabAsistencias[Prima dominical]),FALSE)))*(VLOOKUP((VLOOKUP(TabDesSalariosReal[[#This Row],[id]],TabEmpleados[],COLUMN(TabEmpleados[Puesto]),FALSE)),TabPuestos[],COLUMN(TabPuestos[PRIMA DOMINICAL]),FALSE))</f>
        <v>350</v>
      </c>
      <c r="G27" s="182" cm="1">
        <f t="array" ref="G27">(VLOOKUP(TabDesSalariosReal[[#This Row],[id]],TabEmpleados[],COLUMN(TabEmpleados[SD Real]),FALSE))*(VLOOKUP(TabDesSalariosReal[[#This Row],[Años]],TabFactorIntegracion[],COLUMN(TabFactorIntegracion[% de prima 
vacacional y dominical]),FALSE))*((VLOOKUP(TabDesSalariosReal[[#This Row],[id]],TabAsistencias[],COLUMN(TabAsistencias[V]),FALSE)))</f>
        <v>0</v>
      </c>
      <c r="H27" s="148" cm="1">
        <f t="array" ref="H27">VLOOKUP(TabDesSalariosReal[[#This Row],[id]],TabAsistencias[],COLUMN(TabAsistencias[I]),FALSE)</f>
        <v>0</v>
      </c>
      <c r="I27" s="148" cm="1">
        <f t="array" ref="I27">VLOOKUP(TabDesSalariosReal[[#This Row],[id]],TabAsistencias[],COLUMN(TabAsistencias[IG]),FALSE)</f>
        <v>0</v>
      </c>
      <c r="J27" s="191">
        <v>0.4</v>
      </c>
      <c r="K27" s="179" cm="1">
        <f t="array" ref="K27">IF(TabDesSalariosReal[[#This Row],[Dias Incapacidad/General]]&gt;3,((TabDesSalariosReal[[#This Row],[Dias Incapacidad/General]]-3)*((VLOOKUP(TabDesSalariosReal[[#This Row],[id]],TabEmpleados[],COLUMN(TabEmpleados[SD Real]),FALSE)))*TabDesSalariosReal[[#This Row],[% pagado por incapacidad]]),0)</f>
        <v>0</v>
      </c>
      <c r="L27" s="185">
        <f>-1*(SUMIFS(TabPagos[Monto de pago],TabPagos[id],TabDesSalariosReal[[#This Row],[id]],TabPagos[Fecha de pago],"&gt;="&amp;Asistencias!$B$2,TabPagos[Fecha de pago],"&lt;"&amp;Asistencias!$B$3))</f>
        <v>0</v>
      </c>
      <c r="M27" t="str" cm="1">
        <f t="array" ref="M27">getDescripcion(TabDesSalariosReal[[#This Row],[id]],"Descuentos-Pagos","TabPagos",Asistencias!$B$2,Asistencias!$B$3)</f>
        <v/>
      </c>
      <c r="N27" s="309" cm="1">
        <f t="array" ref="N27">IF((TabDesSalariosReal[[#This Row],[Subtotal Real]]+TabDesSalariosReal[[#This Row],[Prima dominical]]+TabDesSalariosReal[[#This Row],[Prima vacacional]]+TabDesSalariosReal[[#This Row],[$ por incpacidad]]+TabDesSalariosReal[[#This Row],[Descuentos]]+TabDesSalariosReal[[#This Row],[Extras]]-TabDesSalariosReal[[#This Row],[Fiscal Real]])&gt;500,AporteComision,0)</f>
        <v>15</v>
      </c>
      <c r="O27" s="276">
        <v>0</v>
      </c>
      <c r="P27" s="188" t="str" cm="1">
        <f t="array" ref="P27">VLOOKUP(TabDesSalariosReal[[#This Row],[id]],TabEmpleados[],COLUMN(TabEmpleados[Banco de pago]),FALSE)</f>
        <v>Santander</v>
      </c>
      <c r="Q27" s="188">
        <f>TabDesSalariosReal[[#This Row],[Subtotal Real]]+TabDesSalariosReal[[#This Row],[Prima dominical]]+TabDesSalariosReal[[#This Row],[Prima vacacional]]+TabDesSalariosReal[[#This Row],[$ por incpacidad]]+TabDesSalariosReal[[#This Row],[Descuentos]]+TabDesSalariosReal[[#This Row],[Aporte por comision]]+TabDesSalariosReal[[#This Row],[Extras]]</f>
        <v>10865</v>
      </c>
      <c r="R27" s="277">
        <f>TabDesSalariosReal[[#This Row],[Total Real]]-TabDesSalariosReal[[#This Row],[Fiscal Real]]</f>
        <v>2600.6249890400013</v>
      </c>
      <c r="S27" s="179" cm="1">
        <f t="array" ref="S27">IFERROR(VLOOKUP(TabDesSalariosReal[[#This Row],[id]],TabDesSalariosFiscal[],COLUMN(TabDesSalariosFiscal[Total Fiscal]),FALSE),0)</f>
        <v>8264.3750109599987</v>
      </c>
      <c r="T27" s="197">
        <f>IFERROR(TabDesSalariosReal[[#This Row],[Persepcion Fiscal]],0)</f>
        <v>8264.3750109599987</v>
      </c>
      <c r="U27" s="55" cm="1">
        <f t="array" ref="U27">IF('Desglose Salarios Fiscal'!$Q$1=1,VLOOKUP(TabDesSalariosReal[[#This Row],[id]],TabEmpleados[],COLUMN(TabEmpleados[SD Real]),FALSE)*TabDesSalariosReal[[#This Row],[Dias de agunaldo Real2]],0)</f>
        <v>5250</v>
      </c>
      <c r="V27" s="173" cm="1">
        <f t="array" ref="V27">IF(YEAR(VLOOKUP(TabDesSalariosReal[[#This Row],[id]],TabEmpleados[],COLUMN(TabEmpleados[Fecha de ingreso]),FALSE))&lt;AñoActual,'Tablas de informacion'!$N$13,_xlfn.DAYS(DATE(AñoActual+1,MONTH(1),DAY(1))-DAY(1),(VLOOKUP(TabDesSalariosReal[[#This Row],[id]],TabEmpleados[],COLUMN(TabEmpleados[Fecha de ingreso]),FALSE))))</f>
        <v>365</v>
      </c>
      <c r="W27" cm="1">
        <f t="array" ref="W27">TabDesSalariosReal[[#This Row],[Dias de aguinaldo Real1]]*VLOOKUP(TabDesSalariosReal[[#This Row],[Años]],TabFactorIntegracion[],COLUMN(TabFactorIntegracion[Días de
aguinaldo]),FALSE)/'Tablas de informacion'!$N$13</f>
        <v>15</v>
      </c>
      <c r="X27" s="141" cm="1">
        <f t="array" ref="X27">TabDesSalariosReal[[#This Row],[Aguinaldo Real]]-IFERROR(VLOOKUP(TabDesSalariosReal[[#This Row],[id]],TabDesSalariosFiscal[],COLUMN(TabDesSalariosFiscal[Aguinaldo Fiscal]),FALSE),0)</f>
        <v>3675</v>
      </c>
    </row>
    <row r="28" spans="1:24" x14ac:dyDescent="0.25">
      <c r="A28" s="176">
        <v>26</v>
      </c>
      <c r="B28" t="str" cm="1">
        <f t="array" ref="B28">VLOOKUP(TabDesSalariosReal[[#This Row],[id]],TabEmpleados[],COLUMN(TabEmpleados[Nombre]),FALSE)</f>
        <v>GARCIA MARTINEZ URIEL ALEJANDRO</v>
      </c>
      <c r="C28" s="148" cm="1">
        <f t="array" ref="C28">VLOOKUP(TabDesSalariosReal[[#This Row],[id]],TabAsistencias[],COLUMN(TabAsistencias[Total de dias laborados]),FALSE)</f>
        <v>30</v>
      </c>
      <c r="D28" s="179" cm="1">
        <f t="array" ref="D28">(VLOOKUP(TabDesSalariosReal[[#This Row],[id]],TabEmpleados[],COLUMN(TabEmpleados[SD Real]),FALSE))*TabDesSalariosReal[[#This Row],[Dias Lab.]]</f>
        <v>10500</v>
      </c>
      <c r="E28" s="180" cm="1">
        <f t="array" ref="E28">IF(DATEDIF((VLOOKUP(TabDesSalariosReal[[#This Row],[id]],TabEmpleados[],COLUMN(TabEmpleados[Fecha de ingreso]),FALSE)),Asistencias!$B$3,"Y")=0,1,DATEDIF((VLOOKUP(TabDesSalariosReal[[#This Row],[id]],TabEmpleados[],COLUMN(TabEmpleados[Fecha de ingreso]),FALSE)),Asistencias!$B$3,"Y"))</f>
        <v>1</v>
      </c>
      <c r="F28" s="181" cm="1">
        <f t="array" ref="F28">((VLOOKUP(TabDesSalariosReal[[#This Row],[id]],TabEmpleados[],COLUMN(TabEmpleados[SD Real]),FALSE))*(VLOOKUP(TabDesSalariosReal[[#This Row],[Años]],TabFactorIntegracion[],COLUMN(TabFactorIntegracion[% de prima 
vacacional y dominical]),FALSE))*(VLOOKUP(TabDesSalariosReal[[#This Row],[id]],TabAsistencias[],COLUMN(TabAsistencias[Prima dominical]),FALSE)))*(VLOOKUP((VLOOKUP(TabDesSalariosReal[[#This Row],[id]],TabEmpleados[],COLUMN(TabEmpleados[Puesto]),FALSE)),TabPuestos[],COLUMN(TabPuestos[PRIMA DOMINICAL]),FALSE))</f>
        <v>350</v>
      </c>
      <c r="G28" s="182" cm="1">
        <f t="array" ref="G28">(VLOOKUP(TabDesSalariosReal[[#This Row],[id]],TabEmpleados[],COLUMN(TabEmpleados[SD Real]),FALSE))*(VLOOKUP(TabDesSalariosReal[[#This Row],[Años]],TabFactorIntegracion[],COLUMN(TabFactorIntegracion[% de prima 
vacacional y dominical]),FALSE))*((VLOOKUP(TabDesSalariosReal[[#This Row],[id]],TabAsistencias[],COLUMN(TabAsistencias[V]),FALSE)))</f>
        <v>0</v>
      </c>
      <c r="H28" s="148" cm="1">
        <f t="array" ref="H28">VLOOKUP(TabDesSalariosReal[[#This Row],[id]],TabAsistencias[],COLUMN(TabAsistencias[I]),FALSE)</f>
        <v>0</v>
      </c>
      <c r="I28" s="148" cm="1">
        <f t="array" ref="I28">VLOOKUP(TabDesSalariosReal[[#This Row],[id]],TabAsistencias[],COLUMN(TabAsistencias[IG]),FALSE)</f>
        <v>0</v>
      </c>
      <c r="J28" s="191">
        <v>0.4</v>
      </c>
      <c r="K28" s="179" cm="1">
        <f t="array" ref="K28">IF(TabDesSalariosReal[[#This Row],[Dias Incapacidad/General]]&gt;3,((TabDesSalariosReal[[#This Row],[Dias Incapacidad/General]]-3)*((VLOOKUP(TabDesSalariosReal[[#This Row],[id]],TabEmpleados[],COLUMN(TabEmpleados[SD Real]),FALSE)))*TabDesSalariosReal[[#This Row],[% pagado por incapacidad]]),0)</f>
        <v>0</v>
      </c>
      <c r="L28" s="185">
        <f>-1*(SUMIFS(TabPagos[Monto de pago],TabPagos[id],TabDesSalariosReal[[#This Row],[id]],TabPagos[Fecha de pago],"&gt;="&amp;Asistencias!$B$2,TabPagos[Fecha de pago],"&lt;"&amp;Asistencias!$B$3))</f>
        <v>0</v>
      </c>
      <c r="M28" t="str" cm="1">
        <f t="array" ref="M28">getDescripcion(TabDesSalariosReal[[#This Row],[id]],"Descuentos-Pagos","TabPagos",Asistencias!$B$2,Asistencias!$B$3)</f>
        <v/>
      </c>
      <c r="N28" s="309" cm="1">
        <f t="array" ref="N28">IF((TabDesSalariosReal[[#This Row],[Subtotal Real]]+TabDesSalariosReal[[#This Row],[Prima dominical]]+TabDesSalariosReal[[#This Row],[Prima vacacional]]+TabDesSalariosReal[[#This Row],[$ por incpacidad]]+TabDesSalariosReal[[#This Row],[Descuentos]]+TabDesSalariosReal[[#This Row],[Extras]]-TabDesSalariosReal[[#This Row],[Fiscal Real]])&gt;500,AporteComision,0)</f>
        <v>15</v>
      </c>
      <c r="O28" s="276">
        <v>0</v>
      </c>
      <c r="P28" s="188" t="str" cm="1">
        <f t="array" ref="P28">VLOOKUP(TabDesSalariosReal[[#This Row],[id]],TabEmpleados[],COLUMN(TabEmpleados[Banco de pago]),FALSE)</f>
        <v>Santander</v>
      </c>
      <c r="Q28" s="188">
        <f>TabDesSalariosReal[[#This Row],[Subtotal Real]]+TabDesSalariosReal[[#This Row],[Prima dominical]]+TabDesSalariosReal[[#This Row],[Prima vacacional]]+TabDesSalariosReal[[#This Row],[$ por incpacidad]]+TabDesSalariosReal[[#This Row],[Descuentos]]+TabDesSalariosReal[[#This Row],[Aporte por comision]]+TabDesSalariosReal[[#This Row],[Extras]]</f>
        <v>10865</v>
      </c>
      <c r="R28" s="277">
        <f>TabDesSalariosReal[[#This Row],[Total Real]]-TabDesSalariosReal[[#This Row],[Fiscal Real]]</f>
        <v>2600.6249890400013</v>
      </c>
      <c r="S28" s="179" cm="1">
        <f t="array" ref="S28">IFERROR(VLOOKUP(TabDesSalariosReal[[#This Row],[id]],TabDesSalariosFiscal[],COLUMN(TabDesSalariosFiscal[Total Fiscal]),FALSE),0)</f>
        <v>8264.3750109599987</v>
      </c>
      <c r="T28" s="197">
        <f>IFERROR(TabDesSalariosReal[[#This Row],[Persepcion Fiscal]],0)</f>
        <v>8264.3750109599987</v>
      </c>
      <c r="U28" s="55" cm="1">
        <f t="array" ref="U28">IF('Desglose Salarios Fiscal'!$Q$1=1,VLOOKUP(TabDesSalariosReal[[#This Row],[id]],TabEmpleados[],COLUMN(TabEmpleados[SD Real]),FALSE)*TabDesSalariosReal[[#This Row],[Dias de agunaldo Real2]],0)</f>
        <v>5250</v>
      </c>
      <c r="V28" s="173" cm="1">
        <f t="array" ref="V28">IF(YEAR(VLOOKUP(TabDesSalariosReal[[#This Row],[id]],TabEmpleados[],COLUMN(TabEmpleados[Fecha de ingreso]),FALSE))&lt;AñoActual,'Tablas de informacion'!$N$13,_xlfn.DAYS(DATE(AñoActual+1,MONTH(1),DAY(1))-DAY(1),(VLOOKUP(TabDesSalariosReal[[#This Row],[id]],TabEmpleados[],COLUMN(TabEmpleados[Fecha de ingreso]),FALSE))))</f>
        <v>365</v>
      </c>
      <c r="W28" cm="1">
        <f t="array" ref="W28">TabDesSalariosReal[[#This Row],[Dias de aguinaldo Real1]]*VLOOKUP(TabDesSalariosReal[[#This Row],[Años]],TabFactorIntegracion[],COLUMN(TabFactorIntegracion[Días de
aguinaldo]),FALSE)/'Tablas de informacion'!$N$13</f>
        <v>15</v>
      </c>
      <c r="X28" s="141" cm="1">
        <f t="array" ref="X28">TabDesSalariosReal[[#This Row],[Aguinaldo Real]]-IFERROR(VLOOKUP(TabDesSalariosReal[[#This Row],[id]],TabDesSalariosFiscal[],COLUMN(TabDesSalariosFiscal[Aguinaldo Fiscal]),FALSE),0)</f>
        <v>3675</v>
      </c>
    </row>
    <row r="29" spans="1:24" x14ac:dyDescent="0.25">
      <c r="A29" s="176">
        <v>27</v>
      </c>
      <c r="B29" t="str" cm="1">
        <f t="array" ref="B29">VLOOKUP(TabDesSalariosReal[[#This Row],[id]],TabEmpleados[],COLUMN(TabEmpleados[Nombre]),FALSE)</f>
        <v>GUTIERREZ LAZARO PABLO GABRIEL</v>
      </c>
      <c r="C29" s="148" cm="1">
        <f t="array" ref="C29">VLOOKUP(TabDesSalariosReal[[#This Row],[id]],TabAsistencias[],COLUMN(TabAsistencias[Total de dias laborados]),FALSE)</f>
        <v>30</v>
      </c>
      <c r="D29" s="179" cm="1">
        <f t="array" ref="D29">(VLOOKUP(TabDesSalariosReal[[#This Row],[id]],TabEmpleados[],COLUMN(TabEmpleados[SD Real]),FALSE))*TabDesSalariosReal[[#This Row],[Dias Lab.]]</f>
        <v>9000</v>
      </c>
      <c r="E29" s="180" cm="1">
        <f t="array" ref="E29">IF(DATEDIF((VLOOKUP(TabDesSalariosReal[[#This Row],[id]],TabEmpleados[],COLUMN(TabEmpleados[Fecha de ingreso]),FALSE)),Asistencias!$B$3,"Y")=0,1,DATEDIF((VLOOKUP(TabDesSalariosReal[[#This Row],[id]],TabEmpleados[],COLUMN(TabEmpleados[Fecha de ingreso]),FALSE)),Asistencias!$B$3,"Y"))</f>
        <v>1</v>
      </c>
      <c r="F29" s="181" cm="1">
        <f t="array" ref="F29">((VLOOKUP(TabDesSalariosReal[[#This Row],[id]],TabEmpleados[],COLUMN(TabEmpleados[SD Real]),FALSE))*(VLOOKUP(TabDesSalariosReal[[#This Row],[Años]],TabFactorIntegracion[],COLUMN(TabFactorIntegracion[% de prima 
vacacional y dominical]),FALSE))*(VLOOKUP(TabDesSalariosReal[[#This Row],[id]],TabAsistencias[],COLUMN(TabAsistencias[Prima dominical]),FALSE)))*(VLOOKUP((VLOOKUP(TabDesSalariosReal[[#This Row],[id]],TabEmpleados[],COLUMN(TabEmpleados[Puesto]),FALSE)),TabPuestos[],COLUMN(TabPuestos[PRIMA DOMINICAL]),FALSE))</f>
        <v>300</v>
      </c>
      <c r="G29" s="182" cm="1">
        <f t="array" ref="G29">(VLOOKUP(TabDesSalariosReal[[#This Row],[id]],TabEmpleados[],COLUMN(TabEmpleados[SD Real]),FALSE))*(VLOOKUP(TabDesSalariosReal[[#This Row],[Años]],TabFactorIntegracion[],COLUMN(TabFactorIntegracion[% de prima 
vacacional y dominical]),FALSE))*((VLOOKUP(TabDesSalariosReal[[#This Row],[id]],TabAsistencias[],COLUMN(TabAsistencias[V]),FALSE)))</f>
        <v>0</v>
      </c>
      <c r="H29" s="148" cm="1">
        <f t="array" ref="H29">VLOOKUP(TabDesSalariosReal[[#This Row],[id]],TabAsistencias[],COLUMN(TabAsistencias[I]),FALSE)</f>
        <v>0</v>
      </c>
      <c r="I29" s="148" cm="1">
        <f t="array" ref="I29">VLOOKUP(TabDesSalariosReal[[#This Row],[id]],TabAsistencias[],COLUMN(TabAsistencias[IG]),FALSE)</f>
        <v>0</v>
      </c>
      <c r="J29" s="191">
        <v>0.4</v>
      </c>
      <c r="K29" s="179" cm="1">
        <f t="array" ref="K29">IF(TabDesSalariosReal[[#This Row],[Dias Incapacidad/General]]&gt;3,((TabDesSalariosReal[[#This Row],[Dias Incapacidad/General]]-3)*((VLOOKUP(TabDesSalariosReal[[#This Row],[id]],TabEmpleados[],COLUMN(TabEmpleados[SD Real]),FALSE)))*TabDesSalariosReal[[#This Row],[% pagado por incapacidad]]),0)</f>
        <v>0</v>
      </c>
      <c r="L29" s="185">
        <f>-1*(SUMIFS(TabPagos[Monto de pago],TabPagos[id],TabDesSalariosReal[[#This Row],[id]],TabPagos[Fecha de pago],"&gt;="&amp;Asistencias!$B$2,TabPagos[Fecha de pago],"&lt;"&amp;Asistencias!$B$3))</f>
        <v>0</v>
      </c>
      <c r="M29" t="str" cm="1">
        <f t="array" ref="M29">getDescripcion(TabDesSalariosReal[[#This Row],[id]],"Descuentos-Pagos","TabPagos",Asistencias!$B$2,Asistencias!$B$3)</f>
        <v/>
      </c>
      <c r="N29" s="309" cm="1">
        <f t="array" ref="N29">IF((TabDesSalariosReal[[#This Row],[Subtotal Real]]+TabDesSalariosReal[[#This Row],[Prima dominical]]+TabDesSalariosReal[[#This Row],[Prima vacacional]]+TabDesSalariosReal[[#This Row],[$ por incpacidad]]+TabDesSalariosReal[[#This Row],[Descuentos]]+TabDesSalariosReal[[#This Row],[Extras]]-TabDesSalariosReal[[#This Row],[Fiscal Real]])&gt;500,AporteComision,0)</f>
        <v>15</v>
      </c>
      <c r="O29" s="276">
        <v>0</v>
      </c>
      <c r="P29" s="188" t="str" cm="1">
        <f t="array" ref="P29">VLOOKUP(TabDesSalariosReal[[#This Row],[id]],TabEmpleados[],COLUMN(TabEmpleados[Banco de pago]),FALSE)</f>
        <v>Santander</v>
      </c>
      <c r="Q29" s="188">
        <f>TabDesSalariosReal[[#This Row],[Subtotal Real]]+TabDesSalariosReal[[#This Row],[Prima dominical]]+TabDesSalariosReal[[#This Row],[Prima vacacional]]+TabDesSalariosReal[[#This Row],[$ por incpacidad]]+TabDesSalariosReal[[#This Row],[Descuentos]]+TabDesSalariosReal[[#This Row],[Aporte por comision]]+TabDesSalariosReal[[#This Row],[Extras]]</f>
        <v>9315</v>
      </c>
      <c r="R29" s="277">
        <f>TabDesSalariosReal[[#This Row],[Total Real]]-TabDesSalariosReal[[#This Row],[Fiscal Real]]</f>
        <v>2113.6697083199997</v>
      </c>
      <c r="S29" s="179" cm="1">
        <f t="array" ref="S29">IFERROR(VLOOKUP(TabDesSalariosReal[[#This Row],[id]],TabDesSalariosFiscal[],COLUMN(TabDesSalariosFiscal[Total Fiscal]),FALSE),0)</f>
        <v>7201.3302916800003</v>
      </c>
      <c r="T29" s="197">
        <f>IFERROR(TabDesSalariosReal[[#This Row],[Persepcion Fiscal]],0)</f>
        <v>7201.3302916800003</v>
      </c>
      <c r="U29" s="55" cm="1">
        <f t="array" ref="U29">IF('Desglose Salarios Fiscal'!$Q$1=1,VLOOKUP(TabDesSalariosReal[[#This Row],[id]],TabEmpleados[],COLUMN(TabEmpleados[SD Real]),FALSE)*TabDesSalariosReal[[#This Row],[Dias de agunaldo Real2]],0)</f>
        <v>4500</v>
      </c>
      <c r="V29" s="173" cm="1">
        <f t="array" ref="V29">IF(YEAR(VLOOKUP(TabDesSalariosReal[[#This Row],[id]],TabEmpleados[],COLUMN(TabEmpleados[Fecha de ingreso]),FALSE))&lt;AñoActual,'Tablas de informacion'!$N$13,_xlfn.DAYS(DATE(AñoActual+1,MONTH(1),DAY(1))-DAY(1),(VLOOKUP(TabDesSalariosReal[[#This Row],[id]],TabEmpleados[],COLUMN(TabEmpleados[Fecha de ingreso]),FALSE))))</f>
        <v>365</v>
      </c>
      <c r="W29" cm="1">
        <f t="array" ref="W29">TabDesSalariosReal[[#This Row],[Dias de aguinaldo Real1]]*VLOOKUP(TabDesSalariosReal[[#This Row],[Años]],TabFactorIntegracion[],COLUMN(TabFactorIntegracion[Días de
aguinaldo]),FALSE)/'Tablas de informacion'!$N$13</f>
        <v>15</v>
      </c>
      <c r="X29" s="141" cm="1">
        <f t="array" ref="X29">TabDesSalariosReal[[#This Row],[Aguinaldo Real]]-IFERROR(VLOOKUP(TabDesSalariosReal[[#This Row],[id]],TabDesSalariosFiscal[],COLUMN(TabDesSalariosFiscal[Aguinaldo Fiscal]),FALSE),0)</f>
        <v>3150</v>
      </c>
    </row>
    <row r="30" spans="1:24" x14ac:dyDescent="0.25">
      <c r="A30" s="176">
        <v>28</v>
      </c>
      <c r="B30" t="str" cm="1">
        <f t="array" ref="B30">VLOOKUP(TabDesSalariosReal[[#This Row],[id]],TabEmpleados[],COLUMN(TabEmpleados[Nombre]),FALSE)</f>
        <v>AGUILAR ROJAS OSCAR</v>
      </c>
      <c r="C30" s="148" cm="1">
        <f t="array" ref="C30">VLOOKUP(TabDesSalariosReal[[#This Row],[id]],TabAsistencias[],COLUMN(TabAsistencias[Total de dias laborados]),FALSE)</f>
        <v>30</v>
      </c>
      <c r="D30" s="179" cm="1">
        <f t="array" ref="D30">(VLOOKUP(TabDesSalariosReal[[#This Row],[id]],TabEmpleados[],COLUMN(TabEmpleados[SD Real]),FALSE))*TabDesSalariosReal[[#This Row],[Dias Lab.]]</f>
        <v>9000</v>
      </c>
      <c r="E30" s="180" cm="1">
        <f t="array" ref="E30">IF(DATEDIF((VLOOKUP(TabDesSalariosReal[[#This Row],[id]],TabEmpleados[],COLUMN(TabEmpleados[Fecha de ingreso]),FALSE)),Asistencias!$B$3,"Y")=0,1,DATEDIF((VLOOKUP(TabDesSalariosReal[[#This Row],[id]],TabEmpleados[],COLUMN(TabEmpleados[Fecha de ingreso]),FALSE)),Asistencias!$B$3,"Y"))</f>
        <v>1</v>
      </c>
      <c r="F30" s="181" cm="1">
        <f t="array" ref="F30">((VLOOKUP(TabDesSalariosReal[[#This Row],[id]],TabEmpleados[],COLUMN(TabEmpleados[SD Real]),FALSE))*(VLOOKUP(TabDesSalariosReal[[#This Row],[Años]],TabFactorIntegracion[],COLUMN(TabFactorIntegracion[% de prima 
vacacional y dominical]),FALSE))*(VLOOKUP(TabDesSalariosReal[[#This Row],[id]],TabAsistencias[],COLUMN(TabAsistencias[Prima dominical]),FALSE)))*(VLOOKUP((VLOOKUP(TabDesSalariosReal[[#This Row],[id]],TabEmpleados[],COLUMN(TabEmpleados[Puesto]),FALSE)),TabPuestos[],COLUMN(TabPuestos[PRIMA DOMINICAL]),FALSE))</f>
        <v>300</v>
      </c>
      <c r="G30" s="182" cm="1">
        <f t="array" ref="G30">(VLOOKUP(TabDesSalariosReal[[#This Row],[id]],TabEmpleados[],COLUMN(TabEmpleados[SD Real]),FALSE))*(VLOOKUP(TabDesSalariosReal[[#This Row],[Años]],TabFactorIntegracion[],COLUMN(TabFactorIntegracion[% de prima 
vacacional y dominical]),FALSE))*((VLOOKUP(TabDesSalariosReal[[#This Row],[id]],TabAsistencias[],COLUMN(TabAsistencias[V]),FALSE)))</f>
        <v>0</v>
      </c>
      <c r="H30" s="148" cm="1">
        <f t="array" ref="H30">VLOOKUP(TabDesSalariosReal[[#This Row],[id]],TabAsistencias[],COLUMN(TabAsistencias[I]),FALSE)</f>
        <v>0</v>
      </c>
      <c r="I30" s="148" cm="1">
        <f t="array" ref="I30">VLOOKUP(TabDesSalariosReal[[#This Row],[id]],TabAsistencias[],COLUMN(TabAsistencias[IG]),FALSE)</f>
        <v>0</v>
      </c>
      <c r="J30" s="191">
        <v>0.4</v>
      </c>
      <c r="K30" s="179" cm="1">
        <f t="array" ref="K30">IF(TabDesSalariosReal[[#This Row],[Dias Incapacidad/General]]&gt;3,((TabDesSalariosReal[[#This Row],[Dias Incapacidad/General]]-3)*((VLOOKUP(TabDesSalariosReal[[#This Row],[id]],TabEmpleados[],COLUMN(TabEmpleados[SD Real]),FALSE)))*TabDesSalariosReal[[#This Row],[% pagado por incapacidad]]),0)</f>
        <v>0</v>
      </c>
      <c r="L30" s="185">
        <f>-1*(SUMIFS(TabPagos[Monto de pago],TabPagos[id],TabDesSalariosReal[[#This Row],[id]],TabPagos[Fecha de pago],"&gt;="&amp;Asistencias!$B$2,TabPagos[Fecha de pago],"&lt;"&amp;Asistencias!$B$3))</f>
        <v>0</v>
      </c>
      <c r="M30" t="str" cm="1">
        <f t="array" ref="M30">getDescripcion(TabDesSalariosReal[[#This Row],[id]],"Descuentos-Pagos","TabPagos",Asistencias!$B$2,Asistencias!$B$3)</f>
        <v/>
      </c>
      <c r="N30" s="309" cm="1">
        <f t="array" ref="N30">IF((TabDesSalariosReal[[#This Row],[Subtotal Real]]+TabDesSalariosReal[[#This Row],[Prima dominical]]+TabDesSalariosReal[[#This Row],[Prima vacacional]]+TabDesSalariosReal[[#This Row],[$ por incpacidad]]+TabDesSalariosReal[[#This Row],[Descuentos]]+TabDesSalariosReal[[#This Row],[Extras]]-TabDesSalariosReal[[#This Row],[Fiscal Real]])&gt;500,AporteComision,0)</f>
        <v>15</v>
      </c>
      <c r="O30" s="276">
        <v>0</v>
      </c>
      <c r="P30" s="188" t="str" cm="1">
        <f t="array" ref="P30">VLOOKUP(TabDesSalariosReal[[#This Row],[id]],TabEmpleados[],COLUMN(TabEmpleados[Banco de pago]),FALSE)</f>
        <v>Santander</v>
      </c>
      <c r="Q30" s="188">
        <f>TabDesSalariosReal[[#This Row],[Subtotal Real]]+TabDesSalariosReal[[#This Row],[Prima dominical]]+TabDesSalariosReal[[#This Row],[Prima vacacional]]+TabDesSalariosReal[[#This Row],[$ por incpacidad]]+TabDesSalariosReal[[#This Row],[Descuentos]]+TabDesSalariosReal[[#This Row],[Aporte por comision]]+TabDesSalariosReal[[#This Row],[Extras]]</f>
        <v>9315</v>
      </c>
      <c r="R30" s="277">
        <f>TabDesSalariosReal[[#This Row],[Total Real]]-TabDesSalariosReal[[#This Row],[Fiscal Real]]</f>
        <v>2113.6697083199997</v>
      </c>
      <c r="S30" s="179" cm="1">
        <f t="array" ref="S30">IFERROR(VLOOKUP(TabDesSalariosReal[[#This Row],[id]],TabDesSalariosFiscal[],COLUMN(TabDesSalariosFiscal[Total Fiscal]),FALSE),0)</f>
        <v>7201.3302916800003</v>
      </c>
      <c r="T30" s="197">
        <f>IFERROR(TabDesSalariosReal[[#This Row],[Persepcion Fiscal]],0)</f>
        <v>7201.3302916800003</v>
      </c>
      <c r="U30" s="55" cm="1">
        <f t="array" ref="U30">IF('Desglose Salarios Fiscal'!$Q$1=1,VLOOKUP(TabDesSalariosReal[[#This Row],[id]],TabEmpleados[],COLUMN(TabEmpleados[SD Real]),FALSE)*TabDesSalariosReal[[#This Row],[Dias de agunaldo Real2]],0)</f>
        <v>4500</v>
      </c>
      <c r="V30" s="173" cm="1">
        <f t="array" ref="V30">IF(YEAR(VLOOKUP(TabDesSalariosReal[[#This Row],[id]],TabEmpleados[],COLUMN(TabEmpleados[Fecha de ingreso]),FALSE))&lt;AñoActual,'Tablas de informacion'!$N$13,_xlfn.DAYS(DATE(AñoActual+1,MONTH(1),DAY(1))-DAY(1),(VLOOKUP(TabDesSalariosReal[[#This Row],[id]],TabEmpleados[],COLUMN(TabEmpleados[Fecha de ingreso]),FALSE))))</f>
        <v>365</v>
      </c>
      <c r="W30" cm="1">
        <f t="array" ref="W30">TabDesSalariosReal[[#This Row],[Dias de aguinaldo Real1]]*VLOOKUP(TabDesSalariosReal[[#This Row],[Años]],TabFactorIntegracion[],COLUMN(TabFactorIntegracion[Días de
aguinaldo]),FALSE)/'Tablas de informacion'!$N$13</f>
        <v>15</v>
      </c>
      <c r="X30" s="141" cm="1">
        <f t="array" ref="X30">TabDesSalariosReal[[#This Row],[Aguinaldo Real]]-IFERROR(VLOOKUP(TabDesSalariosReal[[#This Row],[id]],TabDesSalariosFiscal[],COLUMN(TabDesSalariosFiscal[Aguinaldo Fiscal]),FALSE),0)</f>
        <v>3150</v>
      </c>
    </row>
    <row r="31" spans="1:24" x14ac:dyDescent="0.25">
      <c r="A31" s="176">
        <v>29</v>
      </c>
      <c r="B31" t="str" cm="1">
        <f t="array" ref="B31">VLOOKUP(TabDesSalariosReal[[#This Row],[id]],TabEmpleados[],COLUMN(TabEmpleados[Nombre]),FALSE)</f>
        <v>TOLENTINO MEJIA CYNTHIA NINET</v>
      </c>
      <c r="C31" s="148" cm="1">
        <f t="array" ref="C31">VLOOKUP(TabDesSalariosReal[[#This Row],[id]],TabAsistencias[],COLUMN(TabAsistencias[Total de dias laborados]),FALSE)</f>
        <v>30</v>
      </c>
      <c r="D31" s="179" cm="1">
        <f t="array" ref="D31">(VLOOKUP(TabDesSalariosReal[[#This Row],[id]],TabEmpleados[],COLUMN(TabEmpleados[SD Real]),FALSE))*TabDesSalariosReal[[#This Row],[Dias Lab.]]</f>
        <v>9600</v>
      </c>
      <c r="E31" s="180" cm="1">
        <f t="array" ref="E31">IF(DATEDIF((VLOOKUP(TabDesSalariosReal[[#This Row],[id]],TabEmpleados[],COLUMN(TabEmpleados[Fecha de ingreso]),FALSE)),Asistencias!$B$3,"Y")=0,1,DATEDIF((VLOOKUP(TabDesSalariosReal[[#This Row],[id]],TabEmpleados[],COLUMN(TabEmpleados[Fecha de ingreso]),FALSE)),Asistencias!$B$3,"Y"))</f>
        <v>1</v>
      </c>
      <c r="F31" s="181" cm="1">
        <f t="array" ref="F31">((VLOOKUP(TabDesSalariosReal[[#This Row],[id]],TabEmpleados[],COLUMN(TabEmpleados[SD Real]),FALSE))*(VLOOKUP(TabDesSalariosReal[[#This Row],[Años]],TabFactorIntegracion[],COLUMN(TabFactorIntegracion[% de prima 
vacacional y dominical]),FALSE))*(VLOOKUP(TabDesSalariosReal[[#This Row],[id]],TabAsistencias[],COLUMN(TabAsistencias[Prima dominical]),FALSE)))*(VLOOKUP((VLOOKUP(TabDesSalariosReal[[#This Row],[id]],TabEmpleados[],COLUMN(TabEmpleados[Puesto]),FALSE)),TabPuestos[],COLUMN(TabPuestos[PRIMA DOMINICAL]),FALSE))</f>
        <v>320</v>
      </c>
      <c r="G31" s="182" cm="1">
        <f t="array" ref="G31">(VLOOKUP(TabDesSalariosReal[[#This Row],[id]],TabEmpleados[],COLUMN(TabEmpleados[SD Real]),FALSE))*(VLOOKUP(TabDesSalariosReal[[#This Row],[Años]],TabFactorIntegracion[],COLUMN(TabFactorIntegracion[% de prima 
vacacional y dominical]),FALSE))*((VLOOKUP(TabDesSalariosReal[[#This Row],[id]],TabAsistencias[],COLUMN(TabAsistencias[V]),FALSE)))</f>
        <v>0</v>
      </c>
      <c r="H31" s="148" cm="1">
        <f t="array" ref="H31">VLOOKUP(TabDesSalariosReal[[#This Row],[id]],TabAsistencias[],COLUMN(TabAsistencias[I]),FALSE)</f>
        <v>0</v>
      </c>
      <c r="I31" s="148" cm="1">
        <f t="array" ref="I31">VLOOKUP(TabDesSalariosReal[[#This Row],[id]],TabAsistencias[],COLUMN(TabAsistencias[IG]),FALSE)</f>
        <v>0</v>
      </c>
      <c r="J31" s="191">
        <v>0.4</v>
      </c>
      <c r="K31" s="179" cm="1">
        <f t="array" ref="K31">IF(TabDesSalariosReal[[#This Row],[Dias Incapacidad/General]]&gt;3,((TabDesSalariosReal[[#This Row],[Dias Incapacidad/General]]-3)*((VLOOKUP(TabDesSalariosReal[[#This Row],[id]],TabEmpleados[],COLUMN(TabEmpleados[SD Real]),FALSE)))*TabDesSalariosReal[[#This Row],[% pagado por incapacidad]]),0)</f>
        <v>0</v>
      </c>
      <c r="L31" s="185">
        <f>-1*(SUMIFS(TabPagos[Monto de pago],TabPagos[id],TabDesSalariosReal[[#This Row],[id]],TabPagos[Fecha de pago],"&gt;="&amp;Asistencias!$B$2,TabPagos[Fecha de pago],"&lt;"&amp;Asistencias!$B$3))</f>
        <v>0</v>
      </c>
      <c r="M31" t="str" cm="1">
        <f t="array" ref="M31">getDescripcion(TabDesSalariosReal[[#This Row],[id]],"Descuentos-Pagos","TabPagos",Asistencias!$B$2,Asistencias!$B$3)</f>
        <v/>
      </c>
      <c r="N31" s="309" cm="1">
        <f t="array" ref="N31">IF((TabDesSalariosReal[[#This Row],[Subtotal Real]]+TabDesSalariosReal[[#This Row],[Prima dominical]]+TabDesSalariosReal[[#This Row],[Prima vacacional]]+TabDesSalariosReal[[#This Row],[$ por incpacidad]]+TabDesSalariosReal[[#This Row],[Descuentos]]+TabDesSalariosReal[[#This Row],[Extras]]-TabDesSalariosReal[[#This Row],[Fiscal Real]])&gt;500,AporteComision,0)</f>
        <v>15</v>
      </c>
      <c r="O31" s="276">
        <v>0</v>
      </c>
      <c r="P31" s="188" t="str" cm="1">
        <f t="array" ref="P31">VLOOKUP(TabDesSalariosReal[[#This Row],[id]],TabEmpleados[],COLUMN(TabEmpleados[Banco de pago]),FALSE)</f>
        <v>Santander</v>
      </c>
      <c r="Q31" s="188">
        <f>TabDesSalariosReal[[#This Row],[Subtotal Real]]+TabDesSalariosReal[[#This Row],[Prima dominical]]+TabDesSalariosReal[[#This Row],[Prima vacacional]]+TabDesSalariosReal[[#This Row],[$ por incpacidad]]+TabDesSalariosReal[[#This Row],[Descuentos]]+TabDesSalariosReal[[#This Row],[Aporte por comision]]+TabDesSalariosReal[[#This Row],[Extras]]</f>
        <v>9935</v>
      </c>
      <c r="R31" s="277">
        <f>TabDesSalariosReal[[#This Row],[Total Real]]-TabDesSalariosReal[[#This Row],[Fiscal Real]]</f>
        <v>2308.4518206079993</v>
      </c>
      <c r="S31" s="179" cm="1">
        <f t="array" ref="S31">IFERROR(VLOOKUP(TabDesSalariosReal[[#This Row],[id]],TabDesSalariosFiscal[],COLUMN(TabDesSalariosFiscal[Total Fiscal]),FALSE),0)</f>
        <v>7626.5481793920007</v>
      </c>
      <c r="T31" s="197">
        <f>IFERROR(TabDesSalariosReal[[#This Row],[Persepcion Fiscal]],0)</f>
        <v>7626.5481793920007</v>
      </c>
      <c r="U31" s="55" cm="1">
        <f t="array" ref="U31">IF('Desglose Salarios Fiscal'!$Q$1=1,VLOOKUP(TabDesSalariosReal[[#This Row],[id]],TabEmpleados[],COLUMN(TabEmpleados[SD Real]),FALSE)*TabDesSalariosReal[[#This Row],[Dias de agunaldo Real2]],0)</f>
        <v>4800</v>
      </c>
      <c r="V31" s="173" cm="1">
        <f t="array" ref="V31">IF(YEAR(VLOOKUP(TabDesSalariosReal[[#This Row],[id]],TabEmpleados[],COLUMN(TabEmpleados[Fecha de ingreso]),FALSE))&lt;AñoActual,'Tablas de informacion'!$N$13,_xlfn.DAYS(DATE(AñoActual+1,MONTH(1),DAY(1))-DAY(1),(VLOOKUP(TabDesSalariosReal[[#This Row],[id]],TabEmpleados[],COLUMN(TabEmpleados[Fecha de ingreso]),FALSE))))</f>
        <v>365</v>
      </c>
      <c r="W31" cm="1">
        <f t="array" ref="W31">TabDesSalariosReal[[#This Row],[Dias de aguinaldo Real1]]*VLOOKUP(TabDesSalariosReal[[#This Row],[Años]],TabFactorIntegracion[],COLUMN(TabFactorIntegracion[Días de
aguinaldo]),FALSE)/'Tablas de informacion'!$N$13</f>
        <v>15</v>
      </c>
      <c r="X31" s="141" cm="1">
        <f t="array" ref="X31">TabDesSalariosReal[[#This Row],[Aguinaldo Real]]-IFERROR(VLOOKUP(TabDesSalariosReal[[#This Row],[id]],TabDesSalariosFiscal[],COLUMN(TabDesSalariosFiscal[Aguinaldo Fiscal]),FALSE),0)</f>
        <v>3360</v>
      </c>
    </row>
    <row r="32" spans="1:24" x14ac:dyDescent="0.25">
      <c r="A32" s="176">
        <v>30</v>
      </c>
      <c r="B32" t="str" cm="1">
        <f t="array" ref="B32">VLOOKUP(TabDesSalariosReal[[#This Row],[id]],TabEmpleados[],COLUMN(TabEmpleados[Nombre]),FALSE)</f>
        <v xml:space="preserve">RUIZ RAMOS ANGEL </v>
      </c>
      <c r="C32" s="148" cm="1">
        <f t="array" ref="C32">VLOOKUP(TabDesSalariosReal[[#This Row],[id]],TabAsistencias[],COLUMN(TabAsistencias[Total de dias laborados]),FALSE)</f>
        <v>30</v>
      </c>
      <c r="D32" s="179" cm="1">
        <f t="array" ref="D32">(VLOOKUP(TabDesSalariosReal[[#This Row],[id]],TabEmpleados[],COLUMN(TabEmpleados[SD Real]),FALSE))*TabDesSalariosReal[[#This Row],[Dias Lab.]]</f>
        <v>9000</v>
      </c>
      <c r="E32" s="180" cm="1">
        <f t="array" ref="E32">IF(DATEDIF((VLOOKUP(TabDesSalariosReal[[#This Row],[id]],TabEmpleados[],COLUMN(TabEmpleados[Fecha de ingreso]),FALSE)),Asistencias!$B$3,"Y")=0,1,DATEDIF((VLOOKUP(TabDesSalariosReal[[#This Row],[id]],TabEmpleados[],COLUMN(TabEmpleados[Fecha de ingreso]),FALSE)),Asistencias!$B$3,"Y"))</f>
        <v>1</v>
      </c>
      <c r="F32" s="181" cm="1">
        <f t="array" ref="F32">((VLOOKUP(TabDesSalariosReal[[#This Row],[id]],TabEmpleados[],COLUMN(TabEmpleados[SD Real]),FALSE))*(VLOOKUP(TabDesSalariosReal[[#This Row],[Años]],TabFactorIntegracion[],COLUMN(TabFactorIntegracion[% de prima 
vacacional y dominical]),FALSE))*(VLOOKUP(TabDesSalariosReal[[#This Row],[id]],TabAsistencias[],COLUMN(TabAsistencias[Prima dominical]),FALSE)))*(VLOOKUP((VLOOKUP(TabDesSalariosReal[[#This Row],[id]],TabEmpleados[],COLUMN(TabEmpleados[Puesto]),FALSE)),TabPuestos[],COLUMN(TabPuestos[PRIMA DOMINICAL]),FALSE))</f>
        <v>300</v>
      </c>
      <c r="G32" s="182" cm="1">
        <f t="array" ref="G32">(VLOOKUP(TabDesSalariosReal[[#This Row],[id]],TabEmpleados[],COLUMN(TabEmpleados[SD Real]),FALSE))*(VLOOKUP(TabDesSalariosReal[[#This Row],[Años]],TabFactorIntegracion[],COLUMN(TabFactorIntegracion[% de prima 
vacacional y dominical]),FALSE))*((VLOOKUP(TabDesSalariosReal[[#This Row],[id]],TabAsistencias[],COLUMN(TabAsistencias[V]),FALSE)))</f>
        <v>0</v>
      </c>
      <c r="H32" s="148" cm="1">
        <f t="array" ref="H32">VLOOKUP(TabDesSalariosReal[[#This Row],[id]],TabAsistencias[],COLUMN(TabAsistencias[I]),FALSE)</f>
        <v>0</v>
      </c>
      <c r="I32" s="148" cm="1">
        <f t="array" ref="I32">VLOOKUP(TabDesSalariosReal[[#This Row],[id]],TabAsistencias[],COLUMN(TabAsistencias[IG]),FALSE)</f>
        <v>0</v>
      </c>
      <c r="J32" s="191">
        <v>0.4</v>
      </c>
      <c r="K32" s="179" cm="1">
        <f t="array" ref="K32">IF(TabDesSalariosReal[[#This Row],[Dias Incapacidad/General]]&gt;3,((TabDesSalariosReal[[#This Row],[Dias Incapacidad/General]]-3)*((VLOOKUP(TabDesSalariosReal[[#This Row],[id]],TabEmpleados[],COLUMN(TabEmpleados[SD Real]),FALSE)))*TabDesSalariosReal[[#This Row],[% pagado por incapacidad]]),0)</f>
        <v>0</v>
      </c>
      <c r="L32" s="185">
        <f>-1*(SUMIFS(TabPagos[Monto de pago],TabPagos[id],TabDesSalariosReal[[#This Row],[id]],TabPagos[Fecha de pago],"&gt;="&amp;Asistencias!$B$2,TabPagos[Fecha de pago],"&lt;"&amp;Asistencias!$B$3))</f>
        <v>0</v>
      </c>
      <c r="M32" t="str" cm="1">
        <f t="array" ref="M32">getDescripcion(TabDesSalariosReal[[#This Row],[id]],"Descuentos-Pagos","TabPagos",Asistencias!$B$2,Asistencias!$B$3)</f>
        <v/>
      </c>
      <c r="N32" s="309" cm="1">
        <f t="array" ref="N32">IF((TabDesSalariosReal[[#This Row],[Subtotal Real]]+TabDesSalariosReal[[#This Row],[Prima dominical]]+TabDesSalariosReal[[#This Row],[Prima vacacional]]+TabDesSalariosReal[[#This Row],[$ por incpacidad]]+TabDesSalariosReal[[#This Row],[Descuentos]]+TabDesSalariosReal[[#This Row],[Extras]]-TabDesSalariosReal[[#This Row],[Fiscal Real]])&gt;500,AporteComision,0)</f>
        <v>15</v>
      </c>
      <c r="O32" s="276">
        <v>0</v>
      </c>
      <c r="P32" s="188" t="str" cm="1">
        <f t="array" ref="P32">VLOOKUP(TabDesSalariosReal[[#This Row],[id]],TabEmpleados[],COLUMN(TabEmpleados[Banco de pago]),FALSE)</f>
        <v>Santander</v>
      </c>
      <c r="Q32" s="188">
        <f>TabDesSalariosReal[[#This Row],[Subtotal Real]]+TabDesSalariosReal[[#This Row],[Prima dominical]]+TabDesSalariosReal[[#This Row],[Prima vacacional]]+TabDesSalariosReal[[#This Row],[$ por incpacidad]]+TabDesSalariosReal[[#This Row],[Descuentos]]+TabDesSalariosReal[[#This Row],[Aporte por comision]]+TabDesSalariosReal[[#This Row],[Extras]]</f>
        <v>9315</v>
      </c>
      <c r="R32" s="277">
        <f>TabDesSalariosReal[[#This Row],[Total Real]]-TabDesSalariosReal[[#This Row],[Fiscal Real]]</f>
        <v>2113.6697083199997</v>
      </c>
      <c r="S32" s="179" cm="1">
        <f t="array" ref="S32">IFERROR(VLOOKUP(TabDesSalariosReal[[#This Row],[id]],TabDesSalariosFiscal[],COLUMN(TabDesSalariosFiscal[Total Fiscal]),FALSE),0)</f>
        <v>7201.3302916800003</v>
      </c>
      <c r="T32" s="197">
        <f>IFERROR(TabDesSalariosReal[[#This Row],[Persepcion Fiscal]],0)</f>
        <v>7201.3302916800003</v>
      </c>
      <c r="U32" s="55" cm="1">
        <f t="array" ref="U32">IF('Desglose Salarios Fiscal'!$Q$1=1,VLOOKUP(TabDesSalariosReal[[#This Row],[id]],TabEmpleados[],COLUMN(TabEmpleados[SD Real]),FALSE)*TabDesSalariosReal[[#This Row],[Dias de agunaldo Real2]],0)</f>
        <v>4500</v>
      </c>
      <c r="V32" s="173" cm="1">
        <f t="array" ref="V32">IF(YEAR(VLOOKUP(TabDesSalariosReal[[#This Row],[id]],TabEmpleados[],COLUMN(TabEmpleados[Fecha de ingreso]),FALSE))&lt;AñoActual,'Tablas de informacion'!$N$13,_xlfn.DAYS(DATE(AñoActual+1,MONTH(1),DAY(1))-DAY(1),(VLOOKUP(TabDesSalariosReal[[#This Row],[id]],TabEmpleados[],COLUMN(TabEmpleados[Fecha de ingreso]),FALSE))))</f>
        <v>365</v>
      </c>
      <c r="W32" cm="1">
        <f t="array" ref="W32">TabDesSalariosReal[[#This Row],[Dias de aguinaldo Real1]]*VLOOKUP(TabDesSalariosReal[[#This Row],[Años]],TabFactorIntegracion[],COLUMN(TabFactorIntegracion[Días de
aguinaldo]),FALSE)/'Tablas de informacion'!$N$13</f>
        <v>15</v>
      </c>
      <c r="X32" s="141" cm="1">
        <f t="array" ref="X32">TabDesSalariosReal[[#This Row],[Aguinaldo Real]]-IFERROR(VLOOKUP(TabDesSalariosReal[[#This Row],[id]],TabDesSalariosFiscal[],COLUMN(TabDesSalariosFiscal[Aguinaldo Fiscal]),FALSE),0)</f>
        <v>3150</v>
      </c>
    </row>
    <row r="33" spans="1:24" x14ac:dyDescent="0.25">
      <c r="A33" s="176">
        <v>31</v>
      </c>
      <c r="B33" t="str" cm="1">
        <f t="array" ref="B33">VLOOKUP(TabDesSalariosReal[[#This Row],[id]],TabEmpleados[],COLUMN(TabEmpleados[Nombre]),FALSE)</f>
        <v>RIOS LUIS OSVALDO</v>
      </c>
      <c r="C33" s="148" cm="1">
        <f t="array" ref="C33">VLOOKUP(TabDesSalariosReal[[#This Row],[id]],TabAsistencias[],COLUMN(TabAsistencias[Total de dias laborados]),FALSE)</f>
        <v>30</v>
      </c>
      <c r="D33" s="179" cm="1">
        <f t="array" ref="D33">(VLOOKUP(TabDesSalariosReal[[#This Row],[id]],TabEmpleados[],COLUMN(TabEmpleados[SD Real]),FALSE))*TabDesSalariosReal[[#This Row],[Dias Lab.]]</f>
        <v>9000</v>
      </c>
      <c r="E33" s="180" cm="1">
        <f t="array" ref="E33">IF(DATEDIF((VLOOKUP(TabDesSalariosReal[[#This Row],[id]],TabEmpleados[],COLUMN(TabEmpleados[Fecha de ingreso]),FALSE)),Asistencias!$B$3,"Y")=0,1,DATEDIF((VLOOKUP(TabDesSalariosReal[[#This Row],[id]],TabEmpleados[],COLUMN(TabEmpleados[Fecha de ingreso]),FALSE)),Asistencias!$B$3,"Y"))</f>
        <v>16</v>
      </c>
      <c r="F33" s="181" cm="1">
        <f t="array" ref="F33">((VLOOKUP(TabDesSalariosReal[[#This Row],[id]],TabEmpleados[],COLUMN(TabEmpleados[SD Real]),FALSE))*(VLOOKUP(TabDesSalariosReal[[#This Row],[Años]],TabFactorIntegracion[],COLUMN(TabFactorIntegracion[% de prima 
vacacional y dominical]),FALSE))*(VLOOKUP(TabDesSalariosReal[[#This Row],[id]],TabAsistencias[],COLUMN(TabAsistencias[Prima dominical]),FALSE)))*(VLOOKUP((VLOOKUP(TabDesSalariosReal[[#This Row],[id]],TabEmpleados[],COLUMN(TabEmpleados[Puesto]),FALSE)),TabPuestos[],COLUMN(TabPuestos[PRIMA DOMINICAL]),FALSE))</f>
        <v>300</v>
      </c>
      <c r="G33" s="182" cm="1">
        <f t="array" ref="G33">(VLOOKUP(TabDesSalariosReal[[#This Row],[id]],TabEmpleados[],COLUMN(TabEmpleados[SD Real]),FALSE))*(VLOOKUP(TabDesSalariosReal[[#This Row],[Años]],TabFactorIntegracion[],COLUMN(TabFactorIntegracion[% de prima 
vacacional y dominical]),FALSE))*((VLOOKUP(TabDesSalariosReal[[#This Row],[id]],TabAsistencias[],COLUMN(TabAsistencias[V]),FALSE)))</f>
        <v>0</v>
      </c>
      <c r="H33" s="148" cm="1">
        <f t="array" ref="H33">VLOOKUP(TabDesSalariosReal[[#This Row],[id]],TabAsistencias[],COLUMN(TabAsistencias[I]),FALSE)</f>
        <v>0</v>
      </c>
      <c r="I33" s="148" cm="1">
        <f t="array" ref="I33">VLOOKUP(TabDesSalariosReal[[#This Row],[id]],TabAsistencias[],COLUMN(TabAsistencias[IG]),FALSE)</f>
        <v>0</v>
      </c>
      <c r="J33" s="191">
        <v>0.4</v>
      </c>
      <c r="K33" s="179" cm="1">
        <f t="array" ref="K33">IF(TabDesSalariosReal[[#This Row],[Dias Incapacidad/General]]&gt;3,((TabDesSalariosReal[[#This Row],[Dias Incapacidad/General]]-3)*((VLOOKUP(TabDesSalariosReal[[#This Row],[id]],TabEmpleados[],COLUMN(TabEmpleados[SD Real]),FALSE)))*TabDesSalariosReal[[#This Row],[% pagado por incapacidad]]),0)</f>
        <v>0</v>
      </c>
      <c r="L33" s="185">
        <f>-1*(SUMIFS(TabPagos[Monto de pago],TabPagos[id],TabDesSalariosReal[[#This Row],[id]],TabPagos[Fecha de pago],"&gt;="&amp;Asistencias!$B$2,TabPagos[Fecha de pago],"&lt;"&amp;Asistencias!$B$3))</f>
        <v>0</v>
      </c>
      <c r="M33" t="str" cm="1">
        <f t="array" ref="M33">getDescripcion(TabDesSalariosReal[[#This Row],[id]],"Descuentos-Pagos","TabPagos",Asistencias!$B$2,Asistencias!$B$3)</f>
        <v/>
      </c>
      <c r="N33" s="309" cm="1">
        <f t="array" ref="N33">IF((TabDesSalariosReal[[#This Row],[Subtotal Real]]+TabDesSalariosReal[[#This Row],[Prima dominical]]+TabDesSalariosReal[[#This Row],[Prima vacacional]]+TabDesSalariosReal[[#This Row],[$ por incpacidad]]+TabDesSalariosReal[[#This Row],[Descuentos]]+TabDesSalariosReal[[#This Row],[Extras]]-TabDesSalariosReal[[#This Row],[Fiscal Real]])&gt;500,AporteComision,0)</f>
        <v>0</v>
      </c>
      <c r="O33" s="276">
        <v>0</v>
      </c>
      <c r="P33" s="188" t="str" cm="1">
        <f t="array" ref="P33">VLOOKUP(TabDesSalariosReal[[#This Row],[id]],TabEmpleados[],COLUMN(TabEmpleados[Banco de pago]),FALSE)</f>
        <v>Santander</v>
      </c>
      <c r="Q33" s="188">
        <f>TabDesSalariosReal[[#This Row],[Subtotal Real]]+TabDesSalariosReal[[#This Row],[Prima dominical]]+TabDesSalariosReal[[#This Row],[Prima vacacional]]+TabDesSalariosReal[[#This Row],[$ por incpacidad]]+TabDesSalariosReal[[#This Row],[Descuentos]]+TabDesSalariosReal[[#This Row],[Aporte por comision]]+TabDesSalariosReal[[#This Row],[Extras]]</f>
        <v>9300</v>
      </c>
      <c r="R33" s="277">
        <f>TabDesSalariosReal[[#This Row],[Total Real]]-TabDesSalariosReal[[#This Row],[Fiscal Real]]</f>
        <v>-3451.311047647001</v>
      </c>
      <c r="S33" s="179" cm="1">
        <f t="array" ref="S33">IFERROR(VLOOKUP(TabDesSalariosReal[[#This Row],[id]],TabDesSalariosFiscal[],COLUMN(TabDesSalariosFiscal[Total Fiscal]),FALSE),0)</f>
        <v>12751.311047647001</v>
      </c>
      <c r="T33" s="197">
        <f>IFERROR(TabDesSalariosReal[[#This Row],[Persepcion Fiscal]],0)</f>
        <v>12751.311047647001</v>
      </c>
      <c r="U33" s="55" cm="1">
        <f t="array" ref="U33">IF('Desglose Salarios Fiscal'!$Q$1=1,VLOOKUP(TabDesSalariosReal[[#This Row],[id]],TabEmpleados[],COLUMN(TabEmpleados[SD Real]),FALSE)*TabDesSalariosReal[[#This Row],[Dias de agunaldo Real2]],0)</f>
        <v>4500</v>
      </c>
      <c r="V33" s="173" cm="1">
        <f t="array" ref="V33">IF(YEAR(VLOOKUP(TabDesSalariosReal[[#This Row],[id]],TabEmpleados[],COLUMN(TabEmpleados[Fecha de ingreso]),FALSE))&lt;AñoActual,'Tablas de informacion'!$N$13,_xlfn.DAYS(DATE(AñoActual+1,MONTH(1),DAY(1))-DAY(1),(VLOOKUP(TabDesSalariosReal[[#This Row],[id]],TabEmpleados[],COLUMN(TabEmpleados[Fecha de ingreso]),FALSE))))</f>
        <v>365</v>
      </c>
      <c r="W33" cm="1">
        <f t="array" ref="W33">TabDesSalariosReal[[#This Row],[Dias de aguinaldo Real1]]*VLOOKUP(TabDesSalariosReal[[#This Row],[Años]],TabFactorIntegracion[],COLUMN(TabFactorIntegracion[Días de
aguinaldo]),FALSE)/'Tablas de informacion'!$N$13</f>
        <v>15</v>
      </c>
      <c r="X33" s="141" cm="1">
        <f t="array" ref="X33">TabDesSalariosReal[[#This Row],[Aguinaldo Real]]-IFERROR(VLOOKUP(TabDesSalariosReal[[#This Row],[id]],TabDesSalariosFiscal[],COLUMN(TabDesSalariosFiscal[Aguinaldo Fiscal]),FALSE),0)</f>
        <v>1905</v>
      </c>
    </row>
    <row r="34" spans="1:24" x14ac:dyDescent="0.25">
      <c r="A34" s="176">
        <v>32</v>
      </c>
      <c r="B34" t="str" cm="1">
        <f t="array" ref="B34">VLOOKUP(TabDesSalariosReal[[#This Row],[id]],TabEmpleados[],COLUMN(TabEmpleados[Nombre]),FALSE)</f>
        <v>PEREZ RUIZ NADIA LIZBETH</v>
      </c>
      <c r="C34" s="148" cm="1">
        <f t="array" ref="C34">VLOOKUP(TabDesSalariosReal[[#This Row],[id]],TabAsistencias[],COLUMN(TabAsistencias[Total de dias laborados]),FALSE)</f>
        <v>30</v>
      </c>
      <c r="D34" s="179" cm="1">
        <f t="array" ref="D34">(VLOOKUP(TabDesSalariosReal[[#This Row],[id]],TabEmpleados[],COLUMN(TabEmpleados[SD Real]),FALSE))*TabDesSalariosReal[[#This Row],[Dias Lab.]]</f>
        <v>8400</v>
      </c>
      <c r="E34" s="180" cm="1">
        <f t="array" ref="E34">IF(DATEDIF((VLOOKUP(TabDesSalariosReal[[#This Row],[id]],TabEmpleados[],COLUMN(TabEmpleados[Fecha de ingreso]),FALSE)),Asistencias!$B$3,"Y")=0,1,DATEDIF((VLOOKUP(TabDesSalariosReal[[#This Row],[id]],TabEmpleados[],COLUMN(TabEmpleados[Fecha de ingreso]),FALSE)),Asistencias!$B$3,"Y"))</f>
        <v>1</v>
      </c>
      <c r="F34" s="181" cm="1">
        <f t="array" ref="F34">((VLOOKUP(TabDesSalariosReal[[#This Row],[id]],TabEmpleados[],COLUMN(TabEmpleados[SD Real]),FALSE))*(VLOOKUP(TabDesSalariosReal[[#This Row],[Años]],TabFactorIntegracion[],COLUMN(TabFactorIntegracion[% de prima 
vacacional y dominical]),FALSE))*(VLOOKUP(TabDesSalariosReal[[#This Row],[id]],TabAsistencias[],COLUMN(TabAsistencias[Prima dominical]),FALSE)))*(VLOOKUP((VLOOKUP(TabDesSalariosReal[[#This Row],[id]],TabEmpleados[],COLUMN(TabEmpleados[Puesto]),FALSE)),TabPuestos[],COLUMN(TabPuestos[PRIMA DOMINICAL]),FALSE))</f>
        <v>280</v>
      </c>
      <c r="G34" s="182" cm="1">
        <f t="array" ref="G34">(VLOOKUP(TabDesSalariosReal[[#This Row],[id]],TabEmpleados[],COLUMN(TabEmpleados[SD Real]),FALSE))*(VLOOKUP(TabDesSalariosReal[[#This Row],[Años]],TabFactorIntegracion[],COLUMN(TabFactorIntegracion[% de prima 
vacacional y dominical]),FALSE))*((VLOOKUP(TabDesSalariosReal[[#This Row],[id]],TabAsistencias[],COLUMN(TabAsistencias[V]),FALSE)))</f>
        <v>0</v>
      </c>
      <c r="H34" s="148" cm="1">
        <f t="array" ref="H34">VLOOKUP(TabDesSalariosReal[[#This Row],[id]],TabAsistencias[],COLUMN(TabAsistencias[I]),FALSE)</f>
        <v>0</v>
      </c>
      <c r="I34" s="148" cm="1">
        <f t="array" ref="I34">VLOOKUP(TabDesSalariosReal[[#This Row],[id]],TabAsistencias[],COLUMN(TabAsistencias[IG]),FALSE)</f>
        <v>0</v>
      </c>
      <c r="J34" s="191">
        <v>0.4</v>
      </c>
      <c r="K34" s="179" cm="1">
        <f t="array" ref="K34">IF(TabDesSalariosReal[[#This Row],[Dias Incapacidad/General]]&gt;3,((TabDesSalariosReal[[#This Row],[Dias Incapacidad/General]]-3)*((VLOOKUP(TabDesSalariosReal[[#This Row],[id]],TabEmpleados[],COLUMN(TabEmpleados[SD Real]),FALSE)))*TabDesSalariosReal[[#This Row],[% pagado por incapacidad]]),0)</f>
        <v>0</v>
      </c>
      <c r="L34" s="185">
        <f>-1*(SUMIFS(TabPagos[Monto de pago],TabPagos[id],TabDesSalariosReal[[#This Row],[id]],TabPagos[Fecha de pago],"&gt;="&amp;Asistencias!$B$2,TabPagos[Fecha de pago],"&lt;"&amp;Asistencias!$B$3))</f>
        <v>0</v>
      </c>
      <c r="M34" t="str" cm="1">
        <f t="array" ref="M34">getDescripcion(TabDesSalariosReal[[#This Row],[id]],"Descuentos-Pagos","TabPagos",Asistencias!$B$2,Asistencias!$B$3)</f>
        <v/>
      </c>
      <c r="N34" s="309" cm="1">
        <f t="array" ref="N34">IF((TabDesSalariosReal[[#This Row],[Subtotal Real]]+TabDesSalariosReal[[#This Row],[Prima dominical]]+TabDesSalariosReal[[#This Row],[Prima vacacional]]+TabDesSalariosReal[[#This Row],[$ por incpacidad]]+TabDesSalariosReal[[#This Row],[Descuentos]]+TabDesSalariosReal[[#This Row],[Extras]]-TabDesSalariosReal[[#This Row],[Fiscal Real]])&gt;500,AporteComision,0)</f>
        <v>15</v>
      </c>
      <c r="O34" s="276">
        <v>0</v>
      </c>
      <c r="P34" s="188" t="str" cm="1">
        <f t="array" ref="P34">VLOOKUP(TabDesSalariosReal[[#This Row],[id]],TabEmpleados[],COLUMN(TabEmpleados[Banco de pago]),FALSE)</f>
        <v>Santander</v>
      </c>
      <c r="Q34" s="188">
        <f>TabDesSalariosReal[[#This Row],[Subtotal Real]]+TabDesSalariosReal[[#This Row],[Prima dominical]]+TabDesSalariosReal[[#This Row],[Prima vacacional]]+TabDesSalariosReal[[#This Row],[$ por incpacidad]]+TabDesSalariosReal[[#This Row],[Descuentos]]+TabDesSalariosReal[[#This Row],[Aporte por comision]]+TabDesSalariosReal[[#This Row],[Extras]]</f>
        <v>8695</v>
      </c>
      <c r="R34" s="277">
        <f>TabDesSalariosReal[[#This Row],[Total Real]]-TabDesSalariosReal[[#This Row],[Fiscal Real]]</f>
        <v>1922.3105303040002</v>
      </c>
      <c r="S34" s="179" cm="1">
        <f t="array" ref="S34">IFERROR(VLOOKUP(TabDesSalariosReal[[#This Row],[id]],TabDesSalariosFiscal[],COLUMN(TabDesSalariosFiscal[Total Fiscal]),FALSE),0)</f>
        <v>6772.6894696959998</v>
      </c>
      <c r="T34" s="197">
        <f>IFERROR(TabDesSalariosReal[[#This Row],[Persepcion Fiscal]],0)</f>
        <v>6772.6894696959998</v>
      </c>
      <c r="U34" s="55" cm="1">
        <f t="array" ref="U34">IF('Desglose Salarios Fiscal'!$Q$1=1,VLOOKUP(TabDesSalariosReal[[#This Row],[id]],TabEmpleados[],COLUMN(TabEmpleados[SD Real]),FALSE)*TabDesSalariosReal[[#This Row],[Dias de agunaldo Real2]],0)</f>
        <v>4200</v>
      </c>
      <c r="V34" s="173" cm="1">
        <f t="array" ref="V34">IF(YEAR(VLOOKUP(TabDesSalariosReal[[#This Row],[id]],TabEmpleados[],COLUMN(TabEmpleados[Fecha de ingreso]),FALSE))&lt;AñoActual,'Tablas de informacion'!$N$13,_xlfn.DAYS(DATE(AñoActual+1,MONTH(1),DAY(1))-DAY(1),(VLOOKUP(TabDesSalariosReal[[#This Row],[id]],TabEmpleados[],COLUMN(TabEmpleados[Fecha de ingreso]),FALSE))))</f>
        <v>365</v>
      </c>
      <c r="W34" cm="1">
        <f t="array" ref="W34">TabDesSalariosReal[[#This Row],[Dias de aguinaldo Real1]]*VLOOKUP(TabDesSalariosReal[[#This Row],[Años]],TabFactorIntegracion[],COLUMN(TabFactorIntegracion[Días de
aguinaldo]),FALSE)/'Tablas de informacion'!$N$13</f>
        <v>15</v>
      </c>
      <c r="X34" s="141" cm="1">
        <f t="array" ref="X34">TabDesSalariosReal[[#This Row],[Aguinaldo Real]]-IFERROR(VLOOKUP(TabDesSalariosReal[[#This Row],[id]],TabDesSalariosFiscal[],COLUMN(TabDesSalariosFiscal[Aguinaldo Fiscal]),FALSE),0)</f>
        <v>2940</v>
      </c>
    </row>
    <row r="35" spans="1:24" x14ac:dyDescent="0.25">
      <c r="A35" s="176">
        <v>33</v>
      </c>
      <c r="B35" t="str" cm="1">
        <f t="array" ref="B35">VLOOKUP(TabDesSalariosReal[[#This Row],[id]],TabEmpleados[],COLUMN(TabEmpleados[Nombre]),FALSE)</f>
        <v>ESPINOZA REYNOSO RAUL</v>
      </c>
      <c r="C35" s="148" cm="1">
        <f t="array" ref="C35">VLOOKUP(TabDesSalariosReal[[#This Row],[id]],TabAsistencias[],COLUMN(TabAsistencias[Total de dias laborados]),FALSE)</f>
        <v>30</v>
      </c>
      <c r="D35" s="179" cm="1">
        <f t="array" ref="D35">(VLOOKUP(TabDesSalariosReal[[#This Row],[id]],TabEmpleados[],COLUMN(TabEmpleados[SD Real]),FALSE))*TabDesSalariosReal[[#This Row],[Dias Lab.]]</f>
        <v>8400</v>
      </c>
      <c r="E35" s="180" cm="1">
        <f t="array" ref="E35">IF(DATEDIF((VLOOKUP(TabDesSalariosReal[[#This Row],[id]],TabEmpleados[],COLUMN(TabEmpleados[Fecha de ingreso]),FALSE)),Asistencias!$B$3,"Y")=0,1,DATEDIF((VLOOKUP(TabDesSalariosReal[[#This Row],[id]],TabEmpleados[],COLUMN(TabEmpleados[Fecha de ingreso]),FALSE)),Asistencias!$B$3,"Y"))</f>
        <v>1</v>
      </c>
      <c r="F35" s="181" cm="1">
        <f t="array" ref="F35">((VLOOKUP(TabDesSalariosReal[[#This Row],[id]],TabEmpleados[],COLUMN(TabEmpleados[SD Real]),FALSE))*(VLOOKUP(TabDesSalariosReal[[#This Row],[Años]],TabFactorIntegracion[],COLUMN(TabFactorIntegracion[% de prima 
vacacional y dominical]),FALSE))*(VLOOKUP(TabDesSalariosReal[[#This Row],[id]],TabAsistencias[],COLUMN(TabAsistencias[Prima dominical]),FALSE)))*(VLOOKUP((VLOOKUP(TabDesSalariosReal[[#This Row],[id]],TabEmpleados[],COLUMN(TabEmpleados[Puesto]),FALSE)),TabPuestos[],COLUMN(TabPuestos[PRIMA DOMINICAL]),FALSE))</f>
        <v>280</v>
      </c>
      <c r="G35" s="182" cm="1">
        <f t="array" ref="G35">(VLOOKUP(TabDesSalariosReal[[#This Row],[id]],TabEmpleados[],COLUMN(TabEmpleados[SD Real]),FALSE))*(VLOOKUP(TabDesSalariosReal[[#This Row],[Años]],TabFactorIntegracion[],COLUMN(TabFactorIntegracion[% de prima 
vacacional y dominical]),FALSE))*((VLOOKUP(TabDesSalariosReal[[#This Row],[id]],TabAsistencias[],COLUMN(TabAsistencias[V]),FALSE)))</f>
        <v>0</v>
      </c>
      <c r="H35" s="148" cm="1">
        <f t="array" ref="H35">VLOOKUP(TabDesSalariosReal[[#This Row],[id]],TabAsistencias[],COLUMN(TabAsistencias[I]),FALSE)</f>
        <v>0</v>
      </c>
      <c r="I35" s="148" cm="1">
        <f t="array" ref="I35">VLOOKUP(TabDesSalariosReal[[#This Row],[id]],TabAsistencias[],COLUMN(TabAsistencias[IG]),FALSE)</f>
        <v>0</v>
      </c>
      <c r="J35" s="191">
        <v>0.4</v>
      </c>
      <c r="K35" s="179" cm="1">
        <f t="array" ref="K35">IF(TabDesSalariosReal[[#This Row],[Dias Incapacidad/General]]&gt;3,((TabDesSalariosReal[[#This Row],[Dias Incapacidad/General]]-3)*((VLOOKUP(TabDesSalariosReal[[#This Row],[id]],TabEmpleados[],COLUMN(TabEmpleados[SD Real]),FALSE)))*TabDesSalariosReal[[#This Row],[% pagado por incapacidad]]),0)</f>
        <v>0</v>
      </c>
      <c r="L35" s="185">
        <f>-1*(SUMIFS(TabPagos[Monto de pago],TabPagos[id],TabDesSalariosReal[[#This Row],[id]],TabPagos[Fecha de pago],"&gt;="&amp;Asistencias!$B$2,TabPagos[Fecha de pago],"&lt;"&amp;Asistencias!$B$3))</f>
        <v>0</v>
      </c>
      <c r="M35" t="str" cm="1">
        <f t="array" ref="M35">getDescripcion(TabDesSalariosReal[[#This Row],[id]],"Descuentos-Pagos","TabPagos",Asistencias!$B$2,Asistencias!$B$3)</f>
        <v/>
      </c>
      <c r="N35" s="309" cm="1">
        <f t="array" ref="N35">IF((TabDesSalariosReal[[#This Row],[Subtotal Real]]+TabDesSalariosReal[[#This Row],[Prima dominical]]+TabDesSalariosReal[[#This Row],[Prima vacacional]]+TabDesSalariosReal[[#This Row],[$ por incpacidad]]+TabDesSalariosReal[[#This Row],[Descuentos]]+TabDesSalariosReal[[#This Row],[Extras]]-TabDesSalariosReal[[#This Row],[Fiscal Real]])&gt;500,AporteComision,0)</f>
        <v>15</v>
      </c>
      <c r="O35" s="276">
        <v>0</v>
      </c>
      <c r="P35" s="188" t="str" cm="1">
        <f t="array" ref="P35">VLOOKUP(TabDesSalariosReal[[#This Row],[id]],TabEmpleados[],COLUMN(TabEmpleados[Banco de pago]),FALSE)</f>
        <v>Santander</v>
      </c>
      <c r="Q35" s="188">
        <f>TabDesSalariosReal[[#This Row],[Subtotal Real]]+TabDesSalariosReal[[#This Row],[Prima dominical]]+TabDesSalariosReal[[#This Row],[Prima vacacional]]+TabDesSalariosReal[[#This Row],[$ por incpacidad]]+TabDesSalariosReal[[#This Row],[Descuentos]]+TabDesSalariosReal[[#This Row],[Aporte por comision]]+TabDesSalariosReal[[#This Row],[Extras]]</f>
        <v>8695</v>
      </c>
      <c r="R35" s="277">
        <f>TabDesSalariosReal[[#This Row],[Total Real]]-TabDesSalariosReal[[#This Row],[Fiscal Real]]</f>
        <v>1922.3105303040002</v>
      </c>
      <c r="S35" s="179" cm="1">
        <f t="array" ref="S35">IFERROR(VLOOKUP(TabDesSalariosReal[[#This Row],[id]],TabDesSalariosFiscal[],COLUMN(TabDesSalariosFiscal[Total Fiscal]),FALSE),0)</f>
        <v>6772.6894696959998</v>
      </c>
      <c r="T35" s="197">
        <f>IFERROR(TabDesSalariosReal[[#This Row],[Persepcion Fiscal]],0)</f>
        <v>6772.6894696959998</v>
      </c>
      <c r="U35" s="55" cm="1">
        <f t="array" ref="U35">IF('Desglose Salarios Fiscal'!$Q$1=1,VLOOKUP(TabDesSalariosReal[[#This Row],[id]],TabEmpleados[],COLUMN(TabEmpleados[SD Real]),FALSE)*TabDesSalariosReal[[#This Row],[Dias de agunaldo Real2]],0)</f>
        <v>4200</v>
      </c>
      <c r="V35" s="173" cm="1">
        <f t="array" ref="V35">IF(YEAR(VLOOKUP(TabDesSalariosReal[[#This Row],[id]],TabEmpleados[],COLUMN(TabEmpleados[Fecha de ingreso]),FALSE))&lt;AñoActual,'Tablas de informacion'!$N$13,_xlfn.DAYS(DATE(AñoActual+1,MONTH(1),DAY(1))-DAY(1),(VLOOKUP(TabDesSalariosReal[[#This Row],[id]],TabEmpleados[],COLUMN(TabEmpleados[Fecha de ingreso]),FALSE))))</f>
        <v>365</v>
      </c>
      <c r="W35" cm="1">
        <f t="array" ref="W35">TabDesSalariosReal[[#This Row],[Dias de aguinaldo Real1]]*VLOOKUP(TabDesSalariosReal[[#This Row],[Años]],TabFactorIntegracion[],COLUMN(TabFactorIntegracion[Días de
aguinaldo]),FALSE)/'Tablas de informacion'!$N$13</f>
        <v>15</v>
      </c>
      <c r="X35" s="141" cm="1">
        <f t="array" ref="X35">TabDesSalariosReal[[#This Row],[Aguinaldo Real]]-IFERROR(VLOOKUP(TabDesSalariosReal[[#This Row],[id]],TabDesSalariosFiscal[],COLUMN(TabDesSalariosFiscal[Aguinaldo Fiscal]),FALSE),0)</f>
        <v>2940</v>
      </c>
    </row>
    <row r="36" spans="1:24" x14ac:dyDescent="0.25">
      <c r="A36" s="176">
        <v>34</v>
      </c>
      <c r="B36" t="str" cm="1">
        <f t="array" ref="B36">VLOOKUP(TabDesSalariosReal[[#This Row],[id]],TabEmpleados[],COLUMN(TabEmpleados[Nombre]),FALSE)</f>
        <v>ESPINOSA RUBIÑOS CARLOS RAMON</v>
      </c>
      <c r="C36" s="148" cm="1">
        <f t="array" ref="C36">VLOOKUP(TabDesSalariosReal[[#This Row],[id]],TabAsistencias[],COLUMN(TabAsistencias[Total de dias laborados]),FALSE)</f>
        <v>30</v>
      </c>
      <c r="D36" s="179" cm="1">
        <f t="array" ref="D36">(VLOOKUP(TabDesSalariosReal[[#This Row],[id]],TabEmpleados[],COLUMN(TabEmpleados[SD Real]),FALSE))*TabDesSalariosReal[[#This Row],[Dias Lab.]]</f>
        <v>7500</v>
      </c>
      <c r="E36" s="180" cm="1">
        <f t="array" ref="E36">IF(DATEDIF((VLOOKUP(TabDesSalariosReal[[#This Row],[id]],TabEmpleados[],COLUMN(TabEmpleados[Fecha de ingreso]),FALSE)),Asistencias!$B$3,"Y")=0,1,DATEDIF((VLOOKUP(TabDesSalariosReal[[#This Row],[id]],TabEmpleados[],COLUMN(TabEmpleados[Fecha de ingreso]),FALSE)),Asistencias!$B$3,"Y"))</f>
        <v>1</v>
      </c>
      <c r="F36" s="181" cm="1">
        <f t="array" ref="F36">((VLOOKUP(TabDesSalariosReal[[#This Row],[id]],TabEmpleados[],COLUMN(TabEmpleados[SD Real]),FALSE))*(VLOOKUP(TabDesSalariosReal[[#This Row],[Años]],TabFactorIntegracion[],COLUMN(TabFactorIntegracion[% de prima 
vacacional y dominical]),FALSE))*(VLOOKUP(TabDesSalariosReal[[#This Row],[id]],TabAsistencias[],COLUMN(TabAsistencias[Prima dominical]),FALSE)))*(VLOOKUP((VLOOKUP(TabDesSalariosReal[[#This Row],[id]],TabEmpleados[],COLUMN(TabEmpleados[Puesto]),FALSE)),TabPuestos[],COLUMN(TabPuestos[PRIMA DOMINICAL]),FALSE))</f>
        <v>250</v>
      </c>
      <c r="G36" s="182" cm="1">
        <f t="array" ref="G36">(VLOOKUP(TabDesSalariosReal[[#This Row],[id]],TabEmpleados[],COLUMN(TabEmpleados[SD Real]),FALSE))*(VLOOKUP(TabDesSalariosReal[[#This Row],[Años]],TabFactorIntegracion[],COLUMN(TabFactorIntegracion[% de prima 
vacacional y dominical]),FALSE))*((VLOOKUP(TabDesSalariosReal[[#This Row],[id]],TabAsistencias[],COLUMN(TabAsistencias[V]),FALSE)))</f>
        <v>0</v>
      </c>
      <c r="H36" s="148" cm="1">
        <f t="array" ref="H36">VLOOKUP(TabDesSalariosReal[[#This Row],[id]],TabAsistencias[],COLUMN(TabAsistencias[I]),FALSE)</f>
        <v>0</v>
      </c>
      <c r="I36" s="148" cm="1">
        <f t="array" ref="I36">VLOOKUP(TabDesSalariosReal[[#This Row],[id]],TabAsistencias[],COLUMN(TabAsistencias[IG]),FALSE)</f>
        <v>0</v>
      </c>
      <c r="J36" s="191">
        <v>0.4</v>
      </c>
      <c r="K36" s="179" cm="1">
        <f t="array" ref="K36">IF(TabDesSalariosReal[[#This Row],[Dias Incapacidad/General]]&gt;3,((TabDesSalariosReal[[#This Row],[Dias Incapacidad/General]]-3)*((VLOOKUP(TabDesSalariosReal[[#This Row],[id]],TabEmpleados[],COLUMN(TabEmpleados[SD Real]),FALSE)))*TabDesSalariosReal[[#This Row],[% pagado por incapacidad]]),0)</f>
        <v>0</v>
      </c>
      <c r="L36" s="185">
        <f>-1*(SUMIFS(TabPagos[Monto de pago],TabPagos[id],TabDesSalariosReal[[#This Row],[id]],TabPagos[Fecha de pago],"&gt;="&amp;Asistencias!$B$2,TabPagos[Fecha de pago],"&lt;"&amp;Asistencias!$B$3))</f>
        <v>0</v>
      </c>
      <c r="M36" t="str" cm="1">
        <f t="array" ref="M36">getDescripcion(TabDesSalariosReal[[#This Row],[id]],"Descuentos-Pagos","TabPagos",Asistencias!$B$2,Asistencias!$B$3)</f>
        <v/>
      </c>
      <c r="N36" s="309" cm="1">
        <f t="array" ref="N36">IF((TabDesSalariosReal[[#This Row],[Subtotal Real]]+TabDesSalariosReal[[#This Row],[Prima dominical]]+TabDesSalariosReal[[#This Row],[Prima vacacional]]+TabDesSalariosReal[[#This Row],[$ por incpacidad]]+TabDesSalariosReal[[#This Row],[Descuentos]]+TabDesSalariosReal[[#This Row],[Extras]]-TabDesSalariosReal[[#This Row],[Fiscal Real]])&gt;500,AporteComision,0)</f>
        <v>15</v>
      </c>
      <c r="O36" s="276">
        <v>0</v>
      </c>
      <c r="P36" s="188" t="str" cm="1">
        <f t="array" ref="P36">VLOOKUP(TabDesSalariosReal[[#This Row],[id]],TabEmpleados[],COLUMN(TabEmpleados[Banco de pago]),FALSE)</f>
        <v>Banorte</v>
      </c>
      <c r="Q36" s="188">
        <f>TabDesSalariosReal[[#This Row],[Subtotal Real]]+TabDesSalariosReal[[#This Row],[Prima dominical]]+TabDesSalariosReal[[#This Row],[Prima vacacional]]+TabDesSalariosReal[[#This Row],[$ por incpacidad]]+TabDesSalariosReal[[#This Row],[Descuentos]]+TabDesSalariosReal[[#This Row],[Aporte por comision]]+TabDesSalariosReal[[#This Row],[Extras]]</f>
        <v>7765</v>
      </c>
      <c r="R36" s="277">
        <f>TabDesSalariosReal[[#This Row],[Total Real]]-TabDesSalariosReal[[#This Row],[Fiscal Real]]</f>
        <v>1657.9398072000004</v>
      </c>
      <c r="S36" s="179" cm="1">
        <f t="array" ref="S36">IFERROR(VLOOKUP(TabDesSalariosReal[[#This Row],[id]],TabDesSalariosFiscal[],COLUMN(TabDesSalariosFiscal[Total Fiscal]),FALSE),0)</f>
        <v>6107.0601927999996</v>
      </c>
      <c r="T36" s="197">
        <f>IFERROR(TabDesSalariosReal[[#This Row],[Persepcion Fiscal]],0)</f>
        <v>6107.0601927999996</v>
      </c>
      <c r="U36" s="55" cm="1">
        <f t="array" ref="U36">IF('Desglose Salarios Fiscal'!$Q$1=1,VLOOKUP(TabDesSalariosReal[[#This Row],[id]],TabEmpleados[],COLUMN(TabEmpleados[SD Real]),FALSE)*TabDesSalariosReal[[#This Row],[Dias de agunaldo Real2]],0)</f>
        <v>3750</v>
      </c>
      <c r="V36" s="173" cm="1">
        <f t="array" ref="V36">IF(YEAR(VLOOKUP(TabDesSalariosReal[[#This Row],[id]],TabEmpleados[],COLUMN(TabEmpleados[Fecha de ingreso]),FALSE))&lt;AñoActual,'Tablas de informacion'!$N$13,_xlfn.DAYS(DATE(AñoActual+1,MONTH(1),DAY(1))-DAY(1),(VLOOKUP(TabDesSalariosReal[[#This Row],[id]],TabEmpleados[],COLUMN(TabEmpleados[Fecha de ingreso]),FALSE))))</f>
        <v>365</v>
      </c>
      <c r="W36" cm="1">
        <f t="array" ref="W36">TabDesSalariosReal[[#This Row],[Dias de aguinaldo Real1]]*VLOOKUP(TabDesSalariosReal[[#This Row],[Años]],TabFactorIntegracion[],COLUMN(TabFactorIntegracion[Días de
aguinaldo]),FALSE)/'Tablas de informacion'!$N$13</f>
        <v>15</v>
      </c>
      <c r="X36" s="141" cm="1">
        <f t="array" ref="X36">TabDesSalariosReal[[#This Row],[Aguinaldo Real]]-IFERROR(VLOOKUP(TabDesSalariosReal[[#This Row],[id]],TabDesSalariosFiscal[],COLUMN(TabDesSalariosFiscal[Aguinaldo Fiscal]),FALSE),0)</f>
        <v>2625</v>
      </c>
    </row>
    <row r="37" spans="1:24" x14ac:dyDescent="0.25">
      <c r="A37" s="176">
        <v>35</v>
      </c>
      <c r="B37" t="str" cm="1">
        <f t="array" ref="B37">VLOOKUP(TabDesSalariosReal[[#This Row],[id]],TabEmpleados[],COLUMN(TabEmpleados[Nombre]),FALSE)</f>
        <v>MARTINEZ VICENTE RENE SAID</v>
      </c>
      <c r="C37" s="148" cm="1">
        <f t="array" ref="C37">VLOOKUP(TabDesSalariosReal[[#This Row],[id]],TabAsistencias[],COLUMN(TabAsistencias[Total de dias laborados]),FALSE)</f>
        <v>30</v>
      </c>
      <c r="D37" s="179" cm="1">
        <f t="array" ref="D37">(VLOOKUP(TabDesSalariosReal[[#This Row],[id]],TabEmpleados[],COLUMN(TabEmpleados[SD Real]),FALSE))*TabDesSalariosReal[[#This Row],[Dias Lab.]]</f>
        <v>8400</v>
      </c>
      <c r="E37" s="180" cm="1">
        <f t="array" ref="E37">IF(DATEDIF((VLOOKUP(TabDesSalariosReal[[#This Row],[id]],TabEmpleados[],COLUMN(TabEmpleados[Fecha de ingreso]),FALSE)),Asistencias!$B$3,"Y")=0,1,DATEDIF((VLOOKUP(TabDesSalariosReal[[#This Row],[id]],TabEmpleados[],COLUMN(TabEmpleados[Fecha de ingreso]),FALSE)),Asistencias!$B$3,"Y"))</f>
        <v>1</v>
      </c>
      <c r="F37" s="181" cm="1">
        <f t="array" ref="F37">((VLOOKUP(TabDesSalariosReal[[#This Row],[id]],TabEmpleados[],COLUMN(TabEmpleados[SD Real]),FALSE))*(VLOOKUP(TabDesSalariosReal[[#This Row],[Años]],TabFactorIntegracion[],COLUMN(TabFactorIntegracion[% de prima 
vacacional y dominical]),FALSE))*(VLOOKUP(TabDesSalariosReal[[#This Row],[id]],TabAsistencias[],COLUMN(TabAsistencias[Prima dominical]),FALSE)))*(VLOOKUP((VLOOKUP(TabDesSalariosReal[[#This Row],[id]],TabEmpleados[],COLUMN(TabEmpleados[Puesto]),FALSE)),TabPuestos[],COLUMN(TabPuestos[PRIMA DOMINICAL]),FALSE))</f>
        <v>280</v>
      </c>
      <c r="G37" s="182" cm="1">
        <f t="array" ref="G37">(VLOOKUP(TabDesSalariosReal[[#This Row],[id]],TabEmpleados[],COLUMN(TabEmpleados[SD Real]),FALSE))*(VLOOKUP(TabDesSalariosReal[[#This Row],[Años]],TabFactorIntegracion[],COLUMN(TabFactorIntegracion[% de prima 
vacacional y dominical]),FALSE))*((VLOOKUP(TabDesSalariosReal[[#This Row],[id]],TabAsistencias[],COLUMN(TabAsistencias[V]),FALSE)))</f>
        <v>0</v>
      </c>
      <c r="H37" s="148" cm="1">
        <f t="array" ref="H37">VLOOKUP(TabDesSalariosReal[[#This Row],[id]],TabAsistencias[],COLUMN(TabAsistencias[I]),FALSE)</f>
        <v>0</v>
      </c>
      <c r="I37" s="148" cm="1">
        <f t="array" ref="I37">VLOOKUP(TabDesSalariosReal[[#This Row],[id]],TabAsistencias[],COLUMN(TabAsistencias[IG]),FALSE)</f>
        <v>0</v>
      </c>
      <c r="J37" s="191">
        <v>0.4</v>
      </c>
      <c r="K37" s="179" cm="1">
        <f t="array" ref="K37">IF(TabDesSalariosReal[[#This Row],[Dias Incapacidad/General]]&gt;3,((TabDesSalariosReal[[#This Row],[Dias Incapacidad/General]]-3)*((VLOOKUP(TabDesSalariosReal[[#This Row],[id]],TabEmpleados[],COLUMN(TabEmpleados[SD Real]),FALSE)))*TabDesSalariosReal[[#This Row],[% pagado por incapacidad]]),0)</f>
        <v>0</v>
      </c>
      <c r="L37" s="185">
        <f>-1*(SUMIFS(TabPagos[Monto de pago],TabPagos[id],TabDesSalariosReal[[#This Row],[id]],TabPagos[Fecha de pago],"&gt;="&amp;Asistencias!$B$2,TabPagos[Fecha de pago],"&lt;"&amp;Asistencias!$B$3))</f>
        <v>0</v>
      </c>
      <c r="M37" t="str" cm="1">
        <f t="array" ref="M37">getDescripcion(TabDesSalariosReal[[#This Row],[id]],"Descuentos-Pagos","TabPagos",Asistencias!$B$2,Asistencias!$B$3)</f>
        <v/>
      </c>
      <c r="N37" s="309" cm="1">
        <f t="array" ref="N37">IF((TabDesSalariosReal[[#This Row],[Subtotal Real]]+TabDesSalariosReal[[#This Row],[Prima dominical]]+TabDesSalariosReal[[#This Row],[Prima vacacional]]+TabDesSalariosReal[[#This Row],[$ por incpacidad]]+TabDesSalariosReal[[#This Row],[Descuentos]]+TabDesSalariosReal[[#This Row],[Extras]]-TabDesSalariosReal[[#This Row],[Fiscal Real]])&gt;500,AporteComision,0)</f>
        <v>15</v>
      </c>
      <c r="O37" s="276">
        <v>0</v>
      </c>
      <c r="P37" s="188" t="str" cm="1">
        <f t="array" ref="P37">VLOOKUP(TabDesSalariosReal[[#This Row],[id]],TabEmpleados[],COLUMN(TabEmpleados[Banco de pago]),FALSE)</f>
        <v>Santander</v>
      </c>
      <c r="Q37" s="188">
        <f>TabDesSalariosReal[[#This Row],[Subtotal Real]]+TabDesSalariosReal[[#This Row],[Prima dominical]]+TabDesSalariosReal[[#This Row],[Prima vacacional]]+TabDesSalariosReal[[#This Row],[$ por incpacidad]]+TabDesSalariosReal[[#This Row],[Descuentos]]+TabDesSalariosReal[[#This Row],[Aporte por comision]]+TabDesSalariosReal[[#This Row],[Extras]]</f>
        <v>8695</v>
      </c>
      <c r="R37" s="277">
        <f>TabDesSalariosReal[[#This Row],[Total Real]]-TabDesSalariosReal[[#This Row],[Fiscal Real]]</f>
        <v>1922.3105303040002</v>
      </c>
      <c r="S37" s="179" cm="1">
        <f t="array" ref="S37">IFERROR(VLOOKUP(TabDesSalariosReal[[#This Row],[id]],TabDesSalariosFiscal[],COLUMN(TabDesSalariosFiscal[Total Fiscal]),FALSE),0)</f>
        <v>6772.6894696959998</v>
      </c>
      <c r="T37" s="197">
        <f>IFERROR(TabDesSalariosReal[[#This Row],[Persepcion Fiscal]],0)</f>
        <v>6772.6894696959998</v>
      </c>
      <c r="U37" s="55" cm="1">
        <f t="array" ref="U37">IF('Desglose Salarios Fiscal'!$Q$1=1,VLOOKUP(TabDesSalariosReal[[#This Row],[id]],TabEmpleados[],COLUMN(TabEmpleados[SD Real]),FALSE)*TabDesSalariosReal[[#This Row],[Dias de agunaldo Real2]],0)</f>
        <v>4200</v>
      </c>
      <c r="V37" s="173" cm="1">
        <f t="array" ref="V37">IF(YEAR(VLOOKUP(TabDesSalariosReal[[#This Row],[id]],TabEmpleados[],COLUMN(TabEmpleados[Fecha de ingreso]),FALSE))&lt;AñoActual,'Tablas de informacion'!$N$13,_xlfn.DAYS(DATE(AñoActual+1,MONTH(1),DAY(1))-DAY(1),(VLOOKUP(TabDesSalariosReal[[#This Row],[id]],TabEmpleados[],COLUMN(TabEmpleados[Fecha de ingreso]),FALSE))))</f>
        <v>365</v>
      </c>
      <c r="W37" cm="1">
        <f t="array" ref="W37">TabDesSalariosReal[[#This Row],[Dias de aguinaldo Real1]]*VLOOKUP(TabDesSalariosReal[[#This Row],[Años]],TabFactorIntegracion[],COLUMN(TabFactorIntegracion[Días de
aguinaldo]),FALSE)/'Tablas de informacion'!$N$13</f>
        <v>15</v>
      </c>
      <c r="X37" s="141" cm="1">
        <f t="array" ref="X37">TabDesSalariosReal[[#This Row],[Aguinaldo Real]]-IFERROR(VLOOKUP(TabDesSalariosReal[[#This Row],[id]],TabDesSalariosFiscal[],COLUMN(TabDesSalariosFiscal[Aguinaldo Fiscal]),FALSE),0)</f>
        <v>2940</v>
      </c>
    </row>
    <row r="38" spans="1:24" x14ac:dyDescent="0.25">
      <c r="A38" s="176">
        <v>36</v>
      </c>
      <c r="B38" t="str" cm="1">
        <f t="array" ref="B38">VLOOKUP(TabDesSalariosReal[[#This Row],[id]],TabEmpleados[],COLUMN(TabEmpleados[Nombre]),FALSE)</f>
        <v>LORENZANA DIAZ IGNACIO DEMETRIO</v>
      </c>
      <c r="C38" s="148" cm="1">
        <f t="array" ref="C38">VLOOKUP(TabDesSalariosReal[[#This Row],[id]],TabAsistencias[],COLUMN(TabAsistencias[Total de dias laborados]),FALSE)</f>
        <v>30</v>
      </c>
      <c r="D38" s="179" cm="1">
        <f t="array" ref="D38">(VLOOKUP(TabDesSalariosReal[[#This Row],[id]],TabEmpleados[],COLUMN(TabEmpleados[SD Real]),FALSE))*TabDesSalariosReal[[#This Row],[Dias Lab.]]</f>
        <v>7500</v>
      </c>
      <c r="E38" s="180" cm="1">
        <f t="array" ref="E38">IF(DATEDIF((VLOOKUP(TabDesSalariosReal[[#This Row],[id]],TabEmpleados[],COLUMN(TabEmpleados[Fecha de ingreso]),FALSE)),Asistencias!$B$3,"Y")=0,1,DATEDIF((VLOOKUP(TabDesSalariosReal[[#This Row],[id]],TabEmpleados[],COLUMN(TabEmpleados[Fecha de ingreso]),FALSE)),Asistencias!$B$3,"Y"))</f>
        <v>1</v>
      </c>
      <c r="F38" s="181" cm="1">
        <f t="array" ref="F38">((VLOOKUP(TabDesSalariosReal[[#This Row],[id]],TabEmpleados[],COLUMN(TabEmpleados[SD Real]),FALSE))*(VLOOKUP(TabDesSalariosReal[[#This Row],[Años]],TabFactorIntegracion[],COLUMN(TabFactorIntegracion[% de prima 
vacacional y dominical]),FALSE))*(VLOOKUP(TabDesSalariosReal[[#This Row],[id]],TabAsistencias[],COLUMN(TabAsistencias[Prima dominical]),FALSE)))*(VLOOKUP((VLOOKUP(TabDesSalariosReal[[#This Row],[id]],TabEmpleados[],COLUMN(TabEmpleados[Puesto]),FALSE)),TabPuestos[],COLUMN(TabPuestos[PRIMA DOMINICAL]),FALSE))</f>
        <v>250</v>
      </c>
      <c r="G38" s="182" cm="1">
        <f t="array" ref="G38">(VLOOKUP(TabDesSalariosReal[[#This Row],[id]],TabEmpleados[],COLUMN(TabEmpleados[SD Real]),FALSE))*(VLOOKUP(TabDesSalariosReal[[#This Row],[Años]],TabFactorIntegracion[],COLUMN(TabFactorIntegracion[% de prima 
vacacional y dominical]),FALSE))*((VLOOKUP(TabDesSalariosReal[[#This Row],[id]],TabAsistencias[],COLUMN(TabAsistencias[V]),FALSE)))</f>
        <v>0</v>
      </c>
      <c r="H38" s="148" cm="1">
        <f t="array" ref="H38">VLOOKUP(TabDesSalariosReal[[#This Row],[id]],TabAsistencias[],COLUMN(TabAsistencias[I]),FALSE)</f>
        <v>0</v>
      </c>
      <c r="I38" s="148" cm="1">
        <f t="array" ref="I38">VLOOKUP(TabDesSalariosReal[[#This Row],[id]],TabAsistencias[],COLUMN(TabAsistencias[IG]),FALSE)</f>
        <v>0</v>
      </c>
      <c r="J38" s="191">
        <v>0.4</v>
      </c>
      <c r="K38" s="179" cm="1">
        <f t="array" ref="K38">IF(TabDesSalariosReal[[#This Row],[Dias Incapacidad/General]]&gt;3,((TabDesSalariosReal[[#This Row],[Dias Incapacidad/General]]-3)*((VLOOKUP(TabDesSalariosReal[[#This Row],[id]],TabEmpleados[],COLUMN(TabEmpleados[SD Real]),FALSE)))*TabDesSalariosReal[[#This Row],[% pagado por incapacidad]]),0)</f>
        <v>0</v>
      </c>
      <c r="L38" s="185">
        <f>-1*(SUMIFS(TabPagos[Monto de pago],TabPagos[id],TabDesSalariosReal[[#This Row],[id]],TabPagos[Fecha de pago],"&gt;="&amp;Asistencias!$B$2,TabPagos[Fecha de pago],"&lt;"&amp;Asistencias!$B$3))</f>
        <v>0</v>
      </c>
      <c r="M38" t="str" cm="1">
        <f t="array" ref="M38">getDescripcion(TabDesSalariosReal[[#This Row],[id]],"Descuentos-Pagos","TabPagos",Asistencias!$B$2,Asistencias!$B$3)</f>
        <v/>
      </c>
      <c r="N38" s="309" cm="1">
        <f t="array" ref="N38">IF((TabDesSalariosReal[[#This Row],[Subtotal Real]]+TabDesSalariosReal[[#This Row],[Prima dominical]]+TabDesSalariosReal[[#This Row],[Prima vacacional]]+TabDesSalariosReal[[#This Row],[$ por incpacidad]]+TabDesSalariosReal[[#This Row],[Descuentos]]+TabDesSalariosReal[[#This Row],[Extras]]-TabDesSalariosReal[[#This Row],[Fiscal Real]])&gt;500,AporteComision,0)</f>
        <v>15</v>
      </c>
      <c r="O38" s="276">
        <v>0</v>
      </c>
      <c r="P38" s="188" t="str" cm="1">
        <f t="array" ref="P38">VLOOKUP(TabDesSalariosReal[[#This Row],[id]],TabEmpleados[],COLUMN(TabEmpleados[Banco de pago]),FALSE)</f>
        <v>Santander</v>
      </c>
      <c r="Q38" s="188">
        <f>TabDesSalariosReal[[#This Row],[Subtotal Real]]+TabDesSalariosReal[[#This Row],[Prima dominical]]+TabDesSalariosReal[[#This Row],[Prima vacacional]]+TabDesSalariosReal[[#This Row],[$ por incpacidad]]+TabDesSalariosReal[[#This Row],[Descuentos]]+TabDesSalariosReal[[#This Row],[Aporte por comision]]+TabDesSalariosReal[[#This Row],[Extras]]</f>
        <v>7765</v>
      </c>
      <c r="R38" s="277">
        <f>TabDesSalariosReal[[#This Row],[Total Real]]-TabDesSalariosReal[[#This Row],[Fiscal Real]]</f>
        <v>1657.9398072000004</v>
      </c>
      <c r="S38" s="179" cm="1">
        <f t="array" ref="S38">IFERROR(VLOOKUP(TabDesSalariosReal[[#This Row],[id]],TabDesSalariosFiscal[],COLUMN(TabDesSalariosFiscal[Total Fiscal]),FALSE),0)</f>
        <v>6107.0601927999996</v>
      </c>
      <c r="T38" s="197">
        <f>IFERROR(TabDesSalariosReal[[#This Row],[Persepcion Fiscal]],0)</f>
        <v>6107.0601927999996</v>
      </c>
      <c r="U38" s="55" cm="1">
        <f t="array" ref="U38">IF('Desglose Salarios Fiscal'!$Q$1=1,VLOOKUP(TabDesSalariosReal[[#This Row],[id]],TabEmpleados[],COLUMN(TabEmpleados[SD Real]),FALSE)*TabDesSalariosReal[[#This Row],[Dias de agunaldo Real2]],0)</f>
        <v>3750</v>
      </c>
      <c r="V38" s="173" cm="1">
        <f t="array" ref="V38">IF(YEAR(VLOOKUP(TabDesSalariosReal[[#This Row],[id]],TabEmpleados[],COLUMN(TabEmpleados[Fecha de ingreso]),FALSE))&lt;AñoActual,'Tablas de informacion'!$N$13,_xlfn.DAYS(DATE(AñoActual+1,MONTH(1),DAY(1))-DAY(1),(VLOOKUP(TabDesSalariosReal[[#This Row],[id]],TabEmpleados[],COLUMN(TabEmpleados[Fecha de ingreso]),FALSE))))</f>
        <v>365</v>
      </c>
      <c r="W38" cm="1">
        <f t="array" ref="W38">TabDesSalariosReal[[#This Row],[Dias de aguinaldo Real1]]*VLOOKUP(TabDesSalariosReal[[#This Row],[Años]],TabFactorIntegracion[],COLUMN(TabFactorIntegracion[Días de
aguinaldo]),FALSE)/'Tablas de informacion'!$N$13</f>
        <v>15</v>
      </c>
      <c r="X38" s="141" cm="1">
        <f t="array" ref="X38">TabDesSalariosReal[[#This Row],[Aguinaldo Real]]-IFERROR(VLOOKUP(TabDesSalariosReal[[#This Row],[id]],TabDesSalariosFiscal[],COLUMN(TabDesSalariosFiscal[Aguinaldo Fiscal]),FALSE),0)</f>
        <v>2625</v>
      </c>
    </row>
    <row r="39" spans="1:24" x14ac:dyDescent="0.25">
      <c r="A39" s="176">
        <v>37</v>
      </c>
      <c r="B39" t="str" cm="1">
        <f t="array" ref="B39">VLOOKUP(TabDesSalariosReal[[#This Row],[id]],TabEmpleados[],COLUMN(TabEmpleados[Nombre]),FALSE)</f>
        <v>JIMENEZ VASQUEZ HISAI</v>
      </c>
      <c r="C39" s="148" cm="1">
        <f t="array" ref="C39">VLOOKUP(TabDesSalariosReal[[#This Row],[id]],TabAsistencias[],COLUMN(TabAsistencias[Total de dias laborados]),FALSE)</f>
        <v>30</v>
      </c>
      <c r="D39" s="179" cm="1">
        <f t="array" ref="D39">(VLOOKUP(TabDesSalariosReal[[#This Row],[id]],TabEmpleados[],COLUMN(TabEmpleados[SD Real]),FALSE))*TabDesSalariosReal[[#This Row],[Dias Lab.]]</f>
        <v>7500</v>
      </c>
      <c r="E39" s="180" cm="1">
        <f t="array" ref="E39">IF(DATEDIF((VLOOKUP(TabDesSalariosReal[[#This Row],[id]],TabEmpleados[],COLUMN(TabEmpleados[Fecha de ingreso]),FALSE)),Asistencias!$B$3,"Y")=0,1,DATEDIF((VLOOKUP(TabDesSalariosReal[[#This Row],[id]],TabEmpleados[],COLUMN(TabEmpleados[Fecha de ingreso]),FALSE)),Asistencias!$B$3,"Y"))</f>
        <v>1</v>
      </c>
      <c r="F39" s="181" cm="1">
        <f t="array" ref="F39">((VLOOKUP(TabDesSalariosReal[[#This Row],[id]],TabEmpleados[],COLUMN(TabEmpleados[SD Real]),FALSE))*(VLOOKUP(TabDesSalariosReal[[#This Row],[Años]],TabFactorIntegracion[],COLUMN(TabFactorIntegracion[% de prima 
vacacional y dominical]),FALSE))*(VLOOKUP(TabDesSalariosReal[[#This Row],[id]],TabAsistencias[],COLUMN(TabAsistencias[Prima dominical]),FALSE)))*(VLOOKUP((VLOOKUP(TabDesSalariosReal[[#This Row],[id]],TabEmpleados[],COLUMN(TabEmpleados[Puesto]),FALSE)),TabPuestos[],COLUMN(TabPuestos[PRIMA DOMINICAL]),FALSE))</f>
        <v>250</v>
      </c>
      <c r="G39" s="182" cm="1">
        <f t="array" ref="G39">(VLOOKUP(TabDesSalariosReal[[#This Row],[id]],TabEmpleados[],COLUMN(TabEmpleados[SD Real]),FALSE))*(VLOOKUP(TabDesSalariosReal[[#This Row],[Años]],TabFactorIntegracion[],COLUMN(TabFactorIntegracion[% de prima 
vacacional y dominical]),FALSE))*((VLOOKUP(TabDesSalariosReal[[#This Row],[id]],TabAsistencias[],COLUMN(TabAsistencias[V]),FALSE)))</f>
        <v>0</v>
      </c>
      <c r="H39" s="148" cm="1">
        <f t="array" ref="H39">VLOOKUP(TabDesSalariosReal[[#This Row],[id]],TabAsistencias[],COLUMN(TabAsistencias[I]),FALSE)</f>
        <v>0</v>
      </c>
      <c r="I39" s="148" cm="1">
        <f t="array" ref="I39">VLOOKUP(TabDesSalariosReal[[#This Row],[id]],TabAsistencias[],COLUMN(TabAsistencias[IG]),FALSE)</f>
        <v>0</v>
      </c>
      <c r="J39" s="191">
        <v>0.4</v>
      </c>
      <c r="K39" s="179" cm="1">
        <f t="array" ref="K39">IF(TabDesSalariosReal[[#This Row],[Dias Incapacidad/General]]&gt;3,((TabDesSalariosReal[[#This Row],[Dias Incapacidad/General]]-3)*((VLOOKUP(TabDesSalariosReal[[#This Row],[id]],TabEmpleados[],COLUMN(TabEmpleados[SD Real]),FALSE)))*TabDesSalariosReal[[#This Row],[% pagado por incapacidad]]),0)</f>
        <v>0</v>
      </c>
      <c r="L39" s="185">
        <f>-1*(SUMIFS(TabPagos[Monto de pago],TabPagos[id],TabDesSalariosReal[[#This Row],[id]],TabPagos[Fecha de pago],"&gt;="&amp;Asistencias!$B$2,TabPagos[Fecha de pago],"&lt;"&amp;Asistencias!$B$3))</f>
        <v>0</v>
      </c>
      <c r="M39" t="str" cm="1">
        <f t="array" ref="M39">getDescripcion(TabDesSalariosReal[[#This Row],[id]],"Descuentos-Pagos","TabPagos",Asistencias!$B$2,Asistencias!$B$3)</f>
        <v/>
      </c>
      <c r="N39" s="309" cm="1">
        <f t="array" ref="N39">IF((TabDesSalariosReal[[#This Row],[Subtotal Real]]+TabDesSalariosReal[[#This Row],[Prima dominical]]+TabDesSalariosReal[[#This Row],[Prima vacacional]]+TabDesSalariosReal[[#This Row],[$ por incpacidad]]+TabDesSalariosReal[[#This Row],[Descuentos]]+TabDesSalariosReal[[#This Row],[Extras]]-TabDesSalariosReal[[#This Row],[Fiscal Real]])&gt;500,AporteComision,0)</f>
        <v>15</v>
      </c>
      <c r="O39" s="276">
        <v>0</v>
      </c>
      <c r="P39" s="188" t="str" cm="1">
        <f t="array" ref="P39">VLOOKUP(TabDesSalariosReal[[#This Row],[id]],TabEmpleados[],COLUMN(TabEmpleados[Banco de pago]),FALSE)</f>
        <v>Santander</v>
      </c>
      <c r="Q39" s="188">
        <f>TabDesSalariosReal[[#This Row],[Subtotal Real]]+TabDesSalariosReal[[#This Row],[Prima dominical]]+TabDesSalariosReal[[#This Row],[Prima vacacional]]+TabDesSalariosReal[[#This Row],[$ por incpacidad]]+TabDesSalariosReal[[#This Row],[Descuentos]]+TabDesSalariosReal[[#This Row],[Aporte por comision]]+TabDesSalariosReal[[#This Row],[Extras]]</f>
        <v>7765</v>
      </c>
      <c r="R39" s="277">
        <f>TabDesSalariosReal[[#This Row],[Total Real]]-TabDesSalariosReal[[#This Row],[Fiscal Real]]</f>
        <v>1657.9398072000004</v>
      </c>
      <c r="S39" s="179" cm="1">
        <f t="array" ref="S39">IFERROR(VLOOKUP(TabDesSalariosReal[[#This Row],[id]],TabDesSalariosFiscal[],COLUMN(TabDesSalariosFiscal[Total Fiscal]),FALSE),0)</f>
        <v>6107.0601927999996</v>
      </c>
      <c r="T39" s="197">
        <f>IFERROR(TabDesSalariosReal[[#This Row],[Persepcion Fiscal]],0)</f>
        <v>6107.0601927999996</v>
      </c>
      <c r="U39" s="55" cm="1">
        <f t="array" ref="U39">IF('Desglose Salarios Fiscal'!$Q$1=1,VLOOKUP(TabDesSalariosReal[[#This Row],[id]],TabEmpleados[],COLUMN(TabEmpleados[SD Real]),FALSE)*TabDesSalariosReal[[#This Row],[Dias de agunaldo Real2]],0)</f>
        <v>3750</v>
      </c>
      <c r="V39" s="173" cm="1">
        <f t="array" ref="V39">IF(YEAR(VLOOKUP(TabDesSalariosReal[[#This Row],[id]],TabEmpleados[],COLUMN(TabEmpleados[Fecha de ingreso]),FALSE))&lt;AñoActual,'Tablas de informacion'!$N$13,_xlfn.DAYS(DATE(AñoActual+1,MONTH(1),DAY(1))-DAY(1),(VLOOKUP(TabDesSalariosReal[[#This Row],[id]],TabEmpleados[],COLUMN(TabEmpleados[Fecha de ingreso]),FALSE))))</f>
        <v>365</v>
      </c>
      <c r="W39" cm="1">
        <f t="array" ref="W39">TabDesSalariosReal[[#This Row],[Dias de aguinaldo Real1]]*VLOOKUP(TabDesSalariosReal[[#This Row],[Años]],TabFactorIntegracion[],COLUMN(TabFactorIntegracion[Días de
aguinaldo]),FALSE)/'Tablas de informacion'!$N$13</f>
        <v>15</v>
      </c>
      <c r="X39" s="141" cm="1">
        <f t="array" ref="X39">TabDesSalariosReal[[#This Row],[Aguinaldo Real]]-IFERROR(VLOOKUP(TabDesSalariosReal[[#This Row],[id]],TabDesSalariosFiscal[],COLUMN(TabDesSalariosFiscal[Aguinaldo Fiscal]),FALSE),0)</f>
        <v>2625</v>
      </c>
    </row>
    <row r="40" spans="1:24" x14ac:dyDescent="0.25">
      <c r="A40" s="176">
        <v>38</v>
      </c>
      <c r="B40" t="str" cm="1">
        <f t="array" ref="B40">VLOOKUP(TabDesSalariosReal[[#This Row],[id]],TabEmpleados[],COLUMN(TabEmpleados[Nombre]),FALSE)</f>
        <v>DIAZ LOPEZ JUAN FELIPE</v>
      </c>
      <c r="C40" s="148" cm="1">
        <f t="array" ref="C40">VLOOKUP(TabDesSalariosReal[[#This Row],[id]],TabAsistencias[],COLUMN(TabAsistencias[Total de dias laborados]),FALSE)</f>
        <v>30</v>
      </c>
      <c r="D40" s="179" cm="1">
        <f t="array" ref="D40">(VLOOKUP(TabDesSalariosReal[[#This Row],[id]],TabEmpleados[],COLUMN(TabEmpleados[SD Real]),FALSE))*TabDesSalariosReal[[#This Row],[Dias Lab.]]</f>
        <v>9000</v>
      </c>
      <c r="E40" s="180" cm="1">
        <f t="array" ref="E40">IF(DATEDIF((VLOOKUP(TabDesSalariosReal[[#This Row],[id]],TabEmpleados[],COLUMN(TabEmpleados[Fecha de ingreso]),FALSE)),Asistencias!$B$3,"Y")=0,1,DATEDIF((VLOOKUP(TabDesSalariosReal[[#This Row],[id]],TabEmpleados[],COLUMN(TabEmpleados[Fecha de ingreso]),FALSE)),Asistencias!$B$3,"Y"))</f>
        <v>1</v>
      </c>
      <c r="F40" s="181" cm="1">
        <f t="array" ref="F40">((VLOOKUP(TabDesSalariosReal[[#This Row],[id]],TabEmpleados[],COLUMN(TabEmpleados[SD Real]),FALSE))*(VLOOKUP(TabDesSalariosReal[[#This Row],[Años]],TabFactorIntegracion[],COLUMN(TabFactorIntegracion[% de prima 
vacacional y dominical]),FALSE))*(VLOOKUP(TabDesSalariosReal[[#This Row],[id]],TabAsistencias[],COLUMN(TabAsistencias[Prima dominical]),FALSE)))*(VLOOKUP((VLOOKUP(TabDesSalariosReal[[#This Row],[id]],TabEmpleados[],COLUMN(TabEmpleados[Puesto]),FALSE)),TabPuestos[],COLUMN(TabPuestos[PRIMA DOMINICAL]),FALSE))</f>
        <v>300</v>
      </c>
      <c r="G40" s="182" cm="1">
        <f t="array" ref="G40">(VLOOKUP(TabDesSalariosReal[[#This Row],[id]],TabEmpleados[],COLUMN(TabEmpleados[SD Real]),FALSE))*(VLOOKUP(TabDesSalariosReal[[#This Row],[Años]],TabFactorIntegracion[],COLUMN(TabFactorIntegracion[% de prima 
vacacional y dominical]),FALSE))*((VLOOKUP(TabDesSalariosReal[[#This Row],[id]],TabAsistencias[],COLUMN(TabAsistencias[V]),FALSE)))</f>
        <v>0</v>
      </c>
      <c r="H40" s="148" cm="1">
        <f t="array" ref="H40">VLOOKUP(TabDesSalariosReal[[#This Row],[id]],TabAsistencias[],COLUMN(TabAsistencias[I]),FALSE)</f>
        <v>0</v>
      </c>
      <c r="I40" s="148" cm="1">
        <f t="array" ref="I40">VLOOKUP(TabDesSalariosReal[[#This Row],[id]],TabAsistencias[],COLUMN(TabAsistencias[IG]),FALSE)</f>
        <v>0</v>
      </c>
      <c r="J40" s="191">
        <v>0.4</v>
      </c>
      <c r="K40" s="179" cm="1">
        <f t="array" ref="K40">IF(TabDesSalariosReal[[#This Row],[Dias Incapacidad/General]]&gt;3,((TabDesSalariosReal[[#This Row],[Dias Incapacidad/General]]-3)*((VLOOKUP(TabDesSalariosReal[[#This Row],[id]],TabEmpleados[],COLUMN(TabEmpleados[SD Real]),FALSE)))*TabDesSalariosReal[[#This Row],[% pagado por incapacidad]]),0)</f>
        <v>0</v>
      </c>
      <c r="L40" s="185">
        <f>-1*(SUMIFS(TabPagos[Monto de pago],TabPagos[id],TabDesSalariosReal[[#This Row],[id]],TabPagos[Fecha de pago],"&gt;="&amp;Asistencias!$B$2,TabPagos[Fecha de pago],"&lt;"&amp;Asistencias!$B$3))</f>
        <v>0</v>
      </c>
      <c r="M40" t="str" cm="1">
        <f t="array" ref="M40">getDescripcion(TabDesSalariosReal[[#This Row],[id]],"Descuentos-Pagos","TabPagos",Asistencias!$B$2,Asistencias!$B$3)</f>
        <v/>
      </c>
      <c r="N40" s="309" cm="1">
        <f t="array" ref="N40">IF((TabDesSalariosReal[[#This Row],[Subtotal Real]]+TabDesSalariosReal[[#This Row],[Prima dominical]]+TabDesSalariosReal[[#This Row],[Prima vacacional]]+TabDesSalariosReal[[#This Row],[$ por incpacidad]]+TabDesSalariosReal[[#This Row],[Descuentos]]+TabDesSalariosReal[[#This Row],[Extras]]-TabDesSalariosReal[[#This Row],[Fiscal Real]])&gt;500,AporteComision,0)</f>
        <v>15</v>
      </c>
      <c r="O40" s="276">
        <v>0</v>
      </c>
      <c r="P40" s="188" t="str" cm="1">
        <f t="array" ref="P40">VLOOKUP(TabDesSalariosReal[[#This Row],[id]],TabEmpleados[],COLUMN(TabEmpleados[Banco de pago]),FALSE)</f>
        <v>Santander</v>
      </c>
      <c r="Q40" s="188">
        <f>TabDesSalariosReal[[#This Row],[Subtotal Real]]+TabDesSalariosReal[[#This Row],[Prima dominical]]+TabDesSalariosReal[[#This Row],[Prima vacacional]]+TabDesSalariosReal[[#This Row],[$ por incpacidad]]+TabDesSalariosReal[[#This Row],[Descuentos]]+TabDesSalariosReal[[#This Row],[Aporte por comision]]+TabDesSalariosReal[[#This Row],[Extras]]</f>
        <v>9315</v>
      </c>
      <c r="R40" s="277">
        <f>TabDesSalariosReal[[#This Row],[Total Real]]-TabDesSalariosReal[[#This Row],[Fiscal Real]]</f>
        <v>2113.6697083199997</v>
      </c>
      <c r="S40" s="179" cm="1">
        <f t="array" ref="S40">IFERROR(VLOOKUP(TabDesSalariosReal[[#This Row],[id]],TabDesSalariosFiscal[],COLUMN(TabDesSalariosFiscal[Total Fiscal]),FALSE),0)</f>
        <v>7201.3302916800003</v>
      </c>
      <c r="T40" s="197">
        <f>IFERROR(TabDesSalariosReal[[#This Row],[Persepcion Fiscal]],0)</f>
        <v>7201.3302916800003</v>
      </c>
      <c r="U40" s="55" cm="1">
        <f t="array" ref="U40">IF('Desglose Salarios Fiscal'!$Q$1=1,VLOOKUP(TabDesSalariosReal[[#This Row],[id]],TabEmpleados[],COLUMN(TabEmpleados[SD Real]),FALSE)*TabDesSalariosReal[[#This Row],[Dias de agunaldo Real2]],0)</f>
        <v>4500</v>
      </c>
      <c r="V40" s="173" cm="1">
        <f t="array" ref="V40">IF(YEAR(VLOOKUP(TabDesSalariosReal[[#This Row],[id]],TabEmpleados[],COLUMN(TabEmpleados[Fecha de ingreso]),FALSE))&lt;AñoActual,'Tablas de informacion'!$N$13,_xlfn.DAYS(DATE(AñoActual+1,MONTH(1),DAY(1))-DAY(1),(VLOOKUP(TabDesSalariosReal[[#This Row],[id]],TabEmpleados[],COLUMN(TabEmpleados[Fecha de ingreso]),FALSE))))</f>
        <v>365</v>
      </c>
      <c r="W40" cm="1">
        <f t="array" ref="W40">TabDesSalariosReal[[#This Row],[Dias de aguinaldo Real1]]*VLOOKUP(TabDesSalariosReal[[#This Row],[Años]],TabFactorIntegracion[],COLUMN(TabFactorIntegracion[Días de
aguinaldo]),FALSE)/'Tablas de informacion'!$N$13</f>
        <v>15</v>
      </c>
      <c r="X40" s="141" cm="1">
        <f t="array" ref="X40">TabDesSalariosReal[[#This Row],[Aguinaldo Real]]-IFERROR(VLOOKUP(TabDesSalariosReal[[#This Row],[id]],TabDesSalariosFiscal[],COLUMN(TabDesSalariosFiscal[Aguinaldo Fiscal]),FALSE),0)</f>
        <v>3150</v>
      </c>
    </row>
    <row r="41" spans="1:24" x14ac:dyDescent="0.25">
      <c r="A41" s="176">
        <v>39</v>
      </c>
      <c r="B41" t="str" cm="1">
        <f t="array" ref="B41">VLOOKUP(TabDesSalariosReal[[#This Row],[id]],TabEmpleados[],COLUMN(TabEmpleados[Nombre]),FALSE)</f>
        <v>RAMIREZ SANTIAGO EDGAR ISAAC</v>
      </c>
      <c r="C41" s="148" cm="1">
        <f t="array" ref="C41">VLOOKUP(TabDesSalariosReal[[#This Row],[id]],TabAsistencias[],COLUMN(TabAsistencias[Total de dias laborados]),FALSE)</f>
        <v>30</v>
      </c>
      <c r="D41" s="179" cm="1">
        <f t="array" ref="D41">(VLOOKUP(TabDesSalariosReal[[#This Row],[id]],TabEmpleados[],COLUMN(TabEmpleados[SD Real]),FALSE))*TabDesSalariosReal[[#This Row],[Dias Lab.]]</f>
        <v>7500</v>
      </c>
      <c r="E41" s="180" cm="1">
        <f t="array" ref="E41">IF(DATEDIF((VLOOKUP(TabDesSalariosReal[[#This Row],[id]],TabEmpleados[],COLUMN(TabEmpleados[Fecha de ingreso]),FALSE)),Asistencias!$B$3,"Y")=0,1,DATEDIF((VLOOKUP(TabDesSalariosReal[[#This Row],[id]],TabEmpleados[],COLUMN(TabEmpleados[Fecha de ingreso]),FALSE)),Asistencias!$B$3,"Y"))</f>
        <v>1</v>
      </c>
      <c r="F41" s="181" cm="1">
        <f t="array" ref="F41">((VLOOKUP(TabDesSalariosReal[[#This Row],[id]],TabEmpleados[],COLUMN(TabEmpleados[SD Real]),FALSE))*(VLOOKUP(TabDesSalariosReal[[#This Row],[Años]],TabFactorIntegracion[],COLUMN(TabFactorIntegracion[% de prima 
vacacional y dominical]),FALSE))*(VLOOKUP(TabDesSalariosReal[[#This Row],[id]],TabAsistencias[],COLUMN(TabAsistencias[Prima dominical]),FALSE)))*(VLOOKUP((VLOOKUP(TabDesSalariosReal[[#This Row],[id]],TabEmpleados[],COLUMN(TabEmpleados[Puesto]),FALSE)),TabPuestos[],COLUMN(TabPuestos[PRIMA DOMINICAL]),FALSE))</f>
        <v>250</v>
      </c>
      <c r="G41" s="182" cm="1">
        <f t="array" ref="G41">(VLOOKUP(TabDesSalariosReal[[#This Row],[id]],TabEmpleados[],COLUMN(TabEmpleados[SD Real]),FALSE))*(VLOOKUP(TabDesSalariosReal[[#This Row],[Años]],TabFactorIntegracion[],COLUMN(TabFactorIntegracion[% de prima 
vacacional y dominical]),FALSE))*((VLOOKUP(TabDesSalariosReal[[#This Row],[id]],TabAsistencias[],COLUMN(TabAsistencias[V]),FALSE)))</f>
        <v>0</v>
      </c>
      <c r="H41" s="148" cm="1">
        <f t="array" ref="H41">VLOOKUP(TabDesSalariosReal[[#This Row],[id]],TabAsistencias[],COLUMN(TabAsistencias[I]),FALSE)</f>
        <v>0</v>
      </c>
      <c r="I41" s="148" cm="1">
        <f t="array" ref="I41">VLOOKUP(TabDesSalariosReal[[#This Row],[id]],TabAsistencias[],COLUMN(TabAsistencias[IG]),FALSE)</f>
        <v>0</v>
      </c>
      <c r="J41" s="191">
        <v>0.4</v>
      </c>
      <c r="K41" s="179" cm="1">
        <f t="array" ref="K41">IF(TabDesSalariosReal[[#This Row],[Dias Incapacidad/General]]&gt;3,((TabDesSalariosReal[[#This Row],[Dias Incapacidad/General]]-3)*((VLOOKUP(TabDesSalariosReal[[#This Row],[id]],TabEmpleados[],COLUMN(TabEmpleados[SD Real]),FALSE)))*TabDesSalariosReal[[#This Row],[% pagado por incapacidad]]),0)</f>
        <v>0</v>
      </c>
      <c r="L41" s="185">
        <f>-1*(SUMIFS(TabPagos[Monto de pago],TabPagos[id],TabDesSalariosReal[[#This Row],[id]],TabPagos[Fecha de pago],"&gt;="&amp;Asistencias!$B$2,TabPagos[Fecha de pago],"&lt;"&amp;Asistencias!$B$3))</f>
        <v>0</v>
      </c>
      <c r="M41" t="str" cm="1">
        <f t="array" ref="M41">getDescripcion(TabDesSalariosReal[[#This Row],[id]],"Descuentos-Pagos","TabPagos",Asistencias!$B$2,Asistencias!$B$3)</f>
        <v/>
      </c>
      <c r="N41" s="309" cm="1">
        <f t="array" ref="N41">IF((TabDesSalariosReal[[#This Row],[Subtotal Real]]+TabDesSalariosReal[[#This Row],[Prima dominical]]+TabDesSalariosReal[[#This Row],[Prima vacacional]]+TabDesSalariosReal[[#This Row],[$ por incpacidad]]+TabDesSalariosReal[[#This Row],[Descuentos]]+TabDesSalariosReal[[#This Row],[Extras]]-TabDesSalariosReal[[#This Row],[Fiscal Real]])&gt;500,AporteComision,0)</f>
        <v>15</v>
      </c>
      <c r="O41" s="276">
        <v>0</v>
      </c>
      <c r="P41" s="188" t="str" cm="1">
        <f t="array" ref="P41">VLOOKUP(TabDesSalariosReal[[#This Row],[id]],TabEmpleados[],COLUMN(TabEmpleados[Banco de pago]),FALSE)</f>
        <v>Santander</v>
      </c>
      <c r="Q41" s="188">
        <f>TabDesSalariosReal[[#This Row],[Subtotal Real]]+TabDesSalariosReal[[#This Row],[Prima dominical]]+TabDesSalariosReal[[#This Row],[Prima vacacional]]+TabDesSalariosReal[[#This Row],[$ por incpacidad]]+TabDesSalariosReal[[#This Row],[Descuentos]]+TabDesSalariosReal[[#This Row],[Aporte por comision]]+TabDesSalariosReal[[#This Row],[Extras]]</f>
        <v>7765</v>
      </c>
      <c r="R41" s="277">
        <f>TabDesSalariosReal[[#This Row],[Total Real]]-TabDesSalariosReal[[#This Row],[Fiscal Real]]</f>
        <v>1657.9398072000004</v>
      </c>
      <c r="S41" s="179" cm="1">
        <f t="array" ref="S41">IFERROR(VLOOKUP(TabDesSalariosReal[[#This Row],[id]],TabDesSalariosFiscal[],COLUMN(TabDesSalariosFiscal[Total Fiscal]),FALSE),0)</f>
        <v>6107.0601927999996</v>
      </c>
      <c r="T41" s="197">
        <f>IFERROR(TabDesSalariosReal[[#This Row],[Persepcion Fiscal]],0)</f>
        <v>6107.0601927999996</v>
      </c>
      <c r="U41" s="55" cm="1">
        <f t="array" ref="U41">IF('Desglose Salarios Fiscal'!$Q$1=1,VLOOKUP(TabDesSalariosReal[[#This Row],[id]],TabEmpleados[],COLUMN(TabEmpleados[SD Real]),FALSE)*TabDesSalariosReal[[#This Row],[Dias de agunaldo Real2]],0)</f>
        <v>3750</v>
      </c>
      <c r="V41" s="173" cm="1">
        <f t="array" ref="V41">IF(YEAR(VLOOKUP(TabDesSalariosReal[[#This Row],[id]],TabEmpleados[],COLUMN(TabEmpleados[Fecha de ingreso]),FALSE))&lt;AñoActual,'Tablas de informacion'!$N$13,_xlfn.DAYS(DATE(AñoActual+1,MONTH(1),DAY(1))-DAY(1),(VLOOKUP(TabDesSalariosReal[[#This Row],[id]],TabEmpleados[],COLUMN(TabEmpleados[Fecha de ingreso]),FALSE))))</f>
        <v>365</v>
      </c>
      <c r="W41" cm="1">
        <f t="array" ref="W41">TabDesSalariosReal[[#This Row],[Dias de aguinaldo Real1]]*VLOOKUP(TabDesSalariosReal[[#This Row],[Años]],TabFactorIntegracion[],COLUMN(TabFactorIntegracion[Días de
aguinaldo]),FALSE)/'Tablas de informacion'!$N$13</f>
        <v>15</v>
      </c>
      <c r="X41" s="141" cm="1">
        <f t="array" ref="X41">TabDesSalariosReal[[#This Row],[Aguinaldo Real]]-IFERROR(VLOOKUP(TabDesSalariosReal[[#This Row],[id]],TabDesSalariosFiscal[],COLUMN(TabDesSalariosFiscal[Aguinaldo Fiscal]),FALSE),0)</f>
        <v>2625</v>
      </c>
    </row>
    <row r="42" spans="1:24" x14ac:dyDescent="0.25">
      <c r="A42" s="176">
        <v>40</v>
      </c>
      <c r="B42" t="str" cm="1">
        <f t="array" ref="B42">VLOOKUP(TabDesSalariosReal[[#This Row],[id]],TabEmpleados[],COLUMN(TabEmpleados[Nombre]),FALSE)</f>
        <v>FLORES SANTIAGO PEDRO</v>
      </c>
      <c r="C42" s="148" cm="1">
        <f t="array" ref="C42">VLOOKUP(TabDesSalariosReal[[#This Row],[id]],TabAsistencias[],COLUMN(TabAsistencias[Total de dias laborados]),FALSE)</f>
        <v>30</v>
      </c>
      <c r="D42" s="179" cm="1">
        <f t="array" ref="D42">(VLOOKUP(TabDesSalariosReal[[#This Row],[id]],TabEmpleados[],COLUMN(TabEmpleados[SD Real]),FALSE))*TabDesSalariosReal[[#This Row],[Dias Lab.]]</f>
        <v>7500</v>
      </c>
      <c r="E42" s="180" cm="1">
        <f t="array" ref="E42">IF(DATEDIF((VLOOKUP(TabDesSalariosReal[[#This Row],[id]],TabEmpleados[],COLUMN(TabEmpleados[Fecha de ingreso]),FALSE)),Asistencias!$B$3,"Y")=0,1,DATEDIF((VLOOKUP(TabDesSalariosReal[[#This Row],[id]],TabEmpleados[],COLUMN(TabEmpleados[Fecha de ingreso]),FALSE)),Asistencias!$B$3,"Y"))</f>
        <v>1</v>
      </c>
      <c r="F42" s="181" cm="1">
        <f t="array" ref="F42">((VLOOKUP(TabDesSalariosReal[[#This Row],[id]],TabEmpleados[],COLUMN(TabEmpleados[SD Real]),FALSE))*(VLOOKUP(TabDesSalariosReal[[#This Row],[Años]],TabFactorIntegracion[],COLUMN(TabFactorIntegracion[% de prima 
vacacional y dominical]),FALSE))*(VLOOKUP(TabDesSalariosReal[[#This Row],[id]],TabAsistencias[],COLUMN(TabAsistencias[Prima dominical]),FALSE)))*(VLOOKUP((VLOOKUP(TabDesSalariosReal[[#This Row],[id]],TabEmpleados[],COLUMN(TabEmpleados[Puesto]),FALSE)),TabPuestos[],COLUMN(TabPuestos[PRIMA DOMINICAL]),FALSE))</f>
        <v>250</v>
      </c>
      <c r="G42" s="182" cm="1">
        <f t="array" ref="G42">(VLOOKUP(TabDesSalariosReal[[#This Row],[id]],TabEmpleados[],COLUMN(TabEmpleados[SD Real]),FALSE))*(VLOOKUP(TabDesSalariosReal[[#This Row],[Años]],TabFactorIntegracion[],COLUMN(TabFactorIntegracion[% de prima 
vacacional y dominical]),FALSE))*((VLOOKUP(TabDesSalariosReal[[#This Row],[id]],TabAsistencias[],COLUMN(TabAsistencias[V]),FALSE)))</f>
        <v>0</v>
      </c>
      <c r="H42" s="148" cm="1">
        <f t="array" ref="H42">VLOOKUP(TabDesSalariosReal[[#This Row],[id]],TabAsistencias[],COLUMN(TabAsistencias[I]),FALSE)</f>
        <v>0</v>
      </c>
      <c r="I42" s="148" cm="1">
        <f t="array" ref="I42">VLOOKUP(TabDesSalariosReal[[#This Row],[id]],TabAsistencias[],COLUMN(TabAsistencias[IG]),FALSE)</f>
        <v>0</v>
      </c>
      <c r="J42" s="191">
        <v>0.4</v>
      </c>
      <c r="K42" s="179" cm="1">
        <f t="array" ref="K42">IF(TabDesSalariosReal[[#This Row],[Dias Incapacidad/General]]&gt;3,((TabDesSalariosReal[[#This Row],[Dias Incapacidad/General]]-3)*((VLOOKUP(TabDesSalariosReal[[#This Row],[id]],TabEmpleados[],COLUMN(TabEmpleados[SD Real]),FALSE)))*TabDesSalariosReal[[#This Row],[% pagado por incapacidad]]),0)</f>
        <v>0</v>
      </c>
      <c r="L42" s="185">
        <f>-1*(SUMIFS(TabPagos[Monto de pago],TabPagos[id],TabDesSalariosReal[[#This Row],[id]],TabPagos[Fecha de pago],"&gt;="&amp;Asistencias!$B$2,TabPagos[Fecha de pago],"&lt;"&amp;Asistencias!$B$3))</f>
        <v>0</v>
      </c>
      <c r="M42" t="str" cm="1">
        <f t="array" ref="M42">getDescripcion(TabDesSalariosReal[[#This Row],[id]],"Descuentos-Pagos","TabPagos",Asistencias!$B$2,Asistencias!$B$3)</f>
        <v/>
      </c>
      <c r="N42" s="309" cm="1">
        <f t="array" ref="N42">IF((TabDesSalariosReal[[#This Row],[Subtotal Real]]+TabDesSalariosReal[[#This Row],[Prima dominical]]+TabDesSalariosReal[[#This Row],[Prima vacacional]]+TabDesSalariosReal[[#This Row],[$ por incpacidad]]+TabDesSalariosReal[[#This Row],[Descuentos]]+TabDesSalariosReal[[#This Row],[Extras]]-TabDesSalariosReal[[#This Row],[Fiscal Real]])&gt;500,AporteComision,0)</f>
        <v>15</v>
      </c>
      <c r="O42" s="276">
        <v>0</v>
      </c>
      <c r="P42" s="188" t="str" cm="1">
        <f t="array" ref="P42">VLOOKUP(TabDesSalariosReal[[#This Row],[id]],TabEmpleados[],COLUMN(TabEmpleados[Banco de pago]),FALSE)</f>
        <v>Santander</v>
      </c>
      <c r="Q42" s="188">
        <f>TabDesSalariosReal[[#This Row],[Subtotal Real]]+TabDesSalariosReal[[#This Row],[Prima dominical]]+TabDesSalariosReal[[#This Row],[Prima vacacional]]+TabDesSalariosReal[[#This Row],[$ por incpacidad]]+TabDesSalariosReal[[#This Row],[Descuentos]]+TabDesSalariosReal[[#This Row],[Aporte por comision]]+TabDesSalariosReal[[#This Row],[Extras]]</f>
        <v>7765</v>
      </c>
      <c r="R42" s="277">
        <f>TabDesSalariosReal[[#This Row],[Total Real]]-TabDesSalariosReal[[#This Row],[Fiscal Real]]</f>
        <v>1657.9398072000004</v>
      </c>
      <c r="S42" s="179" cm="1">
        <f t="array" ref="S42">IFERROR(VLOOKUP(TabDesSalariosReal[[#This Row],[id]],TabDesSalariosFiscal[],COLUMN(TabDesSalariosFiscal[Total Fiscal]),FALSE),0)</f>
        <v>6107.0601927999996</v>
      </c>
      <c r="T42" s="197">
        <f>IFERROR(TabDesSalariosReal[[#This Row],[Persepcion Fiscal]],0)</f>
        <v>6107.0601927999996</v>
      </c>
      <c r="U42" s="55" cm="1">
        <f t="array" ref="U42">IF('Desglose Salarios Fiscal'!$Q$1=1,VLOOKUP(TabDesSalariosReal[[#This Row],[id]],TabEmpleados[],COLUMN(TabEmpleados[SD Real]),FALSE)*TabDesSalariosReal[[#This Row],[Dias de agunaldo Real2]],0)</f>
        <v>3750</v>
      </c>
      <c r="V42" s="173" cm="1">
        <f t="array" ref="V42">IF(YEAR(VLOOKUP(TabDesSalariosReal[[#This Row],[id]],TabEmpleados[],COLUMN(TabEmpleados[Fecha de ingreso]),FALSE))&lt;AñoActual,'Tablas de informacion'!$N$13,_xlfn.DAYS(DATE(AñoActual+1,MONTH(1),DAY(1))-DAY(1),(VLOOKUP(TabDesSalariosReal[[#This Row],[id]],TabEmpleados[],COLUMN(TabEmpleados[Fecha de ingreso]),FALSE))))</f>
        <v>365</v>
      </c>
      <c r="W42" cm="1">
        <f t="array" ref="W42">TabDesSalariosReal[[#This Row],[Dias de aguinaldo Real1]]*VLOOKUP(TabDesSalariosReal[[#This Row],[Años]],TabFactorIntegracion[],COLUMN(TabFactorIntegracion[Días de
aguinaldo]),FALSE)/'Tablas de informacion'!$N$13</f>
        <v>15</v>
      </c>
      <c r="X42" s="141" cm="1">
        <f t="array" ref="X42">TabDesSalariosReal[[#This Row],[Aguinaldo Real]]-IFERROR(VLOOKUP(TabDesSalariosReal[[#This Row],[id]],TabDesSalariosFiscal[],COLUMN(TabDesSalariosFiscal[Aguinaldo Fiscal]),FALSE),0)</f>
        <v>2625</v>
      </c>
    </row>
    <row r="43" spans="1:24" x14ac:dyDescent="0.25">
      <c r="A43" s="176">
        <v>41</v>
      </c>
      <c r="B43" t="str" cm="1">
        <f t="array" ref="B43">VLOOKUP(TabDesSalariosReal[[#This Row],[id]],TabEmpleados[],COLUMN(TabEmpleados[Nombre]),FALSE)</f>
        <v>LOPEZ TORRES ROSENDO EDUARDO</v>
      </c>
      <c r="C43" s="148" cm="1">
        <f t="array" ref="C43">VLOOKUP(TabDesSalariosReal[[#This Row],[id]],TabAsistencias[],COLUMN(TabAsistencias[Total de dias laborados]),FALSE)</f>
        <v>30</v>
      </c>
      <c r="D43" s="179" cm="1">
        <f t="array" ref="D43">(VLOOKUP(TabDesSalariosReal[[#This Row],[id]],TabEmpleados[],COLUMN(TabEmpleados[SD Real]),FALSE))*TabDesSalariosReal[[#This Row],[Dias Lab.]]</f>
        <v>10500</v>
      </c>
      <c r="E43" s="180" cm="1">
        <f t="array" ref="E43">IF(DATEDIF((VLOOKUP(TabDesSalariosReal[[#This Row],[id]],TabEmpleados[],COLUMN(TabEmpleados[Fecha de ingreso]),FALSE)),Asistencias!$B$3,"Y")=0,1,DATEDIF((VLOOKUP(TabDesSalariosReal[[#This Row],[id]],TabEmpleados[],COLUMN(TabEmpleados[Fecha de ingreso]),FALSE)),Asistencias!$B$3,"Y"))</f>
        <v>1</v>
      </c>
      <c r="F43" s="181" cm="1">
        <f t="array" ref="F43">((VLOOKUP(TabDesSalariosReal[[#This Row],[id]],TabEmpleados[],COLUMN(TabEmpleados[SD Real]),FALSE))*(VLOOKUP(TabDesSalariosReal[[#This Row],[Años]],TabFactorIntegracion[],COLUMN(TabFactorIntegracion[% de prima 
vacacional y dominical]),FALSE))*(VLOOKUP(TabDesSalariosReal[[#This Row],[id]],TabAsistencias[],COLUMN(TabAsistencias[Prima dominical]),FALSE)))*(VLOOKUP((VLOOKUP(TabDesSalariosReal[[#This Row],[id]],TabEmpleados[],COLUMN(TabEmpleados[Puesto]),FALSE)),TabPuestos[],COLUMN(TabPuestos[PRIMA DOMINICAL]),FALSE))</f>
        <v>350</v>
      </c>
      <c r="G43" s="182" cm="1">
        <f t="array" ref="G43">(VLOOKUP(TabDesSalariosReal[[#This Row],[id]],TabEmpleados[],COLUMN(TabEmpleados[SD Real]),FALSE))*(VLOOKUP(TabDesSalariosReal[[#This Row],[Años]],TabFactorIntegracion[],COLUMN(TabFactorIntegracion[% de prima 
vacacional y dominical]),FALSE))*((VLOOKUP(TabDesSalariosReal[[#This Row],[id]],TabAsistencias[],COLUMN(TabAsistencias[V]),FALSE)))</f>
        <v>0</v>
      </c>
      <c r="H43" s="148" cm="1">
        <f t="array" ref="H43">VLOOKUP(TabDesSalariosReal[[#This Row],[id]],TabAsistencias[],COLUMN(TabAsistencias[I]),FALSE)</f>
        <v>0</v>
      </c>
      <c r="I43" s="148" cm="1">
        <f t="array" ref="I43">VLOOKUP(TabDesSalariosReal[[#This Row],[id]],TabAsistencias[],COLUMN(TabAsistencias[IG]),FALSE)</f>
        <v>0</v>
      </c>
      <c r="J43" s="191">
        <v>0.4</v>
      </c>
      <c r="K43" s="179" cm="1">
        <f t="array" ref="K43">IF(TabDesSalariosReal[[#This Row],[Dias Incapacidad/General]]&gt;3,((TabDesSalariosReal[[#This Row],[Dias Incapacidad/General]]-3)*((VLOOKUP(TabDesSalariosReal[[#This Row],[id]],TabEmpleados[],COLUMN(TabEmpleados[SD Real]),FALSE)))*TabDesSalariosReal[[#This Row],[% pagado por incapacidad]]),0)</f>
        <v>0</v>
      </c>
      <c r="L43" s="185">
        <f>-1*(SUMIFS(TabPagos[Monto de pago],TabPagos[id],TabDesSalariosReal[[#This Row],[id]],TabPagos[Fecha de pago],"&gt;="&amp;Asistencias!$B$2,TabPagos[Fecha de pago],"&lt;"&amp;Asistencias!$B$3))</f>
        <v>0</v>
      </c>
      <c r="M43" t="str" cm="1">
        <f t="array" ref="M43">getDescripcion(TabDesSalariosReal[[#This Row],[id]],"Descuentos-Pagos","TabPagos",Asistencias!$B$2,Asistencias!$B$3)</f>
        <v/>
      </c>
      <c r="N43" s="309" cm="1">
        <f t="array" ref="N43">IF((TabDesSalariosReal[[#This Row],[Subtotal Real]]+TabDesSalariosReal[[#This Row],[Prima dominical]]+TabDesSalariosReal[[#This Row],[Prima vacacional]]+TabDesSalariosReal[[#This Row],[$ por incpacidad]]+TabDesSalariosReal[[#This Row],[Descuentos]]+TabDesSalariosReal[[#This Row],[Extras]]-TabDesSalariosReal[[#This Row],[Fiscal Real]])&gt;500,AporteComision,0)</f>
        <v>15</v>
      </c>
      <c r="O43" s="276">
        <v>0</v>
      </c>
      <c r="P43" s="188" t="str" cm="1">
        <f t="array" ref="P43">VLOOKUP(TabDesSalariosReal[[#This Row],[id]],TabEmpleados[],COLUMN(TabEmpleados[Banco de pago]),FALSE)</f>
        <v>Santander</v>
      </c>
      <c r="Q43" s="188">
        <f>TabDesSalariosReal[[#This Row],[Subtotal Real]]+TabDesSalariosReal[[#This Row],[Prima dominical]]+TabDesSalariosReal[[#This Row],[Prima vacacional]]+TabDesSalariosReal[[#This Row],[$ por incpacidad]]+TabDesSalariosReal[[#This Row],[Descuentos]]+TabDesSalariosReal[[#This Row],[Aporte por comision]]+TabDesSalariosReal[[#This Row],[Extras]]</f>
        <v>10865</v>
      </c>
      <c r="R43" s="277">
        <f>TabDesSalariosReal[[#This Row],[Total Real]]-TabDesSalariosReal[[#This Row],[Fiscal Real]]</f>
        <v>2600.6249890400013</v>
      </c>
      <c r="S43" s="179" cm="1">
        <f t="array" ref="S43">IFERROR(VLOOKUP(TabDesSalariosReal[[#This Row],[id]],TabDesSalariosFiscal[],COLUMN(TabDesSalariosFiscal[Total Fiscal]),FALSE),0)</f>
        <v>8264.3750109599987</v>
      </c>
      <c r="T43" s="197">
        <f>IFERROR(TabDesSalariosReal[[#This Row],[Persepcion Fiscal]],0)</f>
        <v>8264.3750109599987</v>
      </c>
      <c r="U43" s="55" cm="1">
        <f t="array" ref="U43">IF('Desglose Salarios Fiscal'!$Q$1=1,VLOOKUP(TabDesSalariosReal[[#This Row],[id]],TabEmpleados[],COLUMN(TabEmpleados[SD Real]),FALSE)*TabDesSalariosReal[[#This Row],[Dias de agunaldo Real2]],0)</f>
        <v>5250</v>
      </c>
      <c r="V43" s="173" cm="1">
        <f t="array" ref="V43">IF(YEAR(VLOOKUP(TabDesSalariosReal[[#This Row],[id]],TabEmpleados[],COLUMN(TabEmpleados[Fecha de ingreso]),FALSE))&lt;AñoActual,'Tablas de informacion'!$N$13,_xlfn.DAYS(DATE(AñoActual+1,MONTH(1),DAY(1))-DAY(1),(VLOOKUP(TabDesSalariosReal[[#This Row],[id]],TabEmpleados[],COLUMN(TabEmpleados[Fecha de ingreso]),FALSE))))</f>
        <v>365</v>
      </c>
      <c r="W43" cm="1">
        <f t="array" ref="W43">TabDesSalariosReal[[#This Row],[Dias de aguinaldo Real1]]*VLOOKUP(TabDesSalariosReal[[#This Row],[Años]],TabFactorIntegracion[],COLUMN(TabFactorIntegracion[Días de
aguinaldo]),FALSE)/'Tablas de informacion'!$N$13</f>
        <v>15</v>
      </c>
      <c r="X43" s="141" cm="1">
        <f t="array" ref="X43">TabDesSalariosReal[[#This Row],[Aguinaldo Real]]-IFERROR(VLOOKUP(TabDesSalariosReal[[#This Row],[id]],TabDesSalariosFiscal[],COLUMN(TabDesSalariosFiscal[Aguinaldo Fiscal]),FALSE),0)</f>
        <v>3675</v>
      </c>
    </row>
    <row r="44" spans="1:24" x14ac:dyDescent="0.25">
      <c r="A44" s="176">
        <v>42</v>
      </c>
      <c r="B44" t="str" cm="1">
        <f t="array" ref="B44">VLOOKUP(TabDesSalariosReal[[#This Row],[id]],TabEmpleados[],COLUMN(TabEmpleados[Nombre]),FALSE)</f>
        <v>GAYTAN VASQUEZ ERICK</v>
      </c>
      <c r="C44" s="148" cm="1">
        <f t="array" ref="C44">VLOOKUP(TabDesSalariosReal[[#This Row],[id]],TabAsistencias[],COLUMN(TabAsistencias[Total de dias laborados]),FALSE)</f>
        <v>30</v>
      </c>
      <c r="D44" s="179" cm="1">
        <f t="array" ref="D44">(VLOOKUP(TabDesSalariosReal[[#This Row],[id]],TabEmpleados[],COLUMN(TabEmpleados[SD Real]),FALSE))*TabDesSalariosReal[[#This Row],[Dias Lab.]]</f>
        <v>12000</v>
      </c>
      <c r="E44" s="180" cm="1">
        <f t="array" ref="E44">IF(DATEDIF((VLOOKUP(TabDesSalariosReal[[#This Row],[id]],TabEmpleados[],COLUMN(TabEmpleados[Fecha de ingreso]),FALSE)),Asistencias!$B$3,"Y")=0,1,DATEDIF((VLOOKUP(TabDesSalariosReal[[#This Row],[id]],TabEmpleados[],COLUMN(TabEmpleados[Fecha de ingreso]),FALSE)),Asistencias!$B$3,"Y"))</f>
        <v>12</v>
      </c>
      <c r="F44" s="181" cm="1">
        <f t="array" ref="F44">((VLOOKUP(TabDesSalariosReal[[#This Row],[id]],TabEmpleados[],COLUMN(TabEmpleados[SD Real]),FALSE))*(VLOOKUP(TabDesSalariosReal[[#This Row],[Años]],TabFactorIntegracion[],COLUMN(TabFactorIntegracion[% de prima 
vacacional y dominical]),FALSE))*(VLOOKUP(TabDesSalariosReal[[#This Row],[id]],TabAsistencias[],COLUMN(TabAsistencias[Prima dominical]),FALSE)))*(VLOOKUP((VLOOKUP(TabDesSalariosReal[[#This Row],[id]],TabEmpleados[],COLUMN(TabEmpleados[Puesto]),FALSE)),TabPuestos[],COLUMN(TabPuestos[PRIMA DOMINICAL]),FALSE))</f>
        <v>400</v>
      </c>
      <c r="G44" s="182" cm="1">
        <f t="array" ref="G44">(VLOOKUP(TabDesSalariosReal[[#This Row],[id]],TabEmpleados[],COLUMN(TabEmpleados[SD Real]),FALSE))*(VLOOKUP(TabDesSalariosReal[[#This Row],[Años]],TabFactorIntegracion[],COLUMN(TabFactorIntegracion[% de prima 
vacacional y dominical]),FALSE))*((VLOOKUP(TabDesSalariosReal[[#This Row],[id]],TabAsistencias[],COLUMN(TabAsistencias[V]),FALSE)))</f>
        <v>0</v>
      </c>
      <c r="H44" s="148" cm="1">
        <f t="array" ref="H44">VLOOKUP(TabDesSalariosReal[[#This Row],[id]],TabAsistencias[],COLUMN(TabAsistencias[I]),FALSE)</f>
        <v>0</v>
      </c>
      <c r="I44" s="148" cm="1">
        <f t="array" ref="I44">VLOOKUP(TabDesSalariosReal[[#This Row],[id]],TabAsistencias[],COLUMN(TabAsistencias[IG]),FALSE)</f>
        <v>0</v>
      </c>
      <c r="J44" s="191">
        <v>0.4</v>
      </c>
      <c r="K44" s="179" cm="1">
        <f t="array" ref="K44">IF(TabDesSalariosReal[[#This Row],[Dias Incapacidad/General]]&gt;3,((TabDesSalariosReal[[#This Row],[Dias Incapacidad/General]]-3)*((VLOOKUP(TabDesSalariosReal[[#This Row],[id]],TabEmpleados[],COLUMN(TabEmpleados[SD Real]),FALSE)))*TabDesSalariosReal[[#This Row],[% pagado por incapacidad]]),0)</f>
        <v>0</v>
      </c>
      <c r="L44" s="185">
        <f>-1*(SUMIFS(TabPagos[Monto de pago],TabPagos[id],TabDesSalariosReal[[#This Row],[id]],TabPagos[Fecha de pago],"&gt;="&amp;Asistencias!$B$2,TabPagos[Fecha de pago],"&lt;"&amp;Asistencias!$B$3))</f>
        <v>0</v>
      </c>
      <c r="M44" t="str" cm="1">
        <f t="array" ref="M44">getDescripcion(TabDesSalariosReal[[#This Row],[id]],"Descuentos-Pagos","TabPagos",Asistencias!$B$2,Asistencias!$B$3)</f>
        <v/>
      </c>
      <c r="N44" s="309" cm="1">
        <f t="array" ref="N44">IF((TabDesSalariosReal[[#This Row],[Subtotal Real]]+TabDesSalariosReal[[#This Row],[Prima dominical]]+TabDesSalariosReal[[#This Row],[Prima vacacional]]+TabDesSalariosReal[[#This Row],[$ por incpacidad]]+TabDesSalariosReal[[#This Row],[Descuentos]]+TabDesSalariosReal[[#This Row],[Extras]]-TabDesSalariosReal[[#This Row],[Fiscal Real]])&gt;500,AporteComision,0)</f>
        <v>0</v>
      </c>
      <c r="O44" s="276">
        <v>0</v>
      </c>
      <c r="P44" s="188" t="str" cm="1">
        <f t="array" ref="P44">VLOOKUP(TabDesSalariosReal[[#This Row],[id]],TabEmpleados[],COLUMN(TabEmpleados[Banco de pago]),FALSE)</f>
        <v>Santander</v>
      </c>
      <c r="Q44" s="188">
        <f>TabDesSalariosReal[[#This Row],[Subtotal Real]]+TabDesSalariosReal[[#This Row],[Prima dominical]]+TabDesSalariosReal[[#This Row],[Prima vacacional]]+TabDesSalariosReal[[#This Row],[$ por incpacidad]]+TabDesSalariosReal[[#This Row],[Descuentos]]+TabDesSalariosReal[[#This Row],[Aporte por comision]]+TabDesSalariosReal[[#This Row],[Extras]]</f>
        <v>12400</v>
      </c>
      <c r="R44" s="277">
        <f>TabDesSalariosReal[[#This Row],[Total Real]]-TabDesSalariosReal[[#This Row],[Fiscal Real]]</f>
        <v>-1153.2236547150005</v>
      </c>
      <c r="S44" s="179" cm="1">
        <f t="array" ref="S44">IFERROR(VLOOKUP(TabDesSalariosReal[[#This Row],[id]],TabDesSalariosFiscal[],COLUMN(TabDesSalariosFiscal[Total Fiscal]),FALSE),0)</f>
        <v>13553.223654715001</v>
      </c>
      <c r="T44" s="197">
        <f>IFERROR(TabDesSalariosReal[[#This Row],[Persepcion Fiscal]],0)</f>
        <v>13553.223654715001</v>
      </c>
      <c r="U44" s="55" cm="1">
        <f t="array" ref="U44">IF('Desglose Salarios Fiscal'!$Q$1=1,VLOOKUP(TabDesSalariosReal[[#This Row],[id]],TabEmpleados[],COLUMN(TabEmpleados[SD Real]),FALSE)*TabDesSalariosReal[[#This Row],[Dias de agunaldo Real2]],0)</f>
        <v>6000</v>
      </c>
      <c r="V44" s="173" cm="1">
        <f t="array" ref="V44">IF(YEAR(VLOOKUP(TabDesSalariosReal[[#This Row],[id]],TabEmpleados[],COLUMN(TabEmpleados[Fecha de ingreso]),FALSE))&lt;AñoActual,'Tablas de informacion'!$N$13,_xlfn.DAYS(DATE(AñoActual+1,MONTH(1),DAY(1))-DAY(1),(VLOOKUP(TabDesSalariosReal[[#This Row],[id]],TabEmpleados[],COLUMN(TabEmpleados[Fecha de ingreso]),FALSE))))</f>
        <v>365</v>
      </c>
      <c r="W44" cm="1">
        <f t="array" ref="W44">TabDesSalariosReal[[#This Row],[Dias de aguinaldo Real1]]*VLOOKUP(TabDesSalariosReal[[#This Row],[Años]],TabFactorIntegracion[],COLUMN(TabFactorIntegracion[Días de
aguinaldo]),FALSE)/'Tablas de informacion'!$N$13</f>
        <v>15</v>
      </c>
      <c r="X44" s="141" cm="1">
        <f t="array" ref="X44">TabDesSalariosReal[[#This Row],[Aguinaldo Real]]-IFERROR(VLOOKUP(TabDesSalariosReal[[#This Row],[id]],TabDesSalariosFiscal[],COLUMN(TabDesSalariosFiscal[Aguinaldo Fiscal]),FALSE),0)</f>
        <v>3225</v>
      </c>
    </row>
    <row r="45" spans="1:24" x14ac:dyDescent="0.25">
      <c r="A45" s="176">
        <v>43</v>
      </c>
      <c r="B45" t="str" cm="1">
        <f t="array" ref="B45">VLOOKUP(TabDesSalariosReal[[#This Row],[id]],TabEmpleados[],COLUMN(TabEmpleados[Nombre]),FALSE)</f>
        <v>SAMARIO MANZANO ABRAHAM  ROSALINO</v>
      </c>
      <c r="C45" s="148" cm="1">
        <f t="array" ref="C45">VLOOKUP(TabDesSalariosReal[[#This Row],[id]],TabAsistencias[],COLUMN(TabAsistencias[Total de dias laborados]),FALSE)</f>
        <v>30</v>
      </c>
      <c r="D45" s="179" cm="1">
        <f t="array" ref="D45">(VLOOKUP(TabDesSalariosReal[[#This Row],[id]],TabEmpleados[],COLUMN(TabEmpleados[SD Real]),FALSE))*TabDesSalariosReal[[#This Row],[Dias Lab.]]</f>
        <v>13500</v>
      </c>
      <c r="E45" s="180" cm="1">
        <f t="array" ref="E45">IF(DATEDIF((VLOOKUP(TabDesSalariosReal[[#This Row],[id]],TabEmpleados[],COLUMN(TabEmpleados[Fecha de ingreso]),FALSE)),Asistencias!$B$3,"Y")=0,1,DATEDIF((VLOOKUP(TabDesSalariosReal[[#This Row],[id]],TabEmpleados[],COLUMN(TabEmpleados[Fecha de ingreso]),FALSE)),Asistencias!$B$3,"Y"))</f>
        <v>1</v>
      </c>
      <c r="F45" s="181" cm="1">
        <f t="array" ref="F45">((VLOOKUP(TabDesSalariosReal[[#This Row],[id]],TabEmpleados[],COLUMN(TabEmpleados[SD Real]),FALSE))*(VLOOKUP(TabDesSalariosReal[[#This Row],[Años]],TabFactorIntegracion[],COLUMN(TabFactorIntegracion[% de prima 
vacacional y dominical]),FALSE))*(VLOOKUP(TabDesSalariosReal[[#This Row],[id]],TabAsistencias[],COLUMN(TabAsistencias[Prima dominical]),FALSE)))*(VLOOKUP((VLOOKUP(TabDesSalariosReal[[#This Row],[id]],TabEmpleados[],COLUMN(TabEmpleados[Puesto]),FALSE)),TabPuestos[],COLUMN(TabPuestos[PRIMA DOMINICAL]),FALSE))</f>
        <v>0</v>
      </c>
      <c r="G45" s="182" cm="1">
        <f t="array" ref="G45">(VLOOKUP(TabDesSalariosReal[[#This Row],[id]],TabEmpleados[],COLUMN(TabEmpleados[SD Real]),FALSE))*(VLOOKUP(TabDesSalariosReal[[#This Row],[Años]],TabFactorIntegracion[],COLUMN(TabFactorIntegracion[% de prima 
vacacional y dominical]),FALSE))*((VLOOKUP(TabDesSalariosReal[[#This Row],[id]],TabAsistencias[],COLUMN(TabAsistencias[V]),FALSE)))</f>
        <v>0</v>
      </c>
      <c r="H45" s="148" cm="1">
        <f t="array" ref="H45">VLOOKUP(TabDesSalariosReal[[#This Row],[id]],TabAsistencias[],COLUMN(TabAsistencias[I]),FALSE)</f>
        <v>0</v>
      </c>
      <c r="I45" s="148" cm="1">
        <f t="array" ref="I45">VLOOKUP(TabDesSalariosReal[[#This Row],[id]],TabAsistencias[],COLUMN(TabAsistencias[IG]),FALSE)</f>
        <v>0</v>
      </c>
      <c r="J45" s="191">
        <v>0.4</v>
      </c>
      <c r="K45" s="179" cm="1">
        <f t="array" ref="K45">IF(TabDesSalariosReal[[#This Row],[Dias Incapacidad/General]]&gt;3,((TabDesSalariosReal[[#This Row],[Dias Incapacidad/General]]-3)*((VLOOKUP(TabDesSalariosReal[[#This Row],[id]],TabEmpleados[],COLUMN(TabEmpleados[SD Real]),FALSE)))*TabDesSalariosReal[[#This Row],[% pagado por incapacidad]]),0)</f>
        <v>0</v>
      </c>
      <c r="L45" s="185">
        <f>-1*(SUMIFS(TabPagos[Monto de pago],TabPagos[id],TabDesSalariosReal[[#This Row],[id]],TabPagos[Fecha de pago],"&gt;="&amp;Asistencias!$B$2,TabPagos[Fecha de pago],"&lt;"&amp;Asistencias!$B$3))</f>
        <v>0</v>
      </c>
      <c r="M45" t="str" cm="1">
        <f t="array" ref="M45">getDescripcion(TabDesSalariosReal[[#This Row],[id]],"Descuentos-Pagos","TabPagos",Asistencias!$B$2,Asistencias!$B$3)</f>
        <v/>
      </c>
      <c r="N45" s="309" cm="1">
        <f t="array" ref="N45">IF((TabDesSalariosReal[[#This Row],[Subtotal Real]]+TabDesSalariosReal[[#This Row],[Prima dominical]]+TabDesSalariosReal[[#This Row],[Prima vacacional]]+TabDesSalariosReal[[#This Row],[$ por incpacidad]]+TabDesSalariosReal[[#This Row],[Descuentos]]+TabDesSalariosReal[[#This Row],[Extras]]-TabDesSalariosReal[[#This Row],[Fiscal Real]])&gt;500,AporteComision,0)</f>
        <v>15</v>
      </c>
      <c r="O45" s="276">
        <v>0</v>
      </c>
      <c r="P45" s="188" t="str" cm="1">
        <f t="array" ref="P45">VLOOKUP(TabDesSalariosReal[[#This Row],[id]],TabEmpleados[],COLUMN(TabEmpleados[Banco de pago]),FALSE)</f>
        <v>Santander</v>
      </c>
      <c r="Q45" s="188">
        <f>TabDesSalariosReal[[#This Row],[Subtotal Real]]+TabDesSalariosReal[[#This Row],[Prima dominical]]+TabDesSalariosReal[[#This Row],[Prima vacacional]]+TabDesSalariosReal[[#This Row],[$ por incpacidad]]+TabDesSalariosReal[[#This Row],[Descuentos]]+TabDesSalariosReal[[#This Row],[Aporte por comision]]+TabDesSalariosReal[[#This Row],[Extras]]</f>
        <v>13515</v>
      </c>
      <c r="R45" s="277">
        <f>TabDesSalariosReal[[#This Row],[Total Real]]-TabDesSalariosReal[[#This Row],[Fiscal Real]]</f>
        <v>3315.5335439999999</v>
      </c>
      <c r="S45" s="179" cm="1">
        <f t="array" ref="S45">IFERROR(VLOOKUP(TabDesSalariosReal[[#This Row],[id]],TabDesSalariosFiscal[],COLUMN(TabDesSalariosFiscal[Total Fiscal]),FALSE),0)</f>
        <v>10199.466456</v>
      </c>
      <c r="T45" s="197">
        <f>IFERROR(TabDesSalariosReal[[#This Row],[Persepcion Fiscal]],0)</f>
        <v>10199.466456</v>
      </c>
      <c r="U45" s="55" cm="1">
        <f t="array" ref="U45">IF('Desglose Salarios Fiscal'!$Q$1=1,VLOOKUP(TabDesSalariosReal[[#This Row],[id]],TabEmpleados[],COLUMN(TabEmpleados[SD Real]),FALSE)*TabDesSalariosReal[[#This Row],[Dias de agunaldo Real2]],0)</f>
        <v>6750</v>
      </c>
      <c r="V45" s="173" cm="1">
        <f t="array" ref="V45">IF(YEAR(VLOOKUP(TabDesSalariosReal[[#This Row],[id]],TabEmpleados[],COLUMN(TabEmpleados[Fecha de ingreso]),FALSE))&lt;AñoActual,'Tablas de informacion'!$N$13,_xlfn.DAYS(DATE(AñoActual+1,MONTH(1),DAY(1))-DAY(1),(VLOOKUP(TabDesSalariosReal[[#This Row],[id]],TabEmpleados[],COLUMN(TabEmpleados[Fecha de ingreso]),FALSE))))</f>
        <v>365</v>
      </c>
      <c r="W45" cm="1">
        <f t="array" ref="W45">TabDesSalariosReal[[#This Row],[Dias de aguinaldo Real1]]*VLOOKUP(TabDesSalariosReal[[#This Row],[Años]],TabFactorIntegracion[],COLUMN(TabFactorIntegracion[Días de
aguinaldo]),FALSE)/'Tablas de informacion'!$N$13</f>
        <v>15</v>
      </c>
      <c r="X45" s="141" cm="1">
        <f t="array" ref="X45">TabDesSalariosReal[[#This Row],[Aguinaldo Real]]-IFERROR(VLOOKUP(TabDesSalariosReal[[#This Row],[id]],TabDesSalariosFiscal[],COLUMN(TabDesSalariosFiscal[Aguinaldo Fiscal]),FALSE),0)</f>
        <v>4725</v>
      </c>
    </row>
    <row r="46" spans="1:24" x14ac:dyDescent="0.25">
      <c r="A46" s="176">
        <v>44</v>
      </c>
      <c r="B46" t="str" cm="1">
        <f t="array" ref="B46">VLOOKUP(TabDesSalariosReal[[#This Row],[id]],TabEmpleados[],COLUMN(TabEmpleados[Nombre]),FALSE)</f>
        <v>LORENZO GREGORIO JESUS OCTAVIANO</v>
      </c>
      <c r="C46" s="148" cm="1">
        <f t="array" ref="C46">VLOOKUP(TabDesSalariosReal[[#This Row],[id]],TabAsistencias[],COLUMN(TabAsistencias[Total de dias laborados]),FALSE)</f>
        <v>30</v>
      </c>
      <c r="D46" s="179" cm="1">
        <f t="array" ref="D46">(VLOOKUP(TabDesSalariosReal[[#This Row],[id]],TabEmpleados[],COLUMN(TabEmpleados[SD Real]),FALSE))*TabDesSalariosReal[[#This Row],[Dias Lab.]]</f>
        <v>10500</v>
      </c>
      <c r="E46" s="180" cm="1">
        <f t="array" ref="E46">IF(DATEDIF((VLOOKUP(TabDesSalariosReal[[#This Row],[id]],TabEmpleados[],COLUMN(TabEmpleados[Fecha de ingreso]),FALSE)),Asistencias!$B$3,"Y")=0,1,DATEDIF((VLOOKUP(TabDesSalariosReal[[#This Row],[id]],TabEmpleados[],COLUMN(TabEmpleados[Fecha de ingreso]),FALSE)),Asistencias!$B$3,"Y"))</f>
        <v>1</v>
      </c>
      <c r="F46" s="181" cm="1">
        <f t="array" ref="F46">((VLOOKUP(TabDesSalariosReal[[#This Row],[id]],TabEmpleados[],COLUMN(TabEmpleados[SD Real]),FALSE))*(VLOOKUP(TabDesSalariosReal[[#This Row],[Años]],TabFactorIntegracion[],COLUMN(TabFactorIntegracion[% de prima 
vacacional y dominical]),FALSE))*(VLOOKUP(TabDesSalariosReal[[#This Row],[id]],TabAsistencias[],COLUMN(TabAsistencias[Prima dominical]),FALSE)))*(VLOOKUP((VLOOKUP(TabDesSalariosReal[[#This Row],[id]],TabEmpleados[],COLUMN(TabEmpleados[Puesto]),FALSE)),TabPuestos[],COLUMN(TabPuestos[PRIMA DOMINICAL]),FALSE))</f>
        <v>350</v>
      </c>
      <c r="G46" s="182" cm="1">
        <f t="array" ref="G46">(VLOOKUP(TabDesSalariosReal[[#This Row],[id]],TabEmpleados[],COLUMN(TabEmpleados[SD Real]),FALSE))*(VLOOKUP(TabDesSalariosReal[[#This Row],[Años]],TabFactorIntegracion[],COLUMN(TabFactorIntegracion[% de prima 
vacacional y dominical]),FALSE))*((VLOOKUP(TabDesSalariosReal[[#This Row],[id]],TabAsistencias[],COLUMN(TabAsistencias[V]),FALSE)))</f>
        <v>0</v>
      </c>
      <c r="H46" s="148" cm="1">
        <f t="array" ref="H46">VLOOKUP(TabDesSalariosReal[[#This Row],[id]],TabAsistencias[],COLUMN(TabAsistencias[I]),FALSE)</f>
        <v>0</v>
      </c>
      <c r="I46" s="148" cm="1">
        <f t="array" ref="I46">VLOOKUP(TabDesSalariosReal[[#This Row],[id]],TabAsistencias[],COLUMN(TabAsistencias[IG]),FALSE)</f>
        <v>0</v>
      </c>
      <c r="J46" s="191">
        <v>0.4</v>
      </c>
      <c r="K46" s="179" cm="1">
        <f t="array" ref="K46">IF(TabDesSalariosReal[[#This Row],[Dias Incapacidad/General]]&gt;3,((TabDesSalariosReal[[#This Row],[Dias Incapacidad/General]]-3)*((VLOOKUP(TabDesSalariosReal[[#This Row],[id]],TabEmpleados[],COLUMN(TabEmpleados[SD Real]),FALSE)))*TabDesSalariosReal[[#This Row],[% pagado por incapacidad]]),0)</f>
        <v>0</v>
      </c>
      <c r="L46" s="185">
        <f>-1*(SUMIFS(TabPagos[Monto de pago],TabPagos[id],TabDesSalariosReal[[#This Row],[id]],TabPagos[Fecha de pago],"&gt;="&amp;Asistencias!$B$2,TabPagos[Fecha de pago],"&lt;"&amp;Asistencias!$B$3))</f>
        <v>0</v>
      </c>
      <c r="M46" t="str" cm="1">
        <f t="array" ref="M46">getDescripcion(TabDesSalariosReal[[#This Row],[id]],"Descuentos-Pagos","TabPagos",Asistencias!$B$2,Asistencias!$B$3)</f>
        <v/>
      </c>
      <c r="N46" s="309" cm="1">
        <f t="array" ref="N46">IF((TabDesSalariosReal[[#This Row],[Subtotal Real]]+TabDesSalariosReal[[#This Row],[Prima dominical]]+TabDesSalariosReal[[#This Row],[Prima vacacional]]+TabDesSalariosReal[[#This Row],[$ por incpacidad]]+TabDesSalariosReal[[#This Row],[Descuentos]]+TabDesSalariosReal[[#This Row],[Extras]]-TabDesSalariosReal[[#This Row],[Fiscal Real]])&gt;500,AporteComision,0)</f>
        <v>15</v>
      </c>
      <c r="O46" s="276">
        <v>0</v>
      </c>
      <c r="P46" s="188" t="str" cm="1">
        <f t="array" ref="P46">VLOOKUP(TabDesSalariosReal[[#This Row],[id]],TabEmpleados[],COLUMN(TabEmpleados[Banco de pago]),FALSE)</f>
        <v>Santander</v>
      </c>
      <c r="Q46" s="188">
        <f>TabDesSalariosReal[[#This Row],[Subtotal Real]]+TabDesSalariosReal[[#This Row],[Prima dominical]]+TabDesSalariosReal[[#This Row],[Prima vacacional]]+TabDesSalariosReal[[#This Row],[$ por incpacidad]]+TabDesSalariosReal[[#This Row],[Descuentos]]+TabDesSalariosReal[[#This Row],[Aporte por comision]]+TabDesSalariosReal[[#This Row],[Extras]]</f>
        <v>10865</v>
      </c>
      <c r="R46" s="277">
        <f>TabDesSalariosReal[[#This Row],[Total Real]]-TabDesSalariosReal[[#This Row],[Fiscal Real]]</f>
        <v>2600.6249890400013</v>
      </c>
      <c r="S46" s="179" cm="1">
        <f t="array" ref="S46">IFERROR(VLOOKUP(TabDesSalariosReal[[#This Row],[id]],TabDesSalariosFiscal[],COLUMN(TabDesSalariosFiscal[Total Fiscal]),FALSE),0)</f>
        <v>8264.3750109599987</v>
      </c>
      <c r="T46" s="197">
        <f>IFERROR(TabDesSalariosReal[[#This Row],[Persepcion Fiscal]],0)</f>
        <v>8264.3750109599987</v>
      </c>
      <c r="U46" s="55" cm="1">
        <f t="array" ref="U46">IF('Desglose Salarios Fiscal'!$Q$1=1,VLOOKUP(TabDesSalariosReal[[#This Row],[id]],TabEmpleados[],COLUMN(TabEmpleados[SD Real]),FALSE)*TabDesSalariosReal[[#This Row],[Dias de agunaldo Real2]],0)</f>
        <v>5250</v>
      </c>
      <c r="V46" s="173" cm="1">
        <f t="array" ref="V46">IF(YEAR(VLOOKUP(TabDesSalariosReal[[#This Row],[id]],TabEmpleados[],COLUMN(TabEmpleados[Fecha de ingreso]),FALSE))&lt;AñoActual,'Tablas de informacion'!$N$13,_xlfn.DAYS(DATE(AñoActual+1,MONTH(1),DAY(1))-DAY(1),(VLOOKUP(TabDesSalariosReal[[#This Row],[id]],TabEmpleados[],COLUMN(TabEmpleados[Fecha de ingreso]),FALSE))))</f>
        <v>365</v>
      </c>
      <c r="W46" cm="1">
        <f t="array" ref="W46">TabDesSalariosReal[[#This Row],[Dias de aguinaldo Real1]]*VLOOKUP(TabDesSalariosReal[[#This Row],[Años]],TabFactorIntegracion[],COLUMN(TabFactorIntegracion[Días de
aguinaldo]),FALSE)/'Tablas de informacion'!$N$13</f>
        <v>15</v>
      </c>
      <c r="X46" s="141" cm="1">
        <f t="array" ref="X46">TabDesSalariosReal[[#This Row],[Aguinaldo Real]]-IFERROR(VLOOKUP(TabDesSalariosReal[[#This Row],[id]],TabDesSalariosFiscal[],COLUMN(TabDesSalariosFiscal[Aguinaldo Fiscal]),FALSE),0)</f>
        <v>3675</v>
      </c>
    </row>
    <row r="47" spans="1:24" x14ac:dyDescent="0.25">
      <c r="A47" s="176">
        <v>45</v>
      </c>
      <c r="B47" t="str" cm="1">
        <f t="array" ref="B47">VLOOKUP(TabDesSalariosReal[[#This Row],[id]],TabEmpleados[],COLUMN(TabEmpleados[Nombre]),FALSE)</f>
        <v>CABRERA HEREDIA EDGAR OMAR</v>
      </c>
      <c r="C47" s="148" cm="1">
        <f t="array" ref="C47">VLOOKUP(TabDesSalariosReal[[#This Row],[id]],TabAsistencias[],COLUMN(TabAsistencias[Total de dias laborados]),FALSE)</f>
        <v>30</v>
      </c>
      <c r="D47" s="179" cm="1">
        <f t="array" ref="D47">(VLOOKUP(TabDesSalariosReal[[#This Row],[id]],TabEmpleados[],COLUMN(TabEmpleados[SD Real]),FALSE))*TabDesSalariosReal[[#This Row],[Dias Lab.]]</f>
        <v>10500</v>
      </c>
      <c r="E47" s="180" cm="1">
        <f t="array" ref="E47">IF(DATEDIF((VLOOKUP(TabDesSalariosReal[[#This Row],[id]],TabEmpleados[],COLUMN(TabEmpleados[Fecha de ingreso]),FALSE)),Asistencias!$B$3,"Y")=0,1,DATEDIF((VLOOKUP(TabDesSalariosReal[[#This Row],[id]],TabEmpleados[],COLUMN(TabEmpleados[Fecha de ingreso]),FALSE)),Asistencias!$B$3,"Y"))</f>
        <v>7</v>
      </c>
      <c r="F47" s="181" cm="1">
        <f t="array" ref="F47">((VLOOKUP(TabDesSalariosReal[[#This Row],[id]],TabEmpleados[],COLUMN(TabEmpleados[SD Real]),FALSE))*(VLOOKUP(TabDesSalariosReal[[#This Row],[Años]],TabFactorIntegracion[],COLUMN(TabFactorIntegracion[% de prima 
vacacional y dominical]),FALSE))*(VLOOKUP(TabDesSalariosReal[[#This Row],[id]],TabAsistencias[],COLUMN(TabAsistencias[Prima dominical]),FALSE)))*(VLOOKUP((VLOOKUP(TabDesSalariosReal[[#This Row],[id]],TabEmpleados[],COLUMN(TabEmpleados[Puesto]),FALSE)),TabPuestos[],COLUMN(TabPuestos[PRIMA DOMINICAL]),FALSE))</f>
        <v>350</v>
      </c>
      <c r="G47" s="182" cm="1">
        <f t="array" ref="G47">(VLOOKUP(TabDesSalariosReal[[#This Row],[id]],TabEmpleados[],COLUMN(TabEmpleados[SD Real]),FALSE))*(VLOOKUP(TabDesSalariosReal[[#This Row],[Años]],TabFactorIntegracion[],COLUMN(TabFactorIntegracion[% de prima 
vacacional y dominical]),FALSE))*((VLOOKUP(TabDesSalariosReal[[#This Row],[id]],TabAsistencias[],COLUMN(TabAsistencias[V]),FALSE)))</f>
        <v>0</v>
      </c>
      <c r="H47" s="148" cm="1">
        <f t="array" ref="H47">VLOOKUP(TabDesSalariosReal[[#This Row],[id]],TabAsistencias[],COLUMN(TabAsistencias[I]),FALSE)</f>
        <v>0</v>
      </c>
      <c r="I47" s="148" cm="1">
        <f t="array" ref="I47">VLOOKUP(TabDesSalariosReal[[#This Row],[id]],TabAsistencias[],COLUMN(TabAsistencias[IG]),FALSE)</f>
        <v>0</v>
      </c>
      <c r="J47" s="191">
        <v>0.4</v>
      </c>
      <c r="K47" s="179" cm="1">
        <f t="array" ref="K47">IF(TabDesSalariosReal[[#This Row],[Dias Incapacidad/General]]&gt;3,((TabDesSalariosReal[[#This Row],[Dias Incapacidad/General]]-3)*((VLOOKUP(TabDesSalariosReal[[#This Row],[id]],TabEmpleados[],COLUMN(TabEmpleados[SD Real]),FALSE)))*TabDesSalariosReal[[#This Row],[% pagado por incapacidad]]),0)</f>
        <v>0</v>
      </c>
      <c r="L47" s="185">
        <f>-1*(SUMIFS(TabPagos[Monto de pago],TabPagos[id],TabDesSalariosReal[[#This Row],[id]],TabPagos[Fecha de pago],"&gt;="&amp;Asistencias!$B$2,TabPagos[Fecha de pago],"&lt;"&amp;Asistencias!$B$3))</f>
        <v>0</v>
      </c>
      <c r="M47" t="str" cm="1">
        <f t="array" ref="M47">getDescripcion(TabDesSalariosReal[[#This Row],[id]],"Descuentos-Pagos","TabPagos",Asistencias!$B$2,Asistencias!$B$3)</f>
        <v/>
      </c>
      <c r="N47" s="309" cm="1">
        <f t="array" ref="N47">IF((TabDesSalariosReal[[#This Row],[Subtotal Real]]+TabDesSalariosReal[[#This Row],[Prima dominical]]+TabDesSalariosReal[[#This Row],[Prima vacacional]]+TabDesSalariosReal[[#This Row],[$ por incpacidad]]+TabDesSalariosReal[[#This Row],[Descuentos]]+TabDesSalariosReal[[#This Row],[Extras]]-TabDesSalariosReal[[#This Row],[Fiscal Real]])&gt;500,AporteComision,0)</f>
        <v>0</v>
      </c>
      <c r="O47" s="276">
        <v>0</v>
      </c>
      <c r="P47" s="188" t="str" cm="1">
        <f t="array" ref="P47">VLOOKUP(TabDesSalariosReal[[#This Row],[id]],TabEmpleados[],COLUMN(TabEmpleados[Banco de pago]),FALSE)</f>
        <v>Santander</v>
      </c>
      <c r="Q47" s="188">
        <f>TabDesSalariosReal[[#This Row],[Subtotal Real]]+TabDesSalariosReal[[#This Row],[Prima dominical]]+TabDesSalariosReal[[#This Row],[Prima vacacional]]+TabDesSalariosReal[[#This Row],[$ por incpacidad]]+TabDesSalariosReal[[#This Row],[Descuentos]]+TabDesSalariosReal[[#This Row],[Aporte por comision]]+TabDesSalariosReal[[#This Row],[Extras]]</f>
        <v>10850</v>
      </c>
      <c r="R47" s="277">
        <f>TabDesSalariosReal[[#This Row],[Total Real]]-TabDesSalariosReal[[#This Row],[Fiscal Real]]</f>
        <v>-2899.4023437320011</v>
      </c>
      <c r="S47" s="179" cm="1">
        <f t="array" ref="S47">IFERROR(VLOOKUP(TabDesSalariosReal[[#This Row],[id]],TabDesSalariosFiscal[],COLUMN(TabDesSalariosFiscal[Total Fiscal]),FALSE),0)</f>
        <v>13749.402343732001</v>
      </c>
      <c r="T47" s="197">
        <f>IFERROR(TabDesSalariosReal[[#This Row],[Persepcion Fiscal]],0)</f>
        <v>13749.402343732001</v>
      </c>
      <c r="U47" s="55" cm="1">
        <f t="array" ref="U47">IF('Desglose Salarios Fiscal'!$Q$1=1,VLOOKUP(TabDesSalariosReal[[#This Row],[id]],TabEmpleados[],COLUMN(TabEmpleados[SD Real]),FALSE)*TabDesSalariosReal[[#This Row],[Dias de agunaldo Real2]],0)</f>
        <v>5250</v>
      </c>
      <c r="V47" s="173" cm="1">
        <f t="array" ref="V47">IF(YEAR(VLOOKUP(TabDesSalariosReal[[#This Row],[id]],TabEmpleados[],COLUMN(TabEmpleados[Fecha de ingreso]),FALSE))&lt;AñoActual,'Tablas de informacion'!$N$13,_xlfn.DAYS(DATE(AñoActual+1,MONTH(1),DAY(1))-DAY(1),(VLOOKUP(TabDesSalariosReal[[#This Row],[id]],TabEmpleados[],COLUMN(TabEmpleados[Fecha de ingreso]),FALSE))))</f>
        <v>365</v>
      </c>
      <c r="W47" cm="1">
        <f t="array" ref="W47">TabDesSalariosReal[[#This Row],[Dias de aguinaldo Real1]]*VLOOKUP(TabDesSalariosReal[[#This Row],[Años]],TabFactorIntegracion[],COLUMN(TabFactorIntegracion[Días de
aguinaldo]),FALSE)/'Tablas de informacion'!$N$13</f>
        <v>15</v>
      </c>
      <c r="X47" s="141" cm="1">
        <f t="array" ref="X47">TabDesSalariosReal[[#This Row],[Aguinaldo Real]]-IFERROR(VLOOKUP(TabDesSalariosReal[[#This Row],[id]],TabDesSalariosFiscal[],COLUMN(TabDesSalariosFiscal[Aguinaldo Fiscal]),FALSE),0)</f>
        <v>2430</v>
      </c>
    </row>
    <row r="48" spans="1:24" x14ac:dyDescent="0.25">
      <c r="A48" s="176">
        <v>46</v>
      </c>
      <c r="B48" t="str" cm="1">
        <f t="array" ref="B48">VLOOKUP(TabDesSalariosReal[[#This Row],[id]],TabEmpleados[],COLUMN(TabEmpleados[Nombre]),FALSE)</f>
        <v xml:space="preserve">REYES JUAREZ OSCAR </v>
      </c>
      <c r="C48" s="148" cm="1">
        <f t="array" ref="C48">VLOOKUP(TabDesSalariosReal[[#This Row],[id]],TabAsistencias[],COLUMN(TabAsistencias[Total de dias laborados]),FALSE)</f>
        <v>30</v>
      </c>
      <c r="D48" s="179" cm="1">
        <f t="array" ref="D48">(VLOOKUP(TabDesSalariosReal[[#This Row],[id]],TabEmpleados[],COLUMN(TabEmpleados[SD Real]),FALSE))*TabDesSalariosReal[[#This Row],[Dias Lab.]]</f>
        <v>9000</v>
      </c>
      <c r="E48" s="180" cm="1">
        <f t="array" ref="E48">IF(DATEDIF((VLOOKUP(TabDesSalariosReal[[#This Row],[id]],TabEmpleados[],COLUMN(TabEmpleados[Fecha de ingreso]),FALSE)),Asistencias!$B$3,"Y")=0,1,DATEDIF((VLOOKUP(TabDesSalariosReal[[#This Row],[id]],TabEmpleados[],COLUMN(TabEmpleados[Fecha de ingreso]),FALSE)),Asistencias!$B$3,"Y"))</f>
        <v>1</v>
      </c>
      <c r="F48" s="181" cm="1">
        <f t="array" ref="F48">((VLOOKUP(TabDesSalariosReal[[#This Row],[id]],TabEmpleados[],COLUMN(TabEmpleados[SD Real]),FALSE))*(VLOOKUP(TabDesSalariosReal[[#This Row],[Años]],TabFactorIntegracion[],COLUMN(TabFactorIntegracion[% de prima 
vacacional y dominical]),FALSE))*(VLOOKUP(TabDesSalariosReal[[#This Row],[id]],TabAsistencias[],COLUMN(TabAsistencias[Prima dominical]),FALSE)))*(VLOOKUP((VLOOKUP(TabDesSalariosReal[[#This Row],[id]],TabEmpleados[],COLUMN(TabEmpleados[Puesto]),FALSE)),TabPuestos[],COLUMN(TabPuestos[PRIMA DOMINICAL]),FALSE))</f>
        <v>300</v>
      </c>
      <c r="G48" s="182" cm="1">
        <f t="array" ref="G48">(VLOOKUP(TabDesSalariosReal[[#This Row],[id]],TabEmpleados[],COLUMN(TabEmpleados[SD Real]),FALSE))*(VLOOKUP(TabDesSalariosReal[[#This Row],[Años]],TabFactorIntegracion[],COLUMN(TabFactorIntegracion[% de prima 
vacacional y dominical]),FALSE))*((VLOOKUP(TabDesSalariosReal[[#This Row],[id]],TabAsistencias[],COLUMN(TabAsistencias[V]),FALSE)))</f>
        <v>0</v>
      </c>
      <c r="H48" s="148" cm="1">
        <f t="array" ref="H48">VLOOKUP(TabDesSalariosReal[[#This Row],[id]],TabAsistencias[],COLUMN(TabAsistencias[I]),FALSE)</f>
        <v>0</v>
      </c>
      <c r="I48" s="148" cm="1">
        <f t="array" ref="I48">VLOOKUP(TabDesSalariosReal[[#This Row],[id]],TabAsistencias[],COLUMN(TabAsistencias[IG]),FALSE)</f>
        <v>0</v>
      </c>
      <c r="J48" s="191">
        <v>0.4</v>
      </c>
      <c r="K48" s="179" cm="1">
        <f t="array" ref="K48">IF(TabDesSalariosReal[[#This Row],[Dias Incapacidad/General]]&gt;3,((TabDesSalariosReal[[#This Row],[Dias Incapacidad/General]]-3)*((VLOOKUP(TabDesSalariosReal[[#This Row],[id]],TabEmpleados[],COLUMN(TabEmpleados[SD Real]),FALSE)))*TabDesSalariosReal[[#This Row],[% pagado por incapacidad]]),0)</f>
        <v>0</v>
      </c>
      <c r="L48" s="185">
        <f>-1*(SUMIFS(TabPagos[Monto de pago],TabPagos[id],TabDesSalariosReal[[#This Row],[id]],TabPagos[Fecha de pago],"&gt;="&amp;Asistencias!$B$2,TabPagos[Fecha de pago],"&lt;"&amp;Asistencias!$B$3))</f>
        <v>0</v>
      </c>
      <c r="M48" t="str" cm="1">
        <f t="array" ref="M48">getDescripcion(TabDesSalariosReal[[#This Row],[id]],"Descuentos-Pagos","TabPagos",Asistencias!$B$2,Asistencias!$B$3)</f>
        <v/>
      </c>
      <c r="N48" s="309" cm="1">
        <f t="array" ref="N48">IF((TabDesSalariosReal[[#This Row],[Subtotal Real]]+TabDesSalariosReal[[#This Row],[Prima dominical]]+TabDesSalariosReal[[#This Row],[Prima vacacional]]+TabDesSalariosReal[[#This Row],[$ por incpacidad]]+TabDesSalariosReal[[#This Row],[Descuentos]]+TabDesSalariosReal[[#This Row],[Extras]]-TabDesSalariosReal[[#This Row],[Fiscal Real]])&gt;500,AporteComision,0)</f>
        <v>15</v>
      </c>
      <c r="O48" s="276">
        <v>0</v>
      </c>
      <c r="P48" s="188" t="str" cm="1">
        <f t="array" ref="P48">VLOOKUP(TabDesSalariosReal[[#This Row],[id]],TabEmpleados[],COLUMN(TabEmpleados[Banco de pago]),FALSE)</f>
        <v>Santander</v>
      </c>
      <c r="Q48" s="188">
        <f>TabDesSalariosReal[[#This Row],[Subtotal Real]]+TabDesSalariosReal[[#This Row],[Prima dominical]]+TabDesSalariosReal[[#This Row],[Prima vacacional]]+TabDesSalariosReal[[#This Row],[$ por incpacidad]]+TabDesSalariosReal[[#This Row],[Descuentos]]+TabDesSalariosReal[[#This Row],[Aporte por comision]]+TabDesSalariosReal[[#This Row],[Extras]]</f>
        <v>9315</v>
      </c>
      <c r="R48" s="277">
        <f>TabDesSalariosReal[[#This Row],[Total Real]]-TabDesSalariosReal[[#This Row],[Fiscal Real]]</f>
        <v>2113.6697083199997</v>
      </c>
      <c r="S48" s="179" cm="1">
        <f t="array" ref="S48">IFERROR(VLOOKUP(TabDesSalariosReal[[#This Row],[id]],TabDesSalariosFiscal[],COLUMN(TabDesSalariosFiscal[Total Fiscal]),FALSE),0)</f>
        <v>7201.3302916800003</v>
      </c>
      <c r="T48" s="197">
        <f>IFERROR(TabDesSalariosReal[[#This Row],[Persepcion Fiscal]],0)</f>
        <v>7201.3302916800003</v>
      </c>
      <c r="U48" s="55" cm="1">
        <f t="array" ref="U48">IF('Desglose Salarios Fiscal'!$Q$1=1,VLOOKUP(TabDesSalariosReal[[#This Row],[id]],TabEmpleados[],COLUMN(TabEmpleados[SD Real]),FALSE)*TabDesSalariosReal[[#This Row],[Dias de agunaldo Real2]],0)</f>
        <v>4500</v>
      </c>
      <c r="V48" s="173" cm="1">
        <f t="array" ref="V48">IF(YEAR(VLOOKUP(TabDesSalariosReal[[#This Row],[id]],TabEmpleados[],COLUMN(TabEmpleados[Fecha de ingreso]),FALSE))&lt;AñoActual,'Tablas de informacion'!$N$13,_xlfn.DAYS(DATE(AñoActual+1,MONTH(1),DAY(1))-DAY(1),(VLOOKUP(TabDesSalariosReal[[#This Row],[id]],TabEmpleados[],COLUMN(TabEmpleados[Fecha de ingreso]),FALSE))))</f>
        <v>365</v>
      </c>
      <c r="W48" cm="1">
        <f t="array" ref="W48">TabDesSalariosReal[[#This Row],[Dias de aguinaldo Real1]]*VLOOKUP(TabDesSalariosReal[[#This Row],[Años]],TabFactorIntegracion[],COLUMN(TabFactorIntegracion[Días de
aguinaldo]),FALSE)/'Tablas de informacion'!$N$13</f>
        <v>15</v>
      </c>
      <c r="X48" s="141" cm="1">
        <f t="array" ref="X48">TabDesSalariosReal[[#This Row],[Aguinaldo Real]]-IFERROR(VLOOKUP(TabDesSalariosReal[[#This Row],[id]],TabDesSalariosFiscal[],COLUMN(TabDesSalariosFiscal[Aguinaldo Fiscal]),FALSE),0)</f>
        <v>3150</v>
      </c>
    </row>
    <row r="49" spans="1:24" x14ac:dyDescent="0.25">
      <c r="A49" s="176">
        <v>47</v>
      </c>
      <c r="B49" t="str" cm="1">
        <f t="array" ref="B49">VLOOKUP(TabDesSalariosReal[[#This Row],[id]],TabEmpleados[],COLUMN(TabEmpleados[Nombre]),FALSE)</f>
        <v xml:space="preserve">DIAZ LOPEZ ANTONIO DE JESUS </v>
      </c>
      <c r="C49" s="148" cm="1">
        <f t="array" ref="C49">VLOOKUP(TabDesSalariosReal[[#This Row],[id]],TabAsistencias[],COLUMN(TabAsistencias[Total de dias laborados]),FALSE)</f>
        <v>30</v>
      </c>
      <c r="D49" s="179" cm="1">
        <f t="array" ref="D49">(VLOOKUP(TabDesSalariosReal[[#This Row],[id]],TabEmpleados[],COLUMN(TabEmpleados[SD Real]),FALSE))*TabDesSalariosReal[[#This Row],[Dias Lab.]]</f>
        <v>9000</v>
      </c>
      <c r="E49" s="180" cm="1">
        <f t="array" ref="E49">IF(DATEDIF((VLOOKUP(TabDesSalariosReal[[#This Row],[id]],TabEmpleados[],COLUMN(TabEmpleados[Fecha de ingreso]),FALSE)),Asistencias!$B$3,"Y")=0,1,DATEDIF((VLOOKUP(TabDesSalariosReal[[#This Row],[id]],TabEmpleados[],COLUMN(TabEmpleados[Fecha de ingreso]),FALSE)),Asistencias!$B$3,"Y"))</f>
        <v>1</v>
      </c>
      <c r="F49" s="181" cm="1">
        <f t="array" ref="F49">((VLOOKUP(TabDesSalariosReal[[#This Row],[id]],TabEmpleados[],COLUMN(TabEmpleados[SD Real]),FALSE))*(VLOOKUP(TabDesSalariosReal[[#This Row],[Años]],TabFactorIntegracion[],COLUMN(TabFactorIntegracion[% de prima 
vacacional y dominical]),FALSE))*(VLOOKUP(TabDesSalariosReal[[#This Row],[id]],TabAsistencias[],COLUMN(TabAsistencias[Prima dominical]),FALSE)))*(VLOOKUP((VLOOKUP(TabDesSalariosReal[[#This Row],[id]],TabEmpleados[],COLUMN(TabEmpleados[Puesto]),FALSE)),TabPuestos[],COLUMN(TabPuestos[PRIMA DOMINICAL]),FALSE))</f>
        <v>300</v>
      </c>
      <c r="G49" s="182" cm="1">
        <f t="array" ref="G49">(VLOOKUP(TabDesSalariosReal[[#This Row],[id]],TabEmpleados[],COLUMN(TabEmpleados[SD Real]),FALSE))*(VLOOKUP(TabDesSalariosReal[[#This Row],[Años]],TabFactorIntegracion[],COLUMN(TabFactorIntegracion[% de prima 
vacacional y dominical]),FALSE))*((VLOOKUP(TabDesSalariosReal[[#This Row],[id]],TabAsistencias[],COLUMN(TabAsistencias[V]),FALSE)))</f>
        <v>0</v>
      </c>
      <c r="H49" s="148" cm="1">
        <f t="array" ref="H49">VLOOKUP(TabDesSalariosReal[[#This Row],[id]],TabAsistencias[],COLUMN(TabAsistencias[I]),FALSE)</f>
        <v>0</v>
      </c>
      <c r="I49" s="148" cm="1">
        <f t="array" ref="I49">VLOOKUP(TabDesSalariosReal[[#This Row],[id]],TabAsistencias[],COLUMN(TabAsistencias[IG]),FALSE)</f>
        <v>0</v>
      </c>
      <c r="J49" s="191">
        <v>0.4</v>
      </c>
      <c r="K49" s="179" cm="1">
        <f t="array" ref="K49">IF(TabDesSalariosReal[[#This Row],[Dias Incapacidad/General]]&gt;3,((TabDesSalariosReal[[#This Row],[Dias Incapacidad/General]]-3)*((VLOOKUP(TabDesSalariosReal[[#This Row],[id]],TabEmpleados[],COLUMN(TabEmpleados[SD Real]),FALSE)))*TabDesSalariosReal[[#This Row],[% pagado por incapacidad]]),0)</f>
        <v>0</v>
      </c>
      <c r="L49" s="185">
        <f>-1*(SUMIFS(TabPagos[Monto de pago],TabPagos[id],TabDesSalariosReal[[#This Row],[id]],TabPagos[Fecha de pago],"&gt;="&amp;Asistencias!$B$2,TabPagos[Fecha de pago],"&lt;"&amp;Asistencias!$B$3))</f>
        <v>0</v>
      </c>
      <c r="M49" t="str" cm="1">
        <f t="array" ref="M49">getDescripcion(TabDesSalariosReal[[#This Row],[id]],"Descuentos-Pagos","TabPagos",Asistencias!$B$2,Asistencias!$B$3)</f>
        <v/>
      </c>
      <c r="N49" s="309" cm="1">
        <f t="array" ref="N49">IF((TabDesSalariosReal[[#This Row],[Subtotal Real]]+TabDesSalariosReal[[#This Row],[Prima dominical]]+TabDesSalariosReal[[#This Row],[Prima vacacional]]+TabDesSalariosReal[[#This Row],[$ por incpacidad]]+TabDesSalariosReal[[#This Row],[Descuentos]]+TabDesSalariosReal[[#This Row],[Extras]]-TabDesSalariosReal[[#This Row],[Fiscal Real]])&gt;500,AporteComision,0)</f>
        <v>15</v>
      </c>
      <c r="O49" s="276">
        <v>0</v>
      </c>
      <c r="P49" s="188" t="str" cm="1">
        <f t="array" ref="P49">VLOOKUP(TabDesSalariosReal[[#This Row],[id]],TabEmpleados[],COLUMN(TabEmpleados[Banco de pago]),FALSE)</f>
        <v>Santander</v>
      </c>
      <c r="Q49" s="188">
        <f>TabDesSalariosReal[[#This Row],[Subtotal Real]]+TabDesSalariosReal[[#This Row],[Prima dominical]]+TabDesSalariosReal[[#This Row],[Prima vacacional]]+TabDesSalariosReal[[#This Row],[$ por incpacidad]]+TabDesSalariosReal[[#This Row],[Descuentos]]+TabDesSalariosReal[[#This Row],[Aporte por comision]]+TabDesSalariosReal[[#This Row],[Extras]]</f>
        <v>9315</v>
      </c>
      <c r="R49" s="277">
        <f>TabDesSalariosReal[[#This Row],[Total Real]]-TabDesSalariosReal[[#This Row],[Fiscal Real]]</f>
        <v>2113.6697083199997</v>
      </c>
      <c r="S49" s="179" cm="1">
        <f t="array" ref="S49">IFERROR(VLOOKUP(TabDesSalariosReal[[#This Row],[id]],TabDesSalariosFiscal[],COLUMN(TabDesSalariosFiscal[Total Fiscal]),FALSE),0)</f>
        <v>7201.3302916800003</v>
      </c>
      <c r="T49" s="197">
        <f>IFERROR(TabDesSalariosReal[[#This Row],[Persepcion Fiscal]],0)</f>
        <v>7201.3302916800003</v>
      </c>
      <c r="U49" s="55" cm="1">
        <f t="array" ref="U49">IF('Desglose Salarios Fiscal'!$Q$1=1,VLOOKUP(TabDesSalariosReal[[#This Row],[id]],TabEmpleados[],COLUMN(TabEmpleados[SD Real]),FALSE)*TabDesSalariosReal[[#This Row],[Dias de agunaldo Real2]],0)</f>
        <v>4500</v>
      </c>
      <c r="V49" s="173" cm="1">
        <f t="array" ref="V49">IF(YEAR(VLOOKUP(TabDesSalariosReal[[#This Row],[id]],TabEmpleados[],COLUMN(TabEmpleados[Fecha de ingreso]),FALSE))&lt;AñoActual,'Tablas de informacion'!$N$13,_xlfn.DAYS(DATE(AñoActual+1,MONTH(1),DAY(1))-DAY(1),(VLOOKUP(TabDesSalariosReal[[#This Row],[id]],TabEmpleados[],COLUMN(TabEmpleados[Fecha de ingreso]),FALSE))))</f>
        <v>365</v>
      </c>
      <c r="W49" cm="1">
        <f t="array" ref="W49">TabDesSalariosReal[[#This Row],[Dias de aguinaldo Real1]]*VLOOKUP(TabDesSalariosReal[[#This Row],[Años]],TabFactorIntegracion[],COLUMN(TabFactorIntegracion[Días de
aguinaldo]),FALSE)/'Tablas de informacion'!$N$13</f>
        <v>15</v>
      </c>
      <c r="X49" s="141" cm="1">
        <f t="array" ref="X49">TabDesSalariosReal[[#This Row],[Aguinaldo Real]]-IFERROR(VLOOKUP(TabDesSalariosReal[[#This Row],[id]],TabDesSalariosFiscal[],COLUMN(TabDesSalariosFiscal[Aguinaldo Fiscal]),FALSE),0)</f>
        <v>3150</v>
      </c>
    </row>
    <row r="50" spans="1:24" x14ac:dyDescent="0.25">
      <c r="A50" s="176">
        <v>48</v>
      </c>
      <c r="B50" t="str" cm="1">
        <f t="array" ref="B50">VLOOKUP(TabDesSalariosReal[[#This Row],[id]],TabEmpleados[],COLUMN(TabEmpleados[Nombre]),FALSE)</f>
        <v>LOPEZ PEREZ CRISTIAN GUILLERMO</v>
      </c>
      <c r="C50" s="148" cm="1">
        <f t="array" ref="C50">VLOOKUP(TabDesSalariosReal[[#This Row],[id]],TabAsistencias[],COLUMN(TabAsistencias[Total de dias laborados]),FALSE)</f>
        <v>30</v>
      </c>
      <c r="D50" s="179" cm="1">
        <f t="array" ref="D50">(VLOOKUP(TabDesSalariosReal[[#This Row],[id]],TabEmpleados[],COLUMN(TabEmpleados[SD Real]),FALSE))*TabDesSalariosReal[[#This Row],[Dias Lab.]]</f>
        <v>6000</v>
      </c>
      <c r="E50" s="180" cm="1">
        <f t="array" ref="E50">IF(DATEDIF((VLOOKUP(TabDesSalariosReal[[#This Row],[id]],TabEmpleados[],COLUMN(TabEmpleados[Fecha de ingreso]),FALSE)),Asistencias!$B$3,"Y")=0,1,DATEDIF((VLOOKUP(TabDesSalariosReal[[#This Row],[id]],TabEmpleados[],COLUMN(TabEmpleados[Fecha de ingreso]),FALSE)),Asistencias!$B$3,"Y"))</f>
        <v>1</v>
      </c>
      <c r="F50" s="181" cm="1">
        <f t="array" ref="F50">((VLOOKUP(TabDesSalariosReal[[#This Row],[id]],TabEmpleados[],COLUMN(TabEmpleados[SD Real]),FALSE))*(VLOOKUP(TabDesSalariosReal[[#This Row],[Años]],TabFactorIntegracion[],COLUMN(TabFactorIntegracion[% de prima 
vacacional y dominical]),FALSE))*(VLOOKUP(TabDesSalariosReal[[#This Row],[id]],TabAsistencias[],COLUMN(TabAsistencias[Prima dominical]),FALSE)))*(VLOOKUP((VLOOKUP(TabDesSalariosReal[[#This Row],[id]],TabEmpleados[],COLUMN(TabEmpleados[Puesto]),FALSE)),TabPuestos[],COLUMN(TabPuestos[PRIMA DOMINICAL]),FALSE))</f>
        <v>200</v>
      </c>
      <c r="G50" s="182" cm="1">
        <f t="array" ref="G50">(VLOOKUP(TabDesSalariosReal[[#This Row],[id]],TabEmpleados[],COLUMN(TabEmpleados[SD Real]),FALSE))*(VLOOKUP(TabDesSalariosReal[[#This Row],[Años]],TabFactorIntegracion[],COLUMN(TabFactorIntegracion[% de prima 
vacacional y dominical]),FALSE))*((VLOOKUP(TabDesSalariosReal[[#This Row],[id]],TabAsistencias[],COLUMN(TabAsistencias[V]),FALSE)))</f>
        <v>0</v>
      </c>
      <c r="H50" s="148" cm="1">
        <f t="array" ref="H50">VLOOKUP(TabDesSalariosReal[[#This Row],[id]],TabAsistencias[],COLUMN(TabAsistencias[I]),FALSE)</f>
        <v>0</v>
      </c>
      <c r="I50" s="148" cm="1">
        <f t="array" ref="I50">VLOOKUP(TabDesSalariosReal[[#This Row],[id]],TabAsistencias[],COLUMN(TabAsistencias[IG]),FALSE)</f>
        <v>0</v>
      </c>
      <c r="J50" s="191">
        <v>0.4</v>
      </c>
      <c r="K50" s="179" cm="1">
        <f t="array" ref="K50">IF(TabDesSalariosReal[[#This Row],[Dias Incapacidad/General]]&gt;3,((TabDesSalariosReal[[#This Row],[Dias Incapacidad/General]]-3)*((VLOOKUP(TabDesSalariosReal[[#This Row],[id]],TabEmpleados[],COLUMN(TabEmpleados[SD Real]),FALSE)))*TabDesSalariosReal[[#This Row],[% pagado por incapacidad]]),0)</f>
        <v>0</v>
      </c>
      <c r="L50" s="185">
        <f>-1*(SUMIFS(TabPagos[Monto de pago],TabPagos[id],TabDesSalariosReal[[#This Row],[id]],TabPagos[Fecha de pago],"&gt;="&amp;Asistencias!$B$2,TabPagos[Fecha de pago],"&lt;"&amp;Asistencias!$B$3))</f>
        <v>0</v>
      </c>
      <c r="M50" t="str" cm="1">
        <f t="array" ref="M50">getDescripcion(TabDesSalariosReal[[#This Row],[id]],"Descuentos-Pagos","TabPagos",Asistencias!$B$2,Asistencias!$B$3)</f>
        <v/>
      </c>
      <c r="N50" s="309" cm="1">
        <f t="array" ref="N50">IF((TabDesSalariosReal[[#This Row],[Subtotal Real]]+TabDesSalariosReal[[#This Row],[Prima dominical]]+TabDesSalariosReal[[#This Row],[Prima vacacional]]+TabDesSalariosReal[[#This Row],[$ por incpacidad]]+TabDesSalariosReal[[#This Row],[Descuentos]]+TabDesSalariosReal[[#This Row],[Extras]]-TabDesSalariosReal[[#This Row],[Fiscal Real]])&gt;500,AporteComision,0)</f>
        <v>15</v>
      </c>
      <c r="O50" s="276">
        <v>0</v>
      </c>
      <c r="P50" s="188" t="str" cm="1">
        <f t="array" ref="P50">VLOOKUP(TabDesSalariosReal[[#This Row],[id]],TabEmpleados[],COLUMN(TabEmpleados[Banco de pago]),FALSE)</f>
        <v>Santander</v>
      </c>
      <c r="Q50" s="188">
        <f>TabDesSalariosReal[[#This Row],[Subtotal Real]]+TabDesSalariosReal[[#This Row],[Prima dominical]]+TabDesSalariosReal[[#This Row],[Prima vacacional]]+TabDesSalariosReal[[#This Row],[$ por incpacidad]]+TabDesSalariosReal[[#This Row],[Descuentos]]+TabDesSalariosReal[[#This Row],[Aporte por comision]]+TabDesSalariosReal[[#This Row],[Extras]]</f>
        <v>6215</v>
      </c>
      <c r="R50" s="277">
        <f>TabDesSalariosReal[[#This Row],[Total Real]]-TabDesSalariosReal[[#This Row],[Fiscal Real]]</f>
        <v>1241.6709350400006</v>
      </c>
      <c r="S50" s="179" cm="1">
        <f t="array" ref="S50">IFERROR(VLOOKUP(TabDesSalariosReal[[#This Row],[id]],TabDesSalariosFiscal[],COLUMN(TabDesSalariosFiscal[Total Fiscal]),FALSE),0)</f>
        <v>4973.3290649599994</v>
      </c>
      <c r="T50" s="197">
        <f>IFERROR(TabDesSalariosReal[[#This Row],[Persepcion Fiscal]],0)</f>
        <v>4973.3290649599994</v>
      </c>
      <c r="U50" s="55" cm="1">
        <f t="array" ref="U50">IF('Desglose Salarios Fiscal'!$Q$1=1,VLOOKUP(TabDesSalariosReal[[#This Row],[id]],TabEmpleados[],COLUMN(TabEmpleados[SD Real]),FALSE)*TabDesSalariosReal[[#This Row],[Dias de agunaldo Real2]],0)</f>
        <v>3000</v>
      </c>
      <c r="V50" s="173" cm="1">
        <f t="array" ref="V50">IF(YEAR(VLOOKUP(TabDesSalariosReal[[#This Row],[id]],TabEmpleados[],COLUMN(TabEmpleados[Fecha de ingreso]),FALSE))&lt;AñoActual,'Tablas de informacion'!$N$13,_xlfn.DAYS(DATE(AñoActual+1,MONTH(1),DAY(1))-DAY(1),(VLOOKUP(TabDesSalariosReal[[#This Row],[id]],TabEmpleados[],COLUMN(TabEmpleados[Fecha de ingreso]),FALSE))))</f>
        <v>365</v>
      </c>
      <c r="W50" cm="1">
        <f t="array" ref="W50">TabDesSalariosReal[[#This Row],[Dias de aguinaldo Real1]]*VLOOKUP(TabDesSalariosReal[[#This Row],[Años]],TabFactorIntegracion[],COLUMN(TabFactorIntegracion[Días de
aguinaldo]),FALSE)/'Tablas de informacion'!$N$13</f>
        <v>15</v>
      </c>
      <c r="X50" s="141" cm="1">
        <f t="array" ref="X50">TabDesSalariosReal[[#This Row],[Aguinaldo Real]]-IFERROR(VLOOKUP(TabDesSalariosReal[[#This Row],[id]],TabDesSalariosFiscal[],COLUMN(TabDesSalariosFiscal[Aguinaldo Fiscal]),FALSE),0)</f>
        <v>2100</v>
      </c>
    </row>
    <row r="51" spans="1:24" x14ac:dyDescent="0.25">
      <c r="A51" s="176">
        <v>49</v>
      </c>
      <c r="B51" t="str" cm="1">
        <f t="array" ref="B51">VLOOKUP(TabDesSalariosReal[[#This Row],[id]],TabEmpleados[],COLUMN(TabEmpleados[Nombre]),FALSE)</f>
        <v>JIMENEZ DOMINGUEZ ADAN CAYETANO</v>
      </c>
      <c r="C51" s="148" cm="1">
        <f t="array" ref="C51">VLOOKUP(TabDesSalariosReal[[#This Row],[id]],TabAsistencias[],COLUMN(TabAsistencias[Total de dias laborados]),FALSE)</f>
        <v>30</v>
      </c>
      <c r="D51" s="179" cm="1">
        <f t="array" ref="D51">(VLOOKUP(TabDesSalariosReal[[#This Row],[id]],TabEmpleados[],COLUMN(TabEmpleados[SD Real]),FALSE))*TabDesSalariosReal[[#This Row],[Dias Lab.]]</f>
        <v>6600</v>
      </c>
      <c r="E51" s="180" cm="1">
        <f t="array" ref="E51">IF(DATEDIF((VLOOKUP(TabDesSalariosReal[[#This Row],[id]],TabEmpleados[],COLUMN(TabEmpleados[Fecha de ingreso]),FALSE)),Asistencias!$B$3,"Y")=0,1,DATEDIF((VLOOKUP(TabDesSalariosReal[[#This Row],[id]],TabEmpleados[],COLUMN(TabEmpleados[Fecha de ingreso]),FALSE)),Asistencias!$B$3,"Y"))</f>
        <v>1</v>
      </c>
      <c r="F51" s="181" cm="1">
        <f t="array" ref="F51">((VLOOKUP(TabDesSalariosReal[[#This Row],[id]],TabEmpleados[],COLUMN(TabEmpleados[SD Real]),FALSE))*(VLOOKUP(TabDesSalariosReal[[#This Row],[Años]],TabFactorIntegracion[],COLUMN(TabFactorIntegracion[% de prima 
vacacional y dominical]),FALSE))*(VLOOKUP(TabDesSalariosReal[[#This Row],[id]],TabAsistencias[],COLUMN(TabAsistencias[Prima dominical]),FALSE)))*(VLOOKUP((VLOOKUP(TabDesSalariosReal[[#This Row],[id]],TabEmpleados[],COLUMN(TabEmpleados[Puesto]),FALSE)),TabPuestos[],COLUMN(TabPuestos[PRIMA DOMINICAL]),FALSE))</f>
        <v>220</v>
      </c>
      <c r="G51" s="182" cm="1">
        <f t="array" ref="G51">(VLOOKUP(TabDesSalariosReal[[#This Row],[id]],TabEmpleados[],COLUMN(TabEmpleados[SD Real]),FALSE))*(VLOOKUP(TabDesSalariosReal[[#This Row],[Años]],TabFactorIntegracion[],COLUMN(TabFactorIntegracion[% de prima 
vacacional y dominical]),FALSE))*((VLOOKUP(TabDesSalariosReal[[#This Row],[id]],TabAsistencias[],COLUMN(TabAsistencias[V]),FALSE)))</f>
        <v>0</v>
      </c>
      <c r="H51" s="148" cm="1">
        <f t="array" ref="H51">VLOOKUP(TabDesSalariosReal[[#This Row],[id]],TabAsistencias[],COLUMN(TabAsistencias[I]),FALSE)</f>
        <v>0</v>
      </c>
      <c r="I51" s="148" cm="1">
        <f t="array" ref="I51">VLOOKUP(TabDesSalariosReal[[#This Row],[id]],TabAsistencias[],COLUMN(TabAsistencias[IG]),FALSE)</f>
        <v>0</v>
      </c>
      <c r="J51" s="191">
        <v>0.4</v>
      </c>
      <c r="K51" s="179" cm="1">
        <f t="array" ref="K51">IF(TabDesSalariosReal[[#This Row],[Dias Incapacidad/General]]&gt;3,((TabDesSalariosReal[[#This Row],[Dias Incapacidad/General]]-3)*((VLOOKUP(TabDesSalariosReal[[#This Row],[id]],TabEmpleados[],COLUMN(TabEmpleados[SD Real]),FALSE)))*TabDesSalariosReal[[#This Row],[% pagado por incapacidad]]),0)</f>
        <v>0</v>
      </c>
      <c r="L51" s="185">
        <f>-1*(SUMIFS(TabPagos[Monto de pago],TabPagos[id],TabDesSalariosReal[[#This Row],[id]],TabPagos[Fecha de pago],"&gt;="&amp;Asistencias!$B$2,TabPagos[Fecha de pago],"&lt;"&amp;Asistencias!$B$3))</f>
        <v>0</v>
      </c>
      <c r="M51" t="str" cm="1">
        <f t="array" ref="M51">getDescripcion(TabDesSalariosReal[[#This Row],[id]],"Descuentos-Pagos","TabPagos",Asistencias!$B$2,Asistencias!$B$3)</f>
        <v/>
      </c>
      <c r="N51" s="309" cm="1">
        <f t="array" ref="N51">IF((TabDesSalariosReal[[#This Row],[Subtotal Real]]+TabDesSalariosReal[[#This Row],[Prima dominical]]+TabDesSalariosReal[[#This Row],[Prima vacacional]]+TabDesSalariosReal[[#This Row],[$ por incpacidad]]+TabDesSalariosReal[[#This Row],[Descuentos]]+TabDesSalariosReal[[#This Row],[Extras]]-TabDesSalariosReal[[#This Row],[Fiscal Real]])&gt;500,AporteComision,0)</f>
        <v>15</v>
      </c>
      <c r="O51" s="276">
        <v>0</v>
      </c>
      <c r="P51" s="188" t="str" cm="1">
        <f t="array" ref="P51">VLOOKUP(TabDesSalariosReal[[#This Row],[id]],TabEmpleados[],COLUMN(TabEmpleados[Banco de pago]),FALSE)</f>
        <v>Santander</v>
      </c>
      <c r="Q51" s="188">
        <f>TabDesSalariosReal[[#This Row],[Subtotal Real]]+TabDesSalariosReal[[#This Row],[Prima dominical]]+TabDesSalariosReal[[#This Row],[Prima vacacional]]+TabDesSalariosReal[[#This Row],[$ por incpacidad]]+TabDesSalariosReal[[#This Row],[Descuentos]]+TabDesSalariosReal[[#This Row],[Aporte por comision]]+TabDesSalariosReal[[#This Row],[Extras]]</f>
        <v>6835</v>
      </c>
      <c r="R51" s="277">
        <f>TabDesSalariosReal[[#This Row],[Total Real]]-TabDesSalariosReal[[#This Row],[Fiscal Real]]</f>
        <v>1402.4009808000001</v>
      </c>
      <c r="S51" s="179" cm="1">
        <f t="array" ref="S51">IFERROR(VLOOKUP(TabDesSalariosReal[[#This Row],[id]],TabDesSalariosFiscal[],COLUMN(TabDesSalariosFiscal[Total Fiscal]),FALSE),0)</f>
        <v>5432.5990191999999</v>
      </c>
      <c r="T51" s="197">
        <f>IFERROR(TabDesSalariosReal[[#This Row],[Persepcion Fiscal]],0)</f>
        <v>5432.5990191999999</v>
      </c>
      <c r="U51" s="55" cm="1">
        <f t="array" ref="U51">IF('Desglose Salarios Fiscal'!$Q$1=1,VLOOKUP(TabDesSalariosReal[[#This Row],[id]],TabEmpleados[],COLUMN(TabEmpleados[SD Real]),FALSE)*TabDesSalariosReal[[#This Row],[Dias de agunaldo Real2]],0)</f>
        <v>3300</v>
      </c>
      <c r="V51" s="173" cm="1">
        <f t="array" ref="V51">IF(YEAR(VLOOKUP(TabDesSalariosReal[[#This Row],[id]],TabEmpleados[],COLUMN(TabEmpleados[Fecha de ingreso]),FALSE))&lt;AñoActual,'Tablas de informacion'!$N$13,_xlfn.DAYS(DATE(AñoActual+1,MONTH(1),DAY(1))-DAY(1),(VLOOKUP(TabDesSalariosReal[[#This Row],[id]],TabEmpleados[],COLUMN(TabEmpleados[Fecha de ingreso]),FALSE))))</f>
        <v>365</v>
      </c>
      <c r="W51" cm="1">
        <f t="array" ref="W51">TabDesSalariosReal[[#This Row],[Dias de aguinaldo Real1]]*VLOOKUP(TabDesSalariosReal[[#This Row],[Años]],TabFactorIntegracion[],COLUMN(TabFactorIntegracion[Días de
aguinaldo]),FALSE)/'Tablas de informacion'!$N$13</f>
        <v>15</v>
      </c>
      <c r="X51" s="141" cm="1">
        <f t="array" ref="X51">TabDesSalariosReal[[#This Row],[Aguinaldo Real]]-IFERROR(VLOOKUP(TabDesSalariosReal[[#This Row],[id]],TabDesSalariosFiscal[],COLUMN(TabDesSalariosFiscal[Aguinaldo Fiscal]),FALSE),0)</f>
        <v>2310</v>
      </c>
    </row>
    <row r="52" spans="1:24" x14ac:dyDescent="0.25">
      <c r="A52" s="176">
        <v>50</v>
      </c>
      <c r="B52" t="str" cm="1">
        <f t="array" ref="B52">VLOOKUP(TabDesSalariosReal[[#This Row],[id]],TabEmpleados[],COLUMN(TabEmpleados[Nombre]),FALSE)</f>
        <v>OSORIO LOPEZ NATAN</v>
      </c>
      <c r="C52" s="148" cm="1">
        <f t="array" ref="C52">VLOOKUP(TabDesSalariosReal[[#This Row],[id]],TabAsistencias[],COLUMN(TabAsistencias[Total de dias laborados]),FALSE)</f>
        <v>30</v>
      </c>
      <c r="D52" s="179" cm="1">
        <f t="array" ref="D52">(VLOOKUP(TabDesSalariosReal[[#This Row],[id]],TabEmpleados[],COLUMN(TabEmpleados[SD Real]),FALSE))*TabDesSalariosReal[[#This Row],[Dias Lab.]]</f>
        <v>7500</v>
      </c>
      <c r="E52" s="180" cm="1">
        <f t="array" ref="E52">IF(DATEDIF((VLOOKUP(TabDesSalariosReal[[#This Row],[id]],TabEmpleados[],COLUMN(TabEmpleados[Fecha de ingreso]),FALSE)),Asistencias!$B$3,"Y")=0,1,DATEDIF((VLOOKUP(TabDesSalariosReal[[#This Row],[id]],TabEmpleados[],COLUMN(TabEmpleados[Fecha de ingreso]),FALSE)),Asistencias!$B$3,"Y"))</f>
        <v>1</v>
      </c>
      <c r="F52" s="181" cm="1">
        <f t="array" ref="F52">((VLOOKUP(TabDesSalariosReal[[#This Row],[id]],TabEmpleados[],COLUMN(TabEmpleados[SD Real]),FALSE))*(VLOOKUP(TabDesSalariosReal[[#This Row],[Años]],TabFactorIntegracion[],COLUMN(TabFactorIntegracion[% de prima 
vacacional y dominical]),FALSE))*(VLOOKUP(TabDesSalariosReal[[#This Row],[id]],TabAsistencias[],COLUMN(TabAsistencias[Prima dominical]),FALSE)))*(VLOOKUP((VLOOKUP(TabDesSalariosReal[[#This Row],[id]],TabEmpleados[],COLUMN(TabEmpleados[Puesto]),FALSE)),TabPuestos[],COLUMN(TabPuestos[PRIMA DOMINICAL]),FALSE))</f>
        <v>250</v>
      </c>
      <c r="G52" s="182" cm="1">
        <f t="array" ref="G52">(VLOOKUP(TabDesSalariosReal[[#This Row],[id]],TabEmpleados[],COLUMN(TabEmpleados[SD Real]),FALSE))*(VLOOKUP(TabDesSalariosReal[[#This Row],[Años]],TabFactorIntegracion[],COLUMN(TabFactorIntegracion[% de prima 
vacacional y dominical]),FALSE))*((VLOOKUP(TabDesSalariosReal[[#This Row],[id]],TabAsistencias[],COLUMN(TabAsistencias[V]),FALSE)))</f>
        <v>0</v>
      </c>
      <c r="H52" s="148" cm="1">
        <f t="array" ref="H52">VLOOKUP(TabDesSalariosReal[[#This Row],[id]],TabAsistencias[],COLUMN(TabAsistencias[I]),FALSE)</f>
        <v>0</v>
      </c>
      <c r="I52" s="148" cm="1">
        <f t="array" ref="I52">VLOOKUP(TabDesSalariosReal[[#This Row],[id]],TabAsistencias[],COLUMN(TabAsistencias[IG]),FALSE)</f>
        <v>0</v>
      </c>
      <c r="J52" s="191">
        <v>0.4</v>
      </c>
      <c r="K52" s="179" cm="1">
        <f t="array" ref="K52">IF(TabDesSalariosReal[[#This Row],[Dias Incapacidad/General]]&gt;3,((TabDesSalariosReal[[#This Row],[Dias Incapacidad/General]]-3)*((VLOOKUP(TabDesSalariosReal[[#This Row],[id]],TabEmpleados[],COLUMN(TabEmpleados[SD Real]),FALSE)))*TabDesSalariosReal[[#This Row],[% pagado por incapacidad]]),0)</f>
        <v>0</v>
      </c>
      <c r="L52" s="185">
        <f>-1*(SUMIFS(TabPagos[Monto de pago],TabPagos[id],TabDesSalariosReal[[#This Row],[id]],TabPagos[Fecha de pago],"&gt;="&amp;Asistencias!$B$2,TabPagos[Fecha de pago],"&lt;"&amp;Asistencias!$B$3))</f>
        <v>0</v>
      </c>
      <c r="M52" t="str" cm="1">
        <f t="array" ref="M52">getDescripcion(TabDesSalariosReal[[#This Row],[id]],"Descuentos-Pagos","TabPagos",Asistencias!$B$2,Asistencias!$B$3)</f>
        <v/>
      </c>
      <c r="N52" s="309" cm="1">
        <f t="array" ref="N52">IF((TabDesSalariosReal[[#This Row],[Subtotal Real]]+TabDesSalariosReal[[#This Row],[Prima dominical]]+TabDesSalariosReal[[#This Row],[Prima vacacional]]+TabDesSalariosReal[[#This Row],[$ por incpacidad]]+TabDesSalariosReal[[#This Row],[Descuentos]]+TabDesSalariosReal[[#This Row],[Extras]]-TabDesSalariosReal[[#This Row],[Fiscal Real]])&gt;500,AporteComision,0)</f>
        <v>15</v>
      </c>
      <c r="O52" s="276">
        <v>0</v>
      </c>
      <c r="P52" s="188" t="str" cm="1">
        <f t="array" ref="P52">VLOOKUP(TabDesSalariosReal[[#This Row],[id]],TabEmpleados[],COLUMN(TabEmpleados[Banco de pago]),FALSE)</f>
        <v>Santander</v>
      </c>
      <c r="Q52" s="188">
        <f>TabDesSalariosReal[[#This Row],[Subtotal Real]]+TabDesSalariosReal[[#This Row],[Prima dominical]]+TabDesSalariosReal[[#This Row],[Prima vacacional]]+TabDesSalariosReal[[#This Row],[$ por incpacidad]]+TabDesSalariosReal[[#This Row],[Descuentos]]+TabDesSalariosReal[[#This Row],[Aporte por comision]]+TabDesSalariosReal[[#This Row],[Extras]]</f>
        <v>7765</v>
      </c>
      <c r="R52" s="277">
        <f>TabDesSalariosReal[[#This Row],[Total Real]]-TabDesSalariosReal[[#This Row],[Fiscal Real]]</f>
        <v>1657.9398072000004</v>
      </c>
      <c r="S52" s="179" cm="1">
        <f t="array" ref="S52">IFERROR(VLOOKUP(TabDesSalariosReal[[#This Row],[id]],TabDesSalariosFiscal[],COLUMN(TabDesSalariosFiscal[Total Fiscal]),FALSE),0)</f>
        <v>6107.0601927999996</v>
      </c>
      <c r="T52" s="197">
        <f>IFERROR(TabDesSalariosReal[[#This Row],[Persepcion Fiscal]],0)</f>
        <v>6107.0601927999996</v>
      </c>
      <c r="U52" s="55" cm="1">
        <f t="array" ref="U52">IF('Desglose Salarios Fiscal'!$Q$1=1,VLOOKUP(TabDesSalariosReal[[#This Row],[id]],TabEmpleados[],COLUMN(TabEmpleados[SD Real]),FALSE)*TabDesSalariosReal[[#This Row],[Dias de agunaldo Real2]],0)</f>
        <v>3750</v>
      </c>
      <c r="V52" s="173" cm="1">
        <f t="array" ref="V52">IF(YEAR(VLOOKUP(TabDesSalariosReal[[#This Row],[id]],TabEmpleados[],COLUMN(TabEmpleados[Fecha de ingreso]),FALSE))&lt;AñoActual,'Tablas de informacion'!$N$13,_xlfn.DAYS(DATE(AñoActual+1,MONTH(1),DAY(1))-DAY(1),(VLOOKUP(TabDesSalariosReal[[#This Row],[id]],TabEmpleados[],COLUMN(TabEmpleados[Fecha de ingreso]),FALSE))))</f>
        <v>365</v>
      </c>
      <c r="W52" cm="1">
        <f t="array" ref="W52">TabDesSalariosReal[[#This Row],[Dias de aguinaldo Real1]]*VLOOKUP(TabDesSalariosReal[[#This Row],[Años]],TabFactorIntegracion[],COLUMN(TabFactorIntegracion[Días de
aguinaldo]),FALSE)/'Tablas de informacion'!$N$13</f>
        <v>15</v>
      </c>
      <c r="X52" s="141" cm="1">
        <f t="array" ref="X52">TabDesSalariosReal[[#This Row],[Aguinaldo Real]]-IFERROR(VLOOKUP(TabDesSalariosReal[[#This Row],[id]],TabDesSalariosFiscal[],COLUMN(TabDesSalariosFiscal[Aguinaldo Fiscal]),FALSE),0)</f>
        <v>2625</v>
      </c>
    </row>
    <row r="53" spans="1:24" x14ac:dyDescent="0.25">
      <c r="A53" s="176">
        <v>51</v>
      </c>
      <c r="B53" t="str" cm="1">
        <f t="array" ref="B53">VLOOKUP(TabDesSalariosReal[[#This Row],[id]],TabEmpleados[],COLUMN(TabEmpleados[Nombre]),FALSE)</f>
        <v>JOSE JIMENEZ JULIO CESAR</v>
      </c>
      <c r="C53" s="148" cm="1">
        <f t="array" ref="C53">VLOOKUP(TabDesSalariosReal[[#This Row],[id]],TabAsistencias[],COLUMN(TabAsistencias[Total de dias laborados]),FALSE)</f>
        <v>30</v>
      </c>
      <c r="D53" s="179" cm="1">
        <f t="array" ref="D53">(VLOOKUP(TabDesSalariosReal[[#This Row],[id]],TabEmpleados[],COLUMN(TabEmpleados[SD Real]),FALSE))*TabDesSalariosReal[[#This Row],[Dias Lab.]]</f>
        <v>6000</v>
      </c>
      <c r="E53" s="180" cm="1">
        <f t="array" ref="E53">IF(DATEDIF((VLOOKUP(TabDesSalariosReal[[#This Row],[id]],TabEmpleados[],COLUMN(TabEmpleados[Fecha de ingreso]),FALSE)),Asistencias!$B$3,"Y")=0,1,DATEDIF((VLOOKUP(TabDesSalariosReal[[#This Row],[id]],TabEmpleados[],COLUMN(TabEmpleados[Fecha de ingreso]),FALSE)),Asistencias!$B$3,"Y"))</f>
        <v>1</v>
      </c>
      <c r="F53" s="181" cm="1">
        <f t="array" ref="F53">((VLOOKUP(TabDesSalariosReal[[#This Row],[id]],TabEmpleados[],COLUMN(TabEmpleados[SD Real]),FALSE))*(VLOOKUP(TabDesSalariosReal[[#This Row],[Años]],TabFactorIntegracion[],COLUMN(TabFactorIntegracion[% de prima 
vacacional y dominical]),FALSE))*(VLOOKUP(TabDesSalariosReal[[#This Row],[id]],TabAsistencias[],COLUMN(TabAsistencias[Prima dominical]),FALSE)))*(VLOOKUP((VLOOKUP(TabDesSalariosReal[[#This Row],[id]],TabEmpleados[],COLUMN(TabEmpleados[Puesto]),FALSE)),TabPuestos[],COLUMN(TabPuestos[PRIMA DOMINICAL]),FALSE))</f>
        <v>200</v>
      </c>
      <c r="G53" s="182" cm="1">
        <f t="array" ref="G53">(VLOOKUP(TabDesSalariosReal[[#This Row],[id]],TabEmpleados[],COLUMN(TabEmpleados[SD Real]),FALSE))*(VLOOKUP(TabDesSalariosReal[[#This Row],[Años]],TabFactorIntegracion[],COLUMN(TabFactorIntegracion[% de prima 
vacacional y dominical]),FALSE))*((VLOOKUP(TabDesSalariosReal[[#This Row],[id]],TabAsistencias[],COLUMN(TabAsistencias[V]),FALSE)))</f>
        <v>0</v>
      </c>
      <c r="H53" s="148" cm="1">
        <f t="array" ref="H53">VLOOKUP(TabDesSalariosReal[[#This Row],[id]],TabAsistencias[],COLUMN(TabAsistencias[I]),FALSE)</f>
        <v>0</v>
      </c>
      <c r="I53" s="148" cm="1">
        <f t="array" ref="I53">VLOOKUP(TabDesSalariosReal[[#This Row],[id]],TabAsistencias[],COLUMN(TabAsistencias[IG]),FALSE)</f>
        <v>0</v>
      </c>
      <c r="J53" s="191">
        <v>0.4</v>
      </c>
      <c r="K53" s="179" cm="1">
        <f t="array" ref="K53">IF(TabDesSalariosReal[[#This Row],[Dias Incapacidad/General]]&gt;3,((TabDesSalariosReal[[#This Row],[Dias Incapacidad/General]]-3)*((VLOOKUP(TabDesSalariosReal[[#This Row],[id]],TabEmpleados[],COLUMN(TabEmpleados[SD Real]),FALSE)))*TabDesSalariosReal[[#This Row],[% pagado por incapacidad]]),0)</f>
        <v>0</v>
      </c>
      <c r="L53" s="185">
        <f>-1*(SUMIFS(TabPagos[Monto de pago],TabPagos[id],TabDesSalariosReal[[#This Row],[id]],TabPagos[Fecha de pago],"&gt;="&amp;Asistencias!$B$2,TabPagos[Fecha de pago],"&lt;"&amp;Asistencias!$B$3))</f>
        <v>0</v>
      </c>
      <c r="M53" t="str" cm="1">
        <f t="array" ref="M53">getDescripcion(TabDesSalariosReal[[#This Row],[id]],"Descuentos-Pagos","TabPagos",Asistencias!$B$2,Asistencias!$B$3)</f>
        <v/>
      </c>
      <c r="N53" s="309" cm="1">
        <f t="array" ref="N53">IF((TabDesSalariosReal[[#This Row],[Subtotal Real]]+TabDesSalariosReal[[#This Row],[Prima dominical]]+TabDesSalariosReal[[#This Row],[Prima vacacional]]+TabDesSalariosReal[[#This Row],[$ por incpacidad]]+TabDesSalariosReal[[#This Row],[Descuentos]]+TabDesSalariosReal[[#This Row],[Extras]]-TabDesSalariosReal[[#This Row],[Fiscal Real]])&gt;500,AporteComision,0)</f>
        <v>15</v>
      </c>
      <c r="O53" s="276">
        <v>0</v>
      </c>
      <c r="P53" s="188" t="str" cm="1">
        <f t="array" ref="P53">VLOOKUP(TabDesSalariosReal[[#This Row],[id]],TabEmpleados[],COLUMN(TabEmpleados[Banco de pago]),FALSE)</f>
        <v>Santander</v>
      </c>
      <c r="Q53" s="188">
        <f>TabDesSalariosReal[[#This Row],[Subtotal Real]]+TabDesSalariosReal[[#This Row],[Prima dominical]]+TabDesSalariosReal[[#This Row],[Prima vacacional]]+TabDesSalariosReal[[#This Row],[$ por incpacidad]]+TabDesSalariosReal[[#This Row],[Descuentos]]+TabDesSalariosReal[[#This Row],[Aporte por comision]]+TabDesSalariosReal[[#This Row],[Extras]]</f>
        <v>6215</v>
      </c>
      <c r="R53" s="277">
        <f>TabDesSalariosReal[[#This Row],[Total Real]]-TabDesSalariosReal[[#This Row],[Fiscal Real]]</f>
        <v>1241.6709350400006</v>
      </c>
      <c r="S53" s="179" cm="1">
        <f t="array" ref="S53">IFERROR(VLOOKUP(TabDesSalariosReal[[#This Row],[id]],TabDesSalariosFiscal[],COLUMN(TabDesSalariosFiscal[Total Fiscal]),FALSE),0)</f>
        <v>4973.3290649599994</v>
      </c>
      <c r="T53" s="197">
        <f>IFERROR(TabDesSalariosReal[[#This Row],[Persepcion Fiscal]],0)</f>
        <v>4973.3290649599994</v>
      </c>
      <c r="U53" s="55" cm="1">
        <f t="array" ref="U53">IF('Desglose Salarios Fiscal'!$Q$1=1,VLOOKUP(TabDesSalariosReal[[#This Row],[id]],TabEmpleados[],COLUMN(TabEmpleados[SD Real]),FALSE)*TabDesSalariosReal[[#This Row],[Dias de agunaldo Real2]],0)</f>
        <v>3000</v>
      </c>
      <c r="V53" s="173" cm="1">
        <f t="array" ref="V53">IF(YEAR(VLOOKUP(TabDesSalariosReal[[#This Row],[id]],TabEmpleados[],COLUMN(TabEmpleados[Fecha de ingreso]),FALSE))&lt;AñoActual,'Tablas de informacion'!$N$13,_xlfn.DAYS(DATE(AñoActual+1,MONTH(1),DAY(1))-DAY(1),(VLOOKUP(TabDesSalariosReal[[#This Row],[id]],TabEmpleados[],COLUMN(TabEmpleados[Fecha de ingreso]),FALSE))))</f>
        <v>365</v>
      </c>
      <c r="W53" cm="1">
        <f t="array" ref="W53">TabDesSalariosReal[[#This Row],[Dias de aguinaldo Real1]]*VLOOKUP(TabDesSalariosReal[[#This Row],[Años]],TabFactorIntegracion[],COLUMN(TabFactorIntegracion[Días de
aguinaldo]),FALSE)/'Tablas de informacion'!$N$13</f>
        <v>15</v>
      </c>
      <c r="X53" s="141" cm="1">
        <f t="array" ref="X53">TabDesSalariosReal[[#This Row],[Aguinaldo Real]]-IFERROR(VLOOKUP(TabDesSalariosReal[[#This Row],[id]],TabDesSalariosFiscal[],COLUMN(TabDesSalariosFiscal[Aguinaldo Fiscal]),FALSE),0)</f>
        <v>2100</v>
      </c>
    </row>
    <row r="54" spans="1:24" x14ac:dyDescent="0.25">
      <c r="A54" s="176">
        <v>52</v>
      </c>
      <c r="B54" t="str" cm="1">
        <f t="array" ref="B54">VLOOKUP(TabDesSalariosReal[[#This Row],[id]],TabEmpleados[],COLUMN(TabEmpleados[Nombre]),FALSE)</f>
        <v xml:space="preserve">CRUZ CORTES ALEX MANUEL </v>
      </c>
      <c r="C54" s="148" cm="1">
        <f t="array" ref="C54">VLOOKUP(TabDesSalariosReal[[#This Row],[id]],TabAsistencias[],COLUMN(TabAsistencias[Total de dias laborados]),FALSE)</f>
        <v>30</v>
      </c>
      <c r="D54" s="179" cm="1">
        <f t="array" ref="D54">(VLOOKUP(TabDesSalariosReal[[#This Row],[id]],TabEmpleados[],COLUMN(TabEmpleados[SD Real]),FALSE))*TabDesSalariosReal[[#This Row],[Dias Lab.]]</f>
        <v>6000</v>
      </c>
      <c r="E54" s="180" cm="1">
        <f t="array" ref="E54">IF(DATEDIF((VLOOKUP(TabDesSalariosReal[[#This Row],[id]],TabEmpleados[],COLUMN(TabEmpleados[Fecha de ingreso]),FALSE)),Asistencias!$B$3,"Y")=0,1,DATEDIF((VLOOKUP(TabDesSalariosReal[[#This Row],[id]],TabEmpleados[],COLUMN(TabEmpleados[Fecha de ingreso]),FALSE)),Asistencias!$B$3,"Y"))</f>
        <v>1</v>
      </c>
      <c r="F54" s="181" cm="1">
        <f t="array" ref="F54">((VLOOKUP(TabDesSalariosReal[[#This Row],[id]],TabEmpleados[],COLUMN(TabEmpleados[SD Real]),FALSE))*(VLOOKUP(TabDesSalariosReal[[#This Row],[Años]],TabFactorIntegracion[],COLUMN(TabFactorIntegracion[% de prima 
vacacional y dominical]),FALSE))*(VLOOKUP(TabDesSalariosReal[[#This Row],[id]],TabAsistencias[],COLUMN(TabAsistencias[Prima dominical]),FALSE)))*(VLOOKUP((VLOOKUP(TabDesSalariosReal[[#This Row],[id]],TabEmpleados[],COLUMN(TabEmpleados[Puesto]),FALSE)),TabPuestos[],COLUMN(TabPuestos[PRIMA DOMINICAL]),FALSE))</f>
        <v>200</v>
      </c>
      <c r="G54" s="182" cm="1">
        <f t="array" ref="G54">(VLOOKUP(TabDesSalariosReal[[#This Row],[id]],TabEmpleados[],COLUMN(TabEmpleados[SD Real]),FALSE))*(VLOOKUP(TabDesSalariosReal[[#This Row],[Años]],TabFactorIntegracion[],COLUMN(TabFactorIntegracion[% de prima 
vacacional y dominical]),FALSE))*((VLOOKUP(TabDesSalariosReal[[#This Row],[id]],TabAsistencias[],COLUMN(TabAsistencias[V]),FALSE)))</f>
        <v>0</v>
      </c>
      <c r="H54" s="148" cm="1">
        <f t="array" ref="H54">VLOOKUP(TabDesSalariosReal[[#This Row],[id]],TabAsistencias[],COLUMN(TabAsistencias[I]),FALSE)</f>
        <v>0</v>
      </c>
      <c r="I54" s="148" cm="1">
        <f t="array" ref="I54">VLOOKUP(TabDesSalariosReal[[#This Row],[id]],TabAsistencias[],COLUMN(TabAsistencias[IG]),FALSE)</f>
        <v>0</v>
      </c>
      <c r="J54" s="191">
        <v>0.4</v>
      </c>
      <c r="K54" s="179" cm="1">
        <f t="array" ref="K54">IF(TabDesSalariosReal[[#This Row],[Dias Incapacidad/General]]&gt;3,((TabDesSalariosReal[[#This Row],[Dias Incapacidad/General]]-3)*((VLOOKUP(TabDesSalariosReal[[#This Row],[id]],TabEmpleados[],COLUMN(TabEmpleados[SD Real]),FALSE)))*TabDesSalariosReal[[#This Row],[% pagado por incapacidad]]),0)</f>
        <v>0</v>
      </c>
      <c r="L54" s="185">
        <f>-1*(SUMIFS(TabPagos[Monto de pago],TabPagos[id],TabDesSalariosReal[[#This Row],[id]],TabPagos[Fecha de pago],"&gt;="&amp;Asistencias!$B$2,TabPagos[Fecha de pago],"&lt;"&amp;Asistencias!$B$3))</f>
        <v>0</v>
      </c>
      <c r="M54" t="str" cm="1">
        <f t="array" ref="M54">getDescripcion(TabDesSalariosReal[[#This Row],[id]],"Descuentos-Pagos","TabPagos",Asistencias!$B$2,Asistencias!$B$3)</f>
        <v/>
      </c>
      <c r="N54" s="309" cm="1">
        <f t="array" ref="N54">IF((TabDesSalariosReal[[#This Row],[Subtotal Real]]+TabDesSalariosReal[[#This Row],[Prima dominical]]+TabDesSalariosReal[[#This Row],[Prima vacacional]]+TabDesSalariosReal[[#This Row],[$ por incpacidad]]+TabDesSalariosReal[[#This Row],[Descuentos]]+TabDesSalariosReal[[#This Row],[Extras]]-TabDesSalariosReal[[#This Row],[Fiscal Real]])&gt;500,AporteComision,0)</f>
        <v>15</v>
      </c>
      <c r="O54" s="276">
        <v>0</v>
      </c>
      <c r="P54" s="188" t="str" cm="1">
        <f t="array" ref="P54">VLOOKUP(TabDesSalariosReal[[#This Row],[id]],TabEmpleados[],COLUMN(TabEmpleados[Banco de pago]),FALSE)</f>
        <v>Santander</v>
      </c>
      <c r="Q54" s="188">
        <f>TabDesSalariosReal[[#This Row],[Subtotal Real]]+TabDesSalariosReal[[#This Row],[Prima dominical]]+TabDesSalariosReal[[#This Row],[Prima vacacional]]+TabDesSalariosReal[[#This Row],[$ por incpacidad]]+TabDesSalariosReal[[#This Row],[Descuentos]]+TabDesSalariosReal[[#This Row],[Aporte por comision]]+TabDesSalariosReal[[#This Row],[Extras]]</f>
        <v>6215</v>
      </c>
      <c r="R54" s="277">
        <f>TabDesSalariosReal[[#This Row],[Total Real]]-TabDesSalariosReal[[#This Row],[Fiscal Real]]</f>
        <v>1241.6709350400006</v>
      </c>
      <c r="S54" s="179" cm="1">
        <f t="array" ref="S54">IFERROR(VLOOKUP(TabDesSalariosReal[[#This Row],[id]],TabDesSalariosFiscal[],COLUMN(TabDesSalariosFiscal[Total Fiscal]),FALSE),0)</f>
        <v>4973.3290649599994</v>
      </c>
      <c r="T54" s="197">
        <f>IFERROR(TabDesSalariosReal[[#This Row],[Persepcion Fiscal]],0)</f>
        <v>4973.3290649599994</v>
      </c>
      <c r="U54" s="55" cm="1">
        <f t="array" ref="U54">IF('Desglose Salarios Fiscal'!$Q$1=1,VLOOKUP(TabDesSalariosReal[[#This Row],[id]],TabEmpleados[],COLUMN(TabEmpleados[SD Real]),FALSE)*TabDesSalariosReal[[#This Row],[Dias de agunaldo Real2]],0)</f>
        <v>3000</v>
      </c>
      <c r="V54" s="173" cm="1">
        <f t="array" ref="V54">IF(YEAR(VLOOKUP(TabDesSalariosReal[[#This Row],[id]],TabEmpleados[],COLUMN(TabEmpleados[Fecha de ingreso]),FALSE))&lt;AñoActual,'Tablas de informacion'!$N$13,_xlfn.DAYS(DATE(AñoActual+1,MONTH(1),DAY(1))-DAY(1),(VLOOKUP(TabDesSalariosReal[[#This Row],[id]],TabEmpleados[],COLUMN(TabEmpleados[Fecha de ingreso]),FALSE))))</f>
        <v>365</v>
      </c>
      <c r="W54" cm="1">
        <f t="array" ref="W54">TabDesSalariosReal[[#This Row],[Dias de aguinaldo Real1]]*VLOOKUP(TabDesSalariosReal[[#This Row],[Años]],TabFactorIntegracion[],COLUMN(TabFactorIntegracion[Días de
aguinaldo]),FALSE)/'Tablas de informacion'!$N$13</f>
        <v>15</v>
      </c>
      <c r="X54" s="141" cm="1">
        <f t="array" ref="X54">TabDesSalariosReal[[#This Row],[Aguinaldo Real]]-IFERROR(VLOOKUP(TabDesSalariosReal[[#This Row],[id]],TabDesSalariosFiscal[],COLUMN(TabDesSalariosFiscal[Aguinaldo Fiscal]),FALSE),0)</f>
        <v>2100</v>
      </c>
    </row>
    <row r="55" spans="1:24" x14ac:dyDescent="0.25">
      <c r="A55" s="176">
        <v>53</v>
      </c>
      <c r="B55" t="str" cm="1">
        <f t="array" ref="B55">VLOOKUP(TabDesSalariosReal[[#This Row],[id]],TabEmpleados[],COLUMN(TabEmpleados[Nombre]),FALSE)</f>
        <v>GASPAR VALERIANO WILLEVALDO INOCENCIO</v>
      </c>
      <c r="C55" s="148" cm="1">
        <f t="array" ref="C55">VLOOKUP(TabDesSalariosReal[[#This Row],[id]],TabAsistencias[],COLUMN(TabAsistencias[Total de dias laborados]),FALSE)</f>
        <v>30</v>
      </c>
      <c r="D55" s="179" cm="1">
        <f t="array" ref="D55">(VLOOKUP(TabDesSalariosReal[[#This Row],[id]],TabEmpleados[],COLUMN(TabEmpleados[SD Real]),FALSE))*TabDesSalariosReal[[#This Row],[Dias Lab.]]</f>
        <v>7500</v>
      </c>
      <c r="E55" s="180" cm="1">
        <f t="array" ref="E55">IF(DATEDIF((VLOOKUP(TabDesSalariosReal[[#This Row],[id]],TabEmpleados[],COLUMN(TabEmpleados[Fecha de ingreso]),FALSE)),Asistencias!$B$3,"Y")=0,1,DATEDIF((VLOOKUP(TabDesSalariosReal[[#This Row],[id]],TabEmpleados[],COLUMN(TabEmpleados[Fecha de ingreso]),FALSE)),Asistencias!$B$3,"Y"))</f>
        <v>1</v>
      </c>
      <c r="F55" s="181" cm="1">
        <f t="array" ref="F55">((VLOOKUP(TabDesSalariosReal[[#This Row],[id]],TabEmpleados[],COLUMN(TabEmpleados[SD Real]),FALSE))*(VLOOKUP(TabDesSalariosReal[[#This Row],[Años]],TabFactorIntegracion[],COLUMN(TabFactorIntegracion[% de prima 
vacacional y dominical]),FALSE))*(VLOOKUP(TabDesSalariosReal[[#This Row],[id]],TabAsistencias[],COLUMN(TabAsistencias[Prima dominical]),FALSE)))*(VLOOKUP((VLOOKUP(TabDesSalariosReal[[#This Row],[id]],TabEmpleados[],COLUMN(TabEmpleados[Puesto]),FALSE)),TabPuestos[],COLUMN(TabPuestos[PRIMA DOMINICAL]),FALSE))</f>
        <v>250</v>
      </c>
      <c r="G55" s="182" cm="1">
        <f t="array" ref="G55">(VLOOKUP(TabDesSalariosReal[[#This Row],[id]],TabEmpleados[],COLUMN(TabEmpleados[SD Real]),FALSE))*(VLOOKUP(TabDesSalariosReal[[#This Row],[Años]],TabFactorIntegracion[],COLUMN(TabFactorIntegracion[% de prima 
vacacional y dominical]),FALSE))*((VLOOKUP(TabDesSalariosReal[[#This Row],[id]],TabAsistencias[],COLUMN(TabAsistencias[V]),FALSE)))</f>
        <v>0</v>
      </c>
      <c r="H55" s="148" cm="1">
        <f t="array" ref="H55">VLOOKUP(TabDesSalariosReal[[#This Row],[id]],TabAsistencias[],COLUMN(TabAsistencias[I]),FALSE)</f>
        <v>0</v>
      </c>
      <c r="I55" s="148" cm="1">
        <f t="array" ref="I55">VLOOKUP(TabDesSalariosReal[[#This Row],[id]],TabAsistencias[],COLUMN(TabAsistencias[IG]),FALSE)</f>
        <v>0</v>
      </c>
      <c r="J55" s="191">
        <v>0.4</v>
      </c>
      <c r="K55" s="179" cm="1">
        <f t="array" ref="K55">IF(TabDesSalariosReal[[#This Row],[Dias Incapacidad/General]]&gt;3,((TabDesSalariosReal[[#This Row],[Dias Incapacidad/General]]-3)*((VLOOKUP(TabDesSalariosReal[[#This Row],[id]],TabEmpleados[],COLUMN(TabEmpleados[SD Real]),FALSE)))*TabDesSalariosReal[[#This Row],[% pagado por incapacidad]]),0)</f>
        <v>0</v>
      </c>
      <c r="L55" s="185">
        <f>-1*(SUMIFS(TabPagos[Monto de pago],TabPagos[id],TabDesSalariosReal[[#This Row],[id]],TabPagos[Fecha de pago],"&gt;="&amp;Asistencias!$B$2,TabPagos[Fecha de pago],"&lt;"&amp;Asistencias!$B$3))</f>
        <v>0</v>
      </c>
      <c r="M55" t="str" cm="1">
        <f t="array" ref="M55">getDescripcion(TabDesSalariosReal[[#This Row],[id]],"Descuentos-Pagos","TabPagos",Asistencias!$B$2,Asistencias!$B$3)</f>
        <v/>
      </c>
      <c r="N55" s="309" cm="1">
        <f t="array" ref="N55">IF((TabDesSalariosReal[[#This Row],[Subtotal Real]]+TabDesSalariosReal[[#This Row],[Prima dominical]]+TabDesSalariosReal[[#This Row],[Prima vacacional]]+TabDesSalariosReal[[#This Row],[$ por incpacidad]]+TabDesSalariosReal[[#This Row],[Descuentos]]+TabDesSalariosReal[[#This Row],[Extras]]-TabDesSalariosReal[[#This Row],[Fiscal Real]])&gt;500,AporteComision,0)</f>
        <v>15</v>
      </c>
      <c r="O55" s="276">
        <v>0</v>
      </c>
      <c r="P55" s="188" t="str" cm="1">
        <f t="array" ref="P55">VLOOKUP(TabDesSalariosReal[[#This Row],[id]],TabEmpleados[],COLUMN(TabEmpleados[Banco de pago]),FALSE)</f>
        <v>Santander</v>
      </c>
      <c r="Q55" s="188">
        <f>TabDesSalariosReal[[#This Row],[Subtotal Real]]+TabDesSalariosReal[[#This Row],[Prima dominical]]+TabDesSalariosReal[[#This Row],[Prima vacacional]]+TabDesSalariosReal[[#This Row],[$ por incpacidad]]+TabDesSalariosReal[[#This Row],[Descuentos]]+TabDesSalariosReal[[#This Row],[Aporte por comision]]+TabDesSalariosReal[[#This Row],[Extras]]</f>
        <v>7765</v>
      </c>
      <c r="R55" s="277">
        <f>TabDesSalariosReal[[#This Row],[Total Real]]-TabDesSalariosReal[[#This Row],[Fiscal Real]]</f>
        <v>1657.9398072000004</v>
      </c>
      <c r="S55" s="179" cm="1">
        <f t="array" ref="S55">IFERROR(VLOOKUP(TabDesSalariosReal[[#This Row],[id]],TabDesSalariosFiscal[],COLUMN(TabDesSalariosFiscal[Total Fiscal]),FALSE),0)</f>
        <v>6107.0601927999996</v>
      </c>
      <c r="T55" s="197">
        <f>IFERROR(TabDesSalariosReal[[#This Row],[Persepcion Fiscal]],0)</f>
        <v>6107.0601927999996</v>
      </c>
      <c r="U55" s="55" cm="1">
        <f t="array" ref="U55">IF('Desglose Salarios Fiscal'!$Q$1=1,VLOOKUP(TabDesSalariosReal[[#This Row],[id]],TabEmpleados[],COLUMN(TabEmpleados[SD Real]),FALSE)*TabDesSalariosReal[[#This Row],[Dias de agunaldo Real2]],0)</f>
        <v>3750</v>
      </c>
      <c r="V55" s="173" cm="1">
        <f t="array" ref="V55">IF(YEAR(VLOOKUP(TabDesSalariosReal[[#This Row],[id]],TabEmpleados[],COLUMN(TabEmpleados[Fecha de ingreso]),FALSE))&lt;AñoActual,'Tablas de informacion'!$N$13,_xlfn.DAYS(DATE(AñoActual+1,MONTH(1),DAY(1))-DAY(1),(VLOOKUP(TabDesSalariosReal[[#This Row],[id]],TabEmpleados[],COLUMN(TabEmpleados[Fecha de ingreso]),FALSE))))</f>
        <v>365</v>
      </c>
      <c r="W55" cm="1">
        <f t="array" ref="W55">TabDesSalariosReal[[#This Row],[Dias de aguinaldo Real1]]*VLOOKUP(TabDesSalariosReal[[#This Row],[Años]],TabFactorIntegracion[],COLUMN(TabFactorIntegracion[Días de
aguinaldo]),FALSE)/'Tablas de informacion'!$N$13</f>
        <v>15</v>
      </c>
      <c r="X55" s="141" cm="1">
        <f t="array" ref="X55">TabDesSalariosReal[[#This Row],[Aguinaldo Real]]-IFERROR(VLOOKUP(TabDesSalariosReal[[#This Row],[id]],TabDesSalariosFiscal[],COLUMN(TabDesSalariosFiscal[Aguinaldo Fiscal]),FALSE),0)</f>
        <v>2625</v>
      </c>
    </row>
    <row r="56" spans="1:24" x14ac:dyDescent="0.25">
      <c r="A56" s="176">
        <v>54</v>
      </c>
      <c r="B56" t="str" cm="1">
        <f t="array" ref="B56">VLOOKUP(TabDesSalariosReal[[#This Row],[id]],TabEmpleados[],COLUMN(TabEmpleados[Nombre]),FALSE)</f>
        <v>ZANABRIGA VELASQUEZ ELOY</v>
      </c>
      <c r="C56" s="148" cm="1">
        <f t="array" ref="C56">VLOOKUP(TabDesSalariosReal[[#This Row],[id]],TabAsistencias[],COLUMN(TabAsistencias[Total de dias laborados]),FALSE)</f>
        <v>30</v>
      </c>
      <c r="D56" s="179" cm="1">
        <f t="array" ref="D56">(VLOOKUP(TabDesSalariosReal[[#This Row],[id]],TabEmpleados[],COLUMN(TabEmpleados[SD Real]),FALSE))*TabDesSalariosReal[[#This Row],[Dias Lab.]]</f>
        <v>6600</v>
      </c>
      <c r="E56" s="180" cm="1">
        <f t="array" ref="E56">IF(DATEDIF((VLOOKUP(TabDesSalariosReal[[#This Row],[id]],TabEmpleados[],COLUMN(TabEmpleados[Fecha de ingreso]),FALSE)),Asistencias!$B$3,"Y")=0,1,DATEDIF((VLOOKUP(TabDesSalariosReal[[#This Row],[id]],TabEmpleados[],COLUMN(TabEmpleados[Fecha de ingreso]),FALSE)),Asistencias!$B$3,"Y"))</f>
        <v>1</v>
      </c>
      <c r="F56" s="181" cm="1">
        <f t="array" ref="F56">((VLOOKUP(TabDesSalariosReal[[#This Row],[id]],TabEmpleados[],COLUMN(TabEmpleados[SD Real]),FALSE))*(VLOOKUP(TabDesSalariosReal[[#This Row],[Años]],TabFactorIntegracion[],COLUMN(TabFactorIntegracion[% de prima 
vacacional y dominical]),FALSE))*(VLOOKUP(TabDesSalariosReal[[#This Row],[id]],TabAsistencias[],COLUMN(TabAsistencias[Prima dominical]),FALSE)))*(VLOOKUP((VLOOKUP(TabDesSalariosReal[[#This Row],[id]],TabEmpleados[],COLUMN(TabEmpleados[Puesto]),FALSE)),TabPuestos[],COLUMN(TabPuestos[PRIMA DOMINICAL]),FALSE))</f>
        <v>220</v>
      </c>
      <c r="G56" s="182" cm="1">
        <f t="array" ref="G56">(VLOOKUP(TabDesSalariosReal[[#This Row],[id]],TabEmpleados[],COLUMN(TabEmpleados[SD Real]),FALSE))*(VLOOKUP(TabDesSalariosReal[[#This Row],[Años]],TabFactorIntegracion[],COLUMN(TabFactorIntegracion[% de prima 
vacacional y dominical]),FALSE))*((VLOOKUP(TabDesSalariosReal[[#This Row],[id]],TabAsistencias[],COLUMN(TabAsistencias[V]),FALSE)))</f>
        <v>0</v>
      </c>
      <c r="H56" s="148" cm="1">
        <f t="array" ref="H56">VLOOKUP(TabDesSalariosReal[[#This Row],[id]],TabAsistencias[],COLUMN(TabAsistencias[I]),FALSE)</f>
        <v>0</v>
      </c>
      <c r="I56" s="148" cm="1">
        <f t="array" ref="I56">VLOOKUP(TabDesSalariosReal[[#This Row],[id]],TabAsistencias[],COLUMN(TabAsistencias[IG]),FALSE)</f>
        <v>0</v>
      </c>
      <c r="J56" s="191">
        <v>0.4</v>
      </c>
      <c r="K56" s="179" cm="1">
        <f t="array" ref="K56">IF(TabDesSalariosReal[[#This Row],[Dias Incapacidad/General]]&gt;3,((TabDesSalariosReal[[#This Row],[Dias Incapacidad/General]]-3)*((VLOOKUP(TabDesSalariosReal[[#This Row],[id]],TabEmpleados[],COLUMN(TabEmpleados[SD Real]),FALSE)))*TabDesSalariosReal[[#This Row],[% pagado por incapacidad]]),0)</f>
        <v>0</v>
      </c>
      <c r="L56" s="185">
        <f>-1*(SUMIFS(TabPagos[Monto de pago],TabPagos[id],TabDesSalariosReal[[#This Row],[id]],TabPagos[Fecha de pago],"&gt;="&amp;Asistencias!$B$2,TabPagos[Fecha de pago],"&lt;"&amp;Asistencias!$B$3))</f>
        <v>0</v>
      </c>
      <c r="M56" t="str" cm="1">
        <f t="array" ref="M56">getDescripcion(TabDesSalariosReal[[#This Row],[id]],"Descuentos-Pagos","TabPagos",Asistencias!$B$2,Asistencias!$B$3)</f>
        <v/>
      </c>
      <c r="N56" s="309" cm="1">
        <f t="array" ref="N56">IF((TabDesSalariosReal[[#This Row],[Subtotal Real]]+TabDesSalariosReal[[#This Row],[Prima dominical]]+TabDesSalariosReal[[#This Row],[Prima vacacional]]+TabDesSalariosReal[[#This Row],[$ por incpacidad]]+TabDesSalariosReal[[#This Row],[Descuentos]]+TabDesSalariosReal[[#This Row],[Extras]]-TabDesSalariosReal[[#This Row],[Fiscal Real]])&gt;500,AporteComision,0)</f>
        <v>15</v>
      </c>
      <c r="O56" s="276">
        <v>0</v>
      </c>
      <c r="P56" s="188" t="str" cm="1">
        <f t="array" ref="P56">VLOOKUP(TabDesSalariosReal[[#This Row],[id]],TabEmpleados[],COLUMN(TabEmpleados[Banco de pago]),FALSE)</f>
        <v>Banorte</v>
      </c>
      <c r="Q56" s="188">
        <f>TabDesSalariosReal[[#This Row],[Subtotal Real]]+TabDesSalariosReal[[#This Row],[Prima dominical]]+TabDesSalariosReal[[#This Row],[Prima vacacional]]+TabDesSalariosReal[[#This Row],[$ por incpacidad]]+TabDesSalariosReal[[#This Row],[Descuentos]]+TabDesSalariosReal[[#This Row],[Aporte por comision]]+TabDesSalariosReal[[#This Row],[Extras]]</f>
        <v>6835</v>
      </c>
      <c r="R56" s="277">
        <f>TabDesSalariosReal[[#This Row],[Total Real]]-TabDesSalariosReal[[#This Row],[Fiscal Real]]</f>
        <v>1402.4009808000001</v>
      </c>
      <c r="S56" s="179" cm="1">
        <f t="array" ref="S56">IFERROR(VLOOKUP(TabDesSalariosReal[[#This Row],[id]],TabDesSalariosFiscal[],COLUMN(TabDesSalariosFiscal[Total Fiscal]),FALSE),0)</f>
        <v>5432.5990191999999</v>
      </c>
      <c r="T56" s="197">
        <f>IFERROR(TabDesSalariosReal[[#This Row],[Persepcion Fiscal]],0)</f>
        <v>5432.5990191999999</v>
      </c>
      <c r="U56" s="55" cm="1">
        <f t="array" ref="U56">IF('Desglose Salarios Fiscal'!$Q$1=1,VLOOKUP(TabDesSalariosReal[[#This Row],[id]],TabEmpleados[],COLUMN(TabEmpleados[SD Real]),FALSE)*TabDesSalariosReal[[#This Row],[Dias de agunaldo Real2]],0)</f>
        <v>3300</v>
      </c>
      <c r="V56" s="173" cm="1">
        <f t="array" ref="V56">IF(YEAR(VLOOKUP(TabDesSalariosReal[[#This Row],[id]],TabEmpleados[],COLUMN(TabEmpleados[Fecha de ingreso]),FALSE))&lt;AñoActual,'Tablas de informacion'!$N$13,_xlfn.DAYS(DATE(AñoActual+1,MONTH(1),DAY(1))-DAY(1),(VLOOKUP(TabDesSalariosReal[[#This Row],[id]],TabEmpleados[],COLUMN(TabEmpleados[Fecha de ingreso]),FALSE))))</f>
        <v>365</v>
      </c>
      <c r="W56" cm="1">
        <f t="array" ref="W56">TabDesSalariosReal[[#This Row],[Dias de aguinaldo Real1]]*VLOOKUP(TabDesSalariosReal[[#This Row],[Años]],TabFactorIntegracion[],COLUMN(TabFactorIntegracion[Días de
aguinaldo]),FALSE)/'Tablas de informacion'!$N$13</f>
        <v>15</v>
      </c>
      <c r="X56" s="141" cm="1">
        <f t="array" ref="X56">TabDesSalariosReal[[#This Row],[Aguinaldo Real]]-IFERROR(VLOOKUP(TabDesSalariosReal[[#This Row],[id]],TabDesSalariosFiscal[],COLUMN(TabDesSalariosFiscal[Aguinaldo Fiscal]),FALSE),0)</f>
        <v>2310</v>
      </c>
    </row>
    <row r="57" spans="1:24" x14ac:dyDescent="0.25">
      <c r="A57" s="176">
        <v>55</v>
      </c>
      <c r="B57" t="str" cm="1">
        <f t="array" ref="B57">VLOOKUP(TabDesSalariosReal[[#This Row],[id]],TabEmpleados[],COLUMN(TabEmpleados[Nombre]),FALSE)</f>
        <v>MARTINEZ HERNANDEZ URIEL VALENTINO</v>
      </c>
      <c r="C57" s="148" cm="1">
        <f t="array" ref="C57">VLOOKUP(TabDesSalariosReal[[#This Row],[id]],TabAsistencias[],COLUMN(TabAsistencias[Total de dias laborados]),FALSE)</f>
        <v>30</v>
      </c>
      <c r="D57" s="179" cm="1">
        <f t="array" ref="D57">(VLOOKUP(TabDesSalariosReal[[#This Row],[id]],TabEmpleados[],COLUMN(TabEmpleados[SD Real]),FALSE))*TabDesSalariosReal[[#This Row],[Dias Lab.]]</f>
        <v>9000</v>
      </c>
      <c r="E57" s="180" cm="1">
        <f t="array" ref="E57">IF(DATEDIF((VLOOKUP(TabDesSalariosReal[[#This Row],[id]],TabEmpleados[],COLUMN(TabEmpleados[Fecha de ingreso]),FALSE)),Asistencias!$B$3,"Y")=0,1,DATEDIF((VLOOKUP(TabDesSalariosReal[[#This Row],[id]],TabEmpleados[],COLUMN(TabEmpleados[Fecha de ingreso]),FALSE)),Asistencias!$B$3,"Y"))</f>
        <v>1</v>
      </c>
      <c r="F57" s="181" cm="1">
        <f t="array" ref="F57">((VLOOKUP(TabDesSalariosReal[[#This Row],[id]],TabEmpleados[],COLUMN(TabEmpleados[SD Real]),FALSE))*(VLOOKUP(TabDesSalariosReal[[#This Row],[Años]],TabFactorIntegracion[],COLUMN(TabFactorIntegracion[% de prima 
vacacional y dominical]),FALSE))*(VLOOKUP(TabDesSalariosReal[[#This Row],[id]],TabAsistencias[],COLUMN(TabAsistencias[Prima dominical]),FALSE)))*(VLOOKUP((VLOOKUP(TabDesSalariosReal[[#This Row],[id]],TabEmpleados[],COLUMN(TabEmpleados[Puesto]),FALSE)),TabPuestos[],COLUMN(TabPuestos[PRIMA DOMINICAL]),FALSE))</f>
        <v>300</v>
      </c>
      <c r="G57" s="182" cm="1">
        <f t="array" ref="G57">(VLOOKUP(TabDesSalariosReal[[#This Row],[id]],TabEmpleados[],COLUMN(TabEmpleados[SD Real]),FALSE))*(VLOOKUP(TabDesSalariosReal[[#This Row],[Años]],TabFactorIntegracion[],COLUMN(TabFactorIntegracion[% de prima 
vacacional y dominical]),FALSE))*((VLOOKUP(TabDesSalariosReal[[#This Row],[id]],TabAsistencias[],COLUMN(TabAsistencias[V]),FALSE)))</f>
        <v>0</v>
      </c>
      <c r="H57" s="148" cm="1">
        <f t="array" ref="H57">VLOOKUP(TabDesSalariosReal[[#This Row],[id]],TabAsistencias[],COLUMN(TabAsistencias[I]),FALSE)</f>
        <v>0</v>
      </c>
      <c r="I57" s="148" cm="1">
        <f t="array" ref="I57">VLOOKUP(TabDesSalariosReal[[#This Row],[id]],TabAsistencias[],COLUMN(TabAsistencias[IG]),FALSE)</f>
        <v>0</v>
      </c>
      <c r="J57" s="191">
        <v>0.4</v>
      </c>
      <c r="K57" s="179" cm="1">
        <f t="array" ref="K57">IF(TabDesSalariosReal[[#This Row],[Dias Incapacidad/General]]&gt;3,((TabDesSalariosReal[[#This Row],[Dias Incapacidad/General]]-3)*((VLOOKUP(TabDesSalariosReal[[#This Row],[id]],TabEmpleados[],COLUMN(TabEmpleados[SD Real]),FALSE)))*TabDesSalariosReal[[#This Row],[% pagado por incapacidad]]),0)</f>
        <v>0</v>
      </c>
      <c r="L57" s="185">
        <f>-1*(SUMIFS(TabPagos[Monto de pago],TabPagos[id],TabDesSalariosReal[[#This Row],[id]],TabPagos[Fecha de pago],"&gt;="&amp;Asistencias!$B$2,TabPagos[Fecha de pago],"&lt;"&amp;Asistencias!$B$3))</f>
        <v>0</v>
      </c>
      <c r="M57" t="str" cm="1">
        <f t="array" ref="M57">getDescripcion(TabDesSalariosReal[[#This Row],[id]],"Descuentos-Pagos","TabPagos",Asistencias!$B$2,Asistencias!$B$3)</f>
        <v/>
      </c>
      <c r="N57" s="309" cm="1">
        <f t="array" ref="N57">IF((TabDesSalariosReal[[#This Row],[Subtotal Real]]+TabDesSalariosReal[[#This Row],[Prima dominical]]+TabDesSalariosReal[[#This Row],[Prima vacacional]]+TabDesSalariosReal[[#This Row],[$ por incpacidad]]+TabDesSalariosReal[[#This Row],[Descuentos]]+TabDesSalariosReal[[#This Row],[Extras]]-TabDesSalariosReal[[#This Row],[Fiscal Real]])&gt;500,AporteComision,0)</f>
        <v>15</v>
      </c>
      <c r="O57" s="276">
        <v>0</v>
      </c>
      <c r="P57" s="188" t="str" cm="1">
        <f t="array" ref="P57">VLOOKUP(TabDesSalariosReal[[#This Row],[id]],TabEmpleados[],COLUMN(TabEmpleados[Banco de pago]),FALSE)</f>
        <v>Santander</v>
      </c>
      <c r="Q57" s="188">
        <f>TabDesSalariosReal[[#This Row],[Subtotal Real]]+TabDesSalariosReal[[#This Row],[Prima dominical]]+TabDesSalariosReal[[#This Row],[Prima vacacional]]+TabDesSalariosReal[[#This Row],[$ por incpacidad]]+TabDesSalariosReal[[#This Row],[Descuentos]]+TabDesSalariosReal[[#This Row],[Aporte por comision]]+TabDesSalariosReal[[#This Row],[Extras]]</f>
        <v>9315</v>
      </c>
      <c r="R57" s="277">
        <f>TabDesSalariosReal[[#This Row],[Total Real]]-TabDesSalariosReal[[#This Row],[Fiscal Real]]</f>
        <v>2113.6697083199997</v>
      </c>
      <c r="S57" s="179" cm="1">
        <f t="array" ref="S57">IFERROR(VLOOKUP(TabDesSalariosReal[[#This Row],[id]],TabDesSalariosFiscal[],COLUMN(TabDesSalariosFiscal[Total Fiscal]),FALSE),0)</f>
        <v>7201.3302916800003</v>
      </c>
      <c r="T57" s="197">
        <f>IFERROR(TabDesSalariosReal[[#This Row],[Persepcion Fiscal]],0)</f>
        <v>7201.3302916800003</v>
      </c>
      <c r="U57" s="55" cm="1">
        <f t="array" ref="U57">IF('Desglose Salarios Fiscal'!$Q$1=1,VLOOKUP(TabDesSalariosReal[[#This Row],[id]],TabEmpleados[],COLUMN(TabEmpleados[SD Real]),FALSE)*TabDesSalariosReal[[#This Row],[Dias de agunaldo Real2]],0)</f>
        <v>4500</v>
      </c>
      <c r="V57" s="173" cm="1">
        <f t="array" ref="V57">IF(YEAR(VLOOKUP(TabDesSalariosReal[[#This Row],[id]],TabEmpleados[],COLUMN(TabEmpleados[Fecha de ingreso]),FALSE))&lt;AñoActual,'Tablas de informacion'!$N$13,_xlfn.DAYS(DATE(AñoActual+1,MONTH(1),DAY(1))-DAY(1),(VLOOKUP(TabDesSalariosReal[[#This Row],[id]],TabEmpleados[],COLUMN(TabEmpleados[Fecha de ingreso]),FALSE))))</f>
        <v>365</v>
      </c>
      <c r="W57" cm="1">
        <f t="array" ref="W57">TabDesSalariosReal[[#This Row],[Dias de aguinaldo Real1]]*VLOOKUP(TabDesSalariosReal[[#This Row],[Años]],TabFactorIntegracion[],COLUMN(TabFactorIntegracion[Días de
aguinaldo]),FALSE)/'Tablas de informacion'!$N$13</f>
        <v>15</v>
      </c>
      <c r="X57" s="141" cm="1">
        <f t="array" ref="X57">TabDesSalariosReal[[#This Row],[Aguinaldo Real]]-IFERROR(VLOOKUP(TabDesSalariosReal[[#This Row],[id]],TabDesSalariosFiscal[],COLUMN(TabDesSalariosFiscal[Aguinaldo Fiscal]),FALSE),0)</f>
        <v>3150</v>
      </c>
    </row>
    <row r="58" spans="1:24" x14ac:dyDescent="0.25">
      <c r="A58" s="176">
        <v>56</v>
      </c>
      <c r="B58" t="str" cm="1">
        <f t="array" ref="B58">VLOOKUP(TabDesSalariosReal[[#This Row],[id]],TabEmpleados[],COLUMN(TabEmpleados[Nombre]),FALSE)</f>
        <v>ESPINDOLA CASTILLO JUAN MANUEL</v>
      </c>
      <c r="C58" s="148" cm="1">
        <f t="array" ref="C58">VLOOKUP(TabDesSalariosReal[[#This Row],[id]],TabAsistencias[],COLUMN(TabAsistencias[Total de dias laborados]),FALSE)</f>
        <v>30</v>
      </c>
      <c r="D58" s="179" cm="1">
        <f t="array" ref="D58">(VLOOKUP(TabDesSalariosReal[[#This Row],[id]],TabEmpleados[],COLUMN(TabEmpleados[SD Real]),FALSE))*TabDesSalariosReal[[#This Row],[Dias Lab.]]</f>
        <v>6000</v>
      </c>
      <c r="E58" s="180" cm="1">
        <f t="array" ref="E58">IF(DATEDIF((VLOOKUP(TabDesSalariosReal[[#This Row],[id]],TabEmpleados[],COLUMN(TabEmpleados[Fecha de ingreso]),FALSE)),Asistencias!$B$3,"Y")=0,1,DATEDIF((VLOOKUP(TabDesSalariosReal[[#This Row],[id]],TabEmpleados[],COLUMN(TabEmpleados[Fecha de ingreso]),FALSE)),Asistencias!$B$3,"Y"))</f>
        <v>1</v>
      </c>
      <c r="F58" s="181" cm="1">
        <f t="array" ref="F58">((VLOOKUP(TabDesSalariosReal[[#This Row],[id]],TabEmpleados[],COLUMN(TabEmpleados[SD Real]),FALSE))*(VLOOKUP(TabDesSalariosReal[[#This Row],[Años]],TabFactorIntegracion[],COLUMN(TabFactorIntegracion[% de prima 
vacacional y dominical]),FALSE))*(VLOOKUP(TabDesSalariosReal[[#This Row],[id]],TabAsistencias[],COLUMN(TabAsistencias[Prima dominical]),FALSE)))*(VLOOKUP((VLOOKUP(TabDesSalariosReal[[#This Row],[id]],TabEmpleados[],COLUMN(TabEmpleados[Puesto]),FALSE)),TabPuestos[],COLUMN(TabPuestos[PRIMA DOMINICAL]),FALSE))</f>
        <v>200</v>
      </c>
      <c r="G58" s="182" cm="1">
        <f t="array" ref="G58">(VLOOKUP(TabDesSalariosReal[[#This Row],[id]],TabEmpleados[],COLUMN(TabEmpleados[SD Real]),FALSE))*(VLOOKUP(TabDesSalariosReal[[#This Row],[Años]],TabFactorIntegracion[],COLUMN(TabFactorIntegracion[% de prima 
vacacional y dominical]),FALSE))*((VLOOKUP(TabDesSalariosReal[[#This Row],[id]],TabAsistencias[],COLUMN(TabAsistencias[V]),FALSE)))</f>
        <v>0</v>
      </c>
      <c r="H58" s="148" cm="1">
        <f t="array" ref="H58">VLOOKUP(TabDesSalariosReal[[#This Row],[id]],TabAsistencias[],COLUMN(TabAsistencias[I]),FALSE)</f>
        <v>0</v>
      </c>
      <c r="I58" s="148" cm="1">
        <f t="array" ref="I58">VLOOKUP(TabDesSalariosReal[[#This Row],[id]],TabAsistencias[],COLUMN(TabAsistencias[IG]),FALSE)</f>
        <v>0</v>
      </c>
      <c r="J58" s="191">
        <v>0.4</v>
      </c>
      <c r="K58" s="179" cm="1">
        <f t="array" ref="K58">IF(TabDesSalariosReal[[#This Row],[Dias Incapacidad/General]]&gt;3,((TabDesSalariosReal[[#This Row],[Dias Incapacidad/General]]-3)*((VLOOKUP(TabDesSalariosReal[[#This Row],[id]],TabEmpleados[],COLUMN(TabEmpleados[SD Real]),FALSE)))*TabDesSalariosReal[[#This Row],[% pagado por incapacidad]]),0)</f>
        <v>0</v>
      </c>
      <c r="L58" s="185">
        <f>-1*(SUMIFS(TabPagos[Monto de pago],TabPagos[id],TabDesSalariosReal[[#This Row],[id]],TabPagos[Fecha de pago],"&gt;="&amp;Asistencias!$B$2,TabPagos[Fecha de pago],"&lt;"&amp;Asistencias!$B$3))</f>
        <v>0</v>
      </c>
      <c r="M58" t="str" cm="1">
        <f t="array" ref="M58">getDescripcion(TabDesSalariosReal[[#This Row],[id]],"Descuentos-Pagos","TabPagos",Asistencias!$B$2,Asistencias!$B$3)</f>
        <v/>
      </c>
      <c r="N58" s="309" cm="1">
        <f t="array" ref="N58">IF((TabDesSalariosReal[[#This Row],[Subtotal Real]]+TabDesSalariosReal[[#This Row],[Prima dominical]]+TabDesSalariosReal[[#This Row],[Prima vacacional]]+TabDesSalariosReal[[#This Row],[$ por incpacidad]]+TabDesSalariosReal[[#This Row],[Descuentos]]+TabDesSalariosReal[[#This Row],[Extras]]-TabDesSalariosReal[[#This Row],[Fiscal Real]])&gt;500,AporteComision,0)</f>
        <v>15</v>
      </c>
      <c r="O58" s="276">
        <v>0</v>
      </c>
      <c r="P58" s="188" t="str" cm="1">
        <f t="array" ref="P58">VLOOKUP(TabDesSalariosReal[[#This Row],[id]],TabEmpleados[],COLUMN(TabEmpleados[Banco de pago]),FALSE)</f>
        <v>Santander</v>
      </c>
      <c r="Q58" s="188">
        <f>TabDesSalariosReal[[#This Row],[Subtotal Real]]+TabDesSalariosReal[[#This Row],[Prima dominical]]+TabDesSalariosReal[[#This Row],[Prima vacacional]]+TabDesSalariosReal[[#This Row],[$ por incpacidad]]+TabDesSalariosReal[[#This Row],[Descuentos]]+TabDesSalariosReal[[#This Row],[Aporte por comision]]+TabDesSalariosReal[[#This Row],[Extras]]</f>
        <v>6215</v>
      </c>
      <c r="R58" s="277">
        <f>TabDesSalariosReal[[#This Row],[Total Real]]-TabDesSalariosReal[[#This Row],[Fiscal Real]]</f>
        <v>1241.6709350400006</v>
      </c>
      <c r="S58" s="179" cm="1">
        <f t="array" ref="S58">IFERROR(VLOOKUP(TabDesSalariosReal[[#This Row],[id]],TabDesSalariosFiscal[],COLUMN(TabDesSalariosFiscal[Total Fiscal]),FALSE),0)</f>
        <v>4973.3290649599994</v>
      </c>
      <c r="T58" s="197">
        <f>IFERROR(TabDesSalariosReal[[#This Row],[Persepcion Fiscal]],0)</f>
        <v>4973.3290649599994</v>
      </c>
      <c r="U58" s="55" cm="1">
        <f t="array" ref="U58">IF('Desglose Salarios Fiscal'!$Q$1=1,VLOOKUP(TabDesSalariosReal[[#This Row],[id]],TabEmpleados[],COLUMN(TabEmpleados[SD Real]),FALSE)*TabDesSalariosReal[[#This Row],[Dias de agunaldo Real2]],0)</f>
        <v>3000</v>
      </c>
      <c r="V58" s="173" cm="1">
        <f t="array" ref="V58">IF(YEAR(VLOOKUP(TabDesSalariosReal[[#This Row],[id]],TabEmpleados[],COLUMN(TabEmpleados[Fecha de ingreso]),FALSE))&lt;AñoActual,'Tablas de informacion'!$N$13,_xlfn.DAYS(DATE(AñoActual+1,MONTH(1),DAY(1))-DAY(1),(VLOOKUP(TabDesSalariosReal[[#This Row],[id]],TabEmpleados[],COLUMN(TabEmpleados[Fecha de ingreso]),FALSE))))</f>
        <v>365</v>
      </c>
      <c r="W58" cm="1">
        <f t="array" ref="W58">TabDesSalariosReal[[#This Row],[Dias de aguinaldo Real1]]*VLOOKUP(TabDesSalariosReal[[#This Row],[Años]],TabFactorIntegracion[],COLUMN(TabFactorIntegracion[Días de
aguinaldo]),FALSE)/'Tablas de informacion'!$N$13</f>
        <v>15</v>
      </c>
      <c r="X58" s="141" cm="1">
        <f t="array" ref="X58">TabDesSalariosReal[[#This Row],[Aguinaldo Real]]-IFERROR(VLOOKUP(TabDesSalariosReal[[#This Row],[id]],TabDesSalariosFiscal[],COLUMN(TabDesSalariosFiscal[Aguinaldo Fiscal]),FALSE),0)</f>
        <v>2100</v>
      </c>
    </row>
    <row r="59" spans="1:24" x14ac:dyDescent="0.25">
      <c r="A59" s="176">
        <v>57</v>
      </c>
      <c r="B59" t="str" cm="1">
        <f t="array" ref="B59">VLOOKUP(TabDesSalariosReal[[#This Row],[id]],TabEmpleados[],COLUMN(TabEmpleados[Nombre]),FALSE)</f>
        <v>LOPEZ ALMARAZ JOSE ORIOL</v>
      </c>
      <c r="C59" s="148" cm="1">
        <f t="array" ref="C59">VLOOKUP(TabDesSalariosReal[[#This Row],[id]],TabAsistencias[],COLUMN(TabAsistencias[Total de dias laborados]),FALSE)</f>
        <v>30</v>
      </c>
      <c r="D59" s="179" cm="1">
        <f t="array" ref="D59">(VLOOKUP(TabDesSalariosReal[[#This Row],[id]],TabEmpleados[],COLUMN(TabEmpleados[SD Real]),FALSE))*TabDesSalariosReal[[#This Row],[Dias Lab.]]</f>
        <v>6600</v>
      </c>
      <c r="E59" s="180" cm="1">
        <f t="array" ref="E59">IF(DATEDIF((VLOOKUP(TabDesSalariosReal[[#This Row],[id]],TabEmpleados[],COLUMN(TabEmpleados[Fecha de ingreso]),FALSE)),Asistencias!$B$3,"Y")=0,1,DATEDIF((VLOOKUP(TabDesSalariosReal[[#This Row],[id]],TabEmpleados[],COLUMN(TabEmpleados[Fecha de ingreso]),FALSE)),Asistencias!$B$3,"Y"))</f>
        <v>1</v>
      </c>
      <c r="F59" s="181" cm="1">
        <f t="array" ref="F59">((VLOOKUP(TabDesSalariosReal[[#This Row],[id]],TabEmpleados[],COLUMN(TabEmpleados[SD Real]),FALSE))*(VLOOKUP(TabDesSalariosReal[[#This Row],[Años]],TabFactorIntegracion[],COLUMN(TabFactorIntegracion[% de prima 
vacacional y dominical]),FALSE))*(VLOOKUP(TabDesSalariosReal[[#This Row],[id]],TabAsistencias[],COLUMN(TabAsistencias[Prima dominical]),FALSE)))*(VLOOKUP((VLOOKUP(TabDesSalariosReal[[#This Row],[id]],TabEmpleados[],COLUMN(TabEmpleados[Puesto]),FALSE)),TabPuestos[],COLUMN(TabPuestos[PRIMA DOMINICAL]),FALSE))</f>
        <v>220</v>
      </c>
      <c r="G59" s="182" cm="1">
        <f t="array" ref="G59">(VLOOKUP(TabDesSalariosReal[[#This Row],[id]],TabEmpleados[],COLUMN(TabEmpleados[SD Real]),FALSE))*(VLOOKUP(TabDesSalariosReal[[#This Row],[Años]],TabFactorIntegracion[],COLUMN(TabFactorIntegracion[% de prima 
vacacional y dominical]),FALSE))*((VLOOKUP(TabDesSalariosReal[[#This Row],[id]],TabAsistencias[],COLUMN(TabAsistencias[V]),FALSE)))</f>
        <v>0</v>
      </c>
      <c r="H59" s="148" cm="1">
        <f t="array" ref="H59">VLOOKUP(TabDesSalariosReal[[#This Row],[id]],TabAsistencias[],COLUMN(TabAsistencias[I]),FALSE)</f>
        <v>0</v>
      </c>
      <c r="I59" s="148" cm="1">
        <f t="array" ref="I59">VLOOKUP(TabDesSalariosReal[[#This Row],[id]],TabAsistencias[],COLUMN(TabAsistencias[IG]),FALSE)</f>
        <v>0</v>
      </c>
      <c r="J59" s="191">
        <v>0.4</v>
      </c>
      <c r="K59" s="179" cm="1">
        <f t="array" ref="K59">IF(TabDesSalariosReal[[#This Row],[Dias Incapacidad/General]]&gt;3,((TabDesSalariosReal[[#This Row],[Dias Incapacidad/General]]-3)*((VLOOKUP(TabDesSalariosReal[[#This Row],[id]],TabEmpleados[],COLUMN(TabEmpleados[SD Real]),FALSE)))*TabDesSalariosReal[[#This Row],[% pagado por incapacidad]]),0)</f>
        <v>0</v>
      </c>
      <c r="L59" s="185">
        <f>-1*(SUMIFS(TabPagos[Monto de pago],TabPagos[id],TabDesSalariosReal[[#This Row],[id]],TabPagos[Fecha de pago],"&gt;="&amp;Asistencias!$B$2,TabPagos[Fecha de pago],"&lt;"&amp;Asistencias!$B$3))</f>
        <v>0</v>
      </c>
      <c r="M59" t="str" cm="1">
        <f t="array" ref="M59">getDescripcion(TabDesSalariosReal[[#This Row],[id]],"Descuentos-Pagos","TabPagos",Asistencias!$B$2,Asistencias!$B$3)</f>
        <v/>
      </c>
      <c r="N59" s="309" cm="1">
        <f t="array" ref="N59">IF((TabDesSalariosReal[[#This Row],[Subtotal Real]]+TabDesSalariosReal[[#This Row],[Prima dominical]]+TabDesSalariosReal[[#This Row],[Prima vacacional]]+TabDesSalariosReal[[#This Row],[$ por incpacidad]]+TabDesSalariosReal[[#This Row],[Descuentos]]+TabDesSalariosReal[[#This Row],[Extras]]-TabDesSalariosReal[[#This Row],[Fiscal Real]])&gt;500,AporteComision,0)</f>
        <v>15</v>
      </c>
      <c r="O59" s="276">
        <v>0</v>
      </c>
      <c r="P59" s="188" t="str" cm="1">
        <f t="array" ref="P59">VLOOKUP(TabDesSalariosReal[[#This Row],[id]],TabEmpleados[],COLUMN(TabEmpleados[Banco de pago]),FALSE)</f>
        <v>Santander</v>
      </c>
      <c r="Q59" s="188">
        <f>TabDesSalariosReal[[#This Row],[Subtotal Real]]+TabDesSalariosReal[[#This Row],[Prima dominical]]+TabDesSalariosReal[[#This Row],[Prima vacacional]]+TabDesSalariosReal[[#This Row],[$ por incpacidad]]+TabDesSalariosReal[[#This Row],[Descuentos]]+TabDesSalariosReal[[#This Row],[Aporte por comision]]+TabDesSalariosReal[[#This Row],[Extras]]</f>
        <v>6835</v>
      </c>
      <c r="R59" s="277">
        <f>TabDesSalariosReal[[#This Row],[Total Real]]-TabDesSalariosReal[[#This Row],[Fiscal Real]]</f>
        <v>1402.4009808000001</v>
      </c>
      <c r="S59" s="179" cm="1">
        <f t="array" ref="S59">IFERROR(VLOOKUP(TabDesSalariosReal[[#This Row],[id]],TabDesSalariosFiscal[],COLUMN(TabDesSalariosFiscal[Total Fiscal]),FALSE),0)</f>
        <v>5432.5990191999999</v>
      </c>
      <c r="T59" s="197">
        <f>IFERROR(TabDesSalariosReal[[#This Row],[Persepcion Fiscal]],0)</f>
        <v>5432.5990191999999</v>
      </c>
      <c r="U59" s="55" cm="1">
        <f t="array" ref="U59">IF('Desglose Salarios Fiscal'!$Q$1=1,VLOOKUP(TabDesSalariosReal[[#This Row],[id]],TabEmpleados[],COLUMN(TabEmpleados[SD Real]),FALSE)*TabDesSalariosReal[[#This Row],[Dias de agunaldo Real2]],0)</f>
        <v>3300</v>
      </c>
      <c r="V59" s="173" cm="1">
        <f t="array" ref="V59">IF(YEAR(VLOOKUP(TabDesSalariosReal[[#This Row],[id]],TabEmpleados[],COLUMN(TabEmpleados[Fecha de ingreso]),FALSE))&lt;AñoActual,'Tablas de informacion'!$N$13,_xlfn.DAYS(DATE(AñoActual+1,MONTH(1),DAY(1))-DAY(1),(VLOOKUP(TabDesSalariosReal[[#This Row],[id]],TabEmpleados[],COLUMN(TabEmpleados[Fecha de ingreso]),FALSE))))</f>
        <v>365</v>
      </c>
      <c r="W59" cm="1">
        <f t="array" ref="W59">TabDesSalariosReal[[#This Row],[Dias de aguinaldo Real1]]*VLOOKUP(TabDesSalariosReal[[#This Row],[Años]],TabFactorIntegracion[],COLUMN(TabFactorIntegracion[Días de
aguinaldo]),FALSE)/'Tablas de informacion'!$N$13</f>
        <v>15</v>
      </c>
      <c r="X59" s="141" cm="1">
        <f t="array" ref="X59">TabDesSalariosReal[[#This Row],[Aguinaldo Real]]-IFERROR(VLOOKUP(TabDesSalariosReal[[#This Row],[id]],TabDesSalariosFiscal[],COLUMN(TabDesSalariosFiscal[Aguinaldo Fiscal]),FALSE),0)</f>
        <v>2310</v>
      </c>
    </row>
    <row r="60" spans="1:24" x14ac:dyDescent="0.25">
      <c r="A60" s="176">
        <v>58</v>
      </c>
      <c r="B60" t="str" cm="1">
        <f t="array" ref="B60">VLOOKUP(TabDesSalariosReal[[#This Row],[id]],TabEmpleados[],COLUMN(TabEmpleados[Nombre]),FALSE)</f>
        <v>JUAREZ GARCIA NED</v>
      </c>
      <c r="C60" s="148" cm="1">
        <f t="array" ref="C60">VLOOKUP(TabDesSalariosReal[[#This Row],[id]],TabAsistencias[],COLUMN(TabAsistencias[Total de dias laborados]),FALSE)</f>
        <v>30</v>
      </c>
      <c r="D60" s="179" cm="1">
        <f t="array" ref="D60">(VLOOKUP(TabDesSalariosReal[[#This Row],[id]],TabEmpleados[],COLUMN(TabEmpleados[SD Real]),FALSE))*TabDesSalariosReal[[#This Row],[Dias Lab.]]</f>
        <v>6600</v>
      </c>
      <c r="E60" s="180" cm="1">
        <f t="array" ref="E60">IF(DATEDIF((VLOOKUP(TabDesSalariosReal[[#This Row],[id]],TabEmpleados[],COLUMN(TabEmpleados[Fecha de ingreso]),FALSE)),Asistencias!$B$3,"Y")=0,1,DATEDIF((VLOOKUP(TabDesSalariosReal[[#This Row],[id]],TabEmpleados[],COLUMN(TabEmpleados[Fecha de ingreso]),FALSE)),Asistencias!$B$3,"Y"))</f>
        <v>1</v>
      </c>
      <c r="F60" s="181" cm="1">
        <f t="array" ref="F60">((VLOOKUP(TabDesSalariosReal[[#This Row],[id]],TabEmpleados[],COLUMN(TabEmpleados[SD Real]),FALSE))*(VLOOKUP(TabDesSalariosReal[[#This Row],[Años]],TabFactorIntegracion[],COLUMN(TabFactorIntegracion[% de prima 
vacacional y dominical]),FALSE))*(VLOOKUP(TabDesSalariosReal[[#This Row],[id]],TabAsistencias[],COLUMN(TabAsistencias[Prima dominical]),FALSE)))*(VLOOKUP((VLOOKUP(TabDesSalariosReal[[#This Row],[id]],TabEmpleados[],COLUMN(TabEmpleados[Puesto]),FALSE)),TabPuestos[],COLUMN(TabPuestos[PRIMA DOMINICAL]),FALSE))</f>
        <v>220</v>
      </c>
      <c r="G60" s="182" cm="1">
        <f t="array" ref="G60">(VLOOKUP(TabDesSalariosReal[[#This Row],[id]],TabEmpleados[],COLUMN(TabEmpleados[SD Real]),FALSE))*(VLOOKUP(TabDesSalariosReal[[#This Row],[Años]],TabFactorIntegracion[],COLUMN(TabFactorIntegracion[% de prima 
vacacional y dominical]),FALSE))*((VLOOKUP(TabDesSalariosReal[[#This Row],[id]],TabAsistencias[],COLUMN(TabAsistencias[V]),FALSE)))</f>
        <v>0</v>
      </c>
      <c r="H60" s="148" cm="1">
        <f t="array" ref="H60">VLOOKUP(TabDesSalariosReal[[#This Row],[id]],TabAsistencias[],COLUMN(TabAsistencias[I]),FALSE)</f>
        <v>0</v>
      </c>
      <c r="I60" s="148" cm="1">
        <f t="array" ref="I60">VLOOKUP(TabDesSalariosReal[[#This Row],[id]],TabAsistencias[],COLUMN(TabAsistencias[IG]),FALSE)</f>
        <v>0</v>
      </c>
      <c r="J60" s="191">
        <v>0.4</v>
      </c>
      <c r="K60" s="179" cm="1">
        <f t="array" ref="K60">IF(TabDesSalariosReal[[#This Row],[Dias Incapacidad/General]]&gt;3,((TabDesSalariosReal[[#This Row],[Dias Incapacidad/General]]-3)*((VLOOKUP(TabDesSalariosReal[[#This Row],[id]],TabEmpleados[],COLUMN(TabEmpleados[SD Real]),FALSE)))*TabDesSalariosReal[[#This Row],[% pagado por incapacidad]]),0)</f>
        <v>0</v>
      </c>
      <c r="L60" s="185">
        <f>-1*(SUMIFS(TabPagos[Monto de pago],TabPagos[id],TabDesSalariosReal[[#This Row],[id]],TabPagos[Fecha de pago],"&gt;="&amp;Asistencias!$B$2,TabPagos[Fecha de pago],"&lt;"&amp;Asistencias!$B$3))</f>
        <v>0</v>
      </c>
      <c r="M60" t="str" cm="1">
        <f t="array" ref="M60">getDescripcion(TabDesSalariosReal[[#This Row],[id]],"Descuentos-Pagos","TabPagos",Asistencias!$B$2,Asistencias!$B$3)</f>
        <v/>
      </c>
      <c r="N60" s="309" cm="1">
        <f t="array" ref="N60">IF((TabDesSalariosReal[[#This Row],[Subtotal Real]]+TabDesSalariosReal[[#This Row],[Prima dominical]]+TabDesSalariosReal[[#This Row],[Prima vacacional]]+TabDesSalariosReal[[#This Row],[$ por incpacidad]]+TabDesSalariosReal[[#This Row],[Descuentos]]+TabDesSalariosReal[[#This Row],[Extras]]-TabDesSalariosReal[[#This Row],[Fiscal Real]])&gt;500,AporteComision,0)</f>
        <v>15</v>
      </c>
      <c r="O60" s="276">
        <v>0</v>
      </c>
      <c r="P60" s="188" t="str" cm="1">
        <f t="array" ref="P60">VLOOKUP(TabDesSalariosReal[[#This Row],[id]],TabEmpleados[],COLUMN(TabEmpleados[Banco de pago]),FALSE)</f>
        <v>Santander</v>
      </c>
      <c r="Q60" s="188">
        <f>TabDesSalariosReal[[#This Row],[Subtotal Real]]+TabDesSalariosReal[[#This Row],[Prima dominical]]+TabDesSalariosReal[[#This Row],[Prima vacacional]]+TabDesSalariosReal[[#This Row],[$ por incpacidad]]+TabDesSalariosReal[[#This Row],[Descuentos]]+TabDesSalariosReal[[#This Row],[Aporte por comision]]+TabDesSalariosReal[[#This Row],[Extras]]</f>
        <v>6835</v>
      </c>
      <c r="R60" s="277">
        <f>TabDesSalariosReal[[#This Row],[Total Real]]-TabDesSalariosReal[[#This Row],[Fiscal Real]]</f>
        <v>1402.4009808000001</v>
      </c>
      <c r="S60" s="179" cm="1">
        <f t="array" ref="S60">IFERROR(VLOOKUP(TabDesSalariosReal[[#This Row],[id]],TabDesSalariosFiscal[],COLUMN(TabDesSalariosFiscal[Total Fiscal]),FALSE),0)</f>
        <v>5432.5990191999999</v>
      </c>
      <c r="T60" s="197">
        <f>IFERROR(TabDesSalariosReal[[#This Row],[Persepcion Fiscal]],0)</f>
        <v>5432.5990191999999</v>
      </c>
      <c r="U60" s="55" cm="1">
        <f t="array" ref="U60">IF('Desglose Salarios Fiscal'!$Q$1=1,VLOOKUP(TabDesSalariosReal[[#This Row],[id]],TabEmpleados[],COLUMN(TabEmpleados[SD Real]),FALSE)*TabDesSalariosReal[[#This Row],[Dias de agunaldo Real2]],0)</f>
        <v>3300</v>
      </c>
      <c r="V60" s="173" cm="1">
        <f t="array" ref="V60">IF(YEAR(VLOOKUP(TabDesSalariosReal[[#This Row],[id]],TabEmpleados[],COLUMN(TabEmpleados[Fecha de ingreso]),FALSE))&lt;AñoActual,'Tablas de informacion'!$N$13,_xlfn.DAYS(DATE(AñoActual+1,MONTH(1),DAY(1))-DAY(1),(VLOOKUP(TabDesSalariosReal[[#This Row],[id]],TabEmpleados[],COLUMN(TabEmpleados[Fecha de ingreso]),FALSE))))</f>
        <v>365</v>
      </c>
      <c r="W60" cm="1">
        <f t="array" ref="W60">TabDesSalariosReal[[#This Row],[Dias de aguinaldo Real1]]*VLOOKUP(TabDesSalariosReal[[#This Row],[Años]],TabFactorIntegracion[],COLUMN(TabFactorIntegracion[Días de
aguinaldo]),FALSE)/'Tablas de informacion'!$N$13</f>
        <v>15</v>
      </c>
      <c r="X60" s="141" cm="1">
        <f t="array" ref="X60">TabDesSalariosReal[[#This Row],[Aguinaldo Real]]-IFERROR(VLOOKUP(TabDesSalariosReal[[#This Row],[id]],TabDesSalariosFiscal[],COLUMN(TabDesSalariosFiscal[Aguinaldo Fiscal]),FALSE),0)</f>
        <v>2310</v>
      </c>
    </row>
    <row r="61" spans="1:24" x14ac:dyDescent="0.25">
      <c r="A61" s="176">
        <v>59</v>
      </c>
      <c r="B61" t="str" cm="1">
        <f t="array" ref="B61">VLOOKUP(TabDesSalariosReal[[#This Row],[id]],TabEmpleados[],COLUMN(TabEmpleados[Nombre]),FALSE)</f>
        <v>SOLIS HERNANDEZ JAVIER</v>
      </c>
      <c r="C61" s="148" cm="1">
        <f t="array" ref="C61">VLOOKUP(TabDesSalariosReal[[#This Row],[id]],TabAsistencias[],COLUMN(TabAsistencias[Total de dias laborados]),FALSE)</f>
        <v>30</v>
      </c>
      <c r="D61" s="179" cm="1">
        <f t="array" ref="D61">(VLOOKUP(TabDesSalariosReal[[#This Row],[id]],TabEmpleados[],COLUMN(TabEmpleados[SD Real]),FALSE))*TabDesSalariosReal[[#This Row],[Dias Lab.]]</f>
        <v>6000</v>
      </c>
      <c r="E61" s="180" cm="1">
        <f t="array" ref="E61">IF(DATEDIF((VLOOKUP(TabDesSalariosReal[[#This Row],[id]],TabEmpleados[],COLUMN(TabEmpleados[Fecha de ingreso]),FALSE)),Asistencias!$B$3,"Y")=0,1,DATEDIF((VLOOKUP(TabDesSalariosReal[[#This Row],[id]],TabEmpleados[],COLUMN(TabEmpleados[Fecha de ingreso]),FALSE)),Asistencias!$B$3,"Y"))</f>
        <v>1</v>
      </c>
      <c r="F61" s="181" cm="1">
        <f t="array" ref="F61">((VLOOKUP(TabDesSalariosReal[[#This Row],[id]],TabEmpleados[],COLUMN(TabEmpleados[SD Real]),FALSE))*(VLOOKUP(TabDesSalariosReal[[#This Row],[Años]],TabFactorIntegracion[],COLUMN(TabFactorIntegracion[% de prima 
vacacional y dominical]),FALSE))*(VLOOKUP(TabDesSalariosReal[[#This Row],[id]],TabAsistencias[],COLUMN(TabAsistencias[Prima dominical]),FALSE)))*(VLOOKUP((VLOOKUP(TabDesSalariosReal[[#This Row],[id]],TabEmpleados[],COLUMN(TabEmpleados[Puesto]),FALSE)),TabPuestos[],COLUMN(TabPuestos[PRIMA DOMINICAL]),FALSE))</f>
        <v>200</v>
      </c>
      <c r="G61" s="182" cm="1">
        <f t="array" ref="G61">(VLOOKUP(TabDesSalariosReal[[#This Row],[id]],TabEmpleados[],COLUMN(TabEmpleados[SD Real]),FALSE))*(VLOOKUP(TabDesSalariosReal[[#This Row],[Años]],TabFactorIntegracion[],COLUMN(TabFactorIntegracion[% de prima 
vacacional y dominical]),FALSE))*((VLOOKUP(TabDesSalariosReal[[#This Row],[id]],TabAsistencias[],COLUMN(TabAsistencias[V]),FALSE)))</f>
        <v>0</v>
      </c>
      <c r="H61" s="148" cm="1">
        <f t="array" ref="H61">VLOOKUP(TabDesSalariosReal[[#This Row],[id]],TabAsistencias[],COLUMN(TabAsistencias[I]),FALSE)</f>
        <v>0</v>
      </c>
      <c r="I61" s="148" cm="1">
        <f t="array" ref="I61">VLOOKUP(TabDesSalariosReal[[#This Row],[id]],TabAsistencias[],COLUMN(TabAsistencias[IG]),FALSE)</f>
        <v>0</v>
      </c>
      <c r="J61" s="191">
        <v>0.4</v>
      </c>
      <c r="K61" s="179" cm="1">
        <f t="array" ref="K61">IF(TabDesSalariosReal[[#This Row],[Dias Incapacidad/General]]&gt;3,((TabDesSalariosReal[[#This Row],[Dias Incapacidad/General]]-3)*((VLOOKUP(TabDesSalariosReal[[#This Row],[id]],TabEmpleados[],COLUMN(TabEmpleados[SD Real]),FALSE)))*TabDesSalariosReal[[#This Row],[% pagado por incapacidad]]),0)</f>
        <v>0</v>
      </c>
      <c r="L61" s="185">
        <f>-1*(SUMIFS(TabPagos[Monto de pago],TabPagos[id],TabDesSalariosReal[[#This Row],[id]],TabPagos[Fecha de pago],"&gt;="&amp;Asistencias!$B$2,TabPagos[Fecha de pago],"&lt;"&amp;Asistencias!$B$3))</f>
        <v>0</v>
      </c>
      <c r="M61" t="str" cm="1">
        <f t="array" ref="M61">getDescripcion(TabDesSalariosReal[[#This Row],[id]],"Descuentos-Pagos","TabPagos",Asistencias!$B$2,Asistencias!$B$3)</f>
        <v/>
      </c>
      <c r="N61" s="309" cm="1">
        <f t="array" ref="N61">IF((TabDesSalariosReal[[#This Row],[Subtotal Real]]+TabDesSalariosReal[[#This Row],[Prima dominical]]+TabDesSalariosReal[[#This Row],[Prima vacacional]]+TabDesSalariosReal[[#This Row],[$ por incpacidad]]+TabDesSalariosReal[[#This Row],[Descuentos]]+TabDesSalariosReal[[#This Row],[Extras]]-TabDesSalariosReal[[#This Row],[Fiscal Real]])&gt;500,AporteComision,0)</f>
        <v>15</v>
      </c>
      <c r="O61" s="276">
        <v>0</v>
      </c>
      <c r="P61" s="188" t="str" cm="1">
        <f t="array" ref="P61">VLOOKUP(TabDesSalariosReal[[#This Row],[id]],TabEmpleados[],COLUMN(TabEmpleados[Banco de pago]),FALSE)</f>
        <v>Santander</v>
      </c>
      <c r="Q61" s="188">
        <f>TabDesSalariosReal[[#This Row],[Subtotal Real]]+TabDesSalariosReal[[#This Row],[Prima dominical]]+TabDesSalariosReal[[#This Row],[Prima vacacional]]+TabDesSalariosReal[[#This Row],[$ por incpacidad]]+TabDesSalariosReal[[#This Row],[Descuentos]]+TabDesSalariosReal[[#This Row],[Aporte por comision]]+TabDesSalariosReal[[#This Row],[Extras]]</f>
        <v>6215</v>
      </c>
      <c r="R61" s="277">
        <f>TabDesSalariosReal[[#This Row],[Total Real]]-TabDesSalariosReal[[#This Row],[Fiscal Real]]</f>
        <v>1241.6709350400006</v>
      </c>
      <c r="S61" s="179" cm="1">
        <f t="array" ref="S61">IFERROR(VLOOKUP(TabDesSalariosReal[[#This Row],[id]],TabDesSalariosFiscal[],COLUMN(TabDesSalariosFiscal[Total Fiscal]),FALSE),0)</f>
        <v>4973.3290649599994</v>
      </c>
      <c r="T61" s="197">
        <f>IFERROR(TabDesSalariosReal[[#This Row],[Persepcion Fiscal]],0)</f>
        <v>4973.3290649599994</v>
      </c>
      <c r="U61" s="55" cm="1">
        <f t="array" ref="U61">IF('Desglose Salarios Fiscal'!$Q$1=1,VLOOKUP(TabDesSalariosReal[[#This Row],[id]],TabEmpleados[],COLUMN(TabEmpleados[SD Real]),FALSE)*TabDesSalariosReal[[#This Row],[Dias de agunaldo Real2]],0)</f>
        <v>3000</v>
      </c>
      <c r="V61" s="173" cm="1">
        <f t="array" ref="V61">IF(YEAR(VLOOKUP(TabDesSalariosReal[[#This Row],[id]],TabEmpleados[],COLUMN(TabEmpleados[Fecha de ingreso]),FALSE))&lt;AñoActual,'Tablas de informacion'!$N$13,_xlfn.DAYS(DATE(AñoActual+1,MONTH(1),DAY(1))-DAY(1),(VLOOKUP(TabDesSalariosReal[[#This Row],[id]],TabEmpleados[],COLUMN(TabEmpleados[Fecha de ingreso]),FALSE))))</f>
        <v>365</v>
      </c>
      <c r="W61" cm="1">
        <f t="array" ref="W61">TabDesSalariosReal[[#This Row],[Dias de aguinaldo Real1]]*VLOOKUP(TabDesSalariosReal[[#This Row],[Años]],TabFactorIntegracion[],COLUMN(TabFactorIntegracion[Días de
aguinaldo]),FALSE)/'Tablas de informacion'!$N$13</f>
        <v>15</v>
      </c>
      <c r="X61" s="141" cm="1">
        <f t="array" ref="X61">TabDesSalariosReal[[#This Row],[Aguinaldo Real]]-IFERROR(VLOOKUP(TabDesSalariosReal[[#This Row],[id]],TabDesSalariosFiscal[],COLUMN(TabDesSalariosFiscal[Aguinaldo Fiscal]),FALSE),0)</f>
        <v>2100</v>
      </c>
    </row>
    <row r="62" spans="1:24" x14ac:dyDescent="0.25">
      <c r="A62" s="176">
        <v>60</v>
      </c>
      <c r="B62" t="str" cm="1">
        <f t="array" ref="B62">VLOOKUP(TabDesSalariosReal[[#This Row],[id]],TabEmpleados[],COLUMN(TabEmpleados[Nombre]),FALSE)</f>
        <v xml:space="preserve">LUIS MARTINEZ CESAR URIEL </v>
      </c>
      <c r="C62" s="148" cm="1">
        <f t="array" ref="C62">VLOOKUP(TabDesSalariosReal[[#This Row],[id]],TabAsistencias[],COLUMN(TabAsistencias[Total de dias laborados]),FALSE)</f>
        <v>30</v>
      </c>
      <c r="D62" s="179" cm="1">
        <f t="array" ref="D62">(VLOOKUP(TabDesSalariosReal[[#This Row],[id]],TabEmpleados[],COLUMN(TabEmpleados[SD Real]),FALSE))*TabDesSalariosReal[[#This Row],[Dias Lab.]]</f>
        <v>6000</v>
      </c>
      <c r="E62" s="180" cm="1">
        <f t="array" ref="E62">IF(DATEDIF((VLOOKUP(TabDesSalariosReal[[#This Row],[id]],TabEmpleados[],COLUMN(TabEmpleados[Fecha de ingreso]),FALSE)),Asistencias!$B$3,"Y")=0,1,DATEDIF((VLOOKUP(TabDesSalariosReal[[#This Row],[id]],TabEmpleados[],COLUMN(TabEmpleados[Fecha de ingreso]),FALSE)),Asistencias!$B$3,"Y"))</f>
        <v>1</v>
      </c>
      <c r="F62" s="181" cm="1">
        <f t="array" ref="F62">((VLOOKUP(TabDesSalariosReal[[#This Row],[id]],TabEmpleados[],COLUMN(TabEmpleados[SD Real]),FALSE))*(VLOOKUP(TabDesSalariosReal[[#This Row],[Años]],TabFactorIntegracion[],COLUMN(TabFactorIntegracion[% de prima 
vacacional y dominical]),FALSE))*(VLOOKUP(TabDesSalariosReal[[#This Row],[id]],TabAsistencias[],COLUMN(TabAsistencias[Prima dominical]),FALSE)))*(VLOOKUP((VLOOKUP(TabDesSalariosReal[[#This Row],[id]],TabEmpleados[],COLUMN(TabEmpleados[Puesto]),FALSE)),TabPuestos[],COLUMN(TabPuestos[PRIMA DOMINICAL]),FALSE))</f>
        <v>200</v>
      </c>
      <c r="G62" s="182" cm="1">
        <f t="array" ref="G62">(VLOOKUP(TabDesSalariosReal[[#This Row],[id]],TabEmpleados[],COLUMN(TabEmpleados[SD Real]),FALSE))*(VLOOKUP(TabDesSalariosReal[[#This Row],[Años]],TabFactorIntegracion[],COLUMN(TabFactorIntegracion[% de prima 
vacacional y dominical]),FALSE))*((VLOOKUP(TabDesSalariosReal[[#This Row],[id]],TabAsistencias[],COLUMN(TabAsistencias[V]),FALSE)))</f>
        <v>0</v>
      </c>
      <c r="H62" s="148" cm="1">
        <f t="array" ref="H62">VLOOKUP(TabDesSalariosReal[[#This Row],[id]],TabAsistencias[],COLUMN(TabAsistencias[I]),FALSE)</f>
        <v>0</v>
      </c>
      <c r="I62" s="148" cm="1">
        <f t="array" ref="I62">VLOOKUP(TabDesSalariosReal[[#This Row],[id]],TabAsistencias[],COLUMN(TabAsistencias[IG]),FALSE)</f>
        <v>0</v>
      </c>
      <c r="J62" s="191">
        <v>0.4</v>
      </c>
      <c r="K62" s="179" cm="1">
        <f t="array" ref="K62">IF(TabDesSalariosReal[[#This Row],[Dias Incapacidad/General]]&gt;3,((TabDesSalariosReal[[#This Row],[Dias Incapacidad/General]]-3)*((VLOOKUP(TabDesSalariosReal[[#This Row],[id]],TabEmpleados[],COLUMN(TabEmpleados[SD Real]),FALSE)))*TabDesSalariosReal[[#This Row],[% pagado por incapacidad]]),0)</f>
        <v>0</v>
      </c>
      <c r="L62" s="185">
        <f>-1*(SUMIFS(TabPagos[Monto de pago],TabPagos[id],TabDesSalariosReal[[#This Row],[id]],TabPagos[Fecha de pago],"&gt;="&amp;Asistencias!$B$2,TabPagos[Fecha de pago],"&lt;"&amp;Asistencias!$B$3))</f>
        <v>0</v>
      </c>
      <c r="M62" t="str" cm="1">
        <f t="array" ref="M62">getDescripcion(TabDesSalariosReal[[#This Row],[id]],"Descuentos-Pagos","TabPagos",Asistencias!$B$2,Asistencias!$B$3)</f>
        <v/>
      </c>
      <c r="N62" s="309" cm="1">
        <f t="array" ref="N62">IF((TabDesSalariosReal[[#This Row],[Subtotal Real]]+TabDesSalariosReal[[#This Row],[Prima dominical]]+TabDesSalariosReal[[#This Row],[Prima vacacional]]+TabDesSalariosReal[[#This Row],[$ por incpacidad]]+TabDesSalariosReal[[#This Row],[Descuentos]]+TabDesSalariosReal[[#This Row],[Extras]]-TabDesSalariosReal[[#This Row],[Fiscal Real]])&gt;500,AporteComision,0)</f>
        <v>15</v>
      </c>
      <c r="O62" s="276">
        <v>0</v>
      </c>
      <c r="P62" s="188" t="str" cm="1">
        <f t="array" ref="P62">VLOOKUP(TabDesSalariosReal[[#This Row],[id]],TabEmpleados[],COLUMN(TabEmpleados[Banco de pago]),FALSE)</f>
        <v>Santander</v>
      </c>
      <c r="Q62" s="188">
        <f>TabDesSalariosReal[[#This Row],[Subtotal Real]]+TabDesSalariosReal[[#This Row],[Prima dominical]]+TabDesSalariosReal[[#This Row],[Prima vacacional]]+TabDesSalariosReal[[#This Row],[$ por incpacidad]]+TabDesSalariosReal[[#This Row],[Descuentos]]+TabDesSalariosReal[[#This Row],[Aporte por comision]]+TabDesSalariosReal[[#This Row],[Extras]]</f>
        <v>6215</v>
      </c>
      <c r="R62" s="277">
        <f>TabDesSalariosReal[[#This Row],[Total Real]]-TabDesSalariosReal[[#This Row],[Fiscal Real]]</f>
        <v>1241.6709350400006</v>
      </c>
      <c r="S62" s="179" cm="1">
        <f t="array" ref="S62">IFERROR(VLOOKUP(TabDesSalariosReal[[#This Row],[id]],TabDesSalariosFiscal[],COLUMN(TabDesSalariosFiscal[Total Fiscal]),FALSE),0)</f>
        <v>4973.3290649599994</v>
      </c>
      <c r="T62" s="197">
        <f>IFERROR(TabDesSalariosReal[[#This Row],[Persepcion Fiscal]],0)</f>
        <v>4973.3290649599994</v>
      </c>
      <c r="U62" s="55" cm="1">
        <f t="array" ref="U62">IF('Desglose Salarios Fiscal'!$Q$1=1,VLOOKUP(TabDesSalariosReal[[#This Row],[id]],TabEmpleados[],COLUMN(TabEmpleados[SD Real]),FALSE)*TabDesSalariosReal[[#This Row],[Dias de agunaldo Real2]],0)</f>
        <v>3000</v>
      </c>
      <c r="V62" s="173" cm="1">
        <f t="array" ref="V62">IF(YEAR(VLOOKUP(TabDesSalariosReal[[#This Row],[id]],TabEmpleados[],COLUMN(TabEmpleados[Fecha de ingreso]),FALSE))&lt;AñoActual,'Tablas de informacion'!$N$13,_xlfn.DAYS(DATE(AñoActual+1,MONTH(1),DAY(1))-DAY(1),(VLOOKUP(TabDesSalariosReal[[#This Row],[id]],TabEmpleados[],COLUMN(TabEmpleados[Fecha de ingreso]),FALSE))))</f>
        <v>365</v>
      </c>
      <c r="W62" cm="1">
        <f t="array" ref="W62">TabDesSalariosReal[[#This Row],[Dias de aguinaldo Real1]]*VLOOKUP(TabDesSalariosReal[[#This Row],[Años]],TabFactorIntegracion[],COLUMN(TabFactorIntegracion[Días de
aguinaldo]),FALSE)/'Tablas de informacion'!$N$13</f>
        <v>15</v>
      </c>
      <c r="X62" s="141" cm="1">
        <f t="array" ref="X62">TabDesSalariosReal[[#This Row],[Aguinaldo Real]]-IFERROR(VLOOKUP(TabDesSalariosReal[[#This Row],[id]],TabDesSalariosFiscal[],COLUMN(TabDesSalariosFiscal[Aguinaldo Fiscal]),FALSE),0)</f>
        <v>2100</v>
      </c>
    </row>
    <row r="63" spans="1:24" x14ac:dyDescent="0.25">
      <c r="A63" s="176">
        <v>61</v>
      </c>
      <c r="B63" t="str" cm="1">
        <f t="array" ref="B63">VLOOKUP(TabDesSalariosReal[[#This Row],[id]],TabEmpleados[],COLUMN(TabEmpleados[Nombre]),FALSE)</f>
        <v xml:space="preserve">SOSA GONZALEZ ALEJANDRO </v>
      </c>
      <c r="C63" s="148" cm="1">
        <f t="array" ref="C63">VLOOKUP(TabDesSalariosReal[[#This Row],[id]],TabAsistencias[],COLUMN(TabAsistencias[Total de dias laborados]),FALSE)</f>
        <v>30</v>
      </c>
      <c r="D63" s="179" cm="1">
        <f t="array" ref="D63">(VLOOKUP(TabDesSalariosReal[[#This Row],[id]],TabEmpleados[],COLUMN(TabEmpleados[SD Real]),FALSE))*TabDesSalariosReal[[#This Row],[Dias Lab.]]</f>
        <v>6600</v>
      </c>
      <c r="E63" s="180" cm="1">
        <f t="array" ref="E63">IF(DATEDIF((VLOOKUP(TabDesSalariosReal[[#This Row],[id]],TabEmpleados[],COLUMN(TabEmpleados[Fecha de ingreso]),FALSE)),Asistencias!$B$3,"Y")=0,1,DATEDIF((VLOOKUP(TabDesSalariosReal[[#This Row],[id]],TabEmpleados[],COLUMN(TabEmpleados[Fecha de ingreso]),FALSE)),Asistencias!$B$3,"Y"))</f>
        <v>1</v>
      </c>
      <c r="F63" s="181" cm="1">
        <f t="array" ref="F63">((VLOOKUP(TabDesSalariosReal[[#This Row],[id]],TabEmpleados[],COLUMN(TabEmpleados[SD Real]),FALSE))*(VLOOKUP(TabDesSalariosReal[[#This Row],[Años]],TabFactorIntegracion[],COLUMN(TabFactorIntegracion[% de prima 
vacacional y dominical]),FALSE))*(VLOOKUP(TabDesSalariosReal[[#This Row],[id]],TabAsistencias[],COLUMN(TabAsistencias[Prima dominical]),FALSE)))*(VLOOKUP((VLOOKUP(TabDesSalariosReal[[#This Row],[id]],TabEmpleados[],COLUMN(TabEmpleados[Puesto]),FALSE)),TabPuestos[],COLUMN(TabPuestos[PRIMA DOMINICAL]),FALSE))</f>
        <v>220</v>
      </c>
      <c r="G63" s="182" cm="1">
        <f t="array" ref="G63">(VLOOKUP(TabDesSalariosReal[[#This Row],[id]],TabEmpleados[],COLUMN(TabEmpleados[SD Real]),FALSE))*(VLOOKUP(TabDesSalariosReal[[#This Row],[Años]],TabFactorIntegracion[],COLUMN(TabFactorIntegracion[% de prima 
vacacional y dominical]),FALSE))*((VLOOKUP(TabDesSalariosReal[[#This Row],[id]],TabAsistencias[],COLUMN(TabAsistencias[V]),FALSE)))</f>
        <v>0</v>
      </c>
      <c r="H63" s="148" cm="1">
        <f t="array" ref="H63">VLOOKUP(TabDesSalariosReal[[#This Row],[id]],TabAsistencias[],COLUMN(TabAsistencias[I]),FALSE)</f>
        <v>0</v>
      </c>
      <c r="I63" s="148" cm="1">
        <f t="array" ref="I63">VLOOKUP(TabDesSalariosReal[[#This Row],[id]],TabAsistencias[],COLUMN(TabAsistencias[IG]),FALSE)</f>
        <v>0</v>
      </c>
      <c r="J63" s="191">
        <v>0.4</v>
      </c>
      <c r="K63" s="179" cm="1">
        <f t="array" ref="K63">IF(TabDesSalariosReal[[#This Row],[Dias Incapacidad/General]]&gt;3,((TabDesSalariosReal[[#This Row],[Dias Incapacidad/General]]-3)*((VLOOKUP(TabDesSalariosReal[[#This Row],[id]],TabEmpleados[],COLUMN(TabEmpleados[SD Real]),FALSE)))*TabDesSalariosReal[[#This Row],[% pagado por incapacidad]]),0)</f>
        <v>0</v>
      </c>
      <c r="L63" s="185">
        <f>-1*(SUMIFS(TabPagos[Monto de pago],TabPagos[id],TabDesSalariosReal[[#This Row],[id]],TabPagos[Fecha de pago],"&gt;="&amp;Asistencias!$B$2,TabPagos[Fecha de pago],"&lt;"&amp;Asistencias!$B$3))</f>
        <v>0</v>
      </c>
      <c r="M63" t="str" cm="1">
        <f t="array" ref="M63">getDescripcion(TabDesSalariosReal[[#This Row],[id]],"Descuentos-Pagos","TabPagos",Asistencias!$B$2,Asistencias!$B$3)</f>
        <v/>
      </c>
      <c r="N63" s="309" cm="1">
        <f t="array" ref="N63">IF((TabDesSalariosReal[[#This Row],[Subtotal Real]]+TabDesSalariosReal[[#This Row],[Prima dominical]]+TabDesSalariosReal[[#This Row],[Prima vacacional]]+TabDesSalariosReal[[#This Row],[$ por incpacidad]]+TabDesSalariosReal[[#This Row],[Descuentos]]+TabDesSalariosReal[[#This Row],[Extras]]-TabDesSalariosReal[[#This Row],[Fiscal Real]])&gt;500,AporteComision,0)</f>
        <v>15</v>
      </c>
      <c r="O63" s="276">
        <v>0</v>
      </c>
      <c r="P63" s="188" t="str" cm="1">
        <f t="array" ref="P63">VLOOKUP(TabDesSalariosReal[[#This Row],[id]],TabEmpleados[],COLUMN(TabEmpleados[Banco de pago]),FALSE)</f>
        <v>Santander</v>
      </c>
      <c r="Q63" s="188">
        <f>TabDesSalariosReal[[#This Row],[Subtotal Real]]+TabDesSalariosReal[[#This Row],[Prima dominical]]+TabDesSalariosReal[[#This Row],[Prima vacacional]]+TabDesSalariosReal[[#This Row],[$ por incpacidad]]+TabDesSalariosReal[[#This Row],[Descuentos]]+TabDesSalariosReal[[#This Row],[Aporte por comision]]+TabDesSalariosReal[[#This Row],[Extras]]</f>
        <v>6835</v>
      </c>
      <c r="R63" s="277">
        <f>TabDesSalariosReal[[#This Row],[Total Real]]-TabDesSalariosReal[[#This Row],[Fiscal Real]]</f>
        <v>1402.4009808000001</v>
      </c>
      <c r="S63" s="179" cm="1">
        <f t="array" ref="S63">IFERROR(VLOOKUP(TabDesSalariosReal[[#This Row],[id]],TabDesSalariosFiscal[],COLUMN(TabDesSalariosFiscal[Total Fiscal]),FALSE),0)</f>
        <v>5432.5990191999999</v>
      </c>
      <c r="T63" s="197">
        <f>IFERROR(TabDesSalariosReal[[#This Row],[Persepcion Fiscal]],0)</f>
        <v>5432.5990191999999</v>
      </c>
      <c r="U63" s="55" cm="1">
        <f t="array" ref="U63">IF('Desglose Salarios Fiscal'!$Q$1=1,VLOOKUP(TabDesSalariosReal[[#This Row],[id]],TabEmpleados[],COLUMN(TabEmpleados[SD Real]),FALSE)*TabDesSalariosReal[[#This Row],[Dias de agunaldo Real2]],0)</f>
        <v>3300</v>
      </c>
      <c r="V63" s="173" cm="1">
        <f t="array" ref="V63">IF(YEAR(VLOOKUP(TabDesSalariosReal[[#This Row],[id]],TabEmpleados[],COLUMN(TabEmpleados[Fecha de ingreso]),FALSE))&lt;AñoActual,'Tablas de informacion'!$N$13,_xlfn.DAYS(DATE(AñoActual+1,MONTH(1),DAY(1))-DAY(1),(VLOOKUP(TabDesSalariosReal[[#This Row],[id]],TabEmpleados[],COLUMN(TabEmpleados[Fecha de ingreso]),FALSE))))</f>
        <v>365</v>
      </c>
      <c r="W63" cm="1">
        <f t="array" ref="W63">TabDesSalariosReal[[#This Row],[Dias de aguinaldo Real1]]*VLOOKUP(TabDesSalariosReal[[#This Row],[Años]],TabFactorIntegracion[],COLUMN(TabFactorIntegracion[Días de
aguinaldo]),FALSE)/'Tablas de informacion'!$N$13</f>
        <v>15</v>
      </c>
      <c r="X63" s="141" cm="1">
        <f t="array" ref="X63">TabDesSalariosReal[[#This Row],[Aguinaldo Real]]-IFERROR(VLOOKUP(TabDesSalariosReal[[#This Row],[id]],TabDesSalariosFiscal[],COLUMN(TabDesSalariosFiscal[Aguinaldo Fiscal]),FALSE),0)</f>
        <v>2310</v>
      </c>
    </row>
    <row r="64" spans="1:24" x14ac:dyDescent="0.25">
      <c r="A64" s="176">
        <v>62</v>
      </c>
      <c r="B64" t="str" cm="1">
        <f t="array" ref="B64">VLOOKUP(TabDesSalariosReal[[#This Row],[id]],TabEmpleados[],COLUMN(TabEmpleados[Nombre]),FALSE)</f>
        <v>GONZALEZ ARAGON ALEJANDRO FEDERICO</v>
      </c>
      <c r="C64" s="148" cm="1">
        <f t="array" ref="C64">VLOOKUP(TabDesSalariosReal[[#This Row],[id]],TabAsistencias[],COLUMN(TabAsistencias[Total de dias laborados]),FALSE)</f>
        <v>30</v>
      </c>
      <c r="D64" s="179" cm="1">
        <f t="array" ref="D64">(VLOOKUP(TabDesSalariosReal[[#This Row],[id]],TabEmpleados[],COLUMN(TabEmpleados[SD Real]),FALSE))*TabDesSalariosReal[[#This Row],[Dias Lab.]]</f>
        <v>9000</v>
      </c>
      <c r="E64" s="180" cm="1">
        <f t="array" ref="E64">IF(DATEDIF((VLOOKUP(TabDesSalariosReal[[#This Row],[id]],TabEmpleados[],COLUMN(TabEmpleados[Fecha de ingreso]),FALSE)),Asistencias!$B$3,"Y")=0,1,DATEDIF((VLOOKUP(TabDesSalariosReal[[#This Row],[id]],TabEmpleados[],COLUMN(TabEmpleados[Fecha de ingreso]),FALSE)),Asistencias!$B$3,"Y"))</f>
        <v>1</v>
      </c>
      <c r="F64" s="181" cm="1">
        <f t="array" ref="F64">((VLOOKUP(TabDesSalariosReal[[#This Row],[id]],TabEmpleados[],COLUMN(TabEmpleados[SD Real]),FALSE))*(VLOOKUP(TabDesSalariosReal[[#This Row],[Años]],TabFactorIntegracion[],COLUMN(TabFactorIntegracion[% de prima 
vacacional y dominical]),FALSE))*(VLOOKUP(TabDesSalariosReal[[#This Row],[id]],TabAsistencias[],COLUMN(TabAsistencias[Prima dominical]),FALSE)))*(VLOOKUP((VLOOKUP(TabDesSalariosReal[[#This Row],[id]],TabEmpleados[],COLUMN(TabEmpleados[Puesto]),FALSE)),TabPuestos[],COLUMN(TabPuestos[PRIMA DOMINICAL]),FALSE))</f>
        <v>300</v>
      </c>
      <c r="G64" s="182" cm="1">
        <f t="array" ref="G64">(VLOOKUP(TabDesSalariosReal[[#This Row],[id]],TabEmpleados[],COLUMN(TabEmpleados[SD Real]),FALSE))*(VLOOKUP(TabDesSalariosReal[[#This Row],[Años]],TabFactorIntegracion[],COLUMN(TabFactorIntegracion[% de prima 
vacacional y dominical]),FALSE))*((VLOOKUP(TabDesSalariosReal[[#This Row],[id]],TabAsistencias[],COLUMN(TabAsistencias[V]),FALSE)))</f>
        <v>0</v>
      </c>
      <c r="H64" s="148" cm="1">
        <f t="array" ref="H64">VLOOKUP(TabDesSalariosReal[[#This Row],[id]],TabAsistencias[],COLUMN(TabAsistencias[I]),FALSE)</f>
        <v>0</v>
      </c>
      <c r="I64" s="148" cm="1">
        <f t="array" ref="I64">VLOOKUP(TabDesSalariosReal[[#This Row],[id]],TabAsistencias[],COLUMN(TabAsistencias[IG]),FALSE)</f>
        <v>0</v>
      </c>
      <c r="J64" s="191">
        <v>0.4</v>
      </c>
      <c r="K64" s="179" cm="1">
        <f t="array" ref="K64">IF(TabDesSalariosReal[[#This Row],[Dias Incapacidad/General]]&gt;3,((TabDesSalariosReal[[#This Row],[Dias Incapacidad/General]]-3)*((VLOOKUP(TabDesSalariosReal[[#This Row],[id]],TabEmpleados[],COLUMN(TabEmpleados[SD Real]),FALSE)))*TabDesSalariosReal[[#This Row],[% pagado por incapacidad]]),0)</f>
        <v>0</v>
      </c>
      <c r="L64" s="185">
        <f>-1*(SUMIFS(TabPagos[Monto de pago],TabPagos[id],TabDesSalariosReal[[#This Row],[id]],TabPagos[Fecha de pago],"&gt;="&amp;Asistencias!$B$2,TabPagos[Fecha de pago],"&lt;"&amp;Asistencias!$B$3))</f>
        <v>0</v>
      </c>
      <c r="M64" t="str" cm="1">
        <f t="array" ref="M64">getDescripcion(TabDesSalariosReal[[#This Row],[id]],"Descuentos-Pagos","TabPagos",Asistencias!$B$2,Asistencias!$B$3)</f>
        <v/>
      </c>
      <c r="N64" s="309" cm="1">
        <f t="array" ref="N64">IF((TabDesSalariosReal[[#This Row],[Subtotal Real]]+TabDesSalariosReal[[#This Row],[Prima dominical]]+TabDesSalariosReal[[#This Row],[Prima vacacional]]+TabDesSalariosReal[[#This Row],[$ por incpacidad]]+TabDesSalariosReal[[#This Row],[Descuentos]]+TabDesSalariosReal[[#This Row],[Extras]]-TabDesSalariosReal[[#This Row],[Fiscal Real]])&gt;500,AporteComision,0)</f>
        <v>15</v>
      </c>
      <c r="O64" s="276">
        <v>0</v>
      </c>
      <c r="P64" s="188" t="str" cm="1">
        <f t="array" ref="P64">VLOOKUP(TabDesSalariosReal[[#This Row],[id]],TabEmpleados[],COLUMN(TabEmpleados[Banco de pago]),FALSE)</f>
        <v>Santander</v>
      </c>
      <c r="Q64" s="188">
        <f>TabDesSalariosReal[[#This Row],[Subtotal Real]]+TabDesSalariosReal[[#This Row],[Prima dominical]]+TabDesSalariosReal[[#This Row],[Prima vacacional]]+TabDesSalariosReal[[#This Row],[$ por incpacidad]]+TabDesSalariosReal[[#This Row],[Descuentos]]+TabDesSalariosReal[[#This Row],[Aporte por comision]]+TabDesSalariosReal[[#This Row],[Extras]]</f>
        <v>9315</v>
      </c>
      <c r="R64" s="277">
        <f>TabDesSalariosReal[[#This Row],[Total Real]]-TabDesSalariosReal[[#This Row],[Fiscal Real]]</f>
        <v>2113.6697083199997</v>
      </c>
      <c r="S64" s="179" cm="1">
        <f t="array" ref="S64">IFERROR(VLOOKUP(TabDesSalariosReal[[#This Row],[id]],TabDesSalariosFiscal[],COLUMN(TabDesSalariosFiscal[Total Fiscal]),FALSE),0)</f>
        <v>7201.3302916800003</v>
      </c>
      <c r="T64" s="197">
        <f>IFERROR(TabDesSalariosReal[[#This Row],[Persepcion Fiscal]],0)</f>
        <v>7201.3302916800003</v>
      </c>
      <c r="U64" s="55" cm="1">
        <f t="array" ref="U64">IF('Desglose Salarios Fiscal'!$Q$1=1,VLOOKUP(TabDesSalariosReal[[#This Row],[id]],TabEmpleados[],COLUMN(TabEmpleados[SD Real]),FALSE)*TabDesSalariosReal[[#This Row],[Dias de agunaldo Real2]],0)</f>
        <v>4500</v>
      </c>
      <c r="V64" s="173" cm="1">
        <f t="array" ref="V64">IF(YEAR(VLOOKUP(TabDesSalariosReal[[#This Row],[id]],TabEmpleados[],COLUMN(TabEmpleados[Fecha de ingreso]),FALSE))&lt;AñoActual,'Tablas de informacion'!$N$13,_xlfn.DAYS(DATE(AñoActual+1,MONTH(1),DAY(1))-DAY(1),(VLOOKUP(TabDesSalariosReal[[#This Row],[id]],TabEmpleados[],COLUMN(TabEmpleados[Fecha de ingreso]),FALSE))))</f>
        <v>365</v>
      </c>
      <c r="W64" cm="1">
        <f t="array" ref="W64">TabDesSalariosReal[[#This Row],[Dias de aguinaldo Real1]]*VLOOKUP(TabDesSalariosReal[[#This Row],[Años]],TabFactorIntegracion[],COLUMN(TabFactorIntegracion[Días de
aguinaldo]),FALSE)/'Tablas de informacion'!$N$13</f>
        <v>15</v>
      </c>
      <c r="X64" s="141" cm="1">
        <f t="array" ref="X64">TabDesSalariosReal[[#This Row],[Aguinaldo Real]]-IFERROR(VLOOKUP(TabDesSalariosReal[[#This Row],[id]],TabDesSalariosFiscal[],COLUMN(TabDesSalariosFiscal[Aguinaldo Fiscal]),FALSE),0)</f>
        <v>3150</v>
      </c>
    </row>
    <row r="65" spans="1:24" x14ac:dyDescent="0.25">
      <c r="A65" s="176">
        <v>63</v>
      </c>
      <c r="B65" t="str" cm="1">
        <f t="array" ref="B65">VLOOKUP(TabDesSalariosReal[[#This Row],[id]],TabEmpleados[],COLUMN(TabEmpleados[Nombre]),FALSE)</f>
        <v>SANCHEZ RUIZ INGRID VIVIANA</v>
      </c>
      <c r="C65" s="148" cm="1">
        <f t="array" ref="C65">VLOOKUP(TabDesSalariosReal[[#This Row],[id]],TabAsistencias[],COLUMN(TabAsistencias[Total de dias laborados]),FALSE)</f>
        <v>30</v>
      </c>
      <c r="D65" s="179" cm="1">
        <f t="array" ref="D65">(VLOOKUP(TabDesSalariosReal[[#This Row],[id]],TabEmpleados[],COLUMN(TabEmpleados[SD Real]),FALSE))*TabDesSalariosReal[[#This Row],[Dias Lab.]]</f>
        <v>9000</v>
      </c>
      <c r="E65" s="180" cm="1">
        <f t="array" ref="E65">IF(DATEDIF((VLOOKUP(TabDesSalariosReal[[#This Row],[id]],TabEmpleados[],COLUMN(TabEmpleados[Fecha de ingreso]),FALSE)),Asistencias!$B$3,"Y")=0,1,DATEDIF((VLOOKUP(TabDesSalariosReal[[#This Row],[id]],TabEmpleados[],COLUMN(TabEmpleados[Fecha de ingreso]),FALSE)),Asistencias!$B$3,"Y"))</f>
        <v>1</v>
      </c>
      <c r="F65" s="181" cm="1">
        <f t="array" ref="F65">((VLOOKUP(TabDesSalariosReal[[#This Row],[id]],TabEmpleados[],COLUMN(TabEmpleados[SD Real]),FALSE))*(VLOOKUP(TabDesSalariosReal[[#This Row],[Años]],TabFactorIntegracion[],COLUMN(TabFactorIntegracion[% de prima 
vacacional y dominical]),FALSE))*(VLOOKUP(TabDesSalariosReal[[#This Row],[id]],TabAsistencias[],COLUMN(TabAsistencias[Prima dominical]),FALSE)))*(VLOOKUP((VLOOKUP(TabDesSalariosReal[[#This Row],[id]],TabEmpleados[],COLUMN(TabEmpleados[Puesto]),FALSE)),TabPuestos[],COLUMN(TabPuestos[PRIMA DOMINICAL]),FALSE))</f>
        <v>300</v>
      </c>
      <c r="G65" s="182" cm="1">
        <f t="array" ref="G65">(VLOOKUP(TabDesSalariosReal[[#This Row],[id]],TabEmpleados[],COLUMN(TabEmpleados[SD Real]),FALSE))*(VLOOKUP(TabDesSalariosReal[[#This Row],[Años]],TabFactorIntegracion[],COLUMN(TabFactorIntegracion[% de prima 
vacacional y dominical]),FALSE))*((VLOOKUP(TabDesSalariosReal[[#This Row],[id]],TabAsistencias[],COLUMN(TabAsistencias[V]),FALSE)))</f>
        <v>0</v>
      </c>
      <c r="H65" s="148" cm="1">
        <f t="array" ref="H65">VLOOKUP(TabDesSalariosReal[[#This Row],[id]],TabAsistencias[],COLUMN(TabAsistencias[I]),FALSE)</f>
        <v>0</v>
      </c>
      <c r="I65" s="148" cm="1">
        <f t="array" ref="I65">VLOOKUP(TabDesSalariosReal[[#This Row],[id]],TabAsistencias[],COLUMN(TabAsistencias[IG]),FALSE)</f>
        <v>0</v>
      </c>
      <c r="J65" s="191">
        <v>0.4</v>
      </c>
      <c r="K65" s="179" cm="1">
        <f t="array" ref="K65">IF(TabDesSalariosReal[[#This Row],[Dias Incapacidad/General]]&gt;3,((TabDesSalariosReal[[#This Row],[Dias Incapacidad/General]]-3)*((VLOOKUP(TabDesSalariosReal[[#This Row],[id]],TabEmpleados[],COLUMN(TabEmpleados[SD Real]),FALSE)))*TabDesSalariosReal[[#This Row],[% pagado por incapacidad]]),0)</f>
        <v>0</v>
      </c>
      <c r="L65" s="185">
        <f>-1*(SUMIFS(TabPagos[Monto de pago],TabPagos[id],TabDesSalariosReal[[#This Row],[id]],TabPagos[Fecha de pago],"&gt;="&amp;Asistencias!$B$2,TabPagos[Fecha de pago],"&lt;"&amp;Asistencias!$B$3))</f>
        <v>0</v>
      </c>
      <c r="M65" t="str" cm="1">
        <f t="array" ref="M65">getDescripcion(TabDesSalariosReal[[#This Row],[id]],"Descuentos-Pagos","TabPagos",Asistencias!$B$2,Asistencias!$B$3)</f>
        <v/>
      </c>
      <c r="N65" s="309" cm="1">
        <f t="array" ref="N65">IF((TabDesSalariosReal[[#This Row],[Subtotal Real]]+TabDesSalariosReal[[#This Row],[Prima dominical]]+TabDesSalariosReal[[#This Row],[Prima vacacional]]+TabDesSalariosReal[[#This Row],[$ por incpacidad]]+TabDesSalariosReal[[#This Row],[Descuentos]]+TabDesSalariosReal[[#This Row],[Extras]]-TabDesSalariosReal[[#This Row],[Fiscal Real]])&gt;500,AporteComision,0)</f>
        <v>15</v>
      </c>
      <c r="O65" s="276">
        <v>0</v>
      </c>
      <c r="P65" s="188" t="str" cm="1">
        <f t="array" ref="P65">VLOOKUP(TabDesSalariosReal[[#This Row],[id]],TabEmpleados[],COLUMN(TabEmpleados[Banco de pago]),FALSE)</f>
        <v>Santander</v>
      </c>
      <c r="Q65" s="188">
        <f>TabDesSalariosReal[[#This Row],[Subtotal Real]]+TabDesSalariosReal[[#This Row],[Prima dominical]]+TabDesSalariosReal[[#This Row],[Prima vacacional]]+TabDesSalariosReal[[#This Row],[$ por incpacidad]]+TabDesSalariosReal[[#This Row],[Descuentos]]+TabDesSalariosReal[[#This Row],[Aporte por comision]]+TabDesSalariosReal[[#This Row],[Extras]]</f>
        <v>9315</v>
      </c>
      <c r="R65" s="277">
        <f>TabDesSalariosReal[[#This Row],[Total Real]]-TabDesSalariosReal[[#This Row],[Fiscal Real]]</f>
        <v>2113.6697083199997</v>
      </c>
      <c r="S65" s="179" cm="1">
        <f t="array" ref="S65">IFERROR(VLOOKUP(TabDesSalariosReal[[#This Row],[id]],TabDesSalariosFiscal[],COLUMN(TabDesSalariosFiscal[Total Fiscal]),FALSE),0)</f>
        <v>7201.3302916800003</v>
      </c>
      <c r="T65" s="197">
        <f>IFERROR(TabDesSalariosReal[[#This Row],[Persepcion Fiscal]],0)</f>
        <v>7201.3302916800003</v>
      </c>
      <c r="U65" s="55" cm="1">
        <f t="array" ref="U65">IF('Desglose Salarios Fiscal'!$Q$1=1,VLOOKUP(TabDesSalariosReal[[#This Row],[id]],TabEmpleados[],COLUMN(TabEmpleados[SD Real]),FALSE)*TabDesSalariosReal[[#This Row],[Dias de agunaldo Real2]],0)</f>
        <v>4500</v>
      </c>
      <c r="V65" s="173" cm="1">
        <f t="array" ref="V65">IF(YEAR(VLOOKUP(TabDesSalariosReal[[#This Row],[id]],TabEmpleados[],COLUMN(TabEmpleados[Fecha de ingreso]),FALSE))&lt;AñoActual,'Tablas de informacion'!$N$13,_xlfn.DAYS(DATE(AñoActual+1,MONTH(1),DAY(1))-DAY(1),(VLOOKUP(TabDesSalariosReal[[#This Row],[id]],TabEmpleados[],COLUMN(TabEmpleados[Fecha de ingreso]),FALSE))))</f>
        <v>365</v>
      </c>
      <c r="W65" cm="1">
        <f t="array" ref="W65">TabDesSalariosReal[[#This Row],[Dias de aguinaldo Real1]]*VLOOKUP(TabDesSalariosReal[[#This Row],[Años]],TabFactorIntegracion[],COLUMN(TabFactorIntegracion[Días de
aguinaldo]),FALSE)/'Tablas de informacion'!$N$13</f>
        <v>15</v>
      </c>
      <c r="X65" s="141" cm="1">
        <f t="array" ref="X65">TabDesSalariosReal[[#This Row],[Aguinaldo Real]]-IFERROR(VLOOKUP(TabDesSalariosReal[[#This Row],[id]],TabDesSalariosFiscal[],COLUMN(TabDesSalariosFiscal[Aguinaldo Fiscal]),FALSE),0)</f>
        <v>3150</v>
      </c>
    </row>
    <row r="66" spans="1:24" x14ac:dyDescent="0.25">
      <c r="A66" s="176">
        <v>64</v>
      </c>
      <c r="B66" t="str" cm="1">
        <f t="array" ref="B66">VLOOKUP(TabDesSalariosReal[[#This Row],[id]],TabEmpleados[],COLUMN(TabEmpleados[Nombre]),FALSE)</f>
        <v>QUIROZ HERNANDEZ ALEJANDRA MONSERRAT</v>
      </c>
      <c r="C66" s="148" cm="1">
        <f t="array" ref="C66">VLOOKUP(TabDesSalariosReal[[#This Row],[id]],TabAsistencias[],COLUMN(TabAsistencias[Total de dias laborados]),FALSE)</f>
        <v>30</v>
      </c>
      <c r="D66" s="179" cm="1">
        <f t="array" ref="D66">(VLOOKUP(TabDesSalariosReal[[#This Row],[id]],TabEmpleados[],COLUMN(TabEmpleados[SD Real]),FALSE))*TabDesSalariosReal[[#This Row],[Dias Lab.]]</f>
        <v>9000</v>
      </c>
      <c r="E66" s="180" cm="1">
        <f t="array" ref="E66">IF(DATEDIF((VLOOKUP(TabDesSalariosReal[[#This Row],[id]],TabEmpleados[],COLUMN(TabEmpleados[Fecha de ingreso]),FALSE)),Asistencias!$B$3,"Y")=0,1,DATEDIF((VLOOKUP(TabDesSalariosReal[[#This Row],[id]],TabEmpleados[],COLUMN(TabEmpleados[Fecha de ingreso]),FALSE)),Asistencias!$B$3,"Y"))</f>
        <v>1</v>
      </c>
      <c r="F66" s="181" cm="1">
        <f t="array" ref="F66">((VLOOKUP(TabDesSalariosReal[[#This Row],[id]],TabEmpleados[],COLUMN(TabEmpleados[SD Real]),FALSE))*(VLOOKUP(TabDesSalariosReal[[#This Row],[Años]],TabFactorIntegracion[],COLUMN(TabFactorIntegracion[% de prima 
vacacional y dominical]),FALSE))*(VLOOKUP(TabDesSalariosReal[[#This Row],[id]],TabAsistencias[],COLUMN(TabAsistencias[Prima dominical]),FALSE)))*(VLOOKUP((VLOOKUP(TabDesSalariosReal[[#This Row],[id]],TabEmpleados[],COLUMN(TabEmpleados[Puesto]),FALSE)),TabPuestos[],COLUMN(TabPuestos[PRIMA DOMINICAL]),FALSE))</f>
        <v>300</v>
      </c>
      <c r="G66" s="182" cm="1">
        <f t="array" ref="G66">(VLOOKUP(TabDesSalariosReal[[#This Row],[id]],TabEmpleados[],COLUMN(TabEmpleados[SD Real]),FALSE))*(VLOOKUP(TabDesSalariosReal[[#This Row],[Años]],TabFactorIntegracion[],COLUMN(TabFactorIntegracion[% de prima 
vacacional y dominical]),FALSE))*((VLOOKUP(TabDesSalariosReal[[#This Row],[id]],TabAsistencias[],COLUMN(TabAsistencias[V]),FALSE)))</f>
        <v>0</v>
      </c>
      <c r="H66" s="148" cm="1">
        <f t="array" ref="H66">VLOOKUP(TabDesSalariosReal[[#This Row],[id]],TabAsistencias[],COLUMN(TabAsistencias[I]),FALSE)</f>
        <v>0</v>
      </c>
      <c r="I66" s="148" cm="1">
        <f t="array" ref="I66">VLOOKUP(TabDesSalariosReal[[#This Row],[id]],TabAsistencias[],COLUMN(TabAsistencias[IG]),FALSE)</f>
        <v>0</v>
      </c>
      <c r="J66" s="191">
        <v>0.4</v>
      </c>
      <c r="K66" s="179" cm="1">
        <f t="array" ref="K66">IF(TabDesSalariosReal[[#This Row],[Dias Incapacidad/General]]&gt;3,((TabDesSalariosReal[[#This Row],[Dias Incapacidad/General]]-3)*((VLOOKUP(TabDesSalariosReal[[#This Row],[id]],TabEmpleados[],COLUMN(TabEmpleados[SD Real]),FALSE)))*TabDesSalariosReal[[#This Row],[% pagado por incapacidad]]),0)</f>
        <v>0</v>
      </c>
      <c r="L66" s="185">
        <f>-1*(SUMIFS(TabPagos[Monto de pago],TabPagos[id],TabDesSalariosReal[[#This Row],[id]],TabPagos[Fecha de pago],"&gt;="&amp;Asistencias!$B$2,TabPagos[Fecha de pago],"&lt;"&amp;Asistencias!$B$3))</f>
        <v>0</v>
      </c>
      <c r="M66" t="str" cm="1">
        <f t="array" ref="M66">getDescripcion(TabDesSalariosReal[[#This Row],[id]],"Descuentos-Pagos","TabPagos",Asistencias!$B$2,Asistencias!$B$3)</f>
        <v/>
      </c>
      <c r="N66" s="309" cm="1">
        <f t="array" ref="N66">IF((TabDesSalariosReal[[#This Row],[Subtotal Real]]+TabDesSalariosReal[[#This Row],[Prima dominical]]+TabDesSalariosReal[[#This Row],[Prima vacacional]]+TabDesSalariosReal[[#This Row],[$ por incpacidad]]+TabDesSalariosReal[[#This Row],[Descuentos]]+TabDesSalariosReal[[#This Row],[Extras]]-TabDesSalariosReal[[#This Row],[Fiscal Real]])&gt;500,AporteComision,0)</f>
        <v>15</v>
      </c>
      <c r="O66" s="276">
        <v>0</v>
      </c>
      <c r="P66" s="188" t="str" cm="1">
        <f t="array" ref="P66">VLOOKUP(TabDesSalariosReal[[#This Row],[id]],TabEmpleados[],COLUMN(TabEmpleados[Banco de pago]),FALSE)</f>
        <v>Santander</v>
      </c>
      <c r="Q66" s="188">
        <f>TabDesSalariosReal[[#This Row],[Subtotal Real]]+TabDesSalariosReal[[#This Row],[Prima dominical]]+TabDesSalariosReal[[#This Row],[Prima vacacional]]+TabDesSalariosReal[[#This Row],[$ por incpacidad]]+TabDesSalariosReal[[#This Row],[Descuentos]]+TabDesSalariosReal[[#This Row],[Aporte por comision]]+TabDesSalariosReal[[#This Row],[Extras]]</f>
        <v>9315</v>
      </c>
      <c r="R66" s="277">
        <f>TabDesSalariosReal[[#This Row],[Total Real]]-TabDesSalariosReal[[#This Row],[Fiscal Real]]</f>
        <v>2113.6697083199997</v>
      </c>
      <c r="S66" s="179" cm="1">
        <f t="array" ref="S66">IFERROR(VLOOKUP(TabDesSalariosReal[[#This Row],[id]],TabDesSalariosFiscal[],COLUMN(TabDesSalariosFiscal[Total Fiscal]),FALSE),0)</f>
        <v>7201.3302916800003</v>
      </c>
      <c r="T66" s="197">
        <f>IFERROR(TabDesSalariosReal[[#This Row],[Persepcion Fiscal]],0)</f>
        <v>7201.3302916800003</v>
      </c>
      <c r="U66" s="55" cm="1">
        <f t="array" ref="U66">IF('Desglose Salarios Fiscal'!$Q$1=1,VLOOKUP(TabDesSalariosReal[[#This Row],[id]],TabEmpleados[],COLUMN(TabEmpleados[SD Real]),FALSE)*TabDesSalariosReal[[#This Row],[Dias de agunaldo Real2]],0)</f>
        <v>4500</v>
      </c>
      <c r="V66" s="173" cm="1">
        <f t="array" ref="V66">IF(YEAR(VLOOKUP(TabDesSalariosReal[[#This Row],[id]],TabEmpleados[],COLUMN(TabEmpleados[Fecha de ingreso]),FALSE))&lt;AñoActual,'Tablas de informacion'!$N$13,_xlfn.DAYS(DATE(AñoActual+1,MONTH(1),DAY(1))-DAY(1),(VLOOKUP(TabDesSalariosReal[[#This Row],[id]],TabEmpleados[],COLUMN(TabEmpleados[Fecha de ingreso]),FALSE))))</f>
        <v>365</v>
      </c>
      <c r="W66" cm="1">
        <f t="array" ref="W66">TabDesSalariosReal[[#This Row],[Dias de aguinaldo Real1]]*VLOOKUP(TabDesSalariosReal[[#This Row],[Años]],TabFactorIntegracion[],COLUMN(TabFactorIntegracion[Días de
aguinaldo]),FALSE)/'Tablas de informacion'!$N$13</f>
        <v>15</v>
      </c>
      <c r="X66" s="141" cm="1">
        <f t="array" ref="X66">TabDesSalariosReal[[#This Row],[Aguinaldo Real]]-IFERROR(VLOOKUP(TabDesSalariosReal[[#This Row],[id]],TabDesSalariosFiscal[],COLUMN(TabDesSalariosFiscal[Aguinaldo Fiscal]),FALSE),0)</f>
        <v>3150</v>
      </c>
    </row>
    <row r="67" spans="1:24" x14ac:dyDescent="0.25">
      <c r="A67" s="176">
        <v>65</v>
      </c>
      <c r="B67" t="str" cm="1">
        <f t="array" ref="B67">VLOOKUP(TabDesSalariosReal[[#This Row],[id]],TabEmpleados[],COLUMN(TabEmpleados[Nombre]),FALSE)</f>
        <v>VASQUEZ PEREZ ARTURO</v>
      </c>
      <c r="C67" s="148" cm="1">
        <f t="array" ref="C67">VLOOKUP(TabDesSalariosReal[[#This Row],[id]],TabAsistencias[],COLUMN(TabAsistencias[Total de dias laborados]),FALSE)</f>
        <v>30</v>
      </c>
      <c r="D67" s="179" cm="1">
        <f t="array" ref="D67">(VLOOKUP(TabDesSalariosReal[[#This Row],[id]],TabEmpleados[],COLUMN(TabEmpleados[SD Real]),FALSE))*TabDesSalariosReal[[#This Row],[Dias Lab.]]</f>
        <v>9000</v>
      </c>
      <c r="E67" s="180" cm="1">
        <f t="array" ref="E67">IF(DATEDIF((VLOOKUP(TabDesSalariosReal[[#This Row],[id]],TabEmpleados[],COLUMN(TabEmpleados[Fecha de ingreso]),FALSE)),Asistencias!$B$3,"Y")=0,1,DATEDIF((VLOOKUP(TabDesSalariosReal[[#This Row],[id]],TabEmpleados[],COLUMN(TabEmpleados[Fecha de ingreso]),FALSE)),Asistencias!$B$3,"Y"))</f>
        <v>1</v>
      </c>
      <c r="F67" s="181" cm="1">
        <f t="array" ref="F67">((VLOOKUP(TabDesSalariosReal[[#This Row],[id]],TabEmpleados[],COLUMN(TabEmpleados[SD Real]),FALSE))*(VLOOKUP(TabDesSalariosReal[[#This Row],[Años]],TabFactorIntegracion[],COLUMN(TabFactorIntegracion[% de prima 
vacacional y dominical]),FALSE))*(VLOOKUP(TabDesSalariosReal[[#This Row],[id]],TabAsistencias[],COLUMN(TabAsistencias[Prima dominical]),FALSE)))*(VLOOKUP((VLOOKUP(TabDesSalariosReal[[#This Row],[id]],TabEmpleados[],COLUMN(TabEmpleados[Puesto]),FALSE)),TabPuestos[],COLUMN(TabPuestos[PRIMA DOMINICAL]),FALSE))</f>
        <v>0</v>
      </c>
      <c r="G67" s="182" cm="1">
        <f t="array" ref="G67">(VLOOKUP(TabDesSalariosReal[[#This Row],[id]],TabEmpleados[],COLUMN(TabEmpleados[SD Real]),FALSE))*(VLOOKUP(TabDesSalariosReal[[#This Row],[Años]],TabFactorIntegracion[],COLUMN(TabFactorIntegracion[% de prima 
vacacional y dominical]),FALSE))*((VLOOKUP(TabDesSalariosReal[[#This Row],[id]],TabAsistencias[],COLUMN(TabAsistencias[V]),FALSE)))</f>
        <v>0</v>
      </c>
      <c r="H67" s="148" cm="1">
        <f t="array" ref="H67">VLOOKUP(TabDesSalariosReal[[#This Row],[id]],TabAsistencias[],COLUMN(TabAsistencias[I]),FALSE)</f>
        <v>0</v>
      </c>
      <c r="I67" s="148" cm="1">
        <f t="array" ref="I67">VLOOKUP(TabDesSalariosReal[[#This Row],[id]],TabAsistencias[],COLUMN(TabAsistencias[IG]),FALSE)</f>
        <v>0</v>
      </c>
      <c r="J67" s="191">
        <v>0.4</v>
      </c>
      <c r="K67" s="179" cm="1">
        <f t="array" ref="K67">IF(TabDesSalariosReal[[#This Row],[Dias Incapacidad/General]]&gt;3,((TabDesSalariosReal[[#This Row],[Dias Incapacidad/General]]-3)*((VLOOKUP(TabDesSalariosReal[[#This Row],[id]],TabEmpleados[],COLUMN(TabEmpleados[SD Real]),FALSE)))*TabDesSalariosReal[[#This Row],[% pagado por incapacidad]]),0)</f>
        <v>0</v>
      </c>
      <c r="L67" s="185">
        <f>-1*(SUMIFS(TabPagos[Monto de pago],TabPagos[id],TabDesSalariosReal[[#This Row],[id]],TabPagos[Fecha de pago],"&gt;="&amp;Asistencias!$B$2,TabPagos[Fecha de pago],"&lt;"&amp;Asistencias!$B$3))</f>
        <v>0</v>
      </c>
      <c r="M67" t="str" cm="1">
        <f t="array" ref="M67">getDescripcion(TabDesSalariosReal[[#This Row],[id]],"Descuentos-Pagos","TabPagos",Asistencias!$B$2,Asistencias!$B$3)</f>
        <v/>
      </c>
      <c r="N67" s="309" cm="1">
        <f t="array" ref="N67">IF((TabDesSalariosReal[[#This Row],[Subtotal Real]]+TabDesSalariosReal[[#This Row],[Prima dominical]]+TabDesSalariosReal[[#This Row],[Prima vacacional]]+TabDesSalariosReal[[#This Row],[$ por incpacidad]]+TabDesSalariosReal[[#This Row],[Descuentos]]+TabDesSalariosReal[[#This Row],[Extras]]-TabDesSalariosReal[[#This Row],[Fiscal Real]])&gt;500,AporteComision,0)</f>
        <v>15</v>
      </c>
      <c r="O67" s="276">
        <v>0</v>
      </c>
      <c r="P67" s="188" t="str" cm="1">
        <f t="array" ref="P67">VLOOKUP(TabDesSalariosReal[[#This Row],[id]],TabEmpleados[],COLUMN(TabEmpleados[Banco de pago]),FALSE)</f>
        <v>Santander</v>
      </c>
      <c r="Q67" s="188">
        <f>TabDesSalariosReal[[#This Row],[Subtotal Real]]+TabDesSalariosReal[[#This Row],[Prima dominical]]+TabDesSalariosReal[[#This Row],[Prima vacacional]]+TabDesSalariosReal[[#This Row],[$ por incpacidad]]+TabDesSalariosReal[[#This Row],[Descuentos]]+TabDesSalariosReal[[#This Row],[Aporte por comision]]+TabDesSalariosReal[[#This Row],[Extras]]</f>
        <v>9015</v>
      </c>
      <c r="R67" s="277">
        <f>TabDesSalariosReal[[#This Row],[Total Real]]-TabDesSalariosReal[[#This Row],[Fiscal Real]]</f>
        <v>1941.0017040000002</v>
      </c>
      <c r="S67" s="179" cm="1">
        <f t="array" ref="S67">IFERROR(VLOOKUP(TabDesSalariosReal[[#This Row],[id]],TabDesSalariosFiscal[],COLUMN(TabDesSalariosFiscal[Total Fiscal]),FALSE),0)</f>
        <v>7073.9982959999998</v>
      </c>
      <c r="T67" s="197">
        <f>IFERROR(TabDesSalariosReal[[#This Row],[Persepcion Fiscal]],0)</f>
        <v>7073.9982959999998</v>
      </c>
      <c r="U67" s="55" cm="1">
        <f t="array" ref="U67">IF('Desglose Salarios Fiscal'!$Q$1=1,VLOOKUP(TabDesSalariosReal[[#This Row],[id]],TabEmpleados[],COLUMN(TabEmpleados[SD Real]),FALSE)*TabDesSalariosReal[[#This Row],[Dias de agunaldo Real2]],0)</f>
        <v>4500</v>
      </c>
      <c r="V67" s="173" cm="1">
        <f t="array" ref="V67">IF(YEAR(VLOOKUP(TabDesSalariosReal[[#This Row],[id]],TabEmpleados[],COLUMN(TabEmpleados[Fecha de ingreso]),FALSE))&lt;AñoActual,'Tablas de informacion'!$N$13,_xlfn.DAYS(DATE(AñoActual+1,MONTH(1),DAY(1))-DAY(1),(VLOOKUP(TabDesSalariosReal[[#This Row],[id]],TabEmpleados[],COLUMN(TabEmpleados[Fecha de ingreso]),FALSE))))</f>
        <v>365</v>
      </c>
      <c r="W67" cm="1">
        <f t="array" ref="W67">TabDesSalariosReal[[#This Row],[Dias de aguinaldo Real1]]*VLOOKUP(TabDesSalariosReal[[#This Row],[Años]],TabFactorIntegracion[],COLUMN(TabFactorIntegracion[Días de
aguinaldo]),FALSE)/'Tablas de informacion'!$N$13</f>
        <v>15</v>
      </c>
      <c r="X67" s="141" cm="1">
        <f t="array" ref="X67">TabDesSalariosReal[[#This Row],[Aguinaldo Real]]-IFERROR(VLOOKUP(TabDesSalariosReal[[#This Row],[id]],TabDesSalariosFiscal[],COLUMN(TabDesSalariosFiscal[Aguinaldo Fiscal]),FALSE),0)</f>
        <v>3150</v>
      </c>
    </row>
    <row r="68" spans="1:24" x14ac:dyDescent="0.25">
      <c r="A68" s="176">
        <v>66</v>
      </c>
      <c r="B68" t="str" cm="1">
        <f t="array" ref="B68">VLOOKUP(TabDesSalariosReal[[#This Row],[id]],TabEmpleados[],COLUMN(TabEmpleados[Nombre]),FALSE)</f>
        <v xml:space="preserve">SALINAS CORTES ANGEL GABRIEL </v>
      </c>
      <c r="C68" s="148" cm="1">
        <f t="array" ref="C68">VLOOKUP(TabDesSalariosReal[[#This Row],[id]],TabAsistencias[],COLUMN(TabAsistencias[Total de dias laborados]),FALSE)</f>
        <v>30</v>
      </c>
      <c r="D68" s="179" cm="1">
        <f t="array" ref="D68">(VLOOKUP(TabDesSalariosReal[[#This Row],[id]],TabEmpleados[],COLUMN(TabEmpleados[SD Real]),FALSE))*TabDesSalariosReal[[#This Row],[Dias Lab.]]</f>
        <v>6600</v>
      </c>
      <c r="E68" s="180" cm="1">
        <f t="array" ref="E68">IF(DATEDIF((VLOOKUP(TabDesSalariosReal[[#This Row],[id]],TabEmpleados[],COLUMN(TabEmpleados[Fecha de ingreso]),FALSE)),Asistencias!$B$3,"Y")=0,1,DATEDIF((VLOOKUP(TabDesSalariosReal[[#This Row],[id]],TabEmpleados[],COLUMN(TabEmpleados[Fecha de ingreso]),FALSE)),Asistencias!$B$3,"Y"))</f>
        <v>1</v>
      </c>
      <c r="F68" s="181" cm="1">
        <f t="array" ref="F68">((VLOOKUP(TabDesSalariosReal[[#This Row],[id]],TabEmpleados[],COLUMN(TabEmpleados[SD Real]),FALSE))*(VLOOKUP(TabDesSalariosReal[[#This Row],[Años]],TabFactorIntegracion[],COLUMN(TabFactorIntegracion[% de prima 
vacacional y dominical]),FALSE))*(VLOOKUP(TabDesSalariosReal[[#This Row],[id]],TabAsistencias[],COLUMN(TabAsistencias[Prima dominical]),FALSE)))*(VLOOKUP((VLOOKUP(TabDesSalariosReal[[#This Row],[id]],TabEmpleados[],COLUMN(TabEmpleados[Puesto]),FALSE)),TabPuestos[],COLUMN(TabPuestos[PRIMA DOMINICAL]),FALSE))</f>
        <v>220</v>
      </c>
      <c r="G68" s="182" cm="1">
        <f t="array" ref="G68">(VLOOKUP(TabDesSalariosReal[[#This Row],[id]],TabEmpleados[],COLUMN(TabEmpleados[SD Real]),FALSE))*(VLOOKUP(TabDesSalariosReal[[#This Row],[Años]],TabFactorIntegracion[],COLUMN(TabFactorIntegracion[% de prima 
vacacional y dominical]),FALSE))*((VLOOKUP(TabDesSalariosReal[[#This Row],[id]],TabAsistencias[],COLUMN(TabAsistencias[V]),FALSE)))</f>
        <v>0</v>
      </c>
      <c r="H68" s="148" cm="1">
        <f t="array" ref="H68">VLOOKUP(TabDesSalariosReal[[#This Row],[id]],TabAsistencias[],COLUMN(TabAsistencias[I]),FALSE)</f>
        <v>0</v>
      </c>
      <c r="I68" s="148" cm="1">
        <f t="array" ref="I68">VLOOKUP(TabDesSalariosReal[[#This Row],[id]],TabAsistencias[],COLUMN(TabAsistencias[IG]),FALSE)</f>
        <v>0</v>
      </c>
      <c r="J68" s="191">
        <v>0.4</v>
      </c>
      <c r="K68" s="179" cm="1">
        <f t="array" ref="K68">IF(TabDesSalariosReal[[#This Row],[Dias Incapacidad/General]]&gt;3,((TabDesSalariosReal[[#This Row],[Dias Incapacidad/General]]-3)*((VLOOKUP(TabDesSalariosReal[[#This Row],[id]],TabEmpleados[],COLUMN(TabEmpleados[SD Real]),FALSE)))*TabDesSalariosReal[[#This Row],[% pagado por incapacidad]]),0)</f>
        <v>0</v>
      </c>
      <c r="L68" s="185">
        <f>-1*(SUMIFS(TabPagos[Monto de pago],TabPagos[id],TabDesSalariosReal[[#This Row],[id]],TabPagos[Fecha de pago],"&gt;="&amp;Asistencias!$B$2,TabPagos[Fecha de pago],"&lt;"&amp;Asistencias!$B$3))</f>
        <v>0</v>
      </c>
      <c r="M68" t="str" cm="1">
        <f t="array" ref="M68">getDescripcion(TabDesSalariosReal[[#This Row],[id]],"Descuentos-Pagos","TabPagos",Asistencias!$B$2,Asistencias!$B$3)</f>
        <v/>
      </c>
      <c r="N68" s="309" cm="1">
        <f t="array" ref="N68">IF((TabDesSalariosReal[[#This Row],[Subtotal Real]]+TabDesSalariosReal[[#This Row],[Prima dominical]]+TabDesSalariosReal[[#This Row],[Prima vacacional]]+TabDesSalariosReal[[#This Row],[$ por incpacidad]]+TabDesSalariosReal[[#This Row],[Descuentos]]+TabDesSalariosReal[[#This Row],[Extras]]-TabDesSalariosReal[[#This Row],[Fiscal Real]])&gt;500,AporteComision,0)</f>
        <v>15</v>
      </c>
      <c r="O68" s="276">
        <v>0</v>
      </c>
      <c r="P68" s="188" t="str" cm="1">
        <f t="array" ref="P68">VLOOKUP(TabDesSalariosReal[[#This Row],[id]],TabEmpleados[],COLUMN(TabEmpleados[Banco de pago]),FALSE)</f>
        <v>Santander</v>
      </c>
      <c r="Q68" s="188">
        <f>TabDesSalariosReal[[#This Row],[Subtotal Real]]+TabDesSalariosReal[[#This Row],[Prima dominical]]+TabDesSalariosReal[[#This Row],[Prima vacacional]]+TabDesSalariosReal[[#This Row],[$ por incpacidad]]+TabDesSalariosReal[[#This Row],[Descuentos]]+TabDesSalariosReal[[#This Row],[Aporte por comision]]+TabDesSalariosReal[[#This Row],[Extras]]</f>
        <v>6835</v>
      </c>
      <c r="R68" s="277">
        <f>TabDesSalariosReal[[#This Row],[Total Real]]-TabDesSalariosReal[[#This Row],[Fiscal Real]]</f>
        <v>1402.4009808000001</v>
      </c>
      <c r="S68" s="179" cm="1">
        <f t="array" ref="S68">IFERROR(VLOOKUP(TabDesSalariosReal[[#This Row],[id]],TabDesSalariosFiscal[],COLUMN(TabDesSalariosFiscal[Total Fiscal]),FALSE),0)</f>
        <v>5432.5990191999999</v>
      </c>
      <c r="T68" s="197">
        <f>IFERROR(TabDesSalariosReal[[#This Row],[Persepcion Fiscal]],0)</f>
        <v>5432.5990191999999</v>
      </c>
      <c r="U68" s="55" cm="1">
        <f t="array" ref="U68">IF('Desglose Salarios Fiscal'!$Q$1=1,VLOOKUP(TabDesSalariosReal[[#This Row],[id]],TabEmpleados[],COLUMN(TabEmpleados[SD Real]),FALSE)*TabDesSalariosReal[[#This Row],[Dias de agunaldo Real2]],0)</f>
        <v>3300</v>
      </c>
      <c r="V68" s="173" cm="1">
        <f t="array" ref="V68">IF(YEAR(VLOOKUP(TabDesSalariosReal[[#This Row],[id]],TabEmpleados[],COLUMN(TabEmpleados[Fecha de ingreso]),FALSE))&lt;AñoActual,'Tablas de informacion'!$N$13,_xlfn.DAYS(DATE(AñoActual+1,MONTH(1),DAY(1))-DAY(1),(VLOOKUP(TabDesSalariosReal[[#This Row],[id]],TabEmpleados[],COLUMN(TabEmpleados[Fecha de ingreso]),FALSE))))</f>
        <v>365</v>
      </c>
      <c r="W68" cm="1">
        <f t="array" ref="W68">TabDesSalariosReal[[#This Row],[Dias de aguinaldo Real1]]*VLOOKUP(TabDesSalariosReal[[#This Row],[Años]],TabFactorIntegracion[],COLUMN(TabFactorIntegracion[Días de
aguinaldo]),FALSE)/'Tablas de informacion'!$N$13</f>
        <v>15</v>
      </c>
      <c r="X68" s="141" cm="1">
        <f t="array" ref="X68">TabDesSalariosReal[[#This Row],[Aguinaldo Real]]-IFERROR(VLOOKUP(TabDesSalariosReal[[#This Row],[id]],TabDesSalariosFiscal[],COLUMN(TabDesSalariosFiscal[Aguinaldo Fiscal]),FALSE),0)</f>
        <v>2310</v>
      </c>
    </row>
    <row r="69" spans="1:24" x14ac:dyDescent="0.25">
      <c r="A69" s="176">
        <v>67</v>
      </c>
      <c r="B69" t="str" cm="1">
        <f t="array" ref="B69">VLOOKUP(TabDesSalariosReal[[#This Row],[id]],TabEmpleados[],COLUMN(TabEmpleados[Nombre]),FALSE)</f>
        <v>MORALES JIMENEZ JOSE IGNACIO</v>
      </c>
      <c r="C69" s="148" cm="1">
        <f t="array" ref="C69">VLOOKUP(TabDesSalariosReal[[#This Row],[id]],TabAsistencias[],COLUMN(TabAsistencias[Total de dias laborados]),FALSE)</f>
        <v>30</v>
      </c>
      <c r="D69" s="179" cm="1">
        <f t="array" ref="D69">(VLOOKUP(TabDesSalariosReal[[#This Row],[id]],TabEmpleados[],COLUMN(TabEmpleados[SD Real]),FALSE))*TabDesSalariosReal[[#This Row],[Dias Lab.]]</f>
        <v>6000</v>
      </c>
      <c r="E69" s="180" cm="1">
        <f t="array" ref="E69">IF(DATEDIF((VLOOKUP(TabDesSalariosReal[[#This Row],[id]],TabEmpleados[],COLUMN(TabEmpleados[Fecha de ingreso]),FALSE)),Asistencias!$B$3,"Y")=0,1,DATEDIF((VLOOKUP(TabDesSalariosReal[[#This Row],[id]],TabEmpleados[],COLUMN(TabEmpleados[Fecha de ingreso]),FALSE)),Asistencias!$B$3,"Y"))</f>
        <v>1</v>
      </c>
      <c r="F69" s="181" cm="1">
        <f t="array" ref="F69">((VLOOKUP(TabDesSalariosReal[[#This Row],[id]],TabEmpleados[],COLUMN(TabEmpleados[SD Real]),FALSE))*(VLOOKUP(TabDesSalariosReal[[#This Row],[Años]],TabFactorIntegracion[],COLUMN(TabFactorIntegracion[% de prima 
vacacional y dominical]),FALSE))*(VLOOKUP(TabDesSalariosReal[[#This Row],[id]],TabAsistencias[],COLUMN(TabAsistencias[Prima dominical]),FALSE)))*(VLOOKUP((VLOOKUP(TabDesSalariosReal[[#This Row],[id]],TabEmpleados[],COLUMN(TabEmpleados[Puesto]),FALSE)),TabPuestos[],COLUMN(TabPuestos[PRIMA DOMINICAL]),FALSE))</f>
        <v>200</v>
      </c>
      <c r="G69" s="182" cm="1">
        <f t="array" ref="G69">(VLOOKUP(TabDesSalariosReal[[#This Row],[id]],TabEmpleados[],COLUMN(TabEmpleados[SD Real]),FALSE))*(VLOOKUP(TabDesSalariosReal[[#This Row],[Años]],TabFactorIntegracion[],COLUMN(TabFactorIntegracion[% de prima 
vacacional y dominical]),FALSE))*((VLOOKUP(TabDesSalariosReal[[#This Row],[id]],TabAsistencias[],COLUMN(TabAsistencias[V]),FALSE)))</f>
        <v>0</v>
      </c>
      <c r="H69" s="148" cm="1">
        <f t="array" ref="H69">VLOOKUP(TabDesSalariosReal[[#This Row],[id]],TabAsistencias[],COLUMN(TabAsistencias[I]),FALSE)</f>
        <v>0</v>
      </c>
      <c r="I69" s="148" cm="1">
        <f t="array" ref="I69">VLOOKUP(TabDesSalariosReal[[#This Row],[id]],TabAsistencias[],COLUMN(TabAsistencias[IG]),FALSE)</f>
        <v>0</v>
      </c>
      <c r="J69" s="191">
        <v>0.4</v>
      </c>
      <c r="K69" s="179" cm="1">
        <f t="array" ref="K69">IF(TabDesSalariosReal[[#This Row],[Dias Incapacidad/General]]&gt;3,((TabDesSalariosReal[[#This Row],[Dias Incapacidad/General]]-3)*((VLOOKUP(TabDesSalariosReal[[#This Row],[id]],TabEmpleados[],COLUMN(TabEmpleados[SD Real]),FALSE)))*TabDesSalariosReal[[#This Row],[% pagado por incapacidad]]),0)</f>
        <v>0</v>
      </c>
      <c r="L69" s="185">
        <f>-1*(SUMIFS(TabPagos[Monto de pago],TabPagos[id],TabDesSalariosReal[[#This Row],[id]],TabPagos[Fecha de pago],"&gt;="&amp;Asistencias!$B$2,TabPagos[Fecha de pago],"&lt;"&amp;Asistencias!$B$3))</f>
        <v>0</v>
      </c>
      <c r="M69" t="str" cm="1">
        <f t="array" ref="M69">getDescripcion(TabDesSalariosReal[[#This Row],[id]],"Descuentos-Pagos","TabPagos",Asistencias!$B$2,Asistencias!$B$3)</f>
        <v/>
      </c>
      <c r="N69" s="309" cm="1">
        <f t="array" ref="N69">IF((TabDesSalariosReal[[#This Row],[Subtotal Real]]+TabDesSalariosReal[[#This Row],[Prima dominical]]+TabDesSalariosReal[[#This Row],[Prima vacacional]]+TabDesSalariosReal[[#This Row],[$ por incpacidad]]+TabDesSalariosReal[[#This Row],[Descuentos]]+TabDesSalariosReal[[#This Row],[Extras]]-TabDesSalariosReal[[#This Row],[Fiscal Real]])&gt;500,AporteComision,0)</f>
        <v>15</v>
      </c>
      <c r="O69" s="276">
        <v>0</v>
      </c>
      <c r="P69" s="188" t="str" cm="1">
        <f t="array" ref="P69">VLOOKUP(TabDesSalariosReal[[#This Row],[id]],TabEmpleados[],COLUMN(TabEmpleados[Banco de pago]),FALSE)</f>
        <v>Santander</v>
      </c>
      <c r="Q69" s="188">
        <f>TabDesSalariosReal[[#This Row],[Subtotal Real]]+TabDesSalariosReal[[#This Row],[Prima dominical]]+TabDesSalariosReal[[#This Row],[Prima vacacional]]+TabDesSalariosReal[[#This Row],[$ por incpacidad]]+TabDesSalariosReal[[#This Row],[Descuentos]]+TabDesSalariosReal[[#This Row],[Aporte por comision]]+TabDesSalariosReal[[#This Row],[Extras]]</f>
        <v>6215</v>
      </c>
      <c r="R69" s="277">
        <f>TabDesSalariosReal[[#This Row],[Total Real]]-TabDesSalariosReal[[#This Row],[Fiscal Real]]</f>
        <v>1241.6709350400006</v>
      </c>
      <c r="S69" s="179" cm="1">
        <f t="array" ref="S69">IFERROR(VLOOKUP(TabDesSalariosReal[[#This Row],[id]],TabDesSalariosFiscal[],COLUMN(TabDesSalariosFiscal[Total Fiscal]),FALSE),0)</f>
        <v>4973.3290649599994</v>
      </c>
      <c r="T69" s="197">
        <f>IFERROR(TabDesSalariosReal[[#This Row],[Persepcion Fiscal]],0)</f>
        <v>4973.3290649599994</v>
      </c>
      <c r="U69" s="55" cm="1">
        <f t="array" ref="U69">IF('Desglose Salarios Fiscal'!$Q$1=1,VLOOKUP(TabDesSalariosReal[[#This Row],[id]],TabEmpleados[],COLUMN(TabEmpleados[SD Real]),FALSE)*TabDesSalariosReal[[#This Row],[Dias de agunaldo Real2]],0)</f>
        <v>3000</v>
      </c>
      <c r="V69" s="173" cm="1">
        <f t="array" ref="V69">IF(YEAR(VLOOKUP(TabDesSalariosReal[[#This Row],[id]],TabEmpleados[],COLUMN(TabEmpleados[Fecha de ingreso]),FALSE))&lt;AñoActual,'Tablas de informacion'!$N$13,_xlfn.DAYS(DATE(AñoActual+1,MONTH(1),DAY(1))-DAY(1),(VLOOKUP(TabDesSalariosReal[[#This Row],[id]],TabEmpleados[],COLUMN(TabEmpleados[Fecha de ingreso]),FALSE))))</f>
        <v>365</v>
      </c>
      <c r="W69" cm="1">
        <f t="array" ref="W69">TabDesSalariosReal[[#This Row],[Dias de aguinaldo Real1]]*VLOOKUP(TabDesSalariosReal[[#This Row],[Años]],TabFactorIntegracion[],COLUMN(TabFactorIntegracion[Días de
aguinaldo]),FALSE)/'Tablas de informacion'!$N$13</f>
        <v>15</v>
      </c>
      <c r="X69" s="141" cm="1">
        <f t="array" ref="X69">TabDesSalariosReal[[#This Row],[Aguinaldo Real]]-IFERROR(VLOOKUP(TabDesSalariosReal[[#This Row],[id]],TabDesSalariosFiscal[],COLUMN(TabDesSalariosFiscal[Aguinaldo Fiscal]),FALSE),0)</f>
        <v>2100</v>
      </c>
    </row>
    <row r="70" spans="1:24" x14ac:dyDescent="0.25">
      <c r="A70" s="176">
        <v>68</v>
      </c>
      <c r="B70" t="str" cm="1">
        <f t="array" ref="B70">VLOOKUP(TabDesSalariosReal[[#This Row],[id]],TabEmpleados[],COLUMN(TabEmpleados[Nombre]),FALSE)</f>
        <v>LOPEZ VALENCIA ZOSIMO</v>
      </c>
      <c r="C70" s="148" cm="1">
        <f t="array" ref="C70">VLOOKUP(TabDesSalariosReal[[#This Row],[id]],TabAsistencias[],COLUMN(TabAsistencias[Total de dias laborados]),FALSE)</f>
        <v>30</v>
      </c>
      <c r="D70" s="179" cm="1">
        <f t="array" ref="D70">(VLOOKUP(TabDesSalariosReal[[#This Row],[id]],TabEmpleados[],COLUMN(TabEmpleados[SD Real]),FALSE))*TabDesSalariosReal[[#This Row],[Dias Lab.]]</f>
        <v>6600</v>
      </c>
      <c r="E70" s="180" cm="1">
        <f t="array" ref="E70">IF(DATEDIF((VLOOKUP(TabDesSalariosReal[[#This Row],[id]],TabEmpleados[],COLUMN(TabEmpleados[Fecha de ingreso]),FALSE)),Asistencias!$B$3,"Y")=0,1,DATEDIF((VLOOKUP(TabDesSalariosReal[[#This Row],[id]],TabEmpleados[],COLUMN(TabEmpleados[Fecha de ingreso]),FALSE)),Asistencias!$B$3,"Y"))</f>
        <v>1</v>
      </c>
      <c r="F70" s="181" cm="1">
        <f t="array" ref="F70">((VLOOKUP(TabDesSalariosReal[[#This Row],[id]],TabEmpleados[],COLUMN(TabEmpleados[SD Real]),FALSE))*(VLOOKUP(TabDesSalariosReal[[#This Row],[Años]],TabFactorIntegracion[],COLUMN(TabFactorIntegracion[% de prima 
vacacional y dominical]),FALSE))*(VLOOKUP(TabDesSalariosReal[[#This Row],[id]],TabAsistencias[],COLUMN(TabAsistencias[Prima dominical]),FALSE)))*(VLOOKUP((VLOOKUP(TabDesSalariosReal[[#This Row],[id]],TabEmpleados[],COLUMN(TabEmpleados[Puesto]),FALSE)),TabPuestos[],COLUMN(TabPuestos[PRIMA DOMINICAL]),FALSE))</f>
        <v>220</v>
      </c>
      <c r="G70" s="182" cm="1">
        <f t="array" ref="G70">(VLOOKUP(TabDesSalariosReal[[#This Row],[id]],TabEmpleados[],COLUMN(TabEmpleados[SD Real]),FALSE))*(VLOOKUP(TabDesSalariosReal[[#This Row],[Años]],TabFactorIntegracion[],COLUMN(TabFactorIntegracion[% de prima 
vacacional y dominical]),FALSE))*((VLOOKUP(TabDesSalariosReal[[#This Row],[id]],TabAsistencias[],COLUMN(TabAsistencias[V]),FALSE)))</f>
        <v>0</v>
      </c>
      <c r="H70" s="148" cm="1">
        <f t="array" ref="H70">VLOOKUP(TabDesSalariosReal[[#This Row],[id]],TabAsistencias[],COLUMN(TabAsistencias[I]),FALSE)</f>
        <v>0</v>
      </c>
      <c r="I70" s="148" cm="1">
        <f t="array" ref="I70">VLOOKUP(TabDesSalariosReal[[#This Row],[id]],TabAsistencias[],COLUMN(TabAsistencias[IG]),FALSE)</f>
        <v>0</v>
      </c>
      <c r="J70" s="191">
        <v>0.4</v>
      </c>
      <c r="K70" s="179" cm="1">
        <f t="array" ref="K70">IF(TabDesSalariosReal[[#This Row],[Dias Incapacidad/General]]&gt;3,((TabDesSalariosReal[[#This Row],[Dias Incapacidad/General]]-3)*((VLOOKUP(TabDesSalariosReal[[#This Row],[id]],TabEmpleados[],COLUMN(TabEmpleados[SD Real]),FALSE)))*TabDesSalariosReal[[#This Row],[% pagado por incapacidad]]),0)</f>
        <v>0</v>
      </c>
      <c r="L70" s="185">
        <f>-1*(SUMIFS(TabPagos[Monto de pago],TabPagos[id],TabDesSalariosReal[[#This Row],[id]],TabPagos[Fecha de pago],"&gt;="&amp;Asistencias!$B$2,TabPagos[Fecha de pago],"&lt;"&amp;Asistencias!$B$3))</f>
        <v>0</v>
      </c>
      <c r="M70" t="str" cm="1">
        <f t="array" ref="M70">getDescripcion(TabDesSalariosReal[[#This Row],[id]],"Descuentos-Pagos","TabPagos",Asistencias!$B$2,Asistencias!$B$3)</f>
        <v/>
      </c>
      <c r="N70" s="309" cm="1">
        <f t="array" ref="N70">IF((TabDesSalariosReal[[#This Row],[Subtotal Real]]+TabDesSalariosReal[[#This Row],[Prima dominical]]+TabDesSalariosReal[[#This Row],[Prima vacacional]]+TabDesSalariosReal[[#This Row],[$ por incpacidad]]+TabDesSalariosReal[[#This Row],[Descuentos]]+TabDesSalariosReal[[#This Row],[Extras]]-TabDesSalariosReal[[#This Row],[Fiscal Real]])&gt;500,AporteComision,0)</f>
        <v>15</v>
      </c>
      <c r="O70" s="276">
        <v>0</v>
      </c>
      <c r="P70" s="188" t="str" cm="1">
        <f t="array" ref="P70">VLOOKUP(TabDesSalariosReal[[#This Row],[id]],TabEmpleados[],COLUMN(TabEmpleados[Banco de pago]),FALSE)</f>
        <v>Santander</v>
      </c>
      <c r="Q70" s="188">
        <f>TabDesSalariosReal[[#This Row],[Subtotal Real]]+TabDesSalariosReal[[#This Row],[Prima dominical]]+TabDesSalariosReal[[#This Row],[Prima vacacional]]+TabDesSalariosReal[[#This Row],[$ por incpacidad]]+TabDesSalariosReal[[#This Row],[Descuentos]]+TabDesSalariosReal[[#This Row],[Aporte por comision]]+TabDesSalariosReal[[#This Row],[Extras]]</f>
        <v>6835</v>
      </c>
      <c r="R70" s="277">
        <f>TabDesSalariosReal[[#This Row],[Total Real]]-TabDesSalariosReal[[#This Row],[Fiscal Real]]</f>
        <v>1402.4009808000001</v>
      </c>
      <c r="S70" s="179" cm="1">
        <f t="array" ref="S70">IFERROR(VLOOKUP(TabDesSalariosReal[[#This Row],[id]],TabDesSalariosFiscal[],COLUMN(TabDesSalariosFiscal[Total Fiscal]),FALSE),0)</f>
        <v>5432.5990191999999</v>
      </c>
      <c r="T70" s="197">
        <f>IFERROR(TabDesSalariosReal[[#This Row],[Persepcion Fiscal]],0)</f>
        <v>5432.5990191999999</v>
      </c>
      <c r="U70" s="55" cm="1">
        <f t="array" ref="U70">IF('Desglose Salarios Fiscal'!$Q$1=1,VLOOKUP(TabDesSalariosReal[[#This Row],[id]],TabEmpleados[],COLUMN(TabEmpleados[SD Real]),FALSE)*TabDesSalariosReal[[#This Row],[Dias de agunaldo Real2]],0)</f>
        <v>3300</v>
      </c>
      <c r="V70" s="173" cm="1">
        <f t="array" ref="V70">IF(YEAR(VLOOKUP(TabDesSalariosReal[[#This Row],[id]],TabEmpleados[],COLUMN(TabEmpleados[Fecha de ingreso]),FALSE))&lt;AñoActual,'Tablas de informacion'!$N$13,_xlfn.DAYS(DATE(AñoActual+1,MONTH(1),DAY(1))-DAY(1),(VLOOKUP(TabDesSalariosReal[[#This Row],[id]],TabEmpleados[],COLUMN(TabEmpleados[Fecha de ingreso]),FALSE))))</f>
        <v>365</v>
      </c>
      <c r="W70" cm="1">
        <f t="array" ref="W70">TabDesSalariosReal[[#This Row],[Dias de aguinaldo Real1]]*VLOOKUP(TabDesSalariosReal[[#This Row],[Años]],TabFactorIntegracion[],COLUMN(TabFactorIntegracion[Días de
aguinaldo]),FALSE)/'Tablas de informacion'!$N$13</f>
        <v>15</v>
      </c>
      <c r="X70" s="141" cm="1">
        <f t="array" ref="X70">TabDesSalariosReal[[#This Row],[Aguinaldo Real]]-IFERROR(VLOOKUP(TabDesSalariosReal[[#This Row],[id]],TabDesSalariosFiscal[],COLUMN(TabDesSalariosFiscal[Aguinaldo Fiscal]),FALSE),0)</f>
        <v>2310</v>
      </c>
    </row>
    <row r="71" spans="1:24" x14ac:dyDescent="0.25">
      <c r="A71" s="176">
        <v>69</v>
      </c>
      <c r="B71" t="str" cm="1">
        <f t="array" ref="B71">VLOOKUP(TabDesSalariosReal[[#This Row],[id]],TabEmpleados[],COLUMN(TabEmpleados[Nombre]),FALSE)</f>
        <v xml:space="preserve">RUIZ CRUZ CESAR DANIEL </v>
      </c>
      <c r="C71" s="148" cm="1">
        <f t="array" ref="C71">VLOOKUP(TabDesSalariosReal[[#This Row],[id]],TabAsistencias[],COLUMN(TabAsistencias[Total de dias laborados]),FALSE)</f>
        <v>30</v>
      </c>
      <c r="D71" s="179" cm="1">
        <f t="array" ref="D71">(VLOOKUP(TabDesSalariosReal[[#This Row],[id]],TabEmpleados[],COLUMN(TabEmpleados[SD Real]),FALSE))*TabDesSalariosReal[[#This Row],[Dias Lab.]]</f>
        <v>6000</v>
      </c>
      <c r="E71" s="180" cm="1">
        <f t="array" ref="E71">IF(DATEDIF((VLOOKUP(TabDesSalariosReal[[#This Row],[id]],TabEmpleados[],COLUMN(TabEmpleados[Fecha de ingreso]),FALSE)),Asistencias!$B$3,"Y")=0,1,DATEDIF((VLOOKUP(TabDesSalariosReal[[#This Row],[id]],TabEmpleados[],COLUMN(TabEmpleados[Fecha de ingreso]),FALSE)),Asistencias!$B$3,"Y"))</f>
        <v>1</v>
      </c>
      <c r="F71" s="181" cm="1">
        <f t="array" ref="F71">((VLOOKUP(TabDesSalariosReal[[#This Row],[id]],TabEmpleados[],COLUMN(TabEmpleados[SD Real]),FALSE))*(VLOOKUP(TabDesSalariosReal[[#This Row],[Años]],TabFactorIntegracion[],COLUMN(TabFactorIntegracion[% de prima 
vacacional y dominical]),FALSE))*(VLOOKUP(TabDesSalariosReal[[#This Row],[id]],TabAsistencias[],COLUMN(TabAsistencias[Prima dominical]),FALSE)))*(VLOOKUP((VLOOKUP(TabDesSalariosReal[[#This Row],[id]],TabEmpleados[],COLUMN(TabEmpleados[Puesto]),FALSE)),TabPuestos[],COLUMN(TabPuestos[PRIMA DOMINICAL]),FALSE))</f>
        <v>0</v>
      </c>
      <c r="G71" s="182" cm="1">
        <f t="array" ref="G71">(VLOOKUP(TabDesSalariosReal[[#This Row],[id]],TabEmpleados[],COLUMN(TabEmpleados[SD Real]),FALSE))*(VLOOKUP(TabDesSalariosReal[[#This Row],[Años]],TabFactorIntegracion[],COLUMN(TabFactorIntegracion[% de prima 
vacacional y dominical]),FALSE))*((VLOOKUP(TabDesSalariosReal[[#This Row],[id]],TabAsistencias[],COLUMN(TabAsistencias[V]),FALSE)))</f>
        <v>0</v>
      </c>
      <c r="H71" s="148" cm="1">
        <f t="array" ref="H71">VLOOKUP(TabDesSalariosReal[[#This Row],[id]],TabAsistencias[],COLUMN(TabAsistencias[I]),FALSE)</f>
        <v>0</v>
      </c>
      <c r="I71" s="148" cm="1">
        <f t="array" ref="I71">VLOOKUP(TabDesSalariosReal[[#This Row],[id]],TabAsistencias[],COLUMN(TabAsistencias[IG]),FALSE)</f>
        <v>0</v>
      </c>
      <c r="J71" s="191">
        <v>0.4</v>
      </c>
      <c r="K71" s="179" cm="1">
        <f t="array" ref="K71">IF(TabDesSalariosReal[[#This Row],[Dias Incapacidad/General]]&gt;3,((TabDesSalariosReal[[#This Row],[Dias Incapacidad/General]]-3)*((VLOOKUP(TabDesSalariosReal[[#This Row],[id]],TabEmpleados[],COLUMN(TabEmpleados[SD Real]),FALSE)))*TabDesSalariosReal[[#This Row],[% pagado por incapacidad]]),0)</f>
        <v>0</v>
      </c>
      <c r="L71" s="185">
        <f>-1*(SUMIFS(TabPagos[Monto de pago],TabPagos[id],TabDesSalariosReal[[#This Row],[id]],TabPagos[Fecha de pago],"&gt;="&amp;Asistencias!$B$2,TabPagos[Fecha de pago],"&lt;"&amp;Asistencias!$B$3))</f>
        <v>0</v>
      </c>
      <c r="M71" t="str" cm="1">
        <f t="array" ref="M71">getDescripcion(TabDesSalariosReal[[#This Row],[id]],"Descuentos-Pagos","TabPagos",Asistencias!$B$2,Asistencias!$B$3)</f>
        <v/>
      </c>
      <c r="N71" s="309" cm="1">
        <f t="array" ref="N71">IF((TabDesSalariosReal[[#This Row],[Subtotal Real]]+TabDesSalariosReal[[#This Row],[Prima dominical]]+TabDesSalariosReal[[#This Row],[Prima vacacional]]+TabDesSalariosReal[[#This Row],[$ por incpacidad]]+TabDesSalariosReal[[#This Row],[Descuentos]]+TabDesSalariosReal[[#This Row],[Extras]]-TabDesSalariosReal[[#This Row],[Fiscal Real]])&gt;500,AporteComision,0)</f>
        <v>15</v>
      </c>
      <c r="O71" s="276">
        <v>0</v>
      </c>
      <c r="P71" s="188" t="str" cm="1">
        <f t="array" ref="P71">VLOOKUP(TabDesSalariosReal[[#This Row],[id]],TabEmpleados[],COLUMN(TabEmpleados[Banco de pago]),FALSE)</f>
        <v>Santander</v>
      </c>
      <c r="Q71" s="188">
        <f>TabDesSalariosReal[[#This Row],[Subtotal Real]]+TabDesSalariosReal[[#This Row],[Prima dominical]]+TabDesSalariosReal[[#This Row],[Prima vacacional]]+TabDesSalariosReal[[#This Row],[$ por incpacidad]]+TabDesSalariosReal[[#This Row],[Descuentos]]+TabDesSalariosReal[[#This Row],[Aporte por comision]]+TabDesSalariosReal[[#This Row],[Extras]]</f>
        <v>6015</v>
      </c>
      <c r="R71" s="277">
        <f>TabDesSalariosReal[[#This Row],[Total Real]]-TabDesSalariosReal[[#This Row],[Fiscal Real]]</f>
        <v>1070.8410150400005</v>
      </c>
      <c r="S71" s="179" cm="1">
        <f t="array" ref="S71">IFERROR(VLOOKUP(TabDesSalariosReal[[#This Row],[id]],TabDesSalariosFiscal[],COLUMN(TabDesSalariosFiscal[Total Fiscal]),FALSE),0)</f>
        <v>4944.1589849599995</v>
      </c>
      <c r="T71" s="197">
        <f>IFERROR(TabDesSalariosReal[[#This Row],[Persepcion Fiscal]],0)</f>
        <v>4944.1589849599995</v>
      </c>
      <c r="U71" s="55" cm="1">
        <f t="array" ref="U71">IF('Desglose Salarios Fiscal'!$Q$1=1,VLOOKUP(TabDesSalariosReal[[#This Row],[id]],TabEmpleados[],COLUMN(TabEmpleados[SD Real]),FALSE)*TabDesSalariosReal[[#This Row],[Dias de agunaldo Real2]],0)</f>
        <v>3000</v>
      </c>
      <c r="V71" s="173" cm="1">
        <f t="array" ref="V71">IF(YEAR(VLOOKUP(TabDesSalariosReal[[#This Row],[id]],TabEmpleados[],COLUMN(TabEmpleados[Fecha de ingreso]),FALSE))&lt;AñoActual,'Tablas de informacion'!$N$13,_xlfn.DAYS(DATE(AñoActual+1,MONTH(1),DAY(1))-DAY(1),(VLOOKUP(TabDesSalariosReal[[#This Row],[id]],TabEmpleados[],COLUMN(TabEmpleados[Fecha de ingreso]),FALSE))))</f>
        <v>365</v>
      </c>
      <c r="W71" cm="1">
        <f t="array" ref="W71">TabDesSalariosReal[[#This Row],[Dias de aguinaldo Real1]]*VLOOKUP(TabDesSalariosReal[[#This Row],[Años]],TabFactorIntegracion[],COLUMN(TabFactorIntegracion[Días de
aguinaldo]),FALSE)/'Tablas de informacion'!$N$13</f>
        <v>15</v>
      </c>
      <c r="X71" s="141" cm="1">
        <f t="array" ref="X71">TabDesSalariosReal[[#This Row],[Aguinaldo Real]]-IFERROR(VLOOKUP(TabDesSalariosReal[[#This Row],[id]],TabDesSalariosFiscal[],COLUMN(TabDesSalariosFiscal[Aguinaldo Fiscal]),FALSE),0)</f>
        <v>2100</v>
      </c>
    </row>
    <row r="72" spans="1:24" x14ac:dyDescent="0.25">
      <c r="A72" s="176">
        <v>70</v>
      </c>
      <c r="B72" t="str" cm="1">
        <f t="array" ref="B72">VLOOKUP(TabDesSalariosReal[[#This Row],[id]],TabEmpleados[],COLUMN(TabEmpleados[Nombre]),FALSE)</f>
        <v>GONZALEZ LEYVA ADRIAN EDUARDO</v>
      </c>
      <c r="C72" s="148" cm="1">
        <f t="array" ref="C72">VLOOKUP(TabDesSalariosReal[[#This Row],[id]],TabAsistencias[],COLUMN(TabAsistencias[Total de dias laborados]),FALSE)</f>
        <v>30</v>
      </c>
      <c r="D72" s="179" cm="1">
        <f t="array" ref="D72">(VLOOKUP(TabDesSalariosReal[[#This Row],[id]],TabEmpleados[],COLUMN(TabEmpleados[SD Real]),FALSE))*TabDesSalariosReal[[#This Row],[Dias Lab.]]</f>
        <v>6000</v>
      </c>
      <c r="E72" s="180" cm="1">
        <f t="array" ref="E72">IF(DATEDIF((VLOOKUP(TabDesSalariosReal[[#This Row],[id]],TabEmpleados[],COLUMN(TabEmpleados[Fecha de ingreso]),FALSE)),Asistencias!$B$3,"Y")=0,1,DATEDIF((VLOOKUP(TabDesSalariosReal[[#This Row],[id]],TabEmpleados[],COLUMN(TabEmpleados[Fecha de ingreso]),FALSE)),Asistencias!$B$3,"Y"))</f>
        <v>1</v>
      </c>
      <c r="F72" s="181" cm="1">
        <f t="array" ref="F72">((VLOOKUP(TabDesSalariosReal[[#This Row],[id]],TabEmpleados[],COLUMN(TabEmpleados[SD Real]),FALSE))*(VLOOKUP(TabDesSalariosReal[[#This Row],[Años]],TabFactorIntegracion[],COLUMN(TabFactorIntegracion[% de prima 
vacacional y dominical]),FALSE))*(VLOOKUP(TabDesSalariosReal[[#This Row],[id]],TabAsistencias[],COLUMN(TabAsistencias[Prima dominical]),FALSE)))*(VLOOKUP((VLOOKUP(TabDesSalariosReal[[#This Row],[id]],TabEmpleados[],COLUMN(TabEmpleados[Puesto]),FALSE)),TabPuestos[],COLUMN(TabPuestos[PRIMA DOMINICAL]),FALSE))</f>
        <v>200</v>
      </c>
      <c r="G72" s="182" cm="1">
        <f t="array" ref="G72">(VLOOKUP(TabDesSalariosReal[[#This Row],[id]],TabEmpleados[],COLUMN(TabEmpleados[SD Real]),FALSE))*(VLOOKUP(TabDesSalariosReal[[#This Row],[Años]],TabFactorIntegracion[],COLUMN(TabFactorIntegracion[% de prima 
vacacional y dominical]),FALSE))*((VLOOKUP(TabDesSalariosReal[[#This Row],[id]],TabAsistencias[],COLUMN(TabAsistencias[V]),FALSE)))</f>
        <v>0</v>
      </c>
      <c r="H72" s="148" cm="1">
        <f t="array" ref="H72">VLOOKUP(TabDesSalariosReal[[#This Row],[id]],TabAsistencias[],COLUMN(TabAsistencias[I]),FALSE)</f>
        <v>0</v>
      </c>
      <c r="I72" s="148" cm="1">
        <f t="array" ref="I72">VLOOKUP(TabDesSalariosReal[[#This Row],[id]],TabAsistencias[],COLUMN(TabAsistencias[IG]),FALSE)</f>
        <v>0</v>
      </c>
      <c r="J72" s="191">
        <v>0.4</v>
      </c>
      <c r="K72" s="179" cm="1">
        <f t="array" ref="K72">IF(TabDesSalariosReal[[#This Row],[Dias Incapacidad/General]]&gt;3,((TabDesSalariosReal[[#This Row],[Dias Incapacidad/General]]-3)*((VLOOKUP(TabDesSalariosReal[[#This Row],[id]],TabEmpleados[],COLUMN(TabEmpleados[SD Real]),FALSE)))*TabDesSalariosReal[[#This Row],[% pagado por incapacidad]]),0)</f>
        <v>0</v>
      </c>
      <c r="L72" s="185">
        <f>-1*(SUMIFS(TabPagos[Monto de pago],TabPagos[id],TabDesSalariosReal[[#This Row],[id]],TabPagos[Fecha de pago],"&gt;="&amp;Asistencias!$B$2,TabPagos[Fecha de pago],"&lt;"&amp;Asistencias!$B$3))</f>
        <v>0</v>
      </c>
      <c r="M72" t="str" cm="1">
        <f t="array" ref="M72">getDescripcion(TabDesSalariosReal[[#This Row],[id]],"Descuentos-Pagos","TabPagos",Asistencias!$B$2,Asistencias!$B$3)</f>
        <v/>
      </c>
      <c r="N72" s="309" cm="1">
        <f t="array" ref="N72">IF((TabDesSalariosReal[[#This Row],[Subtotal Real]]+TabDesSalariosReal[[#This Row],[Prima dominical]]+TabDesSalariosReal[[#This Row],[Prima vacacional]]+TabDesSalariosReal[[#This Row],[$ por incpacidad]]+TabDesSalariosReal[[#This Row],[Descuentos]]+TabDesSalariosReal[[#This Row],[Extras]]-TabDesSalariosReal[[#This Row],[Fiscal Real]])&gt;500,AporteComision,0)</f>
        <v>15</v>
      </c>
      <c r="O72" s="276">
        <v>0</v>
      </c>
      <c r="P72" s="188" t="str" cm="1">
        <f t="array" ref="P72">VLOOKUP(TabDesSalariosReal[[#This Row],[id]],TabEmpleados[],COLUMN(TabEmpleados[Banco de pago]),FALSE)</f>
        <v>Santander</v>
      </c>
      <c r="Q72" s="188">
        <f>TabDesSalariosReal[[#This Row],[Subtotal Real]]+TabDesSalariosReal[[#This Row],[Prima dominical]]+TabDesSalariosReal[[#This Row],[Prima vacacional]]+TabDesSalariosReal[[#This Row],[$ por incpacidad]]+TabDesSalariosReal[[#This Row],[Descuentos]]+TabDesSalariosReal[[#This Row],[Aporte por comision]]+TabDesSalariosReal[[#This Row],[Extras]]</f>
        <v>6215</v>
      </c>
      <c r="R72" s="277">
        <f>TabDesSalariosReal[[#This Row],[Total Real]]-TabDesSalariosReal[[#This Row],[Fiscal Real]]</f>
        <v>1241.6709350400006</v>
      </c>
      <c r="S72" s="179" cm="1">
        <f t="array" ref="S72">IFERROR(VLOOKUP(TabDesSalariosReal[[#This Row],[id]],TabDesSalariosFiscal[],COLUMN(TabDesSalariosFiscal[Total Fiscal]),FALSE),0)</f>
        <v>4973.3290649599994</v>
      </c>
      <c r="T72" s="197">
        <f>IFERROR(TabDesSalariosReal[[#This Row],[Persepcion Fiscal]],0)</f>
        <v>4973.3290649599994</v>
      </c>
      <c r="U72" s="55" cm="1">
        <f t="array" ref="U72">IF('Desglose Salarios Fiscal'!$Q$1=1,VLOOKUP(TabDesSalariosReal[[#This Row],[id]],TabEmpleados[],COLUMN(TabEmpleados[SD Real]),FALSE)*TabDesSalariosReal[[#This Row],[Dias de agunaldo Real2]],0)</f>
        <v>3000</v>
      </c>
      <c r="V72" s="173" cm="1">
        <f t="array" ref="V72">IF(YEAR(VLOOKUP(TabDesSalariosReal[[#This Row],[id]],TabEmpleados[],COLUMN(TabEmpleados[Fecha de ingreso]),FALSE))&lt;AñoActual,'Tablas de informacion'!$N$13,_xlfn.DAYS(DATE(AñoActual+1,MONTH(1),DAY(1))-DAY(1),(VLOOKUP(TabDesSalariosReal[[#This Row],[id]],TabEmpleados[],COLUMN(TabEmpleados[Fecha de ingreso]),FALSE))))</f>
        <v>365</v>
      </c>
      <c r="W72" cm="1">
        <f t="array" ref="W72">TabDesSalariosReal[[#This Row],[Dias de aguinaldo Real1]]*VLOOKUP(TabDesSalariosReal[[#This Row],[Años]],TabFactorIntegracion[],COLUMN(TabFactorIntegracion[Días de
aguinaldo]),FALSE)/'Tablas de informacion'!$N$13</f>
        <v>15</v>
      </c>
      <c r="X72" s="141" cm="1">
        <f t="array" ref="X72">TabDesSalariosReal[[#This Row],[Aguinaldo Real]]-IFERROR(VLOOKUP(TabDesSalariosReal[[#This Row],[id]],TabDesSalariosFiscal[],COLUMN(TabDesSalariosFiscal[Aguinaldo Fiscal]),FALSE),0)</f>
        <v>2100</v>
      </c>
    </row>
    <row r="73" spans="1:24" x14ac:dyDescent="0.25">
      <c r="A73" s="176">
        <v>71</v>
      </c>
      <c r="B73" t="str" cm="1">
        <f t="array" ref="B73">VLOOKUP(TabDesSalariosReal[[#This Row],[id]],TabEmpleados[],COLUMN(TabEmpleados[Nombre]),FALSE)</f>
        <v>GARCIA ALONZO ANGEL MARTIN</v>
      </c>
      <c r="C73" s="148" cm="1">
        <f t="array" ref="C73">VLOOKUP(TabDesSalariosReal[[#This Row],[id]],TabAsistencias[],COLUMN(TabAsistencias[Total de dias laborados]),FALSE)</f>
        <v>30</v>
      </c>
      <c r="D73" s="179" cm="1">
        <f t="array" ref="D73">(VLOOKUP(TabDesSalariosReal[[#This Row],[id]],TabEmpleados[],COLUMN(TabEmpleados[SD Real]),FALSE))*TabDesSalariosReal[[#This Row],[Dias Lab.]]</f>
        <v>6000</v>
      </c>
      <c r="E73" s="180" cm="1">
        <f t="array" ref="E73">IF(DATEDIF((VLOOKUP(TabDesSalariosReal[[#This Row],[id]],TabEmpleados[],COLUMN(TabEmpleados[Fecha de ingreso]),FALSE)),Asistencias!$B$3,"Y")=0,1,DATEDIF((VLOOKUP(TabDesSalariosReal[[#This Row],[id]],TabEmpleados[],COLUMN(TabEmpleados[Fecha de ingreso]),FALSE)),Asistencias!$B$3,"Y"))</f>
        <v>1</v>
      </c>
      <c r="F73" s="181" cm="1">
        <f t="array" ref="F73">((VLOOKUP(TabDesSalariosReal[[#This Row],[id]],TabEmpleados[],COLUMN(TabEmpleados[SD Real]),FALSE))*(VLOOKUP(TabDesSalariosReal[[#This Row],[Años]],TabFactorIntegracion[],COLUMN(TabFactorIntegracion[% de prima 
vacacional y dominical]),FALSE))*(VLOOKUP(TabDesSalariosReal[[#This Row],[id]],TabAsistencias[],COLUMN(TabAsistencias[Prima dominical]),FALSE)))*(VLOOKUP((VLOOKUP(TabDesSalariosReal[[#This Row],[id]],TabEmpleados[],COLUMN(TabEmpleados[Puesto]),FALSE)),TabPuestos[],COLUMN(TabPuestos[PRIMA DOMINICAL]),FALSE))</f>
        <v>200</v>
      </c>
      <c r="G73" s="182" cm="1">
        <f t="array" ref="G73">(VLOOKUP(TabDesSalariosReal[[#This Row],[id]],TabEmpleados[],COLUMN(TabEmpleados[SD Real]),FALSE))*(VLOOKUP(TabDesSalariosReal[[#This Row],[Años]],TabFactorIntegracion[],COLUMN(TabFactorIntegracion[% de prima 
vacacional y dominical]),FALSE))*((VLOOKUP(TabDesSalariosReal[[#This Row],[id]],TabAsistencias[],COLUMN(TabAsistencias[V]),FALSE)))</f>
        <v>0</v>
      </c>
      <c r="H73" s="148" cm="1">
        <f t="array" ref="H73">VLOOKUP(TabDesSalariosReal[[#This Row],[id]],TabAsistencias[],COLUMN(TabAsistencias[I]),FALSE)</f>
        <v>0</v>
      </c>
      <c r="I73" s="148" cm="1">
        <f t="array" ref="I73">VLOOKUP(TabDesSalariosReal[[#This Row],[id]],TabAsistencias[],COLUMN(TabAsistencias[IG]),FALSE)</f>
        <v>0</v>
      </c>
      <c r="J73" s="191">
        <v>0.4</v>
      </c>
      <c r="K73" s="179" cm="1">
        <f t="array" ref="K73">IF(TabDesSalariosReal[[#This Row],[Dias Incapacidad/General]]&gt;3,((TabDesSalariosReal[[#This Row],[Dias Incapacidad/General]]-3)*((VLOOKUP(TabDesSalariosReal[[#This Row],[id]],TabEmpleados[],COLUMN(TabEmpleados[SD Real]),FALSE)))*TabDesSalariosReal[[#This Row],[% pagado por incapacidad]]),0)</f>
        <v>0</v>
      </c>
      <c r="L73" s="185">
        <f>-1*(SUMIFS(TabPagos[Monto de pago],TabPagos[id],TabDesSalariosReal[[#This Row],[id]],TabPagos[Fecha de pago],"&gt;="&amp;Asistencias!$B$2,TabPagos[Fecha de pago],"&lt;"&amp;Asistencias!$B$3))</f>
        <v>0</v>
      </c>
      <c r="M73" t="str" cm="1">
        <f t="array" ref="M73">getDescripcion(TabDesSalariosReal[[#This Row],[id]],"Descuentos-Pagos","TabPagos",Asistencias!$B$2,Asistencias!$B$3)</f>
        <v/>
      </c>
      <c r="N73" s="309" cm="1">
        <f t="array" ref="N73">IF((TabDesSalariosReal[[#This Row],[Subtotal Real]]+TabDesSalariosReal[[#This Row],[Prima dominical]]+TabDesSalariosReal[[#This Row],[Prima vacacional]]+TabDesSalariosReal[[#This Row],[$ por incpacidad]]+TabDesSalariosReal[[#This Row],[Descuentos]]+TabDesSalariosReal[[#This Row],[Extras]]-TabDesSalariosReal[[#This Row],[Fiscal Real]])&gt;500,AporteComision,0)</f>
        <v>15</v>
      </c>
      <c r="O73" s="276">
        <v>0</v>
      </c>
      <c r="P73" s="188" t="str" cm="1">
        <f t="array" ref="P73">VLOOKUP(TabDesSalariosReal[[#This Row],[id]],TabEmpleados[],COLUMN(TabEmpleados[Banco de pago]),FALSE)</f>
        <v>Santander</v>
      </c>
      <c r="Q73" s="188">
        <f>TabDesSalariosReal[[#This Row],[Subtotal Real]]+TabDesSalariosReal[[#This Row],[Prima dominical]]+TabDesSalariosReal[[#This Row],[Prima vacacional]]+TabDesSalariosReal[[#This Row],[$ por incpacidad]]+TabDesSalariosReal[[#This Row],[Descuentos]]+TabDesSalariosReal[[#This Row],[Aporte por comision]]+TabDesSalariosReal[[#This Row],[Extras]]</f>
        <v>6215</v>
      </c>
      <c r="R73" s="277">
        <f>TabDesSalariosReal[[#This Row],[Total Real]]-TabDesSalariosReal[[#This Row],[Fiscal Real]]</f>
        <v>1241.6709350400006</v>
      </c>
      <c r="S73" s="179" cm="1">
        <f t="array" ref="S73">IFERROR(VLOOKUP(TabDesSalariosReal[[#This Row],[id]],TabDesSalariosFiscal[],COLUMN(TabDesSalariosFiscal[Total Fiscal]),FALSE),0)</f>
        <v>4973.3290649599994</v>
      </c>
      <c r="T73" s="197">
        <f>IFERROR(TabDesSalariosReal[[#This Row],[Persepcion Fiscal]],0)</f>
        <v>4973.3290649599994</v>
      </c>
      <c r="U73" s="55" cm="1">
        <f t="array" ref="U73">IF('Desglose Salarios Fiscal'!$Q$1=1,VLOOKUP(TabDesSalariosReal[[#This Row],[id]],TabEmpleados[],COLUMN(TabEmpleados[SD Real]),FALSE)*TabDesSalariosReal[[#This Row],[Dias de agunaldo Real2]],0)</f>
        <v>3000</v>
      </c>
      <c r="V73" s="173" cm="1">
        <f t="array" ref="V73">IF(YEAR(VLOOKUP(TabDesSalariosReal[[#This Row],[id]],TabEmpleados[],COLUMN(TabEmpleados[Fecha de ingreso]),FALSE))&lt;AñoActual,'Tablas de informacion'!$N$13,_xlfn.DAYS(DATE(AñoActual+1,MONTH(1),DAY(1))-DAY(1),(VLOOKUP(TabDesSalariosReal[[#This Row],[id]],TabEmpleados[],COLUMN(TabEmpleados[Fecha de ingreso]),FALSE))))</f>
        <v>365</v>
      </c>
      <c r="W73" cm="1">
        <f t="array" ref="W73">TabDesSalariosReal[[#This Row],[Dias de aguinaldo Real1]]*VLOOKUP(TabDesSalariosReal[[#This Row],[Años]],TabFactorIntegracion[],COLUMN(TabFactorIntegracion[Días de
aguinaldo]),FALSE)/'Tablas de informacion'!$N$13</f>
        <v>15</v>
      </c>
      <c r="X73" s="141" cm="1">
        <f t="array" ref="X73">TabDesSalariosReal[[#This Row],[Aguinaldo Real]]-IFERROR(VLOOKUP(TabDesSalariosReal[[#This Row],[id]],TabDesSalariosFiscal[],COLUMN(TabDesSalariosFiscal[Aguinaldo Fiscal]),FALSE),0)</f>
        <v>2100</v>
      </c>
    </row>
    <row r="74" spans="1:24" x14ac:dyDescent="0.25">
      <c r="A74" s="176">
        <v>72</v>
      </c>
      <c r="B74" t="str" cm="1">
        <f t="array" ref="B74">VLOOKUP(TabDesSalariosReal[[#This Row],[id]],TabEmpleados[],COLUMN(TabEmpleados[Nombre]),FALSE)</f>
        <v>JIMENEZ GODINEZ GABRIELA</v>
      </c>
      <c r="C74" s="148" cm="1">
        <f t="array" ref="C74">VLOOKUP(TabDesSalariosReal[[#This Row],[id]],TabAsistencias[],COLUMN(TabAsistencias[Total de dias laborados]),FALSE)</f>
        <v>30</v>
      </c>
      <c r="D74" s="179" cm="1">
        <f t="array" ref="D74">(VLOOKUP(TabDesSalariosReal[[#This Row],[id]],TabEmpleados[],COLUMN(TabEmpleados[SD Real]),FALSE))*TabDesSalariosReal[[#This Row],[Dias Lab.]]</f>
        <v>9000</v>
      </c>
      <c r="E74" s="180" cm="1">
        <f t="array" ref="E74">IF(DATEDIF((VLOOKUP(TabDesSalariosReal[[#This Row],[id]],TabEmpleados[],COLUMN(TabEmpleados[Fecha de ingreso]),FALSE)),Asistencias!$B$3,"Y")=0,1,DATEDIF((VLOOKUP(TabDesSalariosReal[[#This Row],[id]],TabEmpleados[],COLUMN(TabEmpleados[Fecha de ingreso]),FALSE)),Asistencias!$B$3,"Y"))</f>
        <v>1</v>
      </c>
      <c r="F74" s="181" cm="1">
        <f t="array" ref="F74">((VLOOKUP(TabDesSalariosReal[[#This Row],[id]],TabEmpleados[],COLUMN(TabEmpleados[SD Real]),FALSE))*(VLOOKUP(TabDesSalariosReal[[#This Row],[Años]],TabFactorIntegracion[],COLUMN(TabFactorIntegracion[% de prima 
vacacional y dominical]),FALSE))*(VLOOKUP(TabDesSalariosReal[[#This Row],[id]],TabAsistencias[],COLUMN(TabAsistencias[Prima dominical]),FALSE)))*(VLOOKUP((VLOOKUP(TabDesSalariosReal[[#This Row],[id]],TabEmpleados[],COLUMN(TabEmpleados[Puesto]),FALSE)),TabPuestos[],COLUMN(TabPuestos[PRIMA DOMINICAL]),FALSE))</f>
        <v>300</v>
      </c>
      <c r="G74" s="182" cm="1">
        <f t="array" ref="G74">(VLOOKUP(TabDesSalariosReal[[#This Row],[id]],TabEmpleados[],COLUMN(TabEmpleados[SD Real]),FALSE))*(VLOOKUP(TabDesSalariosReal[[#This Row],[Años]],TabFactorIntegracion[],COLUMN(TabFactorIntegracion[% de prima 
vacacional y dominical]),FALSE))*((VLOOKUP(TabDesSalariosReal[[#This Row],[id]],TabAsistencias[],COLUMN(TabAsistencias[V]),FALSE)))</f>
        <v>0</v>
      </c>
      <c r="H74" s="148" cm="1">
        <f t="array" ref="H74">VLOOKUP(TabDesSalariosReal[[#This Row],[id]],TabAsistencias[],COLUMN(TabAsistencias[I]),FALSE)</f>
        <v>0</v>
      </c>
      <c r="I74" s="148" cm="1">
        <f t="array" ref="I74">VLOOKUP(TabDesSalariosReal[[#This Row],[id]],TabAsistencias[],COLUMN(TabAsistencias[IG]),FALSE)</f>
        <v>0</v>
      </c>
      <c r="J74" s="191">
        <v>0.4</v>
      </c>
      <c r="K74" s="179" cm="1">
        <f t="array" ref="K74">IF(TabDesSalariosReal[[#This Row],[Dias Incapacidad/General]]&gt;3,((TabDesSalariosReal[[#This Row],[Dias Incapacidad/General]]-3)*((VLOOKUP(TabDesSalariosReal[[#This Row],[id]],TabEmpleados[],COLUMN(TabEmpleados[SD Real]),FALSE)))*TabDesSalariosReal[[#This Row],[% pagado por incapacidad]]),0)</f>
        <v>0</v>
      </c>
      <c r="L74" s="185">
        <f>-1*(SUMIFS(TabPagos[Monto de pago],TabPagos[id],TabDesSalariosReal[[#This Row],[id]],TabPagos[Fecha de pago],"&gt;="&amp;Asistencias!$B$2,TabPagos[Fecha de pago],"&lt;"&amp;Asistencias!$B$3))</f>
        <v>0</v>
      </c>
      <c r="M74" t="str" cm="1">
        <f t="array" ref="M74">getDescripcion(TabDesSalariosReal[[#This Row],[id]],"Descuentos-Pagos","TabPagos",Asistencias!$B$2,Asistencias!$B$3)</f>
        <v/>
      </c>
      <c r="N74" s="309" cm="1">
        <f t="array" ref="N74">IF((TabDesSalariosReal[[#This Row],[Subtotal Real]]+TabDesSalariosReal[[#This Row],[Prima dominical]]+TabDesSalariosReal[[#This Row],[Prima vacacional]]+TabDesSalariosReal[[#This Row],[$ por incpacidad]]+TabDesSalariosReal[[#This Row],[Descuentos]]+TabDesSalariosReal[[#This Row],[Extras]]-TabDesSalariosReal[[#This Row],[Fiscal Real]])&gt;500,AporteComision,0)</f>
        <v>15</v>
      </c>
      <c r="O74" s="276">
        <v>0</v>
      </c>
      <c r="P74" s="188" t="str" cm="1">
        <f t="array" ref="P74">VLOOKUP(TabDesSalariosReal[[#This Row],[id]],TabEmpleados[],COLUMN(TabEmpleados[Banco de pago]),FALSE)</f>
        <v>Santander</v>
      </c>
      <c r="Q74" s="188">
        <f>TabDesSalariosReal[[#This Row],[Subtotal Real]]+TabDesSalariosReal[[#This Row],[Prima dominical]]+TabDesSalariosReal[[#This Row],[Prima vacacional]]+TabDesSalariosReal[[#This Row],[$ por incpacidad]]+TabDesSalariosReal[[#This Row],[Descuentos]]+TabDesSalariosReal[[#This Row],[Aporte por comision]]+TabDesSalariosReal[[#This Row],[Extras]]</f>
        <v>9315</v>
      </c>
      <c r="R74" s="277">
        <f>TabDesSalariosReal[[#This Row],[Total Real]]-TabDesSalariosReal[[#This Row],[Fiscal Real]]</f>
        <v>2113.6697083199997</v>
      </c>
      <c r="S74" s="179" cm="1">
        <f t="array" ref="S74">IFERROR(VLOOKUP(TabDesSalariosReal[[#This Row],[id]],TabDesSalariosFiscal[],COLUMN(TabDesSalariosFiscal[Total Fiscal]),FALSE),0)</f>
        <v>7201.3302916800003</v>
      </c>
      <c r="T74" s="197">
        <f>IFERROR(TabDesSalariosReal[[#This Row],[Persepcion Fiscal]],0)</f>
        <v>7201.3302916800003</v>
      </c>
      <c r="U74" s="55" cm="1">
        <f t="array" ref="U74">IF('Desglose Salarios Fiscal'!$Q$1=1,VLOOKUP(TabDesSalariosReal[[#This Row],[id]],TabEmpleados[],COLUMN(TabEmpleados[SD Real]),FALSE)*TabDesSalariosReal[[#This Row],[Dias de agunaldo Real2]],0)</f>
        <v>4500</v>
      </c>
      <c r="V74" s="173" cm="1">
        <f t="array" ref="V74">IF(YEAR(VLOOKUP(TabDesSalariosReal[[#This Row],[id]],TabEmpleados[],COLUMN(TabEmpleados[Fecha de ingreso]),FALSE))&lt;AñoActual,'Tablas de informacion'!$N$13,_xlfn.DAYS(DATE(AñoActual+1,MONTH(1),DAY(1))-DAY(1),(VLOOKUP(TabDesSalariosReal[[#This Row],[id]],TabEmpleados[],COLUMN(TabEmpleados[Fecha de ingreso]),FALSE))))</f>
        <v>365</v>
      </c>
      <c r="W74" cm="1">
        <f t="array" ref="W74">TabDesSalariosReal[[#This Row],[Dias de aguinaldo Real1]]*VLOOKUP(TabDesSalariosReal[[#This Row],[Años]],TabFactorIntegracion[],COLUMN(TabFactorIntegracion[Días de
aguinaldo]),FALSE)/'Tablas de informacion'!$N$13</f>
        <v>15</v>
      </c>
      <c r="X74" s="141" cm="1">
        <f t="array" ref="X74">TabDesSalariosReal[[#This Row],[Aguinaldo Real]]-IFERROR(VLOOKUP(TabDesSalariosReal[[#This Row],[id]],TabDesSalariosFiscal[],COLUMN(TabDesSalariosFiscal[Aguinaldo Fiscal]),FALSE),0)</f>
        <v>3150</v>
      </c>
    </row>
    <row r="75" spans="1:24" x14ac:dyDescent="0.25">
      <c r="A75" s="176">
        <v>73</v>
      </c>
      <c r="B75" t="str" cm="1">
        <f t="array" ref="B75">VLOOKUP(TabDesSalariosReal[[#This Row],[id]],TabEmpleados[],COLUMN(TabEmpleados[Nombre]),FALSE)</f>
        <v>CORTES SILVA MONICA</v>
      </c>
      <c r="C75" s="148" cm="1">
        <f t="array" ref="C75">VLOOKUP(TabDesSalariosReal[[#This Row],[id]],TabAsistencias[],COLUMN(TabAsistencias[Total de dias laborados]),FALSE)</f>
        <v>30</v>
      </c>
      <c r="D75" s="179" cm="1">
        <f t="array" ref="D75">(VLOOKUP(TabDesSalariosReal[[#This Row],[id]],TabEmpleados[],COLUMN(TabEmpleados[SD Real]),FALSE))*TabDesSalariosReal[[#This Row],[Dias Lab.]]</f>
        <v>9000</v>
      </c>
      <c r="E75" s="180" cm="1">
        <f t="array" ref="E75">IF(DATEDIF((VLOOKUP(TabDesSalariosReal[[#This Row],[id]],TabEmpleados[],COLUMN(TabEmpleados[Fecha de ingreso]),FALSE)),Asistencias!$B$3,"Y")=0,1,DATEDIF((VLOOKUP(TabDesSalariosReal[[#This Row],[id]],TabEmpleados[],COLUMN(TabEmpleados[Fecha de ingreso]),FALSE)),Asistencias!$B$3,"Y"))</f>
        <v>1</v>
      </c>
      <c r="F75" s="181" cm="1">
        <f t="array" ref="F75">((VLOOKUP(TabDesSalariosReal[[#This Row],[id]],TabEmpleados[],COLUMN(TabEmpleados[SD Real]),FALSE))*(VLOOKUP(TabDesSalariosReal[[#This Row],[Años]],TabFactorIntegracion[],COLUMN(TabFactorIntegracion[% de prima 
vacacional y dominical]),FALSE))*(VLOOKUP(TabDesSalariosReal[[#This Row],[id]],TabAsistencias[],COLUMN(TabAsistencias[Prima dominical]),FALSE)))*(VLOOKUP((VLOOKUP(TabDesSalariosReal[[#This Row],[id]],TabEmpleados[],COLUMN(TabEmpleados[Puesto]),FALSE)),TabPuestos[],COLUMN(TabPuestos[PRIMA DOMINICAL]),FALSE))</f>
        <v>300</v>
      </c>
      <c r="G75" s="182" cm="1">
        <f t="array" ref="G75">(VLOOKUP(TabDesSalariosReal[[#This Row],[id]],TabEmpleados[],COLUMN(TabEmpleados[SD Real]),FALSE))*(VLOOKUP(TabDesSalariosReal[[#This Row],[Años]],TabFactorIntegracion[],COLUMN(TabFactorIntegracion[% de prima 
vacacional y dominical]),FALSE))*((VLOOKUP(TabDesSalariosReal[[#This Row],[id]],TabAsistencias[],COLUMN(TabAsistencias[V]),FALSE)))</f>
        <v>0</v>
      </c>
      <c r="H75" s="148" cm="1">
        <f t="array" ref="H75">VLOOKUP(TabDesSalariosReal[[#This Row],[id]],TabAsistencias[],COLUMN(TabAsistencias[I]),FALSE)</f>
        <v>0</v>
      </c>
      <c r="I75" s="148" cm="1">
        <f t="array" ref="I75">VLOOKUP(TabDesSalariosReal[[#This Row],[id]],TabAsistencias[],COLUMN(TabAsistencias[IG]),FALSE)</f>
        <v>0</v>
      </c>
      <c r="J75" s="191">
        <v>0.4</v>
      </c>
      <c r="K75" s="179" cm="1">
        <f t="array" ref="K75">IF(TabDesSalariosReal[[#This Row],[Dias Incapacidad/General]]&gt;3,((TabDesSalariosReal[[#This Row],[Dias Incapacidad/General]]-3)*((VLOOKUP(TabDesSalariosReal[[#This Row],[id]],TabEmpleados[],COLUMN(TabEmpleados[SD Real]),FALSE)))*TabDesSalariosReal[[#This Row],[% pagado por incapacidad]]),0)</f>
        <v>0</v>
      </c>
      <c r="L75" s="185">
        <f>-1*(SUMIFS(TabPagos[Monto de pago],TabPagos[id],TabDesSalariosReal[[#This Row],[id]],TabPagos[Fecha de pago],"&gt;="&amp;Asistencias!$B$2,TabPagos[Fecha de pago],"&lt;"&amp;Asistencias!$B$3))</f>
        <v>0</v>
      </c>
      <c r="M75" t="str" cm="1">
        <f t="array" ref="M75">getDescripcion(TabDesSalariosReal[[#This Row],[id]],"Descuentos-Pagos","TabPagos",Asistencias!$B$2,Asistencias!$B$3)</f>
        <v/>
      </c>
      <c r="N75" s="309" cm="1">
        <f t="array" ref="N75">IF((TabDesSalariosReal[[#This Row],[Subtotal Real]]+TabDesSalariosReal[[#This Row],[Prima dominical]]+TabDesSalariosReal[[#This Row],[Prima vacacional]]+TabDesSalariosReal[[#This Row],[$ por incpacidad]]+TabDesSalariosReal[[#This Row],[Descuentos]]+TabDesSalariosReal[[#This Row],[Extras]]-TabDesSalariosReal[[#This Row],[Fiscal Real]])&gt;500,AporteComision,0)</f>
        <v>15</v>
      </c>
      <c r="O75" s="276">
        <v>0</v>
      </c>
      <c r="P75" s="188" t="str" cm="1">
        <f t="array" ref="P75">VLOOKUP(TabDesSalariosReal[[#This Row],[id]],TabEmpleados[],COLUMN(TabEmpleados[Banco de pago]),FALSE)</f>
        <v>Banorte</v>
      </c>
      <c r="Q75" s="188">
        <f>TabDesSalariosReal[[#This Row],[Subtotal Real]]+TabDesSalariosReal[[#This Row],[Prima dominical]]+TabDesSalariosReal[[#This Row],[Prima vacacional]]+TabDesSalariosReal[[#This Row],[$ por incpacidad]]+TabDesSalariosReal[[#This Row],[Descuentos]]+TabDesSalariosReal[[#This Row],[Aporte por comision]]+TabDesSalariosReal[[#This Row],[Extras]]</f>
        <v>9315</v>
      </c>
      <c r="R75" s="277">
        <f>TabDesSalariosReal[[#This Row],[Total Real]]-TabDesSalariosReal[[#This Row],[Fiscal Real]]</f>
        <v>2113.6697083199997</v>
      </c>
      <c r="S75" s="179" cm="1">
        <f t="array" ref="S75">IFERROR(VLOOKUP(TabDesSalariosReal[[#This Row],[id]],TabDesSalariosFiscal[],COLUMN(TabDesSalariosFiscal[Total Fiscal]),FALSE),0)</f>
        <v>7201.3302916800003</v>
      </c>
      <c r="T75" s="197">
        <f>IFERROR(TabDesSalariosReal[[#This Row],[Persepcion Fiscal]],0)</f>
        <v>7201.3302916800003</v>
      </c>
      <c r="U75" s="55" cm="1">
        <f t="array" ref="U75">IF('Desglose Salarios Fiscal'!$Q$1=1,VLOOKUP(TabDesSalariosReal[[#This Row],[id]],TabEmpleados[],COLUMN(TabEmpleados[SD Real]),FALSE)*TabDesSalariosReal[[#This Row],[Dias de agunaldo Real2]],0)</f>
        <v>4500</v>
      </c>
      <c r="V75" s="173" cm="1">
        <f t="array" ref="V75">IF(YEAR(VLOOKUP(TabDesSalariosReal[[#This Row],[id]],TabEmpleados[],COLUMN(TabEmpleados[Fecha de ingreso]),FALSE))&lt;AñoActual,'Tablas de informacion'!$N$13,_xlfn.DAYS(DATE(AñoActual+1,MONTH(1),DAY(1))-DAY(1),(VLOOKUP(TabDesSalariosReal[[#This Row],[id]],TabEmpleados[],COLUMN(TabEmpleados[Fecha de ingreso]),FALSE))))</f>
        <v>365</v>
      </c>
      <c r="W75" cm="1">
        <f t="array" ref="W75">TabDesSalariosReal[[#This Row],[Dias de aguinaldo Real1]]*VLOOKUP(TabDesSalariosReal[[#This Row],[Años]],TabFactorIntegracion[],COLUMN(TabFactorIntegracion[Días de
aguinaldo]),FALSE)/'Tablas de informacion'!$N$13</f>
        <v>15</v>
      </c>
      <c r="X75" s="141" cm="1">
        <f t="array" ref="X75">TabDesSalariosReal[[#This Row],[Aguinaldo Real]]-IFERROR(VLOOKUP(TabDesSalariosReal[[#This Row],[id]],TabDesSalariosFiscal[],COLUMN(TabDesSalariosFiscal[Aguinaldo Fiscal]),FALSE),0)</f>
        <v>3150</v>
      </c>
    </row>
    <row r="76" spans="1:24" x14ac:dyDescent="0.25">
      <c r="A76" s="176">
        <v>74</v>
      </c>
      <c r="B76" t="str" cm="1">
        <f t="array" ref="B76">VLOOKUP(TabDesSalariosReal[[#This Row],[id]],TabEmpleados[],COLUMN(TabEmpleados[Nombre]),FALSE)</f>
        <v>SAMARIO PEREZ JESUS FELIPE</v>
      </c>
      <c r="C76" s="148" cm="1">
        <f t="array" ref="C76">VLOOKUP(TabDesSalariosReal[[#This Row],[id]],TabAsistencias[],COLUMN(TabAsistencias[Total de dias laborados]),FALSE)</f>
        <v>30</v>
      </c>
      <c r="D76" s="179" cm="1">
        <f t="array" ref="D76">(VLOOKUP(TabDesSalariosReal[[#This Row],[id]],TabEmpleados[],COLUMN(TabEmpleados[SD Real]),FALSE))*TabDesSalariosReal[[#This Row],[Dias Lab.]]</f>
        <v>6000</v>
      </c>
      <c r="E76" s="180" cm="1">
        <f t="array" ref="E76">IF(DATEDIF((VLOOKUP(TabDesSalariosReal[[#This Row],[id]],TabEmpleados[],COLUMN(TabEmpleados[Fecha de ingreso]),FALSE)),Asistencias!$B$3,"Y")=0,1,DATEDIF((VLOOKUP(TabDesSalariosReal[[#This Row],[id]],TabEmpleados[],COLUMN(TabEmpleados[Fecha de ingreso]),FALSE)),Asistencias!$B$3,"Y"))</f>
        <v>1</v>
      </c>
      <c r="F76" s="181" cm="1">
        <f t="array" ref="F76">((VLOOKUP(TabDesSalariosReal[[#This Row],[id]],TabEmpleados[],COLUMN(TabEmpleados[SD Real]),FALSE))*(VLOOKUP(TabDesSalariosReal[[#This Row],[Años]],TabFactorIntegracion[],COLUMN(TabFactorIntegracion[% de prima 
vacacional y dominical]),FALSE))*(VLOOKUP(TabDesSalariosReal[[#This Row],[id]],TabAsistencias[],COLUMN(TabAsistencias[Prima dominical]),FALSE)))*(VLOOKUP((VLOOKUP(TabDesSalariosReal[[#This Row],[id]],TabEmpleados[],COLUMN(TabEmpleados[Puesto]),FALSE)),TabPuestos[],COLUMN(TabPuestos[PRIMA DOMINICAL]),FALSE))</f>
        <v>200</v>
      </c>
      <c r="G76" s="182" cm="1">
        <f t="array" ref="G76">(VLOOKUP(TabDesSalariosReal[[#This Row],[id]],TabEmpleados[],COLUMN(TabEmpleados[SD Real]),FALSE))*(VLOOKUP(TabDesSalariosReal[[#This Row],[Años]],TabFactorIntegracion[],COLUMN(TabFactorIntegracion[% de prima 
vacacional y dominical]),FALSE))*((VLOOKUP(TabDesSalariosReal[[#This Row],[id]],TabAsistencias[],COLUMN(TabAsistencias[V]),FALSE)))</f>
        <v>0</v>
      </c>
      <c r="H76" s="148" cm="1">
        <f t="array" ref="H76">VLOOKUP(TabDesSalariosReal[[#This Row],[id]],TabAsistencias[],COLUMN(TabAsistencias[I]),FALSE)</f>
        <v>0</v>
      </c>
      <c r="I76" s="148" cm="1">
        <f t="array" ref="I76">VLOOKUP(TabDesSalariosReal[[#This Row],[id]],TabAsistencias[],COLUMN(TabAsistencias[IG]),FALSE)</f>
        <v>0</v>
      </c>
      <c r="J76" s="191">
        <v>0.4</v>
      </c>
      <c r="K76" s="179" cm="1">
        <f t="array" ref="K76">IF(TabDesSalariosReal[[#This Row],[Dias Incapacidad/General]]&gt;3,((TabDesSalariosReal[[#This Row],[Dias Incapacidad/General]]-3)*((VLOOKUP(TabDesSalariosReal[[#This Row],[id]],TabEmpleados[],COLUMN(TabEmpleados[SD Real]),FALSE)))*TabDesSalariosReal[[#This Row],[% pagado por incapacidad]]),0)</f>
        <v>0</v>
      </c>
      <c r="L76" s="185">
        <f>-1*(SUMIFS(TabPagos[Monto de pago],TabPagos[id],TabDesSalariosReal[[#This Row],[id]],TabPagos[Fecha de pago],"&gt;="&amp;Asistencias!$B$2,TabPagos[Fecha de pago],"&lt;"&amp;Asistencias!$B$3))</f>
        <v>0</v>
      </c>
      <c r="M76" t="str" cm="1">
        <f t="array" ref="M76">getDescripcion(TabDesSalariosReal[[#This Row],[id]],"Descuentos-Pagos","TabPagos",Asistencias!$B$2,Asistencias!$B$3)</f>
        <v/>
      </c>
      <c r="N76" s="309" cm="1">
        <f t="array" ref="N76">IF((TabDesSalariosReal[[#This Row],[Subtotal Real]]+TabDesSalariosReal[[#This Row],[Prima dominical]]+TabDesSalariosReal[[#This Row],[Prima vacacional]]+TabDesSalariosReal[[#This Row],[$ por incpacidad]]+TabDesSalariosReal[[#This Row],[Descuentos]]+TabDesSalariosReal[[#This Row],[Extras]]-TabDesSalariosReal[[#This Row],[Fiscal Real]])&gt;500,AporteComision,0)</f>
        <v>15</v>
      </c>
      <c r="O76" s="276">
        <v>0</v>
      </c>
      <c r="P76" s="188" t="str" cm="1">
        <f t="array" ref="P76">VLOOKUP(TabDesSalariosReal[[#This Row],[id]],TabEmpleados[],COLUMN(TabEmpleados[Banco de pago]),FALSE)</f>
        <v>Santander</v>
      </c>
      <c r="Q76" s="188">
        <f>TabDesSalariosReal[[#This Row],[Subtotal Real]]+TabDesSalariosReal[[#This Row],[Prima dominical]]+TabDesSalariosReal[[#This Row],[Prima vacacional]]+TabDesSalariosReal[[#This Row],[$ por incpacidad]]+TabDesSalariosReal[[#This Row],[Descuentos]]+TabDesSalariosReal[[#This Row],[Aporte por comision]]+TabDesSalariosReal[[#This Row],[Extras]]</f>
        <v>6215</v>
      </c>
      <c r="R76" s="277">
        <f>TabDesSalariosReal[[#This Row],[Total Real]]-TabDesSalariosReal[[#This Row],[Fiscal Real]]</f>
        <v>1241.6709350400006</v>
      </c>
      <c r="S76" s="179" cm="1">
        <f t="array" ref="S76">IFERROR(VLOOKUP(TabDesSalariosReal[[#This Row],[id]],TabDesSalariosFiscal[],COLUMN(TabDesSalariosFiscal[Total Fiscal]),FALSE),0)</f>
        <v>4973.3290649599994</v>
      </c>
      <c r="T76" s="197">
        <f>IFERROR(TabDesSalariosReal[[#This Row],[Persepcion Fiscal]],0)</f>
        <v>4973.3290649599994</v>
      </c>
      <c r="U76" s="55" cm="1">
        <f t="array" ref="U76">IF('Desglose Salarios Fiscal'!$Q$1=1,VLOOKUP(TabDesSalariosReal[[#This Row],[id]],TabEmpleados[],COLUMN(TabEmpleados[SD Real]),FALSE)*TabDesSalariosReal[[#This Row],[Dias de agunaldo Real2]],0)</f>
        <v>3000</v>
      </c>
      <c r="V76" s="173" cm="1">
        <f t="array" ref="V76">IF(YEAR(VLOOKUP(TabDesSalariosReal[[#This Row],[id]],TabEmpleados[],COLUMN(TabEmpleados[Fecha de ingreso]),FALSE))&lt;AñoActual,'Tablas de informacion'!$N$13,_xlfn.DAYS(DATE(AñoActual+1,MONTH(1),DAY(1))-DAY(1),(VLOOKUP(TabDesSalariosReal[[#This Row],[id]],TabEmpleados[],COLUMN(TabEmpleados[Fecha de ingreso]),FALSE))))</f>
        <v>365</v>
      </c>
      <c r="W76" cm="1">
        <f t="array" ref="W76">TabDesSalariosReal[[#This Row],[Dias de aguinaldo Real1]]*VLOOKUP(TabDesSalariosReal[[#This Row],[Años]],TabFactorIntegracion[],COLUMN(TabFactorIntegracion[Días de
aguinaldo]),FALSE)/'Tablas de informacion'!$N$13</f>
        <v>15</v>
      </c>
      <c r="X76" s="141" cm="1">
        <f t="array" ref="X76">TabDesSalariosReal[[#This Row],[Aguinaldo Real]]-IFERROR(VLOOKUP(TabDesSalariosReal[[#This Row],[id]],TabDesSalariosFiscal[],COLUMN(TabDesSalariosFiscal[Aguinaldo Fiscal]),FALSE),0)</f>
        <v>2100</v>
      </c>
    </row>
    <row r="77" spans="1:24" ht="15.75" thickBot="1" x14ac:dyDescent="0.3">
      <c r="A77" s="177">
        <v>75</v>
      </c>
      <c r="B77" t="str" cm="1">
        <f t="array" ref="B77">VLOOKUP(TabDesSalariosReal[[#This Row],[id]],TabEmpleados[],COLUMN(TabEmpleados[Nombre]),FALSE)</f>
        <v xml:space="preserve">RUIZ MIJANGOS ISABEL </v>
      </c>
      <c r="C77" s="148" cm="1">
        <f t="array" ref="C77">VLOOKUP(TabDesSalariosReal[[#This Row],[id]],TabAsistencias[],COLUMN(TabAsistencias[Total de dias laborados]),FALSE)</f>
        <v>30</v>
      </c>
      <c r="D77" s="179" cm="1">
        <f t="array" ref="D77">(VLOOKUP(TabDesSalariosReal[[#This Row],[id]],TabEmpleados[],COLUMN(TabEmpleados[SD Real]),FALSE))*TabDesSalariosReal[[#This Row],[Dias Lab.]]</f>
        <v>13500</v>
      </c>
      <c r="E77" s="180" cm="1">
        <f t="array" ref="E77">IF(DATEDIF((VLOOKUP(TabDesSalariosReal[[#This Row],[id]],TabEmpleados[],COLUMN(TabEmpleados[Fecha de ingreso]),FALSE)),Asistencias!$B$3,"Y")=0,1,DATEDIF((VLOOKUP(TabDesSalariosReal[[#This Row],[id]],TabEmpleados[],COLUMN(TabEmpleados[Fecha de ingreso]),FALSE)),Asistencias!$B$3,"Y"))</f>
        <v>1</v>
      </c>
      <c r="F77" s="181" cm="1">
        <f t="array" ref="F77">((VLOOKUP(TabDesSalariosReal[[#This Row],[id]],TabEmpleados[],COLUMN(TabEmpleados[SD Real]),FALSE))*(VLOOKUP(TabDesSalariosReal[[#This Row],[Años]],TabFactorIntegracion[],COLUMN(TabFactorIntegracion[% de prima 
vacacional y dominical]),FALSE))*(VLOOKUP(TabDesSalariosReal[[#This Row],[id]],TabAsistencias[],COLUMN(TabAsistencias[Prima dominical]),FALSE)))*(VLOOKUP((VLOOKUP(TabDesSalariosReal[[#This Row],[id]],TabEmpleados[],COLUMN(TabEmpleados[Puesto]),FALSE)),TabPuestos[],COLUMN(TabPuestos[PRIMA DOMINICAL]),FALSE))</f>
        <v>450</v>
      </c>
      <c r="G77" s="182" cm="1">
        <f t="array" ref="G77">(VLOOKUP(TabDesSalariosReal[[#This Row],[id]],TabEmpleados[],COLUMN(TabEmpleados[SD Real]),FALSE))*(VLOOKUP(TabDesSalariosReal[[#This Row],[Años]],TabFactorIntegracion[],COLUMN(TabFactorIntegracion[% de prima 
vacacional y dominical]),FALSE))*((VLOOKUP(TabDesSalariosReal[[#This Row],[id]],TabAsistencias[],COLUMN(TabAsistencias[V]),FALSE)))</f>
        <v>0</v>
      </c>
      <c r="H77" s="148" cm="1">
        <f t="array" ref="H77">VLOOKUP(TabDesSalariosReal[[#This Row],[id]],TabAsistencias[],COLUMN(TabAsistencias[I]),FALSE)</f>
        <v>0</v>
      </c>
      <c r="I77" s="148" cm="1">
        <f t="array" ref="I77">VLOOKUP(TabDesSalariosReal[[#This Row],[id]],TabAsistencias[],COLUMN(TabAsistencias[IG]),FALSE)</f>
        <v>0</v>
      </c>
      <c r="J77" s="191">
        <v>0.4</v>
      </c>
      <c r="K77" s="179" cm="1">
        <f t="array" ref="K77">IF(TabDesSalariosReal[[#This Row],[Dias Incapacidad/General]]&gt;3,((TabDesSalariosReal[[#This Row],[Dias Incapacidad/General]]-3)*((VLOOKUP(TabDesSalariosReal[[#This Row],[id]],TabEmpleados[],COLUMN(TabEmpleados[SD Real]),FALSE)))*TabDesSalariosReal[[#This Row],[% pagado por incapacidad]]),0)</f>
        <v>0</v>
      </c>
      <c r="L77" s="185">
        <f>-1*(SUMIFS(TabPagos[Monto de pago],TabPagos[id],TabDesSalariosReal[[#This Row],[id]],TabPagos[Fecha de pago],"&gt;="&amp;Asistencias!$B$2,TabPagos[Fecha de pago],"&lt;"&amp;Asistencias!$B$3))</f>
        <v>0</v>
      </c>
      <c r="M77" t="str" cm="1">
        <f t="array" ref="M77">getDescripcion(TabDesSalariosReal[[#This Row],[id]],"Descuentos-Pagos","TabPagos",Asistencias!$B$2,Asistencias!$B$3)</f>
        <v/>
      </c>
      <c r="N77" s="309" cm="1">
        <f t="array" ref="N77">IF((TabDesSalariosReal[[#This Row],[Subtotal Real]]+TabDesSalariosReal[[#This Row],[Prima dominical]]+TabDesSalariosReal[[#This Row],[Prima vacacional]]+TabDesSalariosReal[[#This Row],[$ por incpacidad]]+TabDesSalariosReal[[#This Row],[Descuentos]]+TabDesSalariosReal[[#This Row],[Extras]]-TabDesSalariosReal[[#This Row],[Fiscal Real]])&gt;500,AporteComision,0)</f>
        <v>0</v>
      </c>
      <c r="O77" s="276">
        <v>0</v>
      </c>
      <c r="P77" s="188" t="str" cm="1">
        <f t="array" ref="P77">VLOOKUP(TabDesSalariosReal[[#This Row],[id]],TabEmpleados[],COLUMN(TabEmpleados[Banco de pago]),FALSE)</f>
        <v>Santander</v>
      </c>
      <c r="Q77" s="188">
        <f>TabDesSalariosReal[[#This Row],[Subtotal Real]]+TabDesSalariosReal[[#This Row],[Prima dominical]]+TabDesSalariosReal[[#This Row],[Prima vacacional]]+TabDesSalariosReal[[#This Row],[$ por incpacidad]]+TabDesSalariosReal[[#This Row],[Descuentos]]+TabDesSalariosReal[[#This Row],[Aporte por comision]]+TabDesSalariosReal[[#This Row],[Extras]]</f>
        <v>13950</v>
      </c>
      <c r="R77" s="277">
        <f>TabDesSalariosReal[[#This Row],[Total Real]]-TabDesSalariosReal[[#This Row],[Fiscal Real]]</f>
        <v>-994.51219383400166</v>
      </c>
      <c r="S77" s="179" cm="1">
        <f t="array" ref="S77">IFERROR(VLOOKUP(TabDesSalariosReal[[#This Row],[id]],TabDesSalariosFiscal[],COLUMN(TabDesSalariosFiscal[Total Fiscal]),FALSE),0)</f>
        <v>14944.512193834002</v>
      </c>
      <c r="T77" s="197">
        <f>IFERROR(TabDesSalariosReal[[#This Row],[Persepcion Fiscal]],0)</f>
        <v>14944.512193834002</v>
      </c>
      <c r="U77" s="55" cm="1">
        <f t="array" ref="U77">IF('Desglose Salarios Fiscal'!$Q$1=1,VLOOKUP(TabDesSalariosReal[[#This Row],[id]],TabEmpleados[],COLUMN(TabEmpleados[SD Real]),FALSE)*TabDesSalariosReal[[#This Row],[Dias de agunaldo Real2]],0)</f>
        <v>6750</v>
      </c>
      <c r="V77" s="173" cm="1">
        <f t="array" ref="V77">IF(YEAR(VLOOKUP(TabDesSalariosReal[[#This Row],[id]],TabEmpleados[],COLUMN(TabEmpleados[Fecha de ingreso]),FALSE))&lt;AñoActual,'Tablas de informacion'!$N$13,_xlfn.DAYS(DATE(AñoActual+1,MONTH(1),DAY(1))-DAY(1),(VLOOKUP(TabDesSalariosReal[[#This Row],[id]],TabEmpleados[],COLUMN(TabEmpleados[Fecha de ingreso]),FALSE))))</f>
        <v>365</v>
      </c>
      <c r="W77" cm="1">
        <f t="array" ref="W77">TabDesSalariosReal[[#This Row],[Dias de aguinaldo Real1]]*VLOOKUP(TabDesSalariosReal[[#This Row],[Años]],TabFactorIntegracion[],COLUMN(TabFactorIntegracion[Días de
aguinaldo]),FALSE)/'Tablas de informacion'!$N$13</f>
        <v>15</v>
      </c>
      <c r="X77" s="141" cm="1">
        <f t="array" ref="X77">TabDesSalariosReal[[#This Row],[Aguinaldo Real]]-IFERROR(VLOOKUP(TabDesSalariosReal[[#This Row],[id]],TabDesSalariosFiscal[],COLUMN(TabDesSalariosFiscal[Aguinaldo Fiscal]),FALSE),0)</f>
        <v>3694.0594080000001</v>
      </c>
    </row>
    <row r="78" spans="1:24" x14ac:dyDescent="0.25">
      <c r="A78" s="176" t="s">
        <v>417</v>
      </c>
      <c r="C78" s="148"/>
      <c r="H78" s="148"/>
      <c r="I78" s="148"/>
      <c r="J78" s="279"/>
      <c r="Q78" s="141">
        <f ca="1">SUBTOTAL(109,TabDesSalariosReal[Total Real])</f>
        <v>798095.09993899998</v>
      </c>
      <c r="R78" s="141">
        <f ca="1">SUBTOTAL(109,TabDesSalariosReal[Alquimia/ Efectivo])</f>
        <v>31741.771340702999</v>
      </c>
      <c r="S78" s="141">
        <f ca="1">SUBTOTAL(109,TabDesSalariosReal[Persepcion Fiscal])</f>
        <v>781082.09581016423</v>
      </c>
      <c r="T78" s="141">
        <f ca="1">SUBTOTAL(109,TabDesSalariosReal[Fiscal Real])</f>
        <v>766353.3285982965</v>
      </c>
      <c r="U78" s="141">
        <f>SUBTOTAL(109,TabDesSalariosReal[Aguinaldo Real])</f>
        <v>388800.04996949999</v>
      </c>
      <c r="V78" s="141">
        <f>SUBTOTAL(109,TabDesSalariosReal[Dias de aguinaldo Real1])</f>
        <v>27375</v>
      </c>
      <c r="W78" s="141">
        <f>SUBTOTAL(109,TabDesSalariosReal[Dias de agunaldo Real2])</f>
        <v>1125</v>
      </c>
      <c r="X78" s="141">
        <f>SUBTOTAL(109,TabDesSalariosReal[Aguinaldo Real - Fiscal])</f>
        <v>241896.88442385002</v>
      </c>
    </row>
    <row r="81" spans="14:19" ht="15.75" thickBot="1" x14ac:dyDescent="0.3"/>
    <row r="82" spans="14:19" ht="15.75" thickBot="1" x14ac:dyDescent="0.3">
      <c r="N82" s="290" t="s">
        <v>423</v>
      </c>
      <c r="O82" s="307"/>
      <c r="P82" s="291">
        <f ca="1">SUM($P$83:$P$84)</f>
        <v>31741.77134070301</v>
      </c>
      <c r="Q82" s="292"/>
      <c r="R82" s="293">
        <f ca="1">SUM($R$83:$R$86)</f>
        <v>759631.26928702183</v>
      </c>
      <c r="S82" s="294">
        <f ca="1">(TabDesSalariosReal[[#Totals],[Alquimia/ Efectivo]]+TabDesSalariosReal[[#Totals],[Fiscal Real]])-(P82+R82)</f>
        <v>6722.0593112746719</v>
      </c>
    </row>
    <row r="83" spans="14:19" x14ac:dyDescent="0.25">
      <c r="N83" s="287" t="str">
        <f>EFE</f>
        <v>Efectivo</v>
      </c>
      <c r="O83" s="302"/>
      <c r="P83" s="296">
        <f ca="1">SUMIF(TabDesSalariosReal[Alquimia/ Efectivo],"&lt;"&amp;SaldoMaximo,TabDesSalariosReal[Alquimia/ Efectivo])+SUMIF(TabDesSalariosReal[Banco],EFE,TabDesSalariosReal[Alquimia/ Efectivo])-SUMIFS(TabDesSalariosReal[Alquimia/ Efectivo],TabDesSalariosReal[Alquimia/ Efectivo],"&lt;"&amp;SaldoMaximo,TabDesSalariosReal[Banco],EFE)</f>
        <v>-105125.642764463</v>
      </c>
      <c r="Q83" s="288" t="str">
        <f>Banco1</f>
        <v>Banorte</v>
      </c>
      <c r="R83" s="289">
        <f>SUMIF(TabDesSalariosReal[Banco],Banco1,TabDesSalariosReal[Fiscal Real])</f>
        <v>135124.01621620799</v>
      </c>
    </row>
    <row r="84" spans="14:19" x14ac:dyDescent="0.25">
      <c r="N84" s="283" t="s">
        <v>345</v>
      </c>
      <c r="O84" s="308"/>
      <c r="P84" s="295">
        <f ca="1">TabDesSalariosReal[[#Totals],[Alquimia/ Efectivo]]-P83</f>
        <v>136867.41410516601</v>
      </c>
      <c r="Q84" s="282" t="str">
        <f>Banco2</f>
        <v>Santander</v>
      </c>
      <c r="R84" s="284">
        <f ca="1">SUMIF(TabDesSalariosReal[Banco],Banco2,TabDesSalariosReal[Fiscal Real])</f>
        <v>624507.25307081384</v>
      </c>
    </row>
    <row r="85" spans="14:19" x14ac:dyDescent="0.25">
      <c r="N85" s="176"/>
      <c r="Q85" s="282" t="str">
        <f>Banco3</f>
        <v>Banco3</v>
      </c>
      <c r="R85" s="284">
        <f>SUMIF(TabDesSalariosReal[Banco],Banco3,TabDesSalariosReal[Fiscal Real])</f>
        <v>0</v>
      </c>
    </row>
    <row r="86" spans="14:19" ht="15.75" thickBot="1" x14ac:dyDescent="0.3">
      <c r="N86" s="177"/>
      <c r="O86" s="178"/>
      <c r="P86" s="178"/>
      <c r="Q86" s="285" t="str">
        <f>Banco4</f>
        <v>Banco4</v>
      </c>
      <c r="R86" s="286">
        <f>SUMIF(TabDesSalariosReal[Banco],Banco4,TabDesSalariosReal[Fiscal Real])</f>
        <v>0</v>
      </c>
    </row>
    <row r="88" spans="14:19" x14ac:dyDescent="0.25">
      <c r="P88" s="141"/>
      <c r="R88" s="141"/>
    </row>
  </sheetData>
  <mergeCells count="1">
    <mergeCell ref="A1:Q1"/>
  </mergeCells>
  <phoneticPr fontId="7" type="noConversion"/>
  <conditionalFormatting sqref="R3:R77">
    <cfRule type="expression" dxfId="86" priority="5">
      <formula>OR($R3&lt;SaldoMaximo,$P3=EFE)</formula>
    </cfRule>
  </conditionalFormatting>
  <conditionalFormatting sqref="P3:P77">
    <cfRule type="expression" dxfId="85" priority="2">
      <formula>AND($T3&gt;0,$P3=EFE)</formula>
    </cfRule>
  </conditionalFormatting>
  <conditionalFormatting sqref="S82">
    <cfRule type="cellIs" dxfId="84" priority="1" operator="notEqual">
      <formula>0</formula>
    </cfRule>
  </conditionalFormatting>
  <pageMargins left="0.7" right="0.7" top="0.75" bottom="0.75" header="0.3" footer="0.3"/>
  <legacyDrawing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A83615-13FB-4C93-89E8-985653944BA8}">
  <sheetPr codeName="Hoja4">
    <tabColor rgb="FFFFFF00"/>
  </sheetPr>
  <dimension ref="A1:AO83"/>
  <sheetViews>
    <sheetView workbookViewId="0">
      <pane xSplit="3" topLeftCell="D1" activePane="topRight" state="frozen"/>
      <selection pane="topRight" activeCell="J9" sqref="J9"/>
    </sheetView>
  </sheetViews>
  <sheetFormatPr baseColWidth="10" defaultColWidth="11.42578125" defaultRowHeight="15" x14ac:dyDescent="0.25"/>
  <cols>
    <col min="1" max="1" width="4.42578125" style="2" customWidth="1"/>
    <col min="2" max="2" width="14.42578125" style="1" customWidth="1"/>
    <col min="3" max="3" width="39.7109375" bestFit="1" customWidth="1"/>
    <col min="4" max="4" width="5.85546875" bestFit="1" customWidth="1"/>
    <col min="5" max="5" width="5.7109375" customWidth="1"/>
    <col min="6" max="8" width="11.28515625" customWidth="1"/>
    <col min="10" max="10" width="11.7109375" customWidth="1"/>
    <col min="11" max="11" width="4.28515625" customWidth="1"/>
    <col min="12" max="12" width="5.28515625" customWidth="1"/>
    <col min="13" max="14" width="12.28515625" bestFit="1" customWidth="1"/>
    <col min="15" max="15" width="11.7109375" bestFit="1" customWidth="1"/>
    <col min="16" max="16" width="11.5703125" bestFit="1" customWidth="1"/>
    <col min="17" max="17" width="10.28515625" bestFit="1" customWidth="1"/>
    <col min="18" max="18" width="11.7109375" bestFit="1" customWidth="1"/>
    <col min="19" max="19" width="10.85546875" bestFit="1" customWidth="1"/>
    <col min="20" max="20" width="10.28515625" bestFit="1" customWidth="1"/>
    <col min="21" max="23" width="11.7109375" bestFit="1" customWidth="1"/>
    <col min="24" max="24" width="12.28515625" bestFit="1" customWidth="1"/>
    <col min="25" max="26" width="11.7109375" bestFit="1" customWidth="1"/>
    <col min="27" max="27" width="10.28515625" bestFit="1" customWidth="1"/>
    <col min="28" max="28" width="11.7109375" bestFit="1" customWidth="1"/>
    <col min="29" max="29" width="8.85546875" bestFit="1" customWidth="1"/>
    <col min="30" max="30" width="10.28515625" bestFit="1" customWidth="1"/>
    <col min="31" max="31" width="12.7109375" bestFit="1" customWidth="1"/>
    <col min="32" max="32" width="10.28515625" bestFit="1" customWidth="1"/>
    <col min="33" max="33" width="12.7109375" bestFit="1" customWidth="1"/>
    <col min="34" max="34" width="10.28515625" bestFit="1" customWidth="1"/>
    <col min="35" max="35" width="9.7109375" customWidth="1"/>
    <col min="36" max="36" width="9.140625" bestFit="1" customWidth="1"/>
    <col min="37" max="37" width="12" customWidth="1"/>
    <col min="38" max="38" width="13.7109375" customWidth="1"/>
    <col min="259" max="259" width="27.7109375" customWidth="1"/>
    <col min="260" max="260" width="5.85546875" bestFit="1" customWidth="1"/>
    <col min="262" max="263" width="5" customWidth="1"/>
    <col min="264" max="264" width="9" bestFit="1" customWidth="1"/>
    <col min="265" max="265" width="8.140625" bestFit="1" customWidth="1"/>
    <col min="266" max="266" width="7" bestFit="1" customWidth="1"/>
    <col min="267" max="268" width="8.140625" bestFit="1" customWidth="1"/>
    <col min="269" max="269" width="7" bestFit="1" customWidth="1"/>
    <col min="270" max="270" width="7.140625" bestFit="1" customWidth="1"/>
    <col min="271" max="271" width="7.85546875" bestFit="1" customWidth="1"/>
    <col min="272" max="272" width="7" bestFit="1" customWidth="1"/>
    <col min="273" max="273" width="7.140625" bestFit="1" customWidth="1"/>
    <col min="274" max="274" width="7.85546875" bestFit="1" customWidth="1"/>
    <col min="275" max="275" width="11.7109375" bestFit="1" customWidth="1"/>
    <col min="276" max="276" width="7.28515625" bestFit="1" customWidth="1"/>
    <col min="277" max="277" width="7" bestFit="1" customWidth="1"/>
    <col min="278" max="278" width="7.85546875" bestFit="1" customWidth="1"/>
    <col min="279" max="279" width="7.28515625" bestFit="1" customWidth="1"/>
    <col min="280" max="280" width="7" bestFit="1" customWidth="1"/>
    <col min="281" max="281" width="7.85546875" bestFit="1" customWidth="1"/>
    <col min="282" max="282" width="8.5703125" bestFit="1" customWidth="1"/>
    <col min="283" max="283" width="8.140625" bestFit="1" customWidth="1"/>
    <col min="284" max="284" width="10.28515625" bestFit="1" customWidth="1"/>
    <col min="285" max="285" width="5.28515625" customWidth="1"/>
    <col min="286" max="286" width="7" bestFit="1" customWidth="1"/>
    <col min="287" max="287" width="7.28515625" bestFit="1" customWidth="1"/>
    <col min="288" max="288" width="7" bestFit="1" customWidth="1"/>
    <col min="289" max="289" width="9.140625" bestFit="1" customWidth="1"/>
    <col min="290" max="290" width="1.85546875" customWidth="1"/>
    <col min="291" max="291" width="1.7109375" customWidth="1"/>
    <col min="292" max="292" width="9" customWidth="1"/>
    <col min="515" max="515" width="27.7109375" customWidth="1"/>
    <col min="516" max="516" width="5.85546875" bestFit="1" customWidth="1"/>
    <col min="518" max="519" width="5" customWidth="1"/>
    <col min="520" max="520" width="9" bestFit="1" customWidth="1"/>
    <col min="521" max="521" width="8.140625" bestFit="1" customWidth="1"/>
    <col min="522" max="522" width="7" bestFit="1" customWidth="1"/>
    <col min="523" max="524" width="8.140625" bestFit="1" customWidth="1"/>
    <col min="525" max="525" width="7" bestFit="1" customWidth="1"/>
    <col min="526" max="526" width="7.140625" bestFit="1" customWidth="1"/>
    <col min="527" max="527" width="7.85546875" bestFit="1" customWidth="1"/>
    <col min="528" max="528" width="7" bestFit="1" customWidth="1"/>
    <col min="529" max="529" width="7.140625" bestFit="1" customWidth="1"/>
    <col min="530" max="530" width="7.85546875" bestFit="1" customWidth="1"/>
    <col min="531" max="531" width="11.7109375" bestFit="1" customWidth="1"/>
    <col min="532" max="532" width="7.28515625" bestFit="1" customWidth="1"/>
    <col min="533" max="533" width="7" bestFit="1" customWidth="1"/>
    <col min="534" max="534" width="7.85546875" bestFit="1" customWidth="1"/>
    <col min="535" max="535" width="7.28515625" bestFit="1" customWidth="1"/>
    <col min="536" max="536" width="7" bestFit="1" customWidth="1"/>
    <col min="537" max="537" width="7.85546875" bestFit="1" customWidth="1"/>
    <col min="538" max="538" width="8.5703125" bestFit="1" customWidth="1"/>
    <col min="539" max="539" width="8.140625" bestFit="1" customWidth="1"/>
    <col min="540" max="540" width="10.28515625" bestFit="1" customWidth="1"/>
    <col min="541" max="541" width="5.28515625" customWidth="1"/>
    <col min="542" max="542" width="7" bestFit="1" customWidth="1"/>
    <col min="543" max="543" width="7.28515625" bestFit="1" customWidth="1"/>
    <col min="544" max="544" width="7" bestFit="1" customWidth="1"/>
    <col min="545" max="545" width="9.140625" bestFit="1" customWidth="1"/>
    <col min="546" max="546" width="1.85546875" customWidth="1"/>
    <col min="547" max="547" width="1.7109375" customWidth="1"/>
    <col min="548" max="548" width="9" customWidth="1"/>
    <col min="771" max="771" width="27.7109375" customWidth="1"/>
    <col min="772" max="772" width="5.85546875" bestFit="1" customWidth="1"/>
    <col min="774" max="775" width="5" customWidth="1"/>
    <col min="776" max="776" width="9" bestFit="1" customWidth="1"/>
    <col min="777" max="777" width="8.140625" bestFit="1" customWidth="1"/>
    <col min="778" max="778" width="7" bestFit="1" customWidth="1"/>
    <col min="779" max="780" width="8.140625" bestFit="1" customWidth="1"/>
    <col min="781" max="781" width="7" bestFit="1" customWidth="1"/>
    <col min="782" max="782" width="7.140625" bestFit="1" customWidth="1"/>
    <col min="783" max="783" width="7.85546875" bestFit="1" customWidth="1"/>
    <col min="784" max="784" width="7" bestFit="1" customWidth="1"/>
    <col min="785" max="785" width="7.140625" bestFit="1" customWidth="1"/>
    <col min="786" max="786" width="7.85546875" bestFit="1" customWidth="1"/>
    <col min="787" max="787" width="11.7109375" bestFit="1" customWidth="1"/>
    <col min="788" max="788" width="7.28515625" bestFit="1" customWidth="1"/>
    <col min="789" max="789" width="7" bestFit="1" customWidth="1"/>
    <col min="790" max="790" width="7.85546875" bestFit="1" customWidth="1"/>
    <col min="791" max="791" width="7.28515625" bestFit="1" customWidth="1"/>
    <col min="792" max="792" width="7" bestFit="1" customWidth="1"/>
    <col min="793" max="793" width="7.85546875" bestFit="1" customWidth="1"/>
    <col min="794" max="794" width="8.5703125" bestFit="1" customWidth="1"/>
    <col min="795" max="795" width="8.140625" bestFit="1" customWidth="1"/>
    <col min="796" max="796" width="10.28515625" bestFit="1" customWidth="1"/>
    <col min="797" max="797" width="5.28515625" customWidth="1"/>
    <col min="798" max="798" width="7" bestFit="1" customWidth="1"/>
    <col min="799" max="799" width="7.28515625" bestFit="1" customWidth="1"/>
    <col min="800" max="800" width="7" bestFit="1" customWidth="1"/>
    <col min="801" max="801" width="9.140625" bestFit="1" customWidth="1"/>
    <col min="802" max="802" width="1.85546875" customWidth="1"/>
    <col min="803" max="803" width="1.7109375" customWidth="1"/>
    <col min="804" max="804" width="9" customWidth="1"/>
    <col min="1027" max="1027" width="27.7109375" customWidth="1"/>
    <col min="1028" max="1028" width="5.85546875" bestFit="1" customWidth="1"/>
    <col min="1030" max="1031" width="5" customWidth="1"/>
    <col min="1032" max="1032" width="9" bestFit="1" customWidth="1"/>
    <col min="1033" max="1033" width="8.140625" bestFit="1" customWidth="1"/>
    <col min="1034" max="1034" width="7" bestFit="1" customWidth="1"/>
    <col min="1035" max="1036" width="8.140625" bestFit="1" customWidth="1"/>
    <col min="1037" max="1037" width="7" bestFit="1" customWidth="1"/>
    <col min="1038" max="1038" width="7.140625" bestFit="1" customWidth="1"/>
    <col min="1039" max="1039" width="7.85546875" bestFit="1" customWidth="1"/>
    <col min="1040" max="1040" width="7" bestFit="1" customWidth="1"/>
    <col min="1041" max="1041" width="7.140625" bestFit="1" customWidth="1"/>
    <col min="1042" max="1042" width="7.85546875" bestFit="1" customWidth="1"/>
    <col min="1043" max="1043" width="11.7109375" bestFit="1" customWidth="1"/>
    <col min="1044" max="1044" width="7.28515625" bestFit="1" customWidth="1"/>
    <col min="1045" max="1045" width="7" bestFit="1" customWidth="1"/>
    <col min="1046" max="1046" width="7.85546875" bestFit="1" customWidth="1"/>
    <col min="1047" max="1047" width="7.28515625" bestFit="1" customWidth="1"/>
    <col min="1048" max="1048" width="7" bestFit="1" customWidth="1"/>
    <col min="1049" max="1049" width="7.85546875" bestFit="1" customWidth="1"/>
    <col min="1050" max="1050" width="8.5703125" bestFit="1" customWidth="1"/>
    <col min="1051" max="1051" width="8.140625" bestFit="1" customWidth="1"/>
    <col min="1052" max="1052" width="10.28515625" bestFit="1" customWidth="1"/>
    <col min="1053" max="1053" width="5.28515625" customWidth="1"/>
    <col min="1054" max="1054" width="7" bestFit="1" customWidth="1"/>
    <col min="1055" max="1055" width="7.28515625" bestFit="1" customWidth="1"/>
    <col min="1056" max="1056" width="7" bestFit="1" customWidth="1"/>
    <col min="1057" max="1057" width="9.140625" bestFit="1" customWidth="1"/>
    <col min="1058" max="1058" width="1.85546875" customWidth="1"/>
    <col min="1059" max="1059" width="1.7109375" customWidth="1"/>
    <col min="1060" max="1060" width="9" customWidth="1"/>
    <col min="1283" max="1283" width="27.7109375" customWidth="1"/>
    <col min="1284" max="1284" width="5.85546875" bestFit="1" customWidth="1"/>
    <col min="1286" max="1287" width="5" customWidth="1"/>
    <col min="1288" max="1288" width="9" bestFit="1" customWidth="1"/>
    <col min="1289" max="1289" width="8.140625" bestFit="1" customWidth="1"/>
    <col min="1290" max="1290" width="7" bestFit="1" customWidth="1"/>
    <col min="1291" max="1292" width="8.140625" bestFit="1" customWidth="1"/>
    <col min="1293" max="1293" width="7" bestFit="1" customWidth="1"/>
    <col min="1294" max="1294" width="7.140625" bestFit="1" customWidth="1"/>
    <col min="1295" max="1295" width="7.85546875" bestFit="1" customWidth="1"/>
    <col min="1296" max="1296" width="7" bestFit="1" customWidth="1"/>
    <col min="1297" max="1297" width="7.140625" bestFit="1" customWidth="1"/>
    <col min="1298" max="1298" width="7.85546875" bestFit="1" customWidth="1"/>
    <col min="1299" max="1299" width="11.7109375" bestFit="1" customWidth="1"/>
    <col min="1300" max="1300" width="7.28515625" bestFit="1" customWidth="1"/>
    <col min="1301" max="1301" width="7" bestFit="1" customWidth="1"/>
    <col min="1302" max="1302" width="7.85546875" bestFit="1" customWidth="1"/>
    <col min="1303" max="1303" width="7.28515625" bestFit="1" customWidth="1"/>
    <col min="1304" max="1304" width="7" bestFit="1" customWidth="1"/>
    <col min="1305" max="1305" width="7.85546875" bestFit="1" customWidth="1"/>
    <col min="1306" max="1306" width="8.5703125" bestFit="1" customWidth="1"/>
    <col min="1307" max="1307" width="8.140625" bestFit="1" customWidth="1"/>
    <col min="1308" max="1308" width="10.28515625" bestFit="1" customWidth="1"/>
    <col min="1309" max="1309" width="5.28515625" customWidth="1"/>
    <col min="1310" max="1310" width="7" bestFit="1" customWidth="1"/>
    <col min="1311" max="1311" width="7.28515625" bestFit="1" customWidth="1"/>
    <col min="1312" max="1312" width="7" bestFit="1" customWidth="1"/>
    <col min="1313" max="1313" width="9.140625" bestFit="1" customWidth="1"/>
    <col min="1314" max="1314" width="1.85546875" customWidth="1"/>
    <col min="1315" max="1315" width="1.7109375" customWidth="1"/>
    <col min="1316" max="1316" width="9" customWidth="1"/>
    <col min="1539" max="1539" width="27.7109375" customWidth="1"/>
    <col min="1540" max="1540" width="5.85546875" bestFit="1" customWidth="1"/>
    <col min="1542" max="1543" width="5" customWidth="1"/>
    <col min="1544" max="1544" width="9" bestFit="1" customWidth="1"/>
    <col min="1545" max="1545" width="8.140625" bestFit="1" customWidth="1"/>
    <col min="1546" max="1546" width="7" bestFit="1" customWidth="1"/>
    <col min="1547" max="1548" width="8.140625" bestFit="1" customWidth="1"/>
    <col min="1549" max="1549" width="7" bestFit="1" customWidth="1"/>
    <col min="1550" max="1550" width="7.140625" bestFit="1" customWidth="1"/>
    <col min="1551" max="1551" width="7.85546875" bestFit="1" customWidth="1"/>
    <col min="1552" max="1552" width="7" bestFit="1" customWidth="1"/>
    <col min="1553" max="1553" width="7.140625" bestFit="1" customWidth="1"/>
    <col min="1554" max="1554" width="7.85546875" bestFit="1" customWidth="1"/>
    <col min="1555" max="1555" width="11.7109375" bestFit="1" customWidth="1"/>
    <col min="1556" max="1556" width="7.28515625" bestFit="1" customWidth="1"/>
    <col min="1557" max="1557" width="7" bestFit="1" customWidth="1"/>
    <col min="1558" max="1558" width="7.85546875" bestFit="1" customWidth="1"/>
    <col min="1559" max="1559" width="7.28515625" bestFit="1" customWidth="1"/>
    <col min="1560" max="1560" width="7" bestFit="1" customWidth="1"/>
    <col min="1561" max="1561" width="7.85546875" bestFit="1" customWidth="1"/>
    <col min="1562" max="1562" width="8.5703125" bestFit="1" customWidth="1"/>
    <col min="1563" max="1563" width="8.140625" bestFit="1" customWidth="1"/>
    <col min="1564" max="1564" width="10.28515625" bestFit="1" customWidth="1"/>
    <col min="1565" max="1565" width="5.28515625" customWidth="1"/>
    <col min="1566" max="1566" width="7" bestFit="1" customWidth="1"/>
    <col min="1567" max="1567" width="7.28515625" bestFit="1" customWidth="1"/>
    <col min="1568" max="1568" width="7" bestFit="1" customWidth="1"/>
    <col min="1569" max="1569" width="9.140625" bestFit="1" customWidth="1"/>
    <col min="1570" max="1570" width="1.85546875" customWidth="1"/>
    <col min="1571" max="1571" width="1.7109375" customWidth="1"/>
    <col min="1572" max="1572" width="9" customWidth="1"/>
    <col min="1795" max="1795" width="27.7109375" customWidth="1"/>
    <col min="1796" max="1796" width="5.85546875" bestFit="1" customWidth="1"/>
    <col min="1798" max="1799" width="5" customWidth="1"/>
    <col min="1800" max="1800" width="9" bestFit="1" customWidth="1"/>
    <col min="1801" max="1801" width="8.140625" bestFit="1" customWidth="1"/>
    <col min="1802" max="1802" width="7" bestFit="1" customWidth="1"/>
    <col min="1803" max="1804" width="8.140625" bestFit="1" customWidth="1"/>
    <col min="1805" max="1805" width="7" bestFit="1" customWidth="1"/>
    <col min="1806" max="1806" width="7.140625" bestFit="1" customWidth="1"/>
    <col min="1807" max="1807" width="7.85546875" bestFit="1" customWidth="1"/>
    <col min="1808" max="1808" width="7" bestFit="1" customWidth="1"/>
    <col min="1809" max="1809" width="7.140625" bestFit="1" customWidth="1"/>
    <col min="1810" max="1810" width="7.85546875" bestFit="1" customWidth="1"/>
    <col min="1811" max="1811" width="11.7109375" bestFit="1" customWidth="1"/>
    <col min="1812" max="1812" width="7.28515625" bestFit="1" customWidth="1"/>
    <col min="1813" max="1813" width="7" bestFit="1" customWidth="1"/>
    <col min="1814" max="1814" width="7.85546875" bestFit="1" customWidth="1"/>
    <col min="1815" max="1815" width="7.28515625" bestFit="1" customWidth="1"/>
    <col min="1816" max="1816" width="7" bestFit="1" customWidth="1"/>
    <col min="1817" max="1817" width="7.85546875" bestFit="1" customWidth="1"/>
    <col min="1818" max="1818" width="8.5703125" bestFit="1" customWidth="1"/>
    <col min="1819" max="1819" width="8.140625" bestFit="1" customWidth="1"/>
    <col min="1820" max="1820" width="10.28515625" bestFit="1" customWidth="1"/>
    <col min="1821" max="1821" width="5.28515625" customWidth="1"/>
    <col min="1822" max="1822" width="7" bestFit="1" customWidth="1"/>
    <col min="1823" max="1823" width="7.28515625" bestFit="1" customWidth="1"/>
    <col min="1824" max="1824" width="7" bestFit="1" customWidth="1"/>
    <col min="1825" max="1825" width="9.140625" bestFit="1" customWidth="1"/>
    <col min="1826" max="1826" width="1.85546875" customWidth="1"/>
    <col min="1827" max="1827" width="1.7109375" customWidth="1"/>
    <col min="1828" max="1828" width="9" customWidth="1"/>
    <col min="2051" max="2051" width="27.7109375" customWidth="1"/>
    <col min="2052" max="2052" width="5.85546875" bestFit="1" customWidth="1"/>
    <col min="2054" max="2055" width="5" customWidth="1"/>
    <col min="2056" max="2056" width="9" bestFit="1" customWidth="1"/>
    <col min="2057" max="2057" width="8.140625" bestFit="1" customWidth="1"/>
    <col min="2058" max="2058" width="7" bestFit="1" customWidth="1"/>
    <col min="2059" max="2060" width="8.140625" bestFit="1" customWidth="1"/>
    <col min="2061" max="2061" width="7" bestFit="1" customWidth="1"/>
    <col min="2062" max="2062" width="7.140625" bestFit="1" customWidth="1"/>
    <col min="2063" max="2063" width="7.85546875" bestFit="1" customWidth="1"/>
    <col min="2064" max="2064" width="7" bestFit="1" customWidth="1"/>
    <col min="2065" max="2065" width="7.140625" bestFit="1" customWidth="1"/>
    <col min="2066" max="2066" width="7.85546875" bestFit="1" customWidth="1"/>
    <col min="2067" max="2067" width="11.7109375" bestFit="1" customWidth="1"/>
    <col min="2068" max="2068" width="7.28515625" bestFit="1" customWidth="1"/>
    <col min="2069" max="2069" width="7" bestFit="1" customWidth="1"/>
    <col min="2070" max="2070" width="7.85546875" bestFit="1" customWidth="1"/>
    <col min="2071" max="2071" width="7.28515625" bestFit="1" customWidth="1"/>
    <col min="2072" max="2072" width="7" bestFit="1" customWidth="1"/>
    <col min="2073" max="2073" width="7.85546875" bestFit="1" customWidth="1"/>
    <col min="2074" max="2074" width="8.5703125" bestFit="1" customWidth="1"/>
    <col min="2075" max="2075" width="8.140625" bestFit="1" customWidth="1"/>
    <col min="2076" max="2076" width="10.28515625" bestFit="1" customWidth="1"/>
    <col min="2077" max="2077" width="5.28515625" customWidth="1"/>
    <col min="2078" max="2078" width="7" bestFit="1" customWidth="1"/>
    <col min="2079" max="2079" width="7.28515625" bestFit="1" customWidth="1"/>
    <col min="2080" max="2080" width="7" bestFit="1" customWidth="1"/>
    <col min="2081" max="2081" width="9.140625" bestFit="1" customWidth="1"/>
    <col min="2082" max="2082" width="1.85546875" customWidth="1"/>
    <col min="2083" max="2083" width="1.7109375" customWidth="1"/>
    <col min="2084" max="2084" width="9" customWidth="1"/>
    <col min="2307" max="2307" width="27.7109375" customWidth="1"/>
    <col min="2308" max="2308" width="5.85546875" bestFit="1" customWidth="1"/>
    <col min="2310" max="2311" width="5" customWidth="1"/>
    <col min="2312" max="2312" width="9" bestFit="1" customWidth="1"/>
    <col min="2313" max="2313" width="8.140625" bestFit="1" customWidth="1"/>
    <col min="2314" max="2314" width="7" bestFit="1" customWidth="1"/>
    <col min="2315" max="2316" width="8.140625" bestFit="1" customWidth="1"/>
    <col min="2317" max="2317" width="7" bestFit="1" customWidth="1"/>
    <col min="2318" max="2318" width="7.140625" bestFit="1" customWidth="1"/>
    <col min="2319" max="2319" width="7.85546875" bestFit="1" customWidth="1"/>
    <col min="2320" max="2320" width="7" bestFit="1" customWidth="1"/>
    <col min="2321" max="2321" width="7.140625" bestFit="1" customWidth="1"/>
    <col min="2322" max="2322" width="7.85546875" bestFit="1" customWidth="1"/>
    <col min="2323" max="2323" width="11.7109375" bestFit="1" customWidth="1"/>
    <col min="2324" max="2324" width="7.28515625" bestFit="1" customWidth="1"/>
    <col min="2325" max="2325" width="7" bestFit="1" customWidth="1"/>
    <col min="2326" max="2326" width="7.85546875" bestFit="1" customWidth="1"/>
    <col min="2327" max="2327" width="7.28515625" bestFit="1" customWidth="1"/>
    <col min="2328" max="2328" width="7" bestFit="1" customWidth="1"/>
    <col min="2329" max="2329" width="7.85546875" bestFit="1" customWidth="1"/>
    <col min="2330" max="2330" width="8.5703125" bestFit="1" customWidth="1"/>
    <col min="2331" max="2331" width="8.140625" bestFit="1" customWidth="1"/>
    <col min="2332" max="2332" width="10.28515625" bestFit="1" customWidth="1"/>
    <col min="2333" max="2333" width="5.28515625" customWidth="1"/>
    <col min="2334" max="2334" width="7" bestFit="1" customWidth="1"/>
    <col min="2335" max="2335" width="7.28515625" bestFit="1" customWidth="1"/>
    <col min="2336" max="2336" width="7" bestFit="1" customWidth="1"/>
    <col min="2337" max="2337" width="9.140625" bestFit="1" customWidth="1"/>
    <col min="2338" max="2338" width="1.85546875" customWidth="1"/>
    <col min="2339" max="2339" width="1.7109375" customWidth="1"/>
    <col min="2340" max="2340" width="9" customWidth="1"/>
    <col min="2563" max="2563" width="27.7109375" customWidth="1"/>
    <col min="2564" max="2564" width="5.85546875" bestFit="1" customWidth="1"/>
    <col min="2566" max="2567" width="5" customWidth="1"/>
    <col min="2568" max="2568" width="9" bestFit="1" customWidth="1"/>
    <col min="2569" max="2569" width="8.140625" bestFit="1" customWidth="1"/>
    <col min="2570" max="2570" width="7" bestFit="1" customWidth="1"/>
    <col min="2571" max="2572" width="8.140625" bestFit="1" customWidth="1"/>
    <col min="2573" max="2573" width="7" bestFit="1" customWidth="1"/>
    <col min="2574" max="2574" width="7.140625" bestFit="1" customWidth="1"/>
    <col min="2575" max="2575" width="7.85546875" bestFit="1" customWidth="1"/>
    <col min="2576" max="2576" width="7" bestFit="1" customWidth="1"/>
    <col min="2577" max="2577" width="7.140625" bestFit="1" customWidth="1"/>
    <col min="2578" max="2578" width="7.85546875" bestFit="1" customWidth="1"/>
    <col min="2579" max="2579" width="11.7109375" bestFit="1" customWidth="1"/>
    <col min="2580" max="2580" width="7.28515625" bestFit="1" customWidth="1"/>
    <col min="2581" max="2581" width="7" bestFit="1" customWidth="1"/>
    <col min="2582" max="2582" width="7.85546875" bestFit="1" customWidth="1"/>
    <col min="2583" max="2583" width="7.28515625" bestFit="1" customWidth="1"/>
    <col min="2584" max="2584" width="7" bestFit="1" customWidth="1"/>
    <col min="2585" max="2585" width="7.85546875" bestFit="1" customWidth="1"/>
    <col min="2586" max="2586" width="8.5703125" bestFit="1" customWidth="1"/>
    <col min="2587" max="2587" width="8.140625" bestFit="1" customWidth="1"/>
    <col min="2588" max="2588" width="10.28515625" bestFit="1" customWidth="1"/>
    <col min="2589" max="2589" width="5.28515625" customWidth="1"/>
    <col min="2590" max="2590" width="7" bestFit="1" customWidth="1"/>
    <col min="2591" max="2591" width="7.28515625" bestFit="1" customWidth="1"/>
    <col min="2592" max="2592" width="7" bestFit="1" customWidth="1"/>
    <col min="2593" max="2593" width="9.140625" bestFit="1" customWidth="1"/>
    <col min="2594" max="2594" width="1.85546875" customWidth="1"/>
    <col min="2595" max="2595" width="1.7109375" customWidth="1"/>
    <col min="2596" max="2596" width="9" customWidth="1"/>
    <col min="2819" max="2819" width="27.7109375" customWidth="1"/>
    <col min="2820" max="2820" width="5.85546875" bestFit="1" customWidth="1"/>
    <col min="2822" max="2823" width="5" customWidth="1"/>
    <col min="2824" max="2824" width="9" bestFit="1" customWidth="1"/>
    <col min="2825" max="2825" width="8.140625" bestFit="1" customWidth="1"/>
    <col min="2826" max="2826" width="7" bestFit="1" customWidth="1"/>
    <col min="2827" max="2828" width="8.140625" bestFit="1" customWidth="1"/>
    <col min="2829" max="2829" width="7" bestFit="1" customWidth="1"/>
    <col min="2830" max="2830" width="7.140625" bestFit="1" customWidth="1"/>
    <col min="2831" max="2831" width="7.85546875" bestFit="1" customWidth="1"/>
    <col min="2832" max="2832" width="7" bestFit="1" customWidth="1"/>
    <col min="2833" max="2833" width="7.140625" bestFit="1" customWidth="1"/>
    <col min="2834" max="2834" width="7.85546875" bestFit="1" customWidth="1"/>
    <col min="2835" max="2835" width="11.7109375" bestFit="1" customWidth="1"/>
    <col min="2836" max="2836" width="7.28515625" bestFit="1" customWidth="1"/>
    <col min="2837" max="2837" width="7" bestFit="1" customWidth="1"/>
    <col min="2838" max="2838" width="7.85546875" bestFit="1" customWidth="1"/>
    <col min="2839" max="2839" width="7.28515625" bestFit="1" customWidth="1"/>
    <col min="2840" max="2840" width="7" bestFit="1" customWidth="1"/>
    <col min="2841" max="2841" width="7.85546875" bestFit="1" customWidth="1"/>
    <col min="2842" max="2842" width="8.5703125" bestFit="1" customWidth="1"/>
    <col min="2843" max="2843" width="8.140625" bestFit="1" customWidth="1"/>
    <col min="2844" max="2844" width="10.28515625" bestFit="1" customWidth="1"/>
    <col min="2845" max="2845" width="5.28515625" customWidth="1"/>
    <col min="2846" max="2846" width="7" bestFit="1" customWidth="1"/>
    <col min="2847" max="2847" width="7.28515625" bestFit="1" customWidth="1"/>
    <col min="2848" max="2848" width="7" bestFit="1" customWidth="1"/>
    <col min="2849" max="2849" width="9.140625" bestFit="1" customWidth="1"/>
    <col min="2850" max="2850" width="1.85546875" customWidth="1"/>
    <col min="2851" max="2851" width="1.7109375" customWidth="1"/>
    <col min="2852" max="2852" width="9" customWidth="1"/>
    <col min="3075" max="3075" width="27.7109375" customWidth="1"/>
    <col min="3076" max="3076" width="5.85546875" bestFit="1" customWidth="1"/>
    <col min="3078" max="3079" width="5" customWidth="1"/>
    <col min="3080" max="3080" width="9" bestFit="1" customWidth="1"/>
    <col min="3081" max="3081" width="8.140625" bestFit="1" customWidth="1"/>
    <col min="3082" max="3082" width="7" bestFit="1" customWidth="1"/>
    <col min="3083" max="3084" width="8.140625" bestFit="1" customWidth="1"/>
    <col min="3085" max="3085" width="7" bestFit="1" customWidth="1"/>
    <col min="3086" max="3086" width="7.140625" bestFit="1" customWidth="1"/>
    <col min="3087" max="3087" width="7.85546875" bestFit="1" customWidth="1"/>
    <col min="3088" max="3088" width="7" bestFit="1" customWidth="1"/>
    <col min="3089" max="3089" width="7.140625" bestFit="1" customWidth="1"/>
    <col min="3090" max="3090" width="7.85546875" bestFit="1" customWidth="1"/>
    <col min="3091" max="3091" width="11.7109375" bestFit="1" customWidth="1"/>
    <col min="3092" max="3092" width="7.28515625" bestFit="1" customWidth="1"/>
    <col min="3093" max="3093" width="7" bestFit="1" customWidth="1"/>
    <col min="3094" max="3094" width="7.85546875" bestFit="1" customWidth="1"/>
    <col min="3095" max="3095" width="7.28515625" bestFit="1" customWidth="1"/>
    <col min="3096" max="3096" width="7" bestFit="1" customWidth="1"/>
    <col min="3097" max="3097" width="7.85546875" bestFit="1" customWidth="1"/>
    <col min="3098" max="3098" width="8.5703125" bestFit="1" customWidth="1"/>
    <col min="3099" max="3099" width="8.140625" bestFit="1" customWidth="1"/>
    <col min="3100" max="3100" width="10.28515625" bestFit="1" customWidth="1"/>
    <col min="3101" max="3101" width="5.28515625" customWidth="1"/>
    <col min="3102" max="3102" width="7" bestFit="1" customWidth="1"/>
    <col min="3103" max="3103" width="7.28515625" bestFit="1" customWidth="1"/>
    <col min="3104" max="3104" width="7" bestFit="1" customWidth="1"/>
    <col min="3105" max="3105" width="9.140625" bestFit="1" customWidth="1"/>
    <col min="3106" max="3106" width="1.85546875" customWidth="1"/>
    <col min="3107" max="3107" width="1.7109375" customWidth="1"/>
    <col min="3108" max="3108" width="9" customWidth="1"/>
    <col min="3331" max="3331" width="27.7109375" customWidth="1"/>
    <col min="3332" max="3332" width="5.85546875" bestFit="1" customWidth="1"/>
    <col min="3334" max="3335" width="5" customWidth="1"/>
    <col min="3336" max="3336" width="9" bestFit="1" customWidth="1"/>
    <col min="3337" max="3337" width="8.140625" bestFit="1" customWidth="1"/>
    <col min="3338" max="3338" width="7" bestFit="1" customWidth="1"/>
    <col min="3339" max="3340" width="8.140625" bestFit="1" customWidth="1"/>
    <col min="3341" max="3341" width="7" bestFit="1" customWidth="1"/>
    <col min="3342" max="3342" width="7.140625" bestFit="1" customWidth="1"/>
    <col min="3343" max="3343" width="7.85546875" bestFit="1" customWidth="1"/>
    <col min="3344" max="3344" width="7" bestFit="1" customWidth="1"/>
    <col min="3345" max="3345" width="7.140625" bestFit="1" customWidth="1"/>
    <col min="3346" max="3346" width="7.85546875" bestFit="1" customWidth="1"/>
    <col min="3347" max="3347" width="11.7109375" bestFit="1" customWidth="1"/>
    <col min="3348" max="3348" width="7.28515625" bestFit="1" customWidth="1"/>
    <col min="3349" max="3349" width="7" bestFit="1" customWidth="1"/>
    <col min="3350" max="3350" width="7.85546875" bestFit="1" customWidth="1"/>
    <col min="3351" max="3351" width="7.28515625" bestFit="1" customWidth="1"/>
    <col min="3352" max="3352" width="7" bestFit="1" customWidth="1"/>
    <col min="3353" max="3353" width="7.85546875" bestFit="1" customWidth="1"/>
    <col min="3354" max="3354" width="8.5703125" bestFit="1" customWidth="1"/>
    <col min="3355" max="3355" width="8.140625" bestFit="1" customWidth="1"/>
    <col min="3356" max="3356" width="10.28515625" bestFit="1" customWidth="1"/>
    <col min="3357" max="3357" width="5.28515625" customWidth="1"/>
    <col min="3358" max="3358" width="7" bestFit="1" customWidth="1"/>
    <col min="3359" max="3359" width="7.28515625" bestFit="1" customWidth="1"/>
    <col min="3360" max="3360" width="7" bestFit="1" customWidth="1"/>
    <col min="3361" max="3361" width="9.140625" bestFit="1" customWidth="1"/>
    <col min="3362" max="3362" width="1.85546875" customWidth="1"/>
    <col min="3363" max="3363" width="1.7109375" customWidth="1"/>
    <col min="3364" max="3364" width="9" customWidth="1"/>
    <col min="3587" max="3587" width="27.7109375" customWidth="1"/>
    <col min="3588" max="3588" width="5.85546875" bestFit="1" customWidth="1"/>
    <col min="3590" max="3591" width="5" customWidth="1"/>
    <col min="3592" max="3592" width="9" bestFit="1" customWidth="1"/>
    <col min="3593" max="3593" width="8.140625" bestFit="1" customWidth="1"/>
    <col min="3594" max="3594" width="7" bestFit="1" customWidth="1"/>
    <col min="3595" max="3596" width="8.140625" bestFit="1" customWidth="1"/>
    <col min="3597" max="3597" width="7" bestFit="1" customWidth="1"/>
    <col min="3598" max="3598" width="7.140625" bestFit="1" customWidth="1"/>
    <col min="3599" max="3599" width="7.85546875" bestFit="1" customWidth="1"/>
    <col min="3600" max="3600" width="7" bestFit="1" customWidth="1"/>
    <col min="3601" max="3601" width="7.140625" bestFit="1" customWidth="1"/>
    <col min="3602" max="3602" width="7.85546875" bestFit="1" customWidth="1"/>
    <col min="3603" max="3603" width="11.7109375" bestFit="1" customWidth="1"/>
    <col min="3604" max="3604" width="7.28515625" bestFit="1" customWidth="1"/>
    <col min="3605" max="3605" width="7" bestFit="1" customWidth="1"/>
    <col min="3606" max="3606" width="7.85546875" bestFit="1" customWidth="1"/>
    <col min="3607" max="3607" width="7.28515625" bestFit="1" customWidth="1"/>
    <col min="3608" max="3608" width="7" bestFit="1" customWidth="1"/>
    <col min="3609" max="3609" width="7.85546875" bestFit="1" customWidth="1"/>
    <col min="3610" max="3610" width="8.5703125" bestFit="1" customWidth="1"/>
    <col min="3611" max="3611" width="8.140625" bestFit="1" customWidth="1"/>
    <col min="3612" max="3612" width="10.28515625" bestFit="1" customWidth="1"/>
    <col min="3613" max="3613" width="5.28515625" customWidth="1"/>
    <col min="3614" max="3614" width="7" bestFit="1" customWidth="1"/>
    <col min="3615" max="3615" width="7.28515625" bestFit="1" customWidth="1"/>
    <col min="3616" max="3616" width="7" bestFit="1" customWidth="1"/>
    <col min="3617" max="3617" width="9.140625" bestFit="1" customWidth="1"/>
    <col min="3618" max="3618" width="1.85546875" customWidth="1"/>
    <col min="3619" max="3619" width="1.7109375" customWidth="1"/>
    <col min="3620" max="3620" width="9" customWidth="1"/>
    <col min="3843" max="3843" width="27.7109375" customWidth="1"/>
    <col min="3844" max="3844" width="5.85546875" bestFit="1" customWidth="1"/>
    <col min="3846" max="3847" width="5" customWidth="1"/>
    <col min="3848" max="3848" width="9" bestFit="1" customWidth="1"/>
    <col min="3849" max="3849" width="8.140625" bestFit="1" customWidth="1"/>
    <col min="3850" max="3850" width="7" bestFit="1" customWidth="1"/>
    <col min="3851" max="3852" width="8.140625" bestFit="1" customWidth="1"/>
    <col min="3853" max="3853" width="7" bestFit="1" customWidth="1"/>
    <col min="3854" max="3854" width="7.140625" bestFit="1" customWidth="1"/>
    <col min="3855" max="3855" width="7.85546875" bestFit="1" customWidth="1"/>
    <col min="3856" max="3856" width="7" bestFit="1" customWidth="1"/>
    <col min="3857" max="3857" width="7.140625" bestFit="1" customWidth="1"/>
    <col min="3858" max="3858" width="7.85546875" bestFit="1" customWidth="1"/>
    <col min="3859" max="3859" width="11.7109375" bestFit="1" customWidth="1"/>
    <col min="3860" max="3860" width="7.28515625" bestFit="1" customWidth="1"/>
    <col min="3861" max="3861" width="7" bestFit="1" customWidth="1"/>
    <col min="3862" max="3862" width="7.85546875" bestFit="1" customWidth="1"/>
    <col min="3863" max="3863" width="7.28515625" bestFit="1" customWidth="1"/>
    <col min="3864" max="3864" width="7" bestFit="1" customWidth="1"/>
    <col min="3865" max="3865" width="7.85546875" bestFit="1" customWidth="1"/>
    <col min="3866" max="3866" width="8.5703125" bestFit="1" customWidth="1"/>
    <col min="3867" max="3867" width="8.140625" bestFit="1" customWidth="1"/>
    <col min="3868" max="3868" width="10.28515625" bestFit="1" customWidth="1"/>
    <col min="3869" max="3869" width="5.28515625" customWidth="1"/>
    <col min="3870" max="3870" width="7" bestFit="1" customWidth="1"/>
    <col min="3871" max="3871" width="7.28515625" bestFit="1" customWidth="1"/>
    <col min="3872" max="3872" width="7" bestFit="1" customWidth="1"/>
    <col min="3873" max="3873" width="9.140625" bestFit="1" customWidth="1"/>
    <col min="3874" max="3874" width="1.85546875" customWidth="1"/>
    <col min="3875" max="3875" width="1.7109375" customWidth="1"/>
    <col min="3876" max="3876" width="9" customWidth="1"/>
    <col min="4099" max="4099" width="27.7109375" customWidth="1"/>
    <col min="4100" max="4100" width="5.85546875" bestFit="1" customWidth="1"/>
    <col min="4102" max="4103" width="5" customWidth="1"/>
    <col min="4104" max="4104" width="9" bestFit="1" customWidth="1"/>
    <col min="4105" max="4105" width="8.140625" bestFit="1" customWidth="1"/>
    <col min="4106" max="4106" width="7" bestFit="1" customWidth="1"/>
    <col min="4107" max="4108" width="8.140625" bestFit="1" customWidth="1"/>
    <col min="4109" max="4109" width="7" bestFit="1" customWidth="1"/>
    <col min="4110" max="4110" width="7.140625" bestFit="1" customWidth="1"/>
    <col min="4111" max="4111" width="7.85546875" bestFit="1" customWidth="1"/>
    <col min="4112" max="4112" width="7" bestFit="1" customWidth="1"/>
    <col min="4113" max="4113" width="7.140625" bestFit="1" customWidth="1"/>
    <col min="4114" max="4114" width="7.85546875" bestFit="1" customWidth="1"/>
    <col min="4115" max="4115" width="11.7109375" bestFit="1" customWidth="1"/>
    <col min="4116" max="4116" width="7.28515625" bestFit="1" customWidth="1"/>
    <col min="4117" max="4117" width="7" bestFit="1" customWidth="1"/>
    <col min="4118" max="4118" width="7.85546875" bestFit="1" customWidth="1"/>
    <col min="4119" max="4119" width="7.28515625" bestFit="1" customWidth="1"/>
    <col min="4120" max="4120" width="7" bestFit="1" customWidth="1"/>
    <col min="4121" max="4121" width="7.85546875" bestFit="1" customWidth="1"/>
    <col min="4122" max="4122" width="8.5703125" bestFit="1" customWidth="1"/>
    <col min="4123" max="4123" width="8.140625" bestFit="1" customWidth="1"/>
    <col min="4124" max="4124" width="10.28515625" bestFit="1" customWidth="1"/>
    <col min="4125" max="4125" width="5.28515625" customWidth="1"/>
    <col min="4126" max="4126" width="7" bestFit="1" customWidth="1"/>
    <col min="4127" max="4127" width="7.28515625" bestFit="1" customWidth="1"/>
    <col min="4128" max="4128" width="7" bestFit="1" customWidth="1"/>
    <col min="4129" max="4129" width="9.140625" bestFit="1" customWidth="1"/>
    <col min="4130" max="4130" width="1.85546875" customWidth="1"/>
    <col min="4131" max="4131" width="1.7109375" customWidth="1"/>
    <col min="4132" max="4132" width="9" customWidth="1"/>
    <col min="4355" max="4355" width="27.7109375" customWidth="1"/>
    <col min="4356" max="4356" width="5.85546875" bestFit="1" customWidth="1"/>
    <col min="4358" max="4359" width="5" customWidth="1"/>
    <col min="4360" max="4360" width="9" bestFit="1" customWidth="1"/>
    <col min="4361" max="4361" width="8.140625" bestFit="1" customWidth="1"/>
    <col min="4362" max="4362" width="7" bestFit="1" customWidth="1"/>
    <col min="4363" max="4364" width="8.140625" bestFit="1" customWidth="1"/>
    <col min="4365" max="4365" width="7" bestFit="1" customWidth="1"/>
    <col min="4366" max="4366" width="7.140625" bestFit="1" customWidth="1"/>
    <col min="4367" max="4367" width="7.85546875" bestFit="1" customWidth="1"/>
    <col min="4368" max="4368" width="7" bestFit="1" customWidth="1"/>
    <col min="4369" max="4369" width="7.140625" bestFit="1" customWidth="1"/>
    <col min="4370" max="4370" width="7.85546875" bestFit="1" customWidth="1"/>
    <col min="4371" max="4371" width="11.7109375" bestFit="1" customWidth="1"/>
    <col min="4372" max="4372" width="7.28515625" bestFit="1" customWidth="1"/>
    <col min="4373" max="4373" width="7" bestFit="1" customWidth="1"/>
    <col min="4374" max="4374" width="7.85546875" bestFit="1" customWidth="1"/>
    <col min="4375" max="4375" width="7.28515625" bestFit="1" customWidth="1"/>
    <col min="4376" max="4376" width="7" bestFit="1" customWidth="1"/>
    <col min="4377" max="4377" width="7.85546875" bestFit="1" customWidth="1"/>
    <col min="4378" max="4378" width="8.5703125" bestFit="1" customWidth="1"/>
    <col min="4379" max="4379" width="8.140625" bestFit="1" customWidth="1"/>
    <col min="4380" max="4380" width="10.28515625" bestFit="1" customWidth="1"/>
    <col min="4381" max="4381" width="5.28515625" customWidth="1"/>
    <col min="4382" max="4382" width="7" bestFit="1" customWidth="1"/>
    <col min="4383" max="4383" width="7.28515625" bestFit="1" customWidth="1"/>
    <col min="4384" max="4384" width="7" bestFit="1" customWidth="1"/>
    <col min="4385" max="4385" width="9.140625" bestFit="1" customWidth="1"/>
    <col min="4386" max="4386" width="1.85546875" customWidth="1"/>
    <col min="4387" max="4387" width="1.7109375" customWidth="1"/>
    <col min="4388" max="4388" width="9" customWidth="1"/>
    <col min="4611" max="4611" width="27.7109375" customWidth="1"/>
    <col min="4612" max="4612" width="5.85546875" bestFit="1" customWidth="1"/>
    <col min="4614" max="4615" width="5" customWidth="1"/>
    <col min="4616" max="4616" width="9" bestFit="1" customWidth="1"/>
    <col min="4617" max="4617" width="8.140625" bestFit="1" customWidth="1"/>
    <col min="4618" max="4618" width="7" bestFit="1" customWidth="1"/>
    <col min="4619" max="4620" width="8.140625" bestFit="1" customWidth="1"/>
    <col min="4621" max="4621" width="7" bestFit="1" customWidth="1"/>
    <col min="4622" max="4622" width="7.140625" bestFit="1" customWidth="1"/>
    <col min="4623" max="4623" width="7.85546875" bestFit="1" customWidth="1"/>
    <col min="4624" max="4624" width="7" bestFit="1" customWidth="1"/>
    <col min="4625" max="4625" width="7.140625" bestFit="1" customWidth="1"/>
    <col min="4626" max="4626" width="7.85546875" bestFit="1" customWidth="1"/>
    <col min="4627" max="4627" width="11.7109375" bestFit="1" customWidth="1"/>
    <col min="4628" max="4628" width="7.28515625" bestFit="1" customWidth="1"/>
    <col min="4629" max="4629" width="7" bestFit="1" customWidth="1"/>
    <col min="4630" max="4630" width="7.85546875" bestFit="1" customWidth="1"/>
    <col min="4631" max="4631" width="7.28515625" bestFit="1" customWidth="1"/>
    <col min="4632" max="4632" width="7" bestFit="1" customWidth="1"/>
    <col min="4633" max="4633" width="7.85546875" bestFit="1" customWidth="1"/>
    <col min="4634" max="4634" width="8.5703125" bestFit="1" customWidth="1"/>
    <col min="4635" max="4635" width="8.140625" bestFit="1" customWidth="1"/>
    <col min="4636" max="4636" width="10.28515625" bestFit="1" customWidth="1"/>
    <col min="4637" max="4637" width="5.28515625" customWidth="1"/>
    <col min="4638" max="4638" width="7" bestFit="1" customWidth="1"/>
    <col min="4639" max="4639" width="7.28515625" bestFit="1" customWidth="1"/>
    <col min="4640" max="4640" width="7" bestFit="1" customWidth="1"/>
    <col min="4641" max="4641" width="9.140625" bestFit="1" customWidth="1"/>
    <col min="4642" max="4642" width="1.85546875" customWidth="1"/>
    <col min="4643" max="4643" width="1.7109375" customWidth="1"/>
    <col min="4644" max="4644" width="9" customWidth="1"/>
    <col min="4867" max="4867" width="27.7109375" customWidth="1"/>
    <col min="4868" max="4868" width="5.85546875" bestFit="1" customWidth="1"/>
    <col min="4870" max="4871" width="5" customWidth="1"/>
    <col min="4872" max="4872" width="9" bestFit="1" customWidth="1"/>
    <col min="4873" max="4873" width="8.140625" bestFit="1" customWidth="1"/>
    <col min="4874" max="4874" width="7" bestFit="1" customWidth="1"/>
    <col min="4875" max="4876" width="8.140625" bestFit="1" customWidth="1"/>
    <col min="4877" max="4877" width="7" bestFit="1" customWidth="1"/>
    <col min="4878" max="4878" width="7.140625" bestFit="1" customWidth="1"/>
    <col min="4879" max="4879" width="7.85546875" bestFit="1" customWidth="1"/>
    <col min="4880" max="4880" width="7" bestFit="1" customWidth="1"/>
    <col min="4881" max="4881" width="7.140625" bestFit="1" customWidth="1"/>
    <col min="4882" max="4882" width="7.85546875" bestFit="1" customWidth="1"/>
    <col min="4883" max="4883" width="11.7109375" bestFit="1" customWidth="1"/>
    <col min="4884" max="4884" width="7.28515625" bestFit="1" customWidth="1"/>
    <col min="4885" max="4885" width="7" bestFit="1" customWidth="1"/>
    <col min="4886" max="4886" width="7.85546875" bestFit="1" customWidth="1"/>
    <col min="4887" max="4887" width="7.28515625" bestFit="1" customWidth="1"/>
    <col min="4888" max="4888" width="7" bestFit="1" customWidth="1"/>
    <col min="4889" max="4889" width="7.85546875" bestFit="1" customWidth="1"/>
    <col min="4890" max="4890" width="8.5703125" bestFit="1" customWidth="1"/>
    <col min="4891" max="4891" width="8.140625" bestFit="1" customWidth="1"/>
    <col min="4892" max="4892" width="10.28515625" bestFit="1" customWidth="1"/>
    <col min="4893" max="4893" width="5.28515625" customWidth="1"/>
    <col min="4894" max="4894" width="7" bestFit="1" customWidth="1"/>
    <col min="4895" max="4895" width="7.28515625" bestFit="1" customWidth="1"/>
    <col min="4896" max="4896" width="7" bestFit="1" customWidth="1"/>
    <col min="4897" max="4897" width="9.140625" bestFit="1" customWidth="1"/>
    <col min="4898" max="4898" width="1.85546875" customWidth="1"/>
    <col min="4899" max="4899" width="1.7109375" customWidth="1"/>
    <col min="4900" max="4900" width="9" customWidth="1"/>
    <col min="5123" max="5123" width="27.7109375" customWidth="1"/>
    <col min="5124" max="5124" width="5.85546875" bestFit="1" customWidth="1"/>
    <col min="5126" max="5127" width="5" customWidth="1"/>
    <col min="5128" max="5128" width="9" bestFit="1" customWidth="1"/>
    <col min="5129" max="5129" width="8.140625" bestFit="1" customWidth="1"/>
    <col min="5130" max="5130" width="7" bestFit="1" customWidth="1"/>
    <col min="5131" max="5132" width="8.140625" bestFit="1" customWidth="1"/>
    <col min="5133" max="5133" width="7" bestFit="1" customWidth="1"/>
    <col min="5134" max="5134" width="7.140625" bestFit="1" customWidth="1"/>
    <col min="5135" max="5135" width="7.85546875" bestFit="1" customWidth="1"/>
    <col min="5136" max="5136" width="7" bestFit="1" customWidth="1"/>
    <col min="5137" max="5137" width="7.140625" bestFit="1" customWidth="1"/>
    <col min="5138" max="5138" width="7.85546875" bestFit="1" customWidth="1"/>
    <col min="5139" max="5139" width="11.7109375" bestFit="1" customWidth="1"/>
    <col min="5140" max="5140" width="7.28515625" bestFit="1" customWidth="1"/>
    <col min="5141" max="5141" width="7" bestFit="1" customWidth="1"/>
    <col min="5142" max="5142" width="7.85546875" bestFit="1" customWidth="1"/>
    <col min="5143" max="5143" width="7.28515625" bestFit="1" customWidth="1"/>
    <col min="5144" max="5144" width="7" bestFit="1" customWidth="1"/>
    <col min="5145" max="5145" width="7.85546875" bestFit="1" customWidth="1"/>
    <col min="5146" max="5146" width="8.5703125" bestFit="1" customWidth="1"/>
    <col min="5147" max="5147" width="8.140625" bestFit="1" customWidth="1"/>
    <col min="5148" max="5148" width="10.28515625" bestFit="1" customWidth="1"/>
    <col min="5149" max="5149" width="5.28515625" customWidth="1"/>
    <col min="5150" max="5150" width="7" bestFit="1" customWidth="1"/>
    <col min="5151" max="5151" width="7.28515625" bestFit="1" customWidth="1"/>
    <col min="5152" max="5152" width="7" bestFit="1" customWidth="1"/>
    <col min="5153" max="5153" width="9.140625" bestFit="1" customWidth="1"/>
    <col min="5154" max="5154" width="1.85546875" customWidth="1"/>
    <col min="5155" max="5155" width="1.7109375" customWidth="1"/>
    <col min="5156" max="5156" width="9" customWidth="1"/>
    <col min="5379" max="5379" width="27.7109375" customWidth="1"/>
    <col min="5380" max="5380" width="5.85546875" bestFit="1" customWidth="1"/>
    <col min="5382" max="5383" width="5" customWidth="1"/>
    <col min="5384" max="5384" width="9" bestFit="1" customWidth="1"/>
    <col min="5385" max="5385" width="8.140625" bestFit="1" customWidth="1"/>
    <col min="5386" max="5386" width="7" bestFit="1" customWidth="1"/>
    <col min="5387" max="5388" width="8.140625" bestFit="1" customWidth="1"/>
    <col min="5389" max="5389" width="7" bestFit="1" customWidth="1"/>
    <col min="5390" max="5390" width="7.140625" bestFit="1" customWidth="1"/>
    <col min="5391" max="5391" width="7.85546875" bestFit="1" customWidth="1"/>
    <col min="5392" max="5392" width="7" bestFit="1" customWidth="1"/>
    <col min="5393" max="5393" width="7.140625" bestFit="1" customWidth="1"/>
    <col min="5394" max="5394" width="7.85546875" bestFit="1" customWidth="1"/>
    <col min="5395" max="5395" width="11.7109375" bestFit="1" customWidth="1"/>
    <col min="5396" max="5396" width="7.28515625" bestFit="1" customWidth="1"/>
    <col min="5397" max="5397" width="7" bestFit="1" customWidth="1"/>
    <col min="5398" max="5398" width="7.85546875" bestFit="1" customWidth="1"/>
    <col min="5399" max="5399" width="7.28515625" bestFit="1" customWidth="1"/>
    <col min="5400" max="5400" width="7" bestFit="1" customWidth="1"/>
    <col min="5401" max="5401" width="7.85546875" bestFit="1" customWidth="1"/>
    <col min="5402" max="5402" width="8.5703125" bestFit="1" customWidth="1"/>
    <col min="5403" max="5403" width="8.140625" bestFit="1" customWidth="1"/>
    <col min="5404" max="5404" width="10.28515625" bestFit="1" customWidth="1"/>
    <col min="5405" max="5405" width="5.28515625" customWidth="1"/>
    <col min="5406" max="5406" width="7" bestFit="1" customWidth="1"/>
    <col min="5407" max="5407" width="7.28515625" bestFit="1" customWidth="1"/>
    <col min="5408" max="5408" width="7" bestFit="1" customWidth="1"/>
    <col min="5409" max="5409" width="9.140625" bestFit="1" customWidth="1"/>
    <col min="5410" max="5410" width="1.85546875" customWidth="1"/>
    <col min="5411" max="5411" width="1.7109375" customWidth="1"/>
    <col min="5412" max="5412" width="9" customWidth="1"/>
    <col min="5635" max="5635" width="27.7109375" customWidth="1"/>
    <col min="5636" max="5636" width="5.85546875" bestFit="1" customWidth="1"/>
    <col min="5638" max="5639" width="5" customWidth="1"/>
    <col min="5640" max="5640" width="9" bestFit="1" customWidth="1"/>
    <col min="5641" max="5641" width="8.140625" bestFit="1" customWidth="1"/>
    <col min="5642" max="5642" width="7" bestFit="1" customWidth="1"/>
    <col min="5643" max="5644" width="8.140625" bestFit="1" customWidth="1"/>
    <col min="5645" max="5645" width="7" bestFit="1" customWidth="1"/>
    <col min="5646" max="5646" width="7.140625" bestFit="1" customWidth="1"/>
    <col min="5647" max="5647" width="7.85546875" bestFit="1" customWidth="1"/>
    <col min="5648" max="5648" width="7" bestFit="1" customWidth="1"/>
    <col min="5649" max="5649" width="7.140625" bestFit="1" customWidth="1"/>
    <col min="5650" max="5650" width="7.85546875" bestFit="1" customWidth="1"/>
    <col min="5651" max="5651" width="11.7109375" bestFit="1" customWidth="1"/>
    <col min="5652" max="5652" width="7.28515625" bestFit="1" customWidth="1"/>
    <col min="5653" max="5653" width="7" bestFit="1" customWidth="1"/>
    <col min="5654" max="5654" width="7.85546875" bestFit="1" customWidth="1"/>
    <col min="5655" max="5655" width="7.28515625" bestFit="1" customWidth="1"/>
    <col min="5656" max="5656" width="7" bestFit="1" customWidth="1"/>
    <col min="5657" max="5657" width="7.85546875" bestFit="1" customWidth="1"/>
    <col min="5658" max="5658" width="8.5703125" bestFit="1" customWidth="1"/>
    <col min="5659" max="5659" width="8.140625" bestFit="1" customWidth="1"/>
    <col min="5660" max="5660" width="10.28515625" bestFit="1" customWidth="1"/>
    <col min="5661" max="5661" width="5.28515625" customWidth="1"/>
    <col min="5662" max="5662" width="7" bestFit="1" customWidth="1"/>
    <col min="5663" max="5663" width="7.28515625" bestFit="1" customWidth="1"/>
    <col min="5664" max="5664" width="7" bestFit="1" customWidth="1"/>
    <col min="5665" max="5665" width="9.140625" bestFit="1" customWidth="1"/>
    <col min="5666" max="5666" width="1.85546875" customWidth="1"/>
    <col min="5667" max="5667" width="1.7109375" customWidth="1"/>
    <col min="5668" max="5668" width="9" customWidth="1"/>
    <col min="5891" max="5891" width="27.7109375" customWidth="1"/>
    <col min="5892" max="5892" width="5.85546875" bestFit="1" customWidth="1"/>
    <col min="5894" max="5895" width="5" customWidth="1"/>
    <col min="5896" max="5896" width="9" bestFit="1" customWidth="1"/>
    <col min="5897" max="5897" width="8.140625" bestFit="1" customWidth="1"/>
    <col min="5898" max="5898" width="7" bestFit="1" customWidth="1"/>
    <col min="5899" max="5900" width="8.140625" bestFit="1" customWidth="1"/>
    <col min="5901" max="5901" width="7" bestFit="1" customWidth="1"/>
    <col min="5902" max="5902" width="7.140625" bestFit="1" customWidth="1"/>
    <col min="5903" max="5903" width="7.85546875" bestFit="1" customWidth="1"/>
    <col min="5904" max="5904" width="7" bestFit="1" customWidth="1"/>
    <col min="5905" max="5905" width="7.140625" bestFit="1" customWidth="1"/>
    <col min="5906" max="5906" width="7.85546875" bestFit="1" customWidth="1"/>
    <col min="5907" max="5907" width="11.7109375" bestFit="1" customWidth="1"/>
    <col min="5908" max="5908" width="7.28515625" bestFit="1" customWidth="1"/>
    <col min="5909" max="5909" width="7" bestFit="1" customWidth="1"/>
    <col min="5910" max="5910" width="7.85546875" bestFit="1" customWidth="1"/>
    <col min="5911" max="5911" width="7.28515625" bestFit="1" customWidth="1"/>
    <col min="5912" max="5912" width="7" bestFit="1" customWidth="1"/>
    <col min="5913" max="5913" width="7.85546875" bestFit="1" customWidth="1"/>
    <col min="5914" max="5914" width="8.5703125" bestFit="1" customWidth="1"/>
    <col min="5915" max="5915" width="8.140625" bestFit="1" customWidth="1"/>
    <col min="5916" max="5916" width="10.28515625" bestFit="1" customWidth="1"/>
    <col min="5917" max="5917" width="5.28515625" customWidth="1"/>
    <col min="5918" max="5918" width="7" bestFit="1" customWidth="1"/>
    <col min="5919" max="5919" width="7.28515625" bestFit="1" customWidth="1"/>
    <col min="5920" max="5920" width="7" bestFit="1" customWidth="1"/>
    <col min="5921" max="5921" width="9.140625" bestFit="1" customWidth="1"/>
    <col min="5922" max="5922" width="1.85546875" customWidth="1"/>
    <col min="5923" max="5923" width="1.7109375" customWidth="1"/>
    <col min="5924" max="5924" width="9" customWidth="1"/>
    <col min="6147" max="6147" width="27.7109375" customWidth="1"/>
    <col min="6148" max="6148" width="5.85546875" bestFit="1" customWidth="1"/>
    <col min="6150" max="6151" width="5" customWidth="1"/>
    <col min="6152" max="6152" width="9" bestFit="1" customWidth="1"/>
    <col min="6153" max="6153" width="8.140625" bestFit="1" customWidth="1"/>
    <col min="6154" max="6154" width="7" bestFit="1" customWidth="1"/>
    <col min="6155" max="6156" width="8.140625" bestFit="1" customWidth="1"/>
    <col min="6157" max="6157" width="7" bestFit="1" customWidth="1"/>
    <col min="6158" max="6158" width="7.140625" bestFit="1" customWidth="1"/>
    <col min="6159" max="6159" width="7.85546875" bestFit="1" customWidth="1"/>
    <col min="6160" max="6160" width="7" bestFit="1" customWidth="1"/>
    <col min="6161" max="6161" width="7.140625" bestFit="1" customWidth="1"/>
    <col min="6162" max="6162" width="7.85546875" bestFit="1" customWidth="1"/>
    <col min="6163" max="6163" width="11.7109375" bestFit="1" customWidth="1"/>
    <col min="6164" max="6164" width="7.28515625" bestFit="1" customWidth="1"/>
    <col min="6165" max="6165" width="7" bestFit="1" customWidth="1"/>
    <col min="6166" max="6166" width="7.85546875" bestFit="1" customWidth="1"/>
    <col min="6167" max="6167" width="7.28515625" bestFit="1" customWidth="1"/>
    <col min="6168" max="6168" width="7" bestFit="1" customWidth="1"/>
    <col min="6169" max="6169" width="7.85546875" bestFit="1" customWidth="1"/>
    <col min="6170" max="6170" width="8.5703125" bestFit="1" customWidth="1"/>
    <col min="6171" max="6171" width="8.140625" bestFit="1" customWidth="1"/>
    <col min="6172" max="6172" width="10.28515625" bestFit="1" customWidth="1"/>
    <col min="6173" max="6173" width="5.28515625" customWidth="1"/>
    <col min="6174" max="6174" width="7" bestFit="1" customWidth="1"/>
    <col min="6175" max="6175" width="7.28515625" bestFit="1" customWidth="1"/>
    <col min="6176" max="6176" width="7" bestFit="1" customWidth="1"/>
    <col min="6177" max="6177" width="9.140625" bestFit="1" customWidth="1"/>
    <col min="6178" max="6178" width="1.85546875" customWidth="1"/>
    <col min="6179" max="6179" width="1.7109375" customWidth="1"/>
    <col min="6180" max="6180" width="9" customWidth="1"/>
    <col min="6403" max="6403" width="27.7109375" customWidth="1"/>
    <col min="6404" max="6404" width="5.85546875" bestFit="1" customWidth="1"/>
    <col min="6406" max="6407" width="5" customWidth="1"/>
    <col min="6408" max="6408" width="9" bestFit="1" customWidth="1"/>
    <col min="6409" max="6409" width="8.140625" bestFit="1" customWidth="1"/>
    <col min="6410" max="6410" width="7" bestFit="1" customWidth="1"/>
    <col min="6411" max="6412" width="8.140625" bestFit="1" customWidth="1"/>
    <col min="6413" max="6413" width="7" bestFit="1" customWidth="1"/>
    <col min="6414" max="6414" width="7.140625" bestFit="1" customWidth="1"/>
    <col min="6415" max="6415" width="7.85546875" bestFit="1" customWidth="1"/>
    <col min="6416" max="6416" width="7" bestFit="1" customWidth="1"/>
    <col min="6417" max="6417" width="7.140625" bestFit="1" customWidth="1"/>
    <col min="6418" max="6418" width="7.85546875" bestFit="1" customWidth="1"/>
    <col min="6419" max="6419" width="11.7109375" bestFit="1" customWidth="1"/>
    <col min="6420" max="6420" width="7.28515625" bestFit="1" customWidth="1"/>
    <col min="6421" max="6421" width="7" bestFit="1" customWidth="1"/>
    <col min="6422" max="6422" width="7.85546875" bestFit="1" customWidth="1"/>
    <col min="6423" max="6423" width="7.28515625" bestFit="1" customWidth="1"/>
    <col min="6424" max="6424" width="7" bestFit="1" customWidth="1"/>
    <col min="6425" max="6425" width="7.85546875" bestFit="1" customWidth="1"/>
    <col min="6426" max="6426" width="8.5703125" bestFit="1" customWidth="1"/>
    <col min="6427" max="6427" width="8.140625" bestFit="1" customWidth="1"/>
    <col min="6428" max="6428" width="10.28515625" bestFit="1" customWidth="1"/>
    <col min="6429" max="6429" width="5.28515625" customWidth="1"/>
    <col min="6430" max="6430" width="7" bestFit="1" customWidth="1"/>
    <col min="6431" max="6431" width="7.28515625" bestFit="1" customWidth="1"/>
    <col min="6432" max="6432" width="7" bestFit="1" customWidth="1"/>
    <col min="6433" max="6433" width="9.140625" bestFit="1" customWidth="1"/>
    <col min="6434" max="6434" width="1.85546875" customWidth="1"/>
    <col min="6435" max="6435" width="1.7109375" customWidth="1"/>
    <col min="6436" max="6436" width="9" customWidth="1"/>
    <col min="6659" max="6659" width="27.7109375" customWidth="1"/>
    <col min="6660" max="6660" width="5.85546875" bestFit="1" customWidth="1"/>
    <col min="6662" max="6663" width="5" customWidth="1"/>
    <col min="6664" max="6664" width="9" bestFit="1" customWidth="1"/>
    <col min="6665" max="6665" width="8.140625" bestFit="1" customWidth="1"/>
    <col min="6666" max="6666" width="7" bestFit="1" customWidth="1"/>
    <col min="6667" max="6668" width="8.140625" bestFit="1" customWidth="1"/>
    <col min="6669" max="6669" width="7" bestFit="1" customWidth="1"/>
    <col min="6670" max="6670" width="7.140625" bestFit="1" customWidth="1"/>
    <col min="6671" max="6671" width="7.85546875" bestFit="1" customWidth="1"/>
    <col min="6672" max="6672" width="7" bestFit="1" customWidth="1"/>
    <col min="6673" max="6673" width="7.140625" bestFit="1" customWidth="1"/>
    <col min="6674" max="6674" width="7.85546875" bestFit="1" customWidth="1"/>
    <col min="6675" max="6675" width="11.7109375" bestFit="1" customWidth="1"/>
    <col min="6676" max="6676" width="7.28515625" bestFit="1" customWidth="1"/>
    <col min="6677" max="6677" width="7" bestFit="1" customWidth="1"/>
    <col min="6678" max="6678" width="7.85546875" bestFit="1" customWidth="1"/>
    <col min="6679" max="6679" width="7.28515625" bestFit="1" customWidth="1"/>
    <col min="6680" max="6680" width="7" bestFit="1" customWidth="1"/>
    <col min="6681" max="6681" width="7.85546875" bestFit="1" customWidth="1"/>
    <col min="6682" max="6682" width="8.5703125" bestFit="1" customWidth="1"/>
    <col min="6683" max="6683" width="8.140625" bestFit="1" customWidth="1"/>
    <col min="6684" max="6684" width="10.28515625" bestFit="1" customWidth="1"/>
    <col min="6685" max="6685" width="5.28515625" customWidth="1"/>
    <col min="6686" max="6686" width="7" bestFit="1" customWidth="1"/>
    <col min="6687" max="6687" width="7.28515625" bestFit="1" customWidth="1"/>
    <col min="6688" max="6688" width="7" bestFit="1" customWidth="1"/>
    <col min="6689" max="6689" width="9.140625" bestFit="1" customWidth="1"/>
    <col min="6690" max="6690" width="1.85546875" customWidth="1"/>
    <col min="6691" max="6691" width="1.7109375" customWidth="1"/>
    <col min="6692" max="6692" width="9" customWidth="1"/>
    <col min="6915" max="6915" width="27.7109375" customWidth="1"/>
    <col min="6916" max="6916" width="5.85546875" bestFit="1" customWidth="1"/>
    <col min="6918" max="6919" width="5" customWidth="1"/>
    <col min="6920" max="6920" width="9" bestFit="1" customWidth="1"/>
    <col min="6921" max="6921" width="8.140625" bestFit="1" customWidth="1"/>
    <col min="6922" max="6922" width="7" bestFit="1" customWidth="1"/>
    <col min="6923" max="6924" width="8.140625" bestFit="1" customWidth="1"/>
    <col min="6925" max="6925" width="7" bestFit="1" customWidth="1"/>
    <col min="6926" max="6926" width="7.140625" bestFit="1" customWidth="1"/>
    <col min="6927" max="6927" width="7.85546875" bestFit="1" customWidth="1"/>
    <col min="6928" max="6928" width="7" bestFit="1" customWidth="1"/>
    <col min="6929" max="6929" width="7.140625" bestFit="1" customWidth="1"/>
    <col min="6930" max="6930" width="7.85546875" bestFit="1" customWidth="1"/>
    <col min="6931" max="6931" width="11.7109375" bestFit="1" customWidth="1"/>
    <col min="6932" max="6932" width="7.28515625" bestFit="1" customWidth="1"/>
    <col min="6933" max="6933" width="7" bestFit="1" customWidth="1"/>
    <col min="6934" max="6934" width="7.85546875" bestFit="1" customWidth="1"/>
    <col min="6935" max="6935" width="7.28515625" bestFit="1" customWidth="1"/>
    <col min="6936" max="6936" width="7" bestFit="1" customWidth="1"/>
    <col min="6937" max="6937" width="7.85546875" bestFit="1" customWidth="1"/>
    <col min="6938" max="6938" width="8.5703125" bestFit="1" customWidth="1"/>
    <col min="6939" max="6939" width="8.140625" bestFit="1" customWidth="1"/>
    <col min="6940" max="6940" width="10.28515625" bestFit="1" customWidth="1"/>
    <col min="6941" max="6941" width="5.28515625" customWidth="1"/>
    <col min="6942" max="6942" width="7" bestFit="1" customWidth="1"/>
    <col min="6943" max="6943" width="7.28515625" bestFit="1" customWidth="1"/>
    <col min="6944" max="6944" width="7" bestFit="1" customWidth="1"/>
    <col min="6945" max="6945" width="9.140625" bestFit="1" customWidth="1"/>
    <col min="6946" max="6946" width="1.85546875" customWidth="1"/>
    <col min="6947" max="6947" width="1.7109375" customWidth="1"/>
    <col min="6948" max="6948" width="9" customWidth="1"/>
    <col min="7171" max="7171" width="27.7109375" customWidth="1"/>
    <col min="7172" max="7172" width="5.85546875" bestFit="1" customWidth="1"/>
    <col min="7174" max="7175" width="5" customWidth="1"/>
    <col min="7176" max="7176" width="9" bestFit="1" customWidth="1"/>
    <col min="7177" max="7177" width="8.140625" bestFit="1" customWidth="1"/>
    <col min="7178" max="7178" width="7" bestFit="1" customWidth="1"/>
    <col min="7179" max="7180" width="8.140625" bestFit="1" customWidth="1"/>
    <col min="7181" max="7181" width="7" bestFit="1" customWidth="1"/>
    <col min="7182" max="7182" width="7.140625" bestFit="1" customWidth="1"/>
    <col min="7183" max="7183" width="7.85546875" bestFit="1" customWidth="1"/>
    <col min="7184" max="7184" width="7" bestFit="1" customWidth="1"/>
    <col min="7185" max="7185" width="7.140625" bestFit="1" customWidth="1"/>
    <col min="7186" max="7186" width="7.85546875" bestFit="1" customWidth="1"/>
    <col min="7187" max="7187" width="11.7109375" bestFit="1" customWidth="1"/>
    <col min="7188" max="7188" width="7.28515625" bestFit="1" customWidth="1"/>
    <col min="7189" max="7189" width="7" bestFit="1" customWidth="1"/>
    <col min="7190" max="7190" width="7.85546875" bestFit="1" customWidth="1"/>
    <col min="7191" max="7191" width="7.28515625" bestFit="1" customWidth="1"/>
    <col min="7192" max="7192" width="7" bestFit="1" customWidth="1"/>
    <col min="7193" max="7193" width="7.85546875" bestFit="1" customWidth="1"/>
    <col min="7194" max="7194" width="8.5703125" bestFit="1" customWidth="1"/>
    <col min="7195" max="7195" width="8.140625" bestFit="1" customWidth="1"/>
    <col min="7196" max="7196" width="10.28515625" bestFit="1" customWidth="1"/>
    <col min="7197" max="7197" width="5.28515625" customWidth="1"/>
    <col min="7198" max="7198" width="7" bestFit="1" customWidth="1"/>
    <col min="7199" max="7199" width="7.28515625" bestFit="1" customWidth="1"/>
    <col min="7200" max="7200" width="7" bestFit="1" customWidth="1"/>
    <col min="7201" max="7201" width="9.140625" bestFit="1" customWidth="1"/>
    <col min="7202" max="7202" width="1.85546875" customWidth="1"/>
    <col min="7203" max="7203" width="1.7109375" customWidth="1"/>
    <col min="7204" max="7204" width="9" customWidth="1"/>
    <col min="7427" max="7427" width="27.7109375" customWidth="1"/>
    <col min="7428" max="7428" width="5.85546875" bestFit="1" customWidth="1"/>
    <col min="7430" max="7431" width="5" customWidth="1"/>
    <col min="7432" max="7432" width="9" bestFit="1" customWidth="1"/>
    <col min="7433" max="7433" width="8.140625" bestFit="1" customWidth="1"/>
    <col min="7434" max="7434" width="7" bestFit="1" customWidth="1"/>
    <col min="7435" max="7436" width="8.140625" bestFit="1" customWidth="1"/>
    <col min="7437" max="7437" width="7" bestFit="1" customWidth="1"/>
    <col min="7438" max="7438" width="7.140625" bestFit="1" customWidth="1"/>
    <col min="7439" max="7439" width="7.85546875" bestFit="1" customWidth="1"/>
    <col min="7440" max="7440" width="7" bestFit="1" customWidth="1"/>
    <col min="7441" max="7441" width="7.140625" bestFit="1" customWidth="1"/>
    <col min="7442" max="7442" width="7.85546875" bestFit="1" customWidth="1"/>
    <col min="7443" max="7443" width="11.7109375" bestFit="1" customWidth="1"/>
    <col min="7444" max="7444" width="7.28515625" bestFit="1" customWidth="1"/>
    <col min="7445" max="7445" width="7" bestFit="1" customWidth="1"/>
    <col min="7446" max="7446" width="7.85546875" bestFit="1" customWidth="1"/>
    <col min="7447" max="7447" width="7.28515625" bestFit="1" customWidth="1"/>
    <col min="7448" max="7448" width="7" bestFit="1" customWidth="1"/>
    <col min="7449" max="7449" width="7.85546875" bestFit="1" customWidth="1"/>
    <col min="7450" max="7450" width="8.5703125" bestFit="1" customWidth="1"/>
    <col min="7451" max="7451" width="8.140625" bestFit="1" customWidth="1"/>
    <col min="7452" max="7452" width="10.28515625" bestFit="1" customWidth="1"/>
    <col min="7453" max="7453" width="5.28515625" customWidth="1"/>
    <col min="7454" max="7454" width="7" bestFit="1" customWidth="1"/>
    <col min="7455" max="7455" width="7.28515625" bestFit="1" customWidth="1"/>
    <col min="7456" max="7456" width="7" bestFit="1" customWidth="1"/>
    <col min="7457" max="7457" width="9.140625" bestFit="1" customWidth="1"/>
    <col min="7458" max="7458" width="1.85546875" customWidth="1"/>
    <col min="7459" max="7459" width="1.7109375" customWidth="1"/>
    <col min="7460" max="7460" width="9" customWidth="1"/>
    <col min="7683" max="7683" width="27.7109375" customWidth="1"/>
    <col min="7684" max="7684" width="5.85546875" bestFit="1" customWidth="1"/>
    <col min="7686" max="7687" width="5" customWidth="1"/>
    <col min="7688" max="7688" width="9" bestFit="1" customWidth="1"/>
    <col min="7689" max="7689" width="8.140625" bestFit="1" customWidth="1"/>
    <col min="7690" max="7690" width="7" bestFit="1" customWidth="1"/>
    <col min="7691" max="7692" width="8.140625" bestFit="1" customWidth="1"/>
    <col min="7693" max="7693" width="7" bestFit="1" customWidth="1"/>
    <col min="7694" max="7694" width="7.140625" bestFit="1" customWidth="1"/>
    <col min="7695" max="7695" width="7.85546875" bestFit="1" customWidth="1"/>
    <col min="7696" max="7696" width="7" bestFit="1" customWidth="1"/>
    <col min="7697" max="7697" width="7.140625" bestFit="1" customWidth="1"/>
    <col min="7698" max="7698" width="7.85546875" bestFit="1" customWidth="1"/>
    <col min="7699" max="7699" width="11.7109375" bestFit="1" customWidth="1"/>
    <col min="7700" max="7700" width="7.28515625" bestFit="1" customWidth="1"/>
    <col min="7701" max="7701" width="7" bestFit="1" customWidth="1"/>
    <col min="7702" max="7702" width="7.85546875" bestFit="1" customWidth="1"/>
    <col min="7703" max="7703" width="7.28515625" bestFit="1" customWidth="1"/>
    <col min="7704" max="7704" width="7" bestFit="1" customWidth="1"/>
    <col min="7705" max="7705" width="7.85546875" bestFit="1" customWidth="1"/>
    <col min="7706" max="7706" width="8.5703125" bestFit="1" customWidth="1"/>
    <col min="7707" max="7707" width="8.140625" bestFit="1" customWidth="1"/>
    <col min="7708" max="7708" width="10.28515625" bestFit="1" customWidth="1"/>
    <col min="7709" max="7709" width="5.28515625" customWidth="1"/>
    <col min="7710" max="7710" width="7" bestFit="1" customWidth="1"/>
    <col min="7711" max="7711" width="7.28515625" bestFit="1" customWidth="1"/>
    <col min="7712" max="7712" width="7" bestFit="1" customWidth="1"/>
    <col min="7713" max="7713" width="9.140625" bestFit="1" customWidth="1"/>
    <col min="7714" max="7714" width="1.85546875" customWidth="1"/>
    <col min="7715" max="7715" width="1.7109375" customWidth="1"/>
    <col min="7716" max="7716" width="9" customWidth="1"/>
    <col min="7939" max="7939" width="27.7109375" customWidth="1"/>
    <col min="7940" max="7940" width="5.85546875" bestFit="1" customWidth="1"/>
    <col min="7942" max="7943" width="5" customWidth="1"/>
    <col min="7944" max="7944" width="9" bestFit="1" customWidth="1"/>
    <col min="7945" max="7945" width="8.140625" bestFit="1" customWidth="1"/>
    <col min="7946" max="7946" width="7" bestFit="1" customWidth="1"/>
    <col min="7947" max="7948" width="8.140625" bestFit="1" customWidth="1"/>
    <col min="7949" max="7949" width="7" bestFit="1" customWidth="1"/>
    <col min="7950" max="7950" width="7.140625" bestFit="1" customWidth="1"/>
    <col min="7951" max="7951" width="7.85546875" bestFit="1" customWidth="1"/>
    <col min="7952" max="7952" width="7" bestFit="1" customWidth="1"/>
    <col min="7953" max="7953" width="7.140625" bestFit="1" customWidth="1"/>
    <col min="7954" max="7954" width="7.85546875" bestFit="1" customWidth="1"/>
    <col min="7955" max="7955" width="11.7109375" bestFit="1" customWidth="1"/>
    <col min="7956" max="7956" width="7.28515625" bestFit="1" customWidth="1"/>
    <col min="7957" max="7957" width="7" bestFit="1" customWidth="1"/>
    <col min="7958" max="7958" width="7.85546875" bestFit="1" customWidth="1"/>
    <col min="7959" max="7959" width="7.28515625" bestFit="1" customWidth="1"/>
    <col min="7960" max="7960" width="7" bestFit="1" customWidth="1"/>
    <col min="7961" max="7961" width="7.85546875" bestFit="1" customWidth="1"/>
    <col min="7962" max="7962" width="8.5703125" bestFit="1" customWidth="1"/>
    <col min="7963" max="7963" width="8.140625" bestFit="1" customWidth="1"/>
    <col min="7964" max="7964" width="10.28515625" bestFit="1" customWidth="1"/>
    <col min="7965" max="7965" width="5.28515625" customWidth="1"/>
    <col min="7966" max="7966" width="7" bestFit="1" customWidth="1"/>
    <col min="7967" max="7967" width="7.28515625" bestFit="1" customWidth="1"/>
    <col min="7968" max="7968" width="7" bestFit="1" customWidth="1"/>
    <col min="7969" max="7969" width="9.140625" bestFit="1" customWidth="1"/>
    <col min="7970" max="7970" width="1.85546875" customWidth="1"/>
    <col min="7971" max="7971" width="1.7109375" customWidth="1"/>
    <col min="7972" max="7972" width="9" customWidth="1"/>
    <col min="8195" max="8195" width="27.7109375" customWidth="1"/>
    <col min="8196" max="8196" width="5.85546875" bestFit="1" customWidth="1"/>
    <col min="8198" max="8199" width="5" customWidth="1"/>
    <col min="8200" max="8200" width="9" bestFit="1" customWidth="1"/>
    <col min="8201" max="8201" width="8.140625" bestFit="1" customWidth="1"/>
    <col min="8202" max="8202" width="7" bestFit="1" customWidth="1"/>
    <col min="8203" max="8204" width="8.140625" bestFit="1" customWidth="1"/>
    <col min="8205" max="8205" width="7" bestFit="1" customWidth="1"/>
    <col min="8206" max="8206" width="7.140625" bestFit="1" customWidth="1"/>
    <col min="8207" max="8207" width="7.85546875" bestFit="1" customWidth="1"/>
    <col min="8208" max="8208" width="7" bestFit="1" customWidth="1"/>
    <col min="8209" max="8209" width="7.140625" bestFit="1" customWidth="1"/>
    <col min="8210" max="8210" width="7.85546875" bestFit="1" customWidth="1"/>
    <col min="8211" max="8211" width="11.7109375" bestFit="1" customWidth="1"/>
    <col min="8212" max="8212" width="7.28515625" bestFit="1" customWidth="1"/>
    <col min="8213" max="8213" width="7" bestFit="1" customWidth="1"/>
    <col min="8214" max="8214" width="7.85546875" bestFit="1" customWidth="1"/>
    <col min="8215" max="8215" width="7.28515625" bestFit="1" customWidth="1"/>
    <col min="8216" max="8216" width="7" bestFit="1" customWidth="1"/>
    <col min="8217" max="8217" width="7.85546875" bestFit="1" customWidth="1"/>
    <col min="8218" max="8218" width="8.5703125" bestFit="1" customWidth="1"/>
    <col min="8219" max="8219" width="8.140625" bestFit="1" customWidth="1"/>
    <col min="8220" max="8220" width="10.28515625" bestFit="1" customWidth="1"/>
    <col min="8221" max="8221" width="5.28515625" customWidth="1"/>
    <col min="8222" max="8222" width="7" bestFit="1" customWidth="1"/>
    <col min="8223" max="8223" width="7.28515625" bestFit="1" customWidth="1"/>
    <col min="8224" max="8224" width="7" bestFit="1" customWidth="1"/>
    <col min="8225" max="8225" width="9.140625" bestFit="1" customWidth="1"/>
    <col min="8226" max="8226" width="1.85546875" customWidth="1"/>
    <col min="8227" max="8227" width="1.7109375" customWidth="1"/>
    <col min="8228" max="8228" width="9" customWidth="1"/>
    <col min="8451" max="8451" width="27.7109375" customWidth="1"/>
    <col min="8452" max="8452" width="5.85546875" bestFit="1" customWidth="1"/>
    <col min="8454" max="8455" width="5" customWidth="1"/>
    <col min="8456" max="8456" width="9" bestFit="1" customWidth="1"/>
    <col min="8457" max="8457" width="8.140625" bestFit="1" customWidth="1"/>
    <col min="8458" max="8458" width="7" bestFit="1" customWidth="1"/>
    <col min="8459" max="8460" width="8.140625" bestFit="1" customWidth="1"/>
    <col min="8461" max="8461" width="7" bestFit="1" customWidth="1"/>
    <col min="8462" max="8462" width="7.140625" bestFit="1" customWidth="1"/>
    <col min="8463" max="8463" width="7.85546875" bestFit="1" customWidth="1"/>
    <col min="8464" max="8464" width="7" bestFit="1" customWidth="1"/>
    <col min="8465" max="8465" width="7.140625" bestFit="1" customWidth="1"/>
    <col min="8466" max="8466" width="7.85546875" bestFit="1" customWidth="1"/>
    <col min="8467" max="8467" width="11.7109375" bestFit="1" customWidth="1"/>
    <col min="8468" max="8468" width="7.28515625" bestFit="1" customWidth="1"/>
    <col min="8469" max="8469" width="7" bestFit="1" customWidth="1"/>
    <col min="8470" max="8470" width="7.85546875" bestFit="1" customWidth="1"/>
    <col min="8471" max="8471" width="7.28515625" bestFit="1" customWidth="1"/>
    <col min="8472" max="8472" width="7" bestFit="1" customWidth="1"/>
    <col min="8473" max="8473" width="7.85546875" bestFit="1" customWidth="1"/>
    <col min="8474" max="8474" width="8.5703125" bestFit="1" customWidth="1"/>
    <col min="8475" max="8475" width="8.140625" bestFit="1" customWidth="1"/>
    <col min="8476" max="8476" width="10.28515625" bestFit="1" customWidth="1"/>
    <col min="8477" max="8477" width="5.28515625" customWidth="1"/>
    <col min="8478" max="8478" width="7" bestFit="1" customWidth="1"/>
    <col min="8479" max="8479" width="7.28515625" bestFit="1" customWidth="1"/>
    <col min="8480" max="8480" width="7" bestFit="1" customWidth="1"/>
    <col min="8481" max="8481" width="9.140625" bestFit="1" customWidth="1"/>
    <col min="8482" max="8482" width="1.85546875" customWidth="1"/>
    <col min="8483" max="8483" width="1.7109375" customWidth="1"/>
    <col min="8484" max="8484" width="9" customWidth="1"/>
    <col min="8707" max="8707" width="27.7109375" customWidth="1"/>
    <col min="8708" max="8708" width="5.85546875" bestFit="1" customWidth="1"/>
    <col min="8710" max="8711" width="5" customWidth="1"/>
    <col min="8712" max="8712" width="9" bestFit="1" customWidth="1"/>
    <col min="8713" max="8713" width="8.140625" bestFit="1" customWidth="1"/>
    <col min="8714" max="8714" width="7" bestFit="1" customWidth="1"/>
    <col min="8715" max="8716" width="8.140625" bestFit="1" customWidth="1"/>
    <col min="8717" max="8717" width="7" bestFit="1" customWidth="1"/>
    <col min="8718" max="8718" width="7.140625" bestFit="1" customWidth="1"/>
    <col min="8719" max="8719" width="7.85546875" bestFit="1" customWidth="1"/>
    <col min="8720" max="8720" width="7" bestFit="1" customWidth="1"/>
    <col min="8721" max="8721" width="7.140625" bestFit="1" customWidth="1"/>
    <col min="8722" max="8722" width="7.85546875" bestFit="1" customWidth="1"/>
    <col min="8723" max="8723" width="11.7109375" bestFit="1" customWidth="1"/>
    <col min="8724" max="8724" width="7.28515625" bestFit="1" customWidth="1"/>
    <col min="8725" max="8725" width="7" bestFit="1" customWidth="1"/>
    <col min="8726" max="8726" width="7.85546875" bestFit="1" customWidth="1"/>
    <col min="8727" max="8727" width="7.28515625" bestFit="1" customWidth="1"/>
    <col min="8728" max="8728" width="7" bestFit="1" customWidth="1"/>
    <col min="8729" max="8729" width="7.85546875" bestFit="1" customWidth="1"/>
    <col min="8730" max="8730" width="8.5703125" bestFit="1" customWidth="1"/>
    <col min="8731" max="8731" width="8.140625" bestFit="1" customWidth="1"/>
    <col min="8732" max="8732" width="10.28515625" bestFit="1" customWidth="1"/>
    <col min="8733" max="8733" width="5.28515625" customWidth="1"/>
    <col min="8734" max="8734" width="7" bestFit="1" customWidth="1"/>
    <col min="8735" max="8735" width="7.28515625" bestFit="1" customWidth="1"/>
    <col min="8736" max="8736" width="7" bestFit="1" customWidth="1"/>
    <col min="8737" max="8737" width="9.140625" bestFit="1" customWidth="1"/>
    <col min="8738" max="8738" width="1.85546875" customWidth="1"/>
    <col min="8739" max="8739" width="1.7109375" customWidth="1"/>
    <col min="8740" max="8740" width="9" customWidth="1"/>
    <col min="8963" max="8963" width="27.7109375" customWidth="1"/>
    <col min="8964" max="8964" width="5.85546875" bestFit="1" customWidth="1"/>
    <col min="8966" max="8967" width="5" customWidth="1"/>
    <col min="8968" max="8968" width="9" bestFit="1" customWidth="1"/>
    <col min="8969" max="8969" width="8.140625" bestFit="1" customWidth="1"/>
    <col min="8970" max="8970" width="7" bestFit="1" customWidth="1"/>
    <col min="8971" max="8972" width="8.140625" bestFit="1" customWidth="1"/>
    <col min="8973" max="8973" width="7" bestFit="1" customWidth="1"/>
    <col min="8974" max="8974" width="7.140625" bestFit="1" customWidth="1"/>
    <col min="8975" max="8975" width="7.85546875" bestFit="1" customWidth="1"/>
    <col min="8976" max="8976" width="7" bestFit="1" customWidth="1"/>
    <col min="8977" max="8977" width="7.140625" bestFit="1" customWidth="1"/>
    <col min="8978" max="8978" width="7.85546875" bestFit="1" customWidth="1"/>
    <col min="8979" max="8979" width="11.7109375" bestFit="1" customWidth="1"/>
    <col min="8980" max="8980" width="7.28515625" bestFit="1" customWidth="1"/>
    <col min="8981" max="8981" width="7" bestFit="1" customWidth="1"/>
    <col min="8982" max="8982" width="7.85546875" bestFit="1" customWidth="1"/>
    <col min="8983" max="8983" width="7.28515625" bestFit="1" customWidth="1"/>
    <col min="8984" max="8984" width="7" bestFit="1" customWidth="1"/>
    <col min="8985" max="8985" width="7.85546875" bestFit="1" customWidth="1"/>
    <col min="8986" max="8986" width="8.5703125" bestFit="1" customWidth="1"/>
    <col min="8987" max="8987" width="8.140625" bestFit="1" customWidth="1"/>
    <col min="8988" max="8988" width="10.28515625" bestFit="1" customWidth="1"/>
    <col min="8989" max="8989" width="5.28515625" customWidth="1"/>
    <col min="8990" max="8990" width="7" bestFit="1" customWidth="1"/>
    <col min="8991" max="8991" width="7.28515625" bestFit="1" customWidth="1"/>
    <col min="8992" max="8992" width="7" bestFit="1" customWidth="1"/>
    <col min="8993" max="8993" width="9.140625" bestFit="1" customWidth="1"/>
    <col min="8994" max="8994" width="1.85546875" customWidth="1"/>
    <col min="8995" max="8995" width="1.7109375" customWidth="1"/>
    <col min="8996" max="8996" width="9" customWidth="1"/>
    <col min="9219" max="9219" width="27.7109375" customWidth="1"/>
    <col min="9220" max="9220" width="5.85546875" bestFit="1" customWidth="1"/>
    <col min="9222" max="9223" width="5" customWidth="1"/>
    <col min="9224" max="9224" width="9" bestFit="1" customWidth="1"/>
    <col min="9225" max="9225" width="8.140625" bestFit="1" customWidth="1"/>
    <col min="9226" max="9226" width="7" bestFit="1" customWidth="1"/>
    <col min="9227" max="9228" width="8.140625" bestFit="1" customWidth="1"/>
    <col min="9229" max="9229" width="7" bestFit="1" customWidth="1"/>
    <col min="9230" max="9230" width="7.140625" bestFit="1" customWidth="1"/>
    <col min="9231" max="9231" width="7.85546875" bestFit="1" customWidth="1"/>
    <col min="9232" max="9232" width="7" bestFit="1" customWidth="1"/>
    <col min="9233" max="9233" width="7.140625" bestFit="1" customWidth="1"/>
    <col min="9234" max="9234" width="7.85546875" bestFit="1" customWidth="1"/>
    <col min="9235" max="9235" width="11.7109375" bestFit="1" customWidth="1"/>
    <col min="9236" max="9236" width="7.28515625" bestFit="1" customWidth="1"/>
    <col min="9237" max="9237" width="7" bestFit="1" customWidth="1"/>
    <col min="9238" max="9238" width="7.85546875" bestFit="1" customWidth="1"/>
    <col min="9239" max="9239" width="7.28515625" bestFit="1" customWidth="1"/>
    <col min="9240" max="9240" width="7" bestFit="1" customWidth="1"/>
    <col min="9241" max="9241" width="7.85546875" bestFit="1" customWidth="1"/>
    <col min="9242" max="9242" width="8.5703125" bestFit="1" customWidth="1"/>
    <col min="9243" max="9243" width="8.140625" bestFit="1" customWidth="1"/>
    <col min="9244" max="9244" width="10.28515625" bestFit="1" customWidth="1"/>
    <col min="9245" max="9245" width="5.28515625" customWidth="1"/>
    <col min="9246" max="9246" width="7" bestFit="1" customWidth="1"/>
    <col min="9247" max="9247" width="7.28515625" bestFit="1" customWidth="1"/>
    <col min="9248" max="9248" width="7" bestFit="1" customWidth="1"/>
    <col min="9249" max="9249" width="9.140625" bestFit="1" customWidth="1"/>
    <col min="9250" max="9250" width="1.85546875" customWidth="1"/>
    <col min="9251" max="9251" width="1.7109375" customWidth="1"/>
    <col min="9252" max="9252" width="9" customWidth="1"/>
    <col min="9475" max="9475" width="27.7109375" customWidth="1"/>
    <col min="9476" max="9476" width="5.85546875" bestFit="1" customWidth="1"/>
    <col min="9478" max="9479" width="5" customWidth="1"/>
    <col min="9480" max="9480" width="9" bestFit="1" customWidth="1"/>
    <col min="9481" max="9481" width="8.140625" bestFit="1" customWidth="1"/>
    <col min="9482" max="9482" width="7" bestFit="1" customWidth="1"/>
    <col min="9483" max="9484" width="8.140625" bestFit="1" customWidth="1"/>
    <col min="9485" max="9485" width="7" bestFit="1" customWidth="1"/>
    <col min="9486" max="9486" width="7.140625" bestFit="1" customWidth="1"/>
    <col min="9487" max="9487" width="7.85546875" bestFit="1" customWidth="1"/>
    <col min="9488" max="9488" width="7" bestFit="1" customWidth="1"/>
    <col min="9489" max="9489" width="7.140625" bestFit="1" customWidth="1"/>
    <col min="9490" max="9490" width="7.85546875" bestFit="1" customWidth="1"/>
    <col min="9491" max="9491" width="11.7109375" bestFit="1" customWidth="1"/>
    <col min="9492" max="9492" width="7.28515625" bestFit="1" customWidth="1"/>
    <col min="9493" max="9493" width="7" bestFit="1" customWidth="1"/>
    <col min="9494" max="9494" width="7.85546875" bestFit="1" customWidth="1"/>
    <col min="9495" max="9495" width="7.28515625" bestFit="1" customWidth="1"/>
    <col min="9496" max="9496" width="7" bestFit="1" customWidth="1"/>
    <col min="9497" max="9497" width="7.85546875" bestFit="1" customWidth="1"/>
    <col min="9498" max="9498" width="8.5703125" bestFit="1" customWidth="1"/>
    <col min="9499" max="9499" width="8.140625" bestFit="1" customWidth="1"/>
    <col min="9500" max="9500" width="10.28515625" bestFit="1" customWidth="1"/>
    <col min="9501" max="9501" width="5.28515625" customWidth="1"/>
    <col min="9502" max="9502" width="7" bestFit="1" customWidth="1"/>
    <col min="9503" max="9503" width="7.28515625" bestFit="1" customWidth="1"/>
    <col min="9504" max="9504" width="7" bestFit="1" customWidth="1"/>
    <col min="9505" max="9505" width="9.140625" bestFit="1" customWidth="1"/>
    <col min="9506" max="9506" width="1.85546875" customWidth="1"/>
    <col min="9507" max="9507" width="1.7109375" customWidth="1"/>
    <col min="9508" max="9508" width="9" customWidth="1"/>
    <col min="9731" max="9731" width="27.7109375" customWidth="1"/>
    <col min="9732" max="9732" width="5.85546875" bestFit="1" customWidth="1"/>
    <col min="9734" max="9735" width="5" customWidth="1"/>
    <col min="9736" max="9736" width="9" bestFit="1" customWidth="1"/>
    <col min="9737" max="9737" width="8.140625" bestFit="1" customWidth="1"/>
    <col min="9738" max="9738" width="7" bestFit="1" customWidth="1"/>
    <col min="9739" max="9740" width="8.140625" bestFit="1" customWidth="1"/>
    <col min="9741" max="9741" width="7" bestFit="1" customWidth="1"/>
    <col min="9742" max="9742" width="7.140625" bestFit="1" customWidth="1"/>
    <col min="9743" max="9743" width="7.85546875" bestFit="1" customWidth="1"/>
    <col min="9744" max="9744" width="7" bestFit="1" customWidth="1"/>
    <col min="9745" max="9745" width="7.140625" bestFit="1" customWidth="1"/>
    <col min="9746" max="9746" width="7.85546875" bestFit="1" customWidth="1"/>
    <col min="9747" max="9747" width="11.7109375" bestFit="1" customWidth="1"/>
    <col min="9748" max="9748" width="7.28515625" bestFit="1" customWidth="1"/>
    <col min="9749" max="9749" width="7" bestFit="1" customWidth="1"/>
    <col min="9750" max="9750" width="7.85546875" bestFit="1" customWidth="1"/>
    <col min="9751" max="9751" width="7.28515625" bestFit="1" customWidth="1"/>
    <col min="9752" max="9752" width="7" bestFit="1" customWidth="1"/>
    <col min="9753" max="9753" width="7.85546875" bestFit="1" customWidth="1"/>
    <col min="9754" max="9754" width="8.5703125" bestFit="1" customWidth="1"/>
    <col min="9755" max="9755" width="8.140625" bestFit="1" customWidth="1"/>
    <col min="9756" max="9756" width="10.28515625" bestFit="1" customWidth="1"/>
    <col min="9757" max="9757" width="5.28515625" customWidth="1"/>
    <col min="9758" max="9758" width="7" bestFit="1" customWidth="1"/>
    <col min="9759" max="9759" width="7.28515625" bestFit="1" customWidth="1"/>
    <col min="9760" max="9760" width="7" bestFit="1" customWidth="1"/>
    <col min="9761" max="9761" width="9.140625" bestFit="1" customWidth="1"/>
    <col min="9762" max="9762" width="1.85546875" customWidth="1"/>
    <col min="9763" max="9763" width="1.7109375" customWidth="1"/>
    <col min="9764" max="9764" width="9" customWidth="1"/>
    <col min="9987" max="9987" width="27.7109375" customWidth="1"/>
    <col min="9988" max="9988" width="5.85546875" bestFit="1" customWidth="1"/>
    <col min="9990" max="9991" width="5" customWidth="1"/>
    <col min="9992" max="9992" width="9" bestFit="1" customWidth="1"/>
    <col min="9993" max="9993" width="8.140625" bestFit="1" customWidth="1"/>
    <col min="9994" max="9994" width="7" bestFit="1" customWidth="1"/>
    <col min="9995" max="9996" width="8.140625" bestFit="1" customWidth="1"/>
    <col min="9997" max="9997" width="7" bestFit="1" customWidth="1"/>
    <col min="9998" max="9998" width="7.140625" bestFit="1" customWidth="1"/>
    <col min="9999" max="9999" width="7.85546875" bestFit="1" customWidth="1"/>
    <col min="10000" max="10000" width="7" bestFit="1" customWidth="1"/>
    <col min="10001" max="10001" width="7.140625" bestFit="1" customWidth="1"/>
    <col min="10002" max="10002" width="7.85546875" bestFit="1" customWidth="1"/>
    <col min="10003" max="10003" width="11.7109375" bestFit="1" customWidth="1"/>
    <col min="10004" max="10004" width="7.28515625" bestFit="1" customWidth="1"/>
    <col min="10005" max="10005" width="7" bestFit="1" customWidth="1"/>
    <col min="10006" max="10006" width="7.85546875" bestFit="1" customWidth="1"/>
    <col min="10007" max="10007" width="7.28515625" bestFit="1" customWidth="1"/>
    <col min="10008" max="10008" width="7" bestFit="1" customWidth="1"/>
    <col min="10009" max="10009" width="7.85546875" bestFit="1" customWidth="1"/>
    <col min="10010" max="10010" width="8.5703125" bestFit="1" customWidth="1"/>
    <col min="10011" max="10011" width="8.140625" bestFit="1" customWidth="1"/>
    <col min="10012" max="10012" width="10.28515625" bestFit="1" customWidth="1"/>
    <col min="10013" max="10013" width="5.28515625" customWidth="1"/>
    <col min="10014" max="10014" width="7" bestFit="1" customWidth="1"/>
    <col min="10015" max="10015" width="7.28515625" bestFit="1" customWidth="1"/>
    <col min="10016" max="10016" width="7" bestFit="1" customWidth="1"/>
    <col min="10017" max="10017" width="9.140625" bestFit="1" customWidth="1"/>
    <col min="10018" max="10018" width="1.85546875" customWidth="1"/>
    <col min="10019" max="10019" width="1.7109375" customWidth="1"/>
    <col min="10020" max="10020" width="9" customWidth="1"/>
    <col min="10243" max="10243" width="27.7109375" customWidth="1"/>
    <col min="10244" max="10244" width="5.85546875" bestFit="1" customWidth="1"/>
    <col min="10246" max="10247" width="5" customWidth="1"/>
    <col min="10248" max="10248" width="9" bestFit="1" customWidth="1"/>
    <col min="10249" max="10249" width="8.140625" bestFit="1" customWidth="1"/>
    <col min="10250" max="10250" width="7" bestFit="1" customWidth="1"/>
    <col min="10251" max="10252" width="8.140625" bestFit="1" customWidth="1"/>
    <col min="10253" max="10253" width="7" bestFit="1" customWidth="1"/>
    <col min="10254" max="10254" width="7.140625" bestFit="1" customWidth="1"/>
    <col min="10255" max="10255" width="7.85546875" bestFit="1" customWidth="1"/>
    <col min="10256" max="10256" width="7" bestFit="1" customWidth="1"/>
    <col min="10257" max="10257" width="7.140625" bestFit="1" customWidth="1"/>
    <col min="10258" max="10258" width="7.85546875" bestFit="1" customWidth="1"/>
    <col min="10259" max="10259" width="11.7109375" bestFit="1" customWidth="1"/>
    <col min="10260" max="10260" width="7.28515625" bestFit="1" customWidth="1"/>
    <col min="10261" max="10261" width="7" bestFit="1" customWidth="1"/>
    <col min="10262" max="10262" width="7.85546875" bestFit="1" customWidth="1"/>
    <col min="10263" max="10263" width="7.28515625" bestFit="1" customWidth="1"/>
    <col min="10264" max="10264" width="7" bestFit="1" customWidth="1"/>
    <col min="10265" max="10265" width="7.85546875" bestFit="1" customWidth="1"/>
    <col min="10266" max="10266" width="8.5703125" bestFit="1" customWidth="1"/>
    <col min="10267" max="10267" width="8.140625" bestFit="1" customWidth="1"/>
    <col min="10268" max="10268" width="10.28515625" bestFit="1" customWidth="1"/>
    <col min="10269" max="10269" width="5.28515625" customWidth="1"/>
    <col min="10270" max="10270" width="7" bestFit="1" customWidth="1"/>
    <col min="10271" max="10271" width="7.28515625" bestFit="1" customWidth="1"/>
    <col min="10272" max="10272" width="7" bestFit="1" customWidth="1"/>
    <col min="10273" max="10273" width="9.140625" bestFit="1" customWidth="1"/>
    <col min="10274" max="10274" width="1.85546875" customWidth="1"/>
    <col min="10275" max="10275" width="1.7109375" customWidth="1"/>
    <col min="10276" max="10276" width="9" customWidth="1"/>
    <col min="10499" max="10499" width="27.7109375" customWidth="1"/>
    <col min="10500" max="10500" width="5.85546875" bestFit="1" customWidth="1"/>
    <col min="10502" max="10503" width="5" customWidth="1"/>
    <col min="10504" max="10504" width="9" bestFit="1" customWidth="1"/>
    <col min="10505" max="10505" width="8.140625" bestFit="1" customWidth="1"/>
    <col min="10506" max="10506" width="7" bestFit="1" customWidth="1"/>
    <col min="10507" max="10508" width="8.140625" bestFit="1" customWidth="1"/>
    <col min="10509" max="10509" width="7" bestFit="1" customWidth="1"/>
    <col min="10510" max="10510" width="7.140625" bestFit="1" customWidth="1"/>
    <col min="10511" max="10511" width="7.85546875" bestFit="1" customWidth="1"/>
    <col min="10512" max="10512" width="7" bestFit="1" customWidth="1"/>
    <col min="10513" max="10513" width="7.140625" bestFit="1" customWidth="1"/>
    <col min="10514" max="10514" width="7.85546875" bestFit="1" customWidth="1"/>
    <col min="10515" max="10515" width="11.7109375" bestFit="1" customWidth="1"/>
    <col min="10516" max="10516" width="7.28515625" bestFit="1" customWidth="1"/>
    <col min="10517" max="10517" width="7" bestFit="1" customWidth="1"/>
    <col min="10518" max="10518" width="7.85546875" bestFit="1" customWidth="1"/>
    <col min="10519" max="10519" width="7.28515625" bestFit="1" customWidth="1"/>
    <col min="10520" max="10520" width="7" bestFit="1" customWidth="1"/>
    <col min="10521" max="10521" width="7.85546875" bestFit="1" customWidth="1"/>
    <col min="10522" max="10522" width="8.5703125" bestFit="1" customWidth="1"/>
    <col min="10523" max="10523" width="8.140625" bestFit="1" customWidth="1"/>
    <col min="10524" max="10524" width="10.28515625" bestFit="1" customWidth="1"/>
    <col min="10525" max="10525" width="5.28515625" customWidth="1"/>
    <col min="10526" max="10526" width="7" bestFit="1" customWidth="1"/>
    <col min="10527" max="10527" width="7.28515625" bestFit="1" customWidth="1"/>
    <col min="10528" max="10528" width="7" bestFit="1" customWidth="1"/>
    <col min="10529" max="10529" width="9.140625" bestFit="1" customWidth="1"/>
    <col min="10530" max="10530" width="1.85546875" customWidth="1"/>
    <col min="10531" max="10531" width="1.7109375" customWidth="1"/>
    <col min="10532" max="10532" width="9" customWidth="1"/>
    <col min="10755" max="10755" width="27.7109375" customWidth="1"/>
    <col min="10756" max="10756" width="5.85546875" bestFit="1" customWidth="1"/>
    <col min="10758" max="10759" width="5" customWidth="1"/>
    <col min="10760" max="10760" width="9" bestFit="1" customWidth="1"/>
    <col min="10761" max="10761" width="8.140625" bestFit="1" customWidth="1"/>
    <col min="10762" max="10762" width="7" bestFit="1" customWidth="1"/>
    <col min="10763" max="10764" width="8.140625" bestFit="1" customWidth="1"/>
    <col min="10765" max="10765" width="7" bestFit="1" customWidth="1"/>
    <col min="10766" max="10766" width="7.140625" bestFit="1" customWidth="1"/>
    <col min="10767" max="10767" width="7.85546875" bestFit="1" customWidth="1"/>
    <col min="10768" max="10768" width="7" bestFit="1" customWidth="1"/>
    <col min="10769" max="10769" width="7.140625" bestFit="1" customWidth="1"/>
    <col min="10770" max="10770" width="7.85546875" bestFit="1" customWidth="1"/>
    <col min="10771" max="10771" width="11.7109375" bestFit="1" customWidth="1"/>
    <col min="10772" max="10772" width="7.28515625" bestFit="1" customWidth="1"/>
    <col min="10773" max="10773" width="7" bestFit="1" customWidth="1"/>
    <col min="10774" max="10774" width="7.85546875" bestFit="1" customWidth="1"/>
    <col min="10775" max="10775" width="7.28515625" bestFit="1" customWidth="1"/>
    <col min="10776" max="10776" width="7" bestFit="1" customWidth="1"/>
    <col min="10777" max="10777" width="7.85546875" bestFit="1" customWidth="1"/>
    <col min="10778" max="10778" width="8.5703125" bestFit="1" customWidth="1"/>
    <col min="10779" max="10779" width="8.140625" bestFit="1" customWidth="1"/>
    <col min="10780" max="10780" width="10.28515625" bestFit="1" customWidth="1"/>
    <col min="10781" max="10781" width="5.28515625" customWidth="1"/>
    <col min="10782" max="10782" width="7" bestFit="1" customWidth="1"/>
    <col min="10783" max="10783" width="7.28515625" bestFit="1" customWidth="1"/>
    <col min="10784" max="10784" width="7" bestFit="1" customWidth="1"/>
    <col min="10785" max="10785" width="9.140625" bestFit="1" customWidth="1"/>
    <col min="10786" max="10786" width="1.85546875" customWidth="1"/>
    <col min="10787" max="10787" width="1.7109375" customWidth="1"/>
    <col min="10788" max="10788" width="9" customWidth="1"/>
    <col min="11011" max="11011" width="27.7109375" customWidth="1"/>
    <col min="11012" max="11012" width="5.85546875" bestFit="1" customWidth="1"/>
    <col min="11014" max="11015" width="5" customWidth="1"/>
    <col min="11016" max="11016" width="9" bestFit="1" customWidth="1"/>
    <col min="11017" max="11017" width="8.140625" bestFit="1" customWidth="1"/>
    <col min="11018" max="11018" width="7" bestFit="1" customWidth="1"/>
    <col min="11019" max="11020" width="8.140625" bestFit="1" customWidth="1"/>
    <col min="11021" max="11021" width="7" bestFit="1" customWidth="1"/>
    <col min="11022" max="11022" width="7.140625" bestFit="1" customWidth="1"/>
    <col min="11023" max="11023" width="7.85546875" bestFit="1" customWidth="1"/>
    <col min="11024" max="11024" width="7" bestFit="1" customWidth="1"/>
    <col min="11025" max="11025" width="7.140625" bestFit="1" customWidth="1"/>
    <col min="11026" max="11026" width="7.85546875" bestFit="1" customWidth="1"/>
    <col min="11027" max="11027" width="11.7109375" bestFit="1" customWidth="1"/>
    <col min="11028" max="11028" width="7.28515625" bestFit="1" customWidth="1"/>
    <col min="11029" max="11029" width="7" bestFit="1" customWidth="1"/>
    <col min="11030" max="11030" width="7.85546875" bestFit="1" customWidth="1"/>
    <col min="11031" max="11031" width="7.28515625" bestFit="1" customWidth="1"/>
    <col min="11032" max="11032" width="7" bestFit="1" customWidth="1"/>
    <col min="11033" max="11033" width="7.85546875" bestFit="1" customWidth="1"/>
    <col min="11034" max="11034" width="8.5703125" bestFit="1" customWidth="1"/>
    <col min="11035" max="11035" width="8.140625" bestFit="1" customWidth="1"/>
    <col min="11036" max="11036" width="10.28515625" bestFit="1" customWidth="1"/>
    <col min="11037" max="11037" width="5.28515625" customWidth="1"/>
    <col min="11038" max="11038" width="7" bestFit="1" customWidth="1"/>
    <col min="11039" max="11039" width="7.28515625" bestFit="1" customWidth="1"/>
    <col min="11040" max="11040" width="7" bestFit="1" customWidth="1"/>
    <col min="11041" max="11041" width="9.140625" bestFit="1" customWidth="1"/>
    <col min="11042" max="11042" width="1.85546875" customWidth="1"/>
    <col min="11043" max="11043" width="1.7109375" customWidth="1"/>
    <col min="11044" max="11044" width="9" customWidth="1"/>
    <col min="11267" max="11267" width="27.7109375" customWidth="1"/>
    <col min="11268" max="11268" width="5.85546875" bestFit="1" customWidth="1"/>
    <col min="11270" max="11271" width="5" customWidth="1"/>
    <col min="11272" max="11272" width="9" bestFit="1" customWidth="1"/>
    <col min="11273" max="11273" width="8.140625" bestFit="1" customWidth="1"/>
    <col min="11274" max="11274" width="7" bestFit="1" customWidth="1"/>
    <col min="11275" max="11276" width="8.140625" bestFit="1" customWidth="1"/>
    <col min="11277" max="11277" width="7" bestFit="1" customWidth="1"/>
    <col min="11278" max="11278" width="7.140625" bestFit="1" customWidth="1"/>
    <col min="11279" max="11279" width="7.85546875" bestFit="1" customWidth="1"/>
    <col min="11280" max="11280" width="7" bestFit="1" customWidth="1"/>
    <col min="11281" max="11281" width="7.140625" bestFit="1" customWidth="1"/>
    <col min="11282" max="11282" width="7.85546875" bestFit="1" customWidth="1"/>
    <col min="11283" max="11283" width="11.7109375" bestFit="1" customWidth="1"/>
    <col min="11284" max="11284" width="7.28515625" bestFit="1" customWidth="1"/>
    <col min="11285" max="11285" width="7" bestFit="1" customWidth="1"/>
    <col min="11286" max="11286" width="7.85546875" bestFit="1" customWidth="1"/>
    <col min="11287" max="11287" width="7.28515625" bestFit="1" customWidth="1"/>
    <col min="11288" max="11288" width="7" bestFit="1" customWidth="1"/>
    <col min="11289" max="11289" width="7.85546875" bestFit="1" customWidth="1"/>
    <col min="11290" max="11290" width="8.5703125" bestFit="1" customWidth="1"/>
    <col min="11291" max="11291" width="8.140625" bestFit="1" customWidth="1"/>
    <col min="11292" max="11292" width="10.28515625" bestFit="1" customWidth="1"/>
    <col min="11293" max="11293" width="5.28515625" customWidth="1"/>
    <col min="11294" max="11294" width="7" bestFit="1" customWidth="1"/>
    <col min="11295" max="11295" width="7.28515625" bestFit="1" customWidth="1"/>
    <col min="11296" max="11296" width="7" bestFit="1" customWidth="1"/>
    <col min="11297" max="11297" width="9.140625" bestFit="1" customWidth="1"/>
    <col min="11298" max="11298" width="1.85546875" customWidth="1"/>
    <col min="11299" max="11299" width="1.7109375" customWidth="1"/>
    <col min="11300" max="11300" width="9" customWidth="1"/>
    <col min="11523" max="11523" width="27.7109375" customWidth="1"/>
    <col min="11524" max="11524" width="5.85546875" bestFit="1" customWidth="1"/>
    <col min="11526" max="11527" width="5" customWidth="1"/>
    <col min="11528" max="11528" width="9" bestFit="1" customWidth="1"/>
    <col min="11529" max="11529" width="8.140625" bestFit="1" customWidth="1"/>
    <col min="11530" max="11530" width="7" bestFit="1" customWidth="1"/>
    <col min="11531" max="11532" width="8.140625" bestFit="1" customWidth="1"/>
    <col min="11533" max="11533" width="7" bestFit="1" customWidth="1"/>
    <col min="11534" max="11534" width="7.140625" bestFit="1" customWidth="1"/>
    <col min="11535" max="11535" width="7.85546875" bestFit="1" customWidth="1"/>
    <col min="11536" max="11536" width="7" bestFit="1" customWidth="1"/>
    <col min="11537" max="11537" width="7.140625" bestFit="1" customWidth="1"/>
    <col min="11538" max="11538" width="7.85546875" bestFit="1" customWidth="1"/>
    <col min="11539" max="11539" width="11.7109375" bestFit="1" customWidth="1"/>
    <col min="11540" max="11540" width="7.28515625" bestFit="1" customWidth="1"/>
    <col min="11541" max="11541" width="7" bestFit="1" customWidth="1"/>
    <col min="11542" max="11542" width="7.85546875" bestFit="1" customWidth="1"/>
    <col min="11543" max="11543" width="7.28515625" bestFit="1" customWidth="1"/>
    <col min="11544" max="11544" width="7" bestFit="1" customWidth="1"/>
    <col min="11545" max="11545" width="7.85546875" bestFit="1" customWidth="1"/>
    <col min="11546" max="11546" width="8.5703125" bestFit="1" customWidth="1"/>
    <col min="11547" max="11547" width="8.140625" bestFit="1" customWidth="1"/>
    <col min="11548" max="11548" width="10.28515625" bestFit="1" customWidth="1"/>
    <col min="11549" max="11549" width="5.28515625" customWidth="1"/>
    <col min="11550" max="11550" width="7" bestFit="1" customWidth="1"/>
    <col min="11551" max="11551" width="7.28515625" bestFit="1" customWidth="1"/>
    <col min="11552" max="11552" width="7" bestFit="1" customWidth="1"/>
    <col min="11553" max="11553" width="9.140625" bestFit="1" customWidth="1"/>
    <col min="11554" max="11554" width="1.85546875" customWidth="1"/>
    <col min="11555" max="11555" width="1.7109375" customWidth="1"/>
    <col min="11556" max="11556" width="9" customWidth="1"/>
    <col min="11779" max="11779" width="27.7109375" customWidth="1"/>
    <col min="11780" max="11780" width="5.85546875" bestFit="1" customWidth="1"/>
    <col min="11782" max="11783" width="5" customWidth="1"/>
    <col min="11784" max="11784" width="9" bestFit="1" customWidth="1"/>
    <col min="11785" max="11785" width="8.140625" bestFit="1" customWidth="1"/>
    <col min="11786" max="11786" width="7" bestFit="1" customWidth="1"/>
    <col min="11787" max="11788" width="8.140625" bestFit="1" customWidth="1"/>
    <col min="11789" max="11789" width="7" bestFit="1" customWidth="1"/>
    <col min="11790" max="11790" width="7.140625" bestFit="1" customWidth="1"/>
    <col min="11791" max="11791" width="7.85546875" bestFit="1" customWidth="1"/>
    <col min="11792" max="11792" width="7" bestFit="1" customWidth="1"/>
    <col min="11793" max="11793" width="7.140625" bestFit="1" customWidth="1"/>
    <col min="11794" max="11794" width="7.85546875" bestFit="1" customWidth="1"/>
    <col min="11795" max="11795" width="11.7109375" bestFit="1" customWidth="1"/>
    <col min="11796" max="11796" width="7.28515625" bestFit="1" customWidth="1"/>
    <col min="11797" max="11797" width="7" bestFit="1" customWidth="1"/>
    <col min="11798" max="11798" width="7.85546875" bestFit="1" customWidth="1"/>
    <col min="11799" max="11799" width="7.28515625" bestFit="1" customWidth="1"/>
    <col min="11800" max="11800" width="7" bestFit="1" customWidth="1"/>
    <col min="11801" max="11801" width="7.85546875" bestFit="1" customWidth="1"/>
    <col min="11802" max="11802" width="8.5703125" bestFit="1" customWidth="1"/>
    <col min="11803" max="11803" width="8.140625" bestFit="1" customWidth="1"/>
    <col min="11804" max="11804" width="10.28515625" bestFit="1" customWidth="1"/>
    <col min="11805" max="11805" width="5.28515625" customWidth="1"/>
    <col min="11806" max="11806" width="7" bestFit="1" customWidth="1"/>
    <col min="11807" max="11807" width="7.28515625" bestFit="1" customWidth="1"/>
    <col min="11808" max="11808" width="7" bestFit="1" customWidth="1"/>
    <col min="11809" max="11809" width="9.140625" bestFit="1" customWidth="1"/>
    <col min="11810" max="11810" width="1.85546875" customWidth="1"/>
    <col min="11811" max="11811" width="1.7109375" customWidth="1"/>
    <col min="11812" max="11812" width="9" customWidth="1"/>
    <col min="12035" max="12035" width="27.7109375" customWidth="1"/>
    <col min="12036" max="12036" width="5.85546875" bestFit="1" customWidth="1"/>
    <col min="12038" max="12039" width="5" customWidth="1"/>
    <col min="12040" max="12040" width="9" bestFit="1" customWidth="1"/>
    <col min="12041" max="12041" width="8.140625" bestFit="1" customWidth="1"/>
    <col min="12042" max="12042" width="7" bestFit="1" customWidth="1"/>
    <col min="12043" max="12044" width="8.140625" bestFit="1" customWidth="1"/>
    <col min="12045" max="12045" width="7" bestFit="1" customWidth="1"/>
    <col min="12046" max="12046" width="7.140625" bestFit="1" customWidth="1"/>
    <col min="12047" max="12047" width="7.85546875" bestFit="1" customWidth="1"/>
    <col min="12048" max="12048" width="7" bestFit="1" customWidth="1"/>
    <col min="12049" max="12049" width="7.140625" bestFit="1" customWidth="1"/>
    <col min="12050" max="12050" width="7.85546875" bestFit="1" customWidth="1"/>
    <col min="12051" max="12051" width="11.7109375" bestFit="1" customWidth="1"/>
    <col min="12052" max="12052" width="7.28515625" bestFit="1" customWidth="1"/>
    <col min="12053" max="12053" width="7" bestFit="1" customWidth="1"/>
    <col min="12054" max="12054" width="7.85546875" bestFit="1" customWidth="1"/>
    <col min="12055" max="12055" width="7.28515625" bestFit="1" customWidth="1"/>
    <col min="12056" max="12056" width="7" bestFit="1" customWidth="1"/>
    <col min="12057" max="12057" width="7.85546875" bestFit="1" customWidth="1"/>
    <col min="12058" max="12058" width="8.5703125" bestFit="1" customWidth="1"/>
    <col min="12059" max="12059" width="8.140625" bestFit="1" customWidth="1"/>
    <col min="12060" max="12060" width="10.28515625" bestFit="1" customWidth="1"/>
    <col min="12061" max="12061" width="5.28515625" customWidth="1"/>
    <col min="12062" max="12062" width="7" bestFit="1" customWidth="1"/>
    <col min="12063" max="12063" width="7.28515625" bestFit="1" customWidth="1"/>
    <col min="12064" max="12064" width="7" bestFit="1" customWidth="1"/>
    <col min="12065" max="12065" width="9.140625" bestFit="1" customWidth="1"/>
    <col min="12066" max="12066" width="1.85546875" customWidth="1"/>
    <col min="12067" max="12067" width="1.7109375" customWidth="1"/>
    <col min="12068" max="12068" width="9" customWidth="1"/>
    <col min="12291" max="12291" width="27.7109375" customWidth="1"/>
    <col min="12292" max="12292" width="5.85546875" bestFit="1" customWidth="1"/>
    <col min="12294" max="12295" width="5" customWidth="1"/>
    <col min="12296" max="12296" width="9" bestFit="1" customWidth="1"/>
    <col min="12297" max="12297" width="8.140625" bestFit="1" customWidth="1"/>
    <col min="12298" max="12298" width="7" bestFit="1" customWidth="1"/>
    <col min="12299" max="12300" width="8.140625" bestFit="1" customWidth="1"/>
    <col min="12301" max="12301" width="7" bestFit="1" customWidth="1"/>
    <col min="12302" max="12302" width="7.140625" bestFit="1" customWidth="1"/>
    <col min="12303" max="12303" width="7.85546875" bestFit="1" customWidth="1"/>
    <col min="12304" max="12304" width="7" bestFit="1" customWidth="1"/>
    <col min="12305" max="12305" width="7.140625" bestFit="1" customWidth="1"/>
    <col min="12306" max="12306" width="7.85546875" bestFit="1" customWidth="1"/>
    <col min="12307" max="12307" width="11.7109375" bestFit="1" customWidth="1"/>
    <col min="12308" max="12308" width="7.28515625" bestFit="1" customWidth="1"/>
    <col min="12309" max="12309" width="7" bestFit="1" customWidth="1"/>
    <col min="12310" max="12310" width="7.85546875" bestFit="1" customWidth="1"/>
    <col min="12311" max="12311" width="7.28515625" bestFit="1" customWidth="1"/>
    <col min="12312" max="12312" width="7" bestFit="1" customWidth="1"/>
    <col min="12313" max="12313" width="7.85546875" bestFit="1" customWidth="1"/>
    <col min="12314" max="12314" width="8.5703125" bestFit="1" customWidth="1"/>
    <col min="12315" max="12315" width="8.140625" bestFit="1" customWidth="1"/>
    <col min="12316" max="12316" width="10.28515625" bestFit="1" customWidth="1"/>
    <col min="12317" max="12317" width="5.28515625" customWidth="1"/>
    <col min="12318" max="12318" width="7" bestFit="1" customWidth="1"/>
    <col min="12319" max="12319" width="7.28515625" bestFit="1" customWidth="1"/>
    <col min="12320" max="12320" width="7" bestFit="1" customWidth="1"/>
    <col min="12321" max="12321" width="9.140625" bestFit="1" customWidth="1"/>
    <col min="12322" max="12322" width="1.85546875" customWidth="1"/>
    <col min="12323" max="12323" width="1.7109375" customWidth="1"/>
    <col min="12324" max="12324" width="9" customWidth="1"/>
    <col min="12547" max="12547" width="27.7109375" customWidth="1"/>
    <col min="12548" max="12548" width="5.85546875" bestFit="1" customWidth="1"/>
    <col min="12550" max="12551" width="5" customWidth="1"/>
    <col min="12552" max="12552" width="9" bestFit="1" customWidth="1"/>
    <col min="12553" max="12553" width="8.140625" bestFit="1" customWidth="1"/>
    <col min="12554" max="12554" width="7" bestFit="1" customWidth="1"/>
    <col min="12555" max="12556" width="8.140625" bestFit="1" customWidth="1"/>
    <col min="12557" max="12557" width="7" bestFit="1" customWidth="1"/>
    <col min="12558" max="12558" width="7.140625" bestFit="1" customWidth="1"/>
    <col min="12559" max="12559" width="7.85546875" bestFit="1" customWidth="1"/>
    <col min="12560" max="12560" width="7" bestFit="1" customWidth="1"/>
    <col min="12561" max="12561" width="7.140625" bestFit="1" customWidth="1"/>
    <col min="12562" max="12562" width="7.85546875" bestFit="1" customWidth="1"/>
    <col min="12563" max="12563" width="11.7109375" bestFit="1" customWidth="1"/>
    <col min="12564" max="12564" width="7.28515625" bestFit="1" customWidth="1"/>
    <col min="12565" max="12565" width="7" bestFit="1" customWidth="1"/>
    <col min="12566" max="12566" width="7.85546875" bestFit="1" customWidth="1"/>
    <col min="12567" max="12567" width="7.28515625" bestFit="1" customWidth="1"/>
    <col min="12568" max="12568" width="7" bestFit="1" customWidth="1"/>
    <col min="12569" max="12569" width="7.85546875" bestFit="1" customWidth="1"/>
    <col min="12570" max="12570" width="8.5703125" bestFit="1" customWidth="1"/>
    <col min="12571" max="12571" width="8.140625" bestFit="1" customWidth="1"/>
    <col min="12572" max="12572" width="10.28515625" bestFit="1" customWidth="1"/>
    <col min="12573" max="12573" width="5.28515625" customWidth="1"/>
    <col min="12574" max="12574" width="7" bestFit="1" customWidth="1"/>
    <col min="12575" max="12575" width="7.28515625" bestFit="1" customWidth="1"/>
    <col min="12576" max="12576" width="7" bestFit="1" customWidth="1"/>
    <col min="12577" max="12577" width="9.140625" bestFit="1" customWidth="1"/>
    <col min="12578" max="12578" width="1.85546875" customWidth="1"/>
    <col min="12579" max="12579" width="1.7109375" customWidth="1"/>
    <col min="12580" max="12580" width="9" customWidth="1"/>
    <col min="12803" max="12803" width="27.7109375" customWidth="1"/>
    <col min="12804" max="12804" width="5.85546875" bestFit="1" customWidth="1"/>
    <col min="12806" max="12807" width="5" customWidth="1"/>
    <col min="12808" max="12808" width="9" bestFit="1" customWidth="1"/>
    <col min="12809" max="12809" width="8.140625" bestFit="1" customWidth="1"/>
    <col min="12810" max="12810" width="7" bestFit="1" customWidth="1"/>
    <col min="12811" max="12812" width="8.140625" bestFit="1" customWidth="1"/>
    <col min="12813" max="12813" width="7" bestFit="1" customWidth="1"/>
    <col min="12814" max="12814" width="7.140625" bestFit="1" customWidth="1"/>
    <col min="12815" max="12815" width="7.85546875" bestFit="1" customWidth="1"/>
    <col min="12816" max="12816" width="7" bestFit="1" customWidth="1"/>
    <col min="12817" max="12817" width="7.140625" bestFit="1" customWidth="1"/>
    <col min="12818" max="12818" width="7.85546875" bestFit="1" customWidth="1"/>
    <col min="12819" max="12819" width="11.7109375" bestFit="1" customWidth="1"/>
    <col min="12820" max="12820" width="7.28515625" bestFit="1" customWidth="1"/>
    <col min="12821" max="12821" width="7" bestFit="1" customWidth="1"/>
    <col min="12822" max="12822" width="7.85546875" bestFit="1" customWidth="1"/>
    <col min="12823" max="12823" width="7.28515625" bestFit="1" customWidth="1"/>
    <col min="12824" max="12824" width="7" bestFit="1" customWidth="1"/>
    <col min="12825" max="12825" width="7.85546875" bestFit="1" customWidth="1"/>
    <col min="12826" max="12826" width="8.5703125" bestFit="1" customWidth="1"/>
    <col min="12827" max="12827" width="8.140625" bestFit="1" customWidth="1"/>
    <col min="12828" max="12828" width="10.28515625" bestFit="1" customWidth="1"/>
    <col min="12829" max="12829" width="5.28515625" customWidth="1"/>
    <col min="12830" max="12830" width="7" bestFit="1" customWidth="1"/>
    <col min="12831" max="12831" width="7.28515625" bestFit="1" customWidth="1"/>
    <col min="12832" max="12832" width="7" bestFit="1" customWidth="1"/>
    <col min="12833" max="12833" width="9.140625" bestFit="1" customWidth="1"/>
    <col min="12834" max="12834" width="1.85546875" customWidth="1"/>
    <col min="12835" max="12835" width="1.7109375" customWidth="1"/>
    <col min="12836" max="12836" width="9" customWidth="1"/>
    <col min="13059" max="13059" width="27.7109375" customWidth="1"/>
    <col min="13060" max="13060" width="5.85546875" bestFit="1" customWidth="1"/>
    <col min="13062" max="13063" width="5" customWidth="1"/>
    <col min="13064" max="13064" width="9" bestFit="1" customWidth="1"/>
    <col min="13065" max="13065" width="8.140625" bestFit="1" customWidth="1"/>
    <col min="13066" max="13066" width="7" bestFit="1" customWidth="1"/>
    <col min="13067" max="13068" width="8.140625" bestFit="1" customWidth="1"/>
    <col min="13069" max="13069" width="7" bestFit="1" customWidth="1"/>
    <col min="13070" max="13070" width="7.140625" bestFit="1" customWidth="1"/>
    <col min="13071" max="13071" width="7.85546875" bestFit="1" customWidth="1"/>
    <col min="13072" max="13072" width="7" bestFit="1" customWidth="1"/>
    <col min="13073" max="13073" width="7.140625" bestFit="1" customWidth="1"/>
    <col min="13074" max="13074" width="7.85546875" bestFit="1" customWidth="1"/>
    <col min="13075" max="13075" width="11.7109375" bestFit="1" customWidth="1"/>
    <col min="13076" max="13076" width="7.28515625" bestFit="1" customWidth="1"/>
    <col min="13077" max="13077" width="7" bestFit="1" customWidth="1"/>
    <col min="13078" max="13078" width="7.85546875" bestFit="1" customWidth="1"/>
    <col min="13079" max="13079" width="7.28515625" bestFit="1" customWidth="1"/>
    <col min="13080" max="13080" width="7" bestFit="1" customWidth="1"/>
    <col min="13081" max="13081" width="7.85546875" bestFit="1" customWidth="1"/>
    <col min="13082" max="13082" width="8.5703125" bestFit="1" customWidth="1"/>
    <col min="13083" max="13083" width="8.140625" bestFit="1" customWidth="1"/>
    <col min="13084" max="13084" width="10.28515625" bestFit="1" customWidth="1"/>
    <col min="13085" max="13085" width="5.28515625" customWidth="1"/>
    <col min="13086" max="13086" width="7" bestFit="1" customWidth="1"/>
    <col min="13087" max="13087" width="7.28515625" bestFit="1" customWidth="1"/>
    <col min="13088" max="13088" width="7" bestFit="1" customWidth="1"/>
    <col min="13089" max="13089" width="9.140625" bestFit="1" customWidth="1"/>
    <col min="13090" max="13090" width="1.85546875" customWidth="1"/>
    <col min="13091" max="13091" width="1.7109375" customWidth="1"/>
    <col min="13092" max="13092" width="9" customWidth="1"/>
    <col min="13315" max="13315" width="27.7109375" customWidth="1"/>
    <col min="13316" max="13316" width="5.85546875" bestFit="1" customWidth="1"/>
    <col min="13318" max="13319" width="5" customWidth="1"/>
    <col min="13320" max="13320" width="9" bestFit="1" customWidth="1"/>
    <col min="13321" max="13321" width="8.140625" bestFit="1" customWidth="1"/>
    <col min="13322" max="13322" width="7" bestFit="1" customWidth="1"/>
    <col min="13323" max="13324" width="8.140625" bestFit="1" customWidth="1"/>
    <col min="13325" max="13325" width="7" bestFit="1" customWidth="1"/>
    <col min="13326" max="13326" width="7.140625" bestFit="1" customWidth="1"/>
    <col min="13327" max="13327" width="7.85546875" bestFit="1" customWidth="1"/>
    <col min="13328" max="13328" width="7" bestFit="1" customWidth="1"/>
    <col min="13329" max="13329" width="7.140625" bestFit="1" customWidth="1"/>
    <col min="13330" max="13330" width="7.85546875" bestFit="1" customWidth="1"/>
    <col min="13331" max="13331" width="11.7109375" bestFit="1" customWidth="1"/>
    <col min="13332" max="13332" width="7.28515625" bestFit="1" customWidth="1"/>
    <col min="13333" max="13333" width="7" bestFit="1" customWidth="1"/>
    <col min="13334" max="13334" width="7.85546875" bestFit="1" customWidth="1"/>
    <col min="13335" max="13335" width="7.28515625" bestFit="1" customWidth="1"/>
    <col min="13336" max="13336" width="7" bestFit="1" customWidth="1"/>
    <col min="13337" max="13337" width="7.85546875" bestFit="1" customWidth="1"/>
    <col min="13338" max="13338" width="8.5703125" bestFit="1" customWidth="1"/>
    <col min="13339" max="13339" width="8.140625" bestFit="1" customWidth="1"/>
    <col min="13340" max="13340" width="10.28515625" bestFit="1" customWidth="1"/>
    <col min="13341" max="13341" width="5.28515625" customWidth="1"/>
    <col min="13342" max="13342" width="7" bestFit="1" customWidth="1"/>
    <col min="13343" max="13343" width="7.28515625" bestFit="1" customWidth="1"/>
    <col min="13344" max="13344" width="7" bestFit="1" customWidth="1"/>
    <col min="13345" max="13345" width="9.140625" bestFit="1" customWidth="1"/>
    <col min="13346" max="13346" width="1.85546875" customWidth="1"/>
    <col min="13347" max="13347" width="1.7109375" customWidth="1"/>
    <col min="13348" max="13348" width="9" customWidth="1"/>
    <col min="13571" max="13571" width="27.7109375" customWidth="1"/>
    <col min="13572" max="13572" width="5.85546875" bestFit="1" customWidth="1"/>
    <col min="13574" max="13575" width="5" customWidth="1"/>
    <col min="13576" max="13576" width="9" bestFit="1" customWidth="1"/>
    <col min="13577" max="13577" width="8.140625" bestFit="1" customWidth="1"/>
    <col min="13578" max="13578" width="7" bestFit="1" customWidth="1"/>
    <col min="13579" max="13580" width="8.140625" bestFit="1" customWidth="1"/>
    <col min="13581" max="13581" width="7" bestFit="1" customWidth="1"/>
    <col min="13582" max="13582" width="7.140625" bestFit="1" customWidth="1"/>
    <col min="13583" max="13583" width="7.85546875" bestFit="1" customWidth="1"/>
    <col min="13584" max="13584" width="7" bestFit="1" customWidth="1"/>
    <col min="13585" max="13585" width="7.140625" bestFit="1" customWidth="1"/>
    <col min="13586" max="13586" width="7.85546875" bestFit="1" customWidth="1"/>
    <col min="13587" max="13587" width="11.7109375" bestFit="1" customWidth="1"/>
    <col min="13588" max="13588" width="7.28515625" bestFit="1" customWidth="1"/>
    <col min="13589" max="13589" width="7" bestFit="1" customWidth="1"/>
    <col min="13590" max="13590" width="7.85546875" bestFit="1" customWidth="1"/>
    <col min="13591" max="13591" width="7.28515625" bestFit="1" customWidth="1"/>
    <col min="13592" max="13592" width="7" bestFit="1" customWidth="1"/>
    <col min="13593" max="13593" width="7.85546875" bestFit="1" customWidth="1"/>
    <col min="13594" max="13594" width="8.5703125" bestFit="1" customWidth="1"/>
    <col min="13595" max="13595" width="8.140625" bestFit="1" customWidth="1"/>
    <col min="13596" max="13596" width="10.28515625" bestFit="1" customWidth="1"/>
    <col min="13597" max="13597" width="5.28515625" customWidth="1"/>
    <col min="13598" max="13598" width="7" bestFit="1" customWidth="1"/>
    <col min="13599" max="13599" width="7.28515625" bestFit="1" customWidth="1"/>
    <col min="13600" max="13600" width="7" bestFit="1" customWidth="1"/>
    <col min="13601" max="13601" width="9.140625" bestFit="1" customWidth="1"/>
    <col min="13602" max="13602" width="1.85546875" customWidth="1"/>
    <col min="13603" max="13603" width="1.7109375" customWidth="1"/>
    <col min="13604" max="13604" width="9" customWidth="1"/>
    <col min="13827" max="13827" width="27.7109375" customWidth="1"/>
    <col min="13828" max="13828" width="5.85546875" bestFit="1" customWidth="1"/>
    <col min="13830" max="13831" width="5" customWidth="1"/>
    <col min="13832" max="13832" width="9" bestFit="1" customWidth="1"/>
    <col min="13833" max="13833" width="8.140625" bestFit="1" customWidth="1"/>
    <col min="13834" max="13834" width="7" bestFit="1" customWidth="1"/>
    <col min="13835" max="13836" width="8.140625" bestFit="1" customWidth="1"/>
    <col min="13837" max="13837" width="7" bestFit="1" customWidth="1"/>
    <col min="13838" max="13838" width="7.140625" bestFit="1" customWidth="1"/>
    <col min="13839" max="13839" width="7.85546875" bestFit="1" customWidth="1"/>
    <col min="13840" max="13840" width="7" bestFit="1" customWidth="1"/>
    <col min="13841" max="13841" width="7.140625" bestFit="1" customWidth="1"/>
    <col min="13842" max="13842" width="7.85546875" bestFit="1" customWidth="1"/>
    <col min="13843" max="13843" width="11.7109375" bestFit="1" customWidth="1"/>
    <col min="13844" max="13844" width="7.28515625" bestFit="1" customWidth="1"/>
    <col min="13845" max="13845" width="7" bestFit="1" customWidth="1"/>
    <col min="13846" max="13846" width="7.85546875" bestFit="1" customWidth="1"/>
    <col min="13847" max="13847" width="7.28515625" bestFit="1" customWidth="1"/>
    <col min="13848" max="13848" width="7" bestFit="1" customWidth="1"/>
    <col min="13849" max="13849" width="7.85546875" bestFit="1" customWidth="1"/>
    <col min="13850" max="13850" width="8.5703125" bestFit="1" customWidth="1"/>
    <col min="13851" max="13851" width="8.140625" bestFit="1" customWidth="1"/>
    <col min="13852" max="13852" width="10.28515625" bestFit="1" customWidth="1"/>
    <col min="13853" max="13853" width="5.28515625" customWidth="1"/>
    <col min="13854" max="13854" width="7" bestFit="1" customWidth="1"/>
    <col min="13855" max="13855" width="7.28515625" bestFit="1" customWidth="1"/>
    <col min="13856" max="13856" width="7" bestFit="1" customWidth="1"/>
    <col min="13857" max="13857" width="9.140625" bestFit="1" customWidth="1"/>
    <col min="13858" max="13858" width="1.85546875" customWidth="1"/>
    <col min="13859" max="13859" width="1.7109375" customWidth="1"/>
    <col min="13860" max="13860" width="9" customWidth="1"/>
    <col min="14083" max="14083" width="27.7109375" customWidth="1"/>
    <col min="14084" max="14084" width="5.85546875" bestFit="1" customWidth="1"/>
    <col min="14086" max="14087" width="5" customWidth="1"/>
    <col min="14088" max="14088" width="9" bestFit="1" customWidth="1"/>
    <col min="14089" max="14089" width="8.140625" bestFit="1" customWidth="1"/>
    <col min="14090" max="14090" width="7" bestFit="1" customWidth="1"/>
    <col min="14091" max="14092" width="8.140625" bestFit="1" customWidth="1"/>
    <col min="14093" max="14093" width="7" bestFit="1" customWidth="1"/>
    <col min="14094" max="14094" width="7.140625" bestFit="1" customWidth="1"/>
    <col min="14095" max="14095" width="7.85546875" bestFit="1" customWidth="1"/>
    <col min="14096" max="14096" width="7" bestFit="1" customWidth="1"/>
    <col min="14097" max="14097" width="7.140625" bestFit="1" customWidth="1"/>
    <col min="14098" max="14098" width="7.85546875" bestFit="1" customWidth="1"/>
    <col min="14099" max="14099" width="11.7109375" bestFit="1" customWidth="1"/>
    <col min="14100" max="14100" width="7.28515625" bestFit="1" customWidth="1"/>
    <col min="14101" max="14101" width="7" bestFit="1" customWidth="1"/>
    <col min="14102" max="14102" width="7.85546875" bestFit="1" customWidth="1"/>
    <col min="14103" max="14103" width="7.28515625" bestFit="1" customWidth="1"/>
    <col min="14104" max="14104" width="7" bestFit="1" customWidth="1"/>
    <col min="14105" max="14105" width="7.85546875" bestFit="1" customWidth="1"/>
    <col min="14106" max="14106" width="8.5703125" bestFit="1" customWidth="1"/>
    <col min="14107" max="14107" width="8.140625" bestFit="1" customWidth="1"/>
    <col min="14108" max="14108" width="10.28515625" bestFit="1" customWidth="1"/>
    <col min="14109" max="14109" width="5.28515625" customWidth="1"/>
    <col min="14110" max="14110" width="7" bestFit="1" customWidth="1"/>
    <col min="14111" max="14111" width="7.28515625" bestFit="1" customWidth="1"/>
    <col min="14112" max="14112" width="7" bestFit="1" customWidth="1"/>
    <col min="14113" max="14113" width="9.140625" bestFit="1" customWidth="1"/>
    <col min="14114" max="14114" width="1.85546875" customWidth="1"/>
    <col min="14115" max="14115" width="1.7109375" customWidth="1"/>
    <col min="14116" max="14116" width="9" customWidth="1"/>
    <col min="14339" max="14339" width="27.7109375" customWidth="1"/>
    <col min="14340" max="14340" width="5.85546875" bestFit="1" customWidth="1"/>
    <col min="14342" max="14343" width="5" customWidth="1"/>
    <col min="14344" max="14344" width="9" bestFit="1" customWidth="1"/>
    <col min="14345" max="14345" width="8.140625" bestFit="1" customWidth="1"/>
    <col min="14346" max="14346" width="7" bestFit="1" customWidth="1"/>
    <col min="14347" max="14348" width="8.140625" bestFit="1" customWidth="1"/>
    <col min="14349" max="14349" width="7" bestFit="1" customWidth="1"/>
    <col min="14350" max="14350" width="7.140625" bestFit="1" customWidth="1"/>
    <col min="14351" max="14351" width="7.85546875" bestFit="1" customWidth="1"/>
    <col min="14352" max="14352" width="7" bestFit="1" customWidth="1"/>
    <col min="14353" max="14353" width="7.140625" bestFit="1" customWidth="1"/>
    <col min="14354" max="14354" width="7.85546875" bestFit="1" customWidth="1"/>
    <col min="14355" max="14355" width="11.7109375" bestFit="1" customWidth="1"/>
    <col min="14356" max="14356" width="7.28515625" bestFit="1" customWidth="1"/>
    <col min="14357" max="14357" width="7" bestFit="1" customWidth="1"/>
    <col min="14358" max="14358" width="7.85546875" bestFit="1" customWidth="1"/>
    <col min="14359" max="14359" width="7.28515625" bestFit="1" customWidth="1"/>
    <col min="14360" max="14360" width="7" bestFit="1" customWidth="1"/>
    <col min="14361" max="14361" width="7.85546875" bestFit="1" customWidth="1"/>
    <col min="14362" max="14362" width="8.5703125" bestFit="1" customWidth="1"/>
    <col min="14363" max="14363" width="8.140625" bestFit="1" customWidth="1"/>
    <col min="14364" max="14364" width="10.28515625" bestFit="1" customWidth="1"/>
    <col min="14365" max="14365" width="5.28515625" customWidth="1"/>
    <col min="14366" max="14366" width="7" bestFit="1" customWidth="1"/>
    <col min="14367" max="14367" width="7.28515625" bestFit="1" customWidth="1"/>
    <col min="14368" max="14368" width="7" bestFit="1" customWidth="1"/>
    <col min="14369" max="14369" width="9.140625" bestFit="1" customWidth="1"/>
    <col min="14370" max="14370" width="1.85546875" customWidth="1"/>
    <col min="14371" max="14371" width="1.7109375" customWidth="1"/>
    <col min="14372" max="14372" width="9" customWidth="1"/>
    <col min="14595" max="14595" width="27.7109375" customWidth="1"/>
    <col min="14596" max="14596" width="5.85546875" bestFit="1" customWidth="1"/>
    <col min="14598" max="14599" width="5" customWidth="1"/>
    <col min="14600" max="14600" width="9" bestFit="1" customWidth="1"/>
    <col min="14601" max="14601" width="8.140625" bestFit="1" customWidth="1"/>
    <col min="14602" max="14602" width="7" bestFit="1" customWidth="1"/>
    <col min="14603" max="14604" width="8.140625" bestFit="1" customWidth="1"/>
    <col min="14605" max="14605" width="7" bestFit="1" customWidth="1"/>
    <col min="14606" max="14606" width="7.140625" bestFit="1" customWidth="1"/>
    <col min="14607" max="14607" width="7.85546875" bestFit="1" customWidth="1"/>
    <col min="14608" max="14608" width="7" bestFit="1" customWidth="1"/>
    <col min="14609" max="14609" width="7.140625" bestFit="1" customWidth="1"/>
    <col min="14610" max="14610" width="7.85546875" bestFit="1" customWidth="1"/>
    <col min="14611" max="14611" width="11.7109375" bestFit="1" customWidth="1"/>
    <col min="14612" max="14612" width="7.28515625" bestFit="1" customWidth="1"/>
    <col min="14613" max="14613" width="7" bestFit="1" customWidth="1"/>
    <col min="14614" max="14614" width="7.85546875" bestFit="1" customWidth="1"/>
    <col min="14615" max="14615" width="7.28515625" bestFit="1" customWidth="1"/>
    <col min="14616" max="14616" width="7" bestFit="1" customWidth="1"/>
    <col min="14617" max="14617" width="7.85546875" bestFit="1" customWidth="1"/>
    <col min="14618" max="14618" width="8.5703125" bestFit="1" customWidth="1"/>
    <col min="14619" max="14619" width="8.140625" bestFit="1" customWidth="1"/>
    <col min="14620" max="14620" width="10.28515625" bestFit="1" customWidth="1"/>
    <col min="14621" max="14621" width="5.28515625" customWidth="1"/>
    <col min="14622" max="14622" width="7" bestFit="1" customWidth="1"/>
    <col min="14623" max="14623" width="7.28515625" bestFit="1" customWidth="1"/>
    <col min="14624" max="14624" width="7" bestFit="1" customWidth="1"/>
    <col min="14625" max="14625" width="9.140625" bestFit="1" customWidth="1"/>
    <col min="14626" max="14626" width="1.85546875" customWidth="1"/>
    <col min="14627" max="14627" width="1.7109375" customWidth="1"/>
    <col min="14628" max="14628" width="9" customWidth="1"/>
    <col min="14851" max="14851" width="27.7109375" customWidth="1"/>
    <col min="14852" max="14852" width="5.85546875" bestFit="1" customWidth="1"/>
    <col min="14854" max="14855" width="5" customWidth="1"/>
    <col min="14856" max="14856" width="9" bestFit="1" customWidth="1"/>
    <col min="14857" max="14857" width="8.140625" bestFit="1" customWidth="1"/>
    <col min="14858" max="14858" width="7" bestFit="1" customWidth="1"/>
    <col min="14859" max="14860" width="8.140625" bestFit="1" customWidth="1"/>
    <col min="14861" max="14861" width="7" bestFit="1" customWidth="1"/>
    <col min="14862" max="14862" width="7.140625" bestFit="1" customWidth="1"/>
    <col min="14863" max="14863" width="7.85546875" bestFit="1" customWidth="1"/>
    <col min="14864" max="14864" width="7" bestFit="1" customWidth="1"/>
    <col min="14865" max="14865" width="7.140625" bestFit="1" customWidth="1"/>
    <col min="14866" max="14866" width="7.85546875" bestFit="1" customWidth="1"/>
    <col min="14867" max="14867" width="11.7109375" bestFit="1" customWidth="1"/>
    <col min="14868" max="14868" width="7.28515625" bestFit="1" customWidth="1"/>
    <col min="14869" max="14869" width="7" bestFit="1" customWidth="1"/>
    <col min="14870" max="14870" width="7.85546875" bestFit="1" customWidth="1"/>
    <col min="14871" max="14871" width="7.28515625" bestFit="1" customWidth="1"/>
    <col min="14872" max="14872" width="7" bestFit="1" customWidth="1"/>
    <col min="14873" max="14873" width="7.85546875" bestFit="1" customWidth="1"/>
    <col min="14874" max="14874" width="8.5703125" bestFit="1" customWidth="1"/>
    <col min="14875" max="14875" width="8.140625" bestFit="1" customWidth="1"/>
    <col min="14876" max="14876" width="10.28515625" bestFit="1" customWidth="1"/>
    <col min="14877" max="14877" width="5.28515625" customWidth="1"/>
    <col min="14878" max="14878" width="7" bestFit="1" customWidth="1"/>
    <col min="14879" max="14879" width="7.28515625" bestFit="1" customWidth="1"/>
    <col min="14880" max="14880" width="7" bestFit="1" customWidth="1"/>
    <col min="14881" max="14881" width="9.140625" bestFit="1" customWidth="1"/>
    <col min="14882" max="14882" width="1.85546875" customWidth="1"/>
    <col min="14883" max="14883" width="1.7109375" customWidth="1"/>
    <col min="14884" max="14884" width="9" customWidth="1"/>
    <col min="15107" max="15107" width="27.7109375" customWidth="1"/>
    <col min="15108" max="15108" width="5.85546875" bestFit="1" customWidth="1"/>
    <col min="15110" max="15111" width="5" customWidth="1"/>
    <col min="15112" max="15112" width="9" bestFit="1" customWidth="1"/>
    <col min="15113" max="15113" width="8.140625" bestFit="1" customWidth="1"/>
    <col min="15114" max="15114" width="7" bestFit="1" customWidth="1"/>
    <col min="15115" max="15116" width="8.140625" bestFit="1" customWidth="1"/>
    <col min="15117" max="15117" width="7" bestFit="1" customWidth="1"/>
    <col min="15118" max="15118" width="7.140625" bestFit="1" customWidth="1"/>
    <col min="15119" max="15119" width="7.85546875" bestFit="1" customWidth="1"/>
    <col min="15120" max="15120" width="7" bestFit="1" customWidth="1"/>
    <col min="15121" max="15121" width="7.140625" bestFit="1" customWidth="1"/>
    <col min="15122" max="15122" width="7.85546875" bestFit="1" customWidth="1"/>
    <col min="15123" max="15123" width="11.7109375" bestFit="1" customWidth="1"/>
    <col min="15124" max="15124" width="7.28515625" bestFit="1" customWidth="1"/>
    <col min="15125" max="15125" width="7" bestFit="1" customWidth="1"/>
    <col min="15126" max="15126" width="7.85546875" bestFit="1" customWidth="1"/>
    <col min="15127" max="15127" width="7.28515625" bestFit="1" customWidth="1"/>
    <col min="15128" max="15128" width="7" bestFit="1" customWidth="1"/>
    <col min="15129" max="15129" width="7.85546875" bestFit="1" customWidth="1"/>
    <col min="15130" max="15130" width="8.5703125" bestFit="1" customWidth="1"/>
    <col min="15131" max="15131" width="8.140625" bestFit="1" customWidth="1"/>
    <col min="15132" max="15132" width="10.28515625" bestFit="1" customWidth="1"/>
    <col min="15133" max="15133" width="5.28515625" customWidth="1"/>
    <col min="15134" max="15134" width="7" bestFit="1" customWidth="1"/>
    <col min="15135" max="15135" width="7.28515625" bestFit="1" customWidth="1"/>
    <col min="15136" max="15136" width="7" bestFit="1" customWidth="1"/>
    <col min="15137" max="15137" width="9.140625" bestFit="1" customWidth="1"/>
    <col min="15138" max="15138" width="1.85546875" customWidth="1"/>
    <col min="15139" max="15139" width="1.7109375" customWidth="1"/>
    <col min="15140" max="15140" width="9" customWidth="1"/>
    <col min="15363" max="15363" width="27.7109375" customWidth="1"/>
    <col min="15364" max="15364" width="5.85546875" bestFit="1" customWidth="1"/>
    <col min="15366" max="15367" width="5" customWidth="1"/>
    <col min="15368" max="15368" width="9" bestFit="1" customWidth="1"/>
    <col min="15369" max="15369" width="8.140625" bestFit="1" customWidth="1"/>
    <col min="15370" max="15370" width="7" bestFit="1" customWidth="1"/>
    <col min="15371" max="15372" width="8.140625" bestFit="1" customWidth="1"/>
    <col min="15373" max="15373" width="7" bestFit="1" customWidth="1"/>
    <col min="15374" max="15374" width="7.140625" bestFit="1" customWidth="1"/>
    <col min="15375" max="15375" width="7.85546875" bestFit="1" customWidth="1"/>
    <col min="15376" max="15376" width="7" bestFit="1" customWidth="1"/>
    <col min="15377" max="15377" width="7.140625" bestFit="1" customWidth="1"/>
    <col min="15378" max="15378" width="7.85546875" bestFit="1" customWidth="1"/>
    <col min="15379" max="15379" width="11.7109375" bestFit="1" customWidth="1"/>
    <col min="15380" max="15380" width="7.28515625" bestFit="1" customWidth="1"/>
    <col min="15381" max="15381" width="7" bestFit="1" customWidth="1"/>
    <col min="15382" max="15382" width="7.85546875" bestFit="1" customWidth="1"/>
    <col min="15383" max="15383" width="7.28515625" bestFit="1" customWidth="1"/>
    <col min="15384" max="15384" width="7" bestFit="1" customWidth="1"/>
    <col min="15385" max="15385" width="7.85546875" bestFit="1" customWidth="1"/>
    <col min="15386" max="15386" width="8.5703125" bestFit="1" customWidth="1"/>
    <col min="15387" max="15387" width="8.140625" bestFit="1" customWidth="1"/>
    <col min="15388" max="15388" width="10.28515625" bestFit="1" customWidth="1"/>
    <col min="15389" max="15389" width="5.28515625" customWidth="1"/>
    <col min="15390" max="15390" width="7" bestFit="1" customWidth="1"/>
    <col min="15391" max="15391" width="7.28515625" bestFit="1" customWidth="1"/>
    <col min="15392" max="15392" width="7" bestFit="1" customWidth="1"/>
    <col min="15393" max="15393" width="9.140625" bestFit="1" customWidth="1"/>
    <col min="15394" max="15394" width="1.85546875" customWidth="1"/>
    <col min="15395" max="15395" width="1.7109375" customWidth="1"/>
    <col min="15396" max="15396" width="9" customWidth="1"/>
    <col min="15619" max="15619" width="27.7109375" customWidth="1"/>
    <col min="15620" max="15620" width="5.85546875" bestFit="1" customWidth="1"/>
    <col min="15622" max="15623" width="5" customWidth="1"/>
    <col min="15624" max="15624" width="9" bestFit="1" customWidth="1"/>
    <col min="15625" max="15625" width="8.140625" bestFit="1" customWidth="1"/>
    <col min="15626" max="15626" width="7" bestFit="1" customWidth="1"/>
    <col min="15627" max="15628" width="8.140625" bestFit="1" customWidth="1"/>
    <col min="15629" max="15629" width="7" bestFit="1" customWidth="1"/>
    <col min="15630" max="15630" width="7.140625" bestFit="1" customWidth="1"/>
    <col min="15631" max="15631" width="7.85546875" bestFit="1" customWidth="1"/>
    <col min="15632" max="15632" width="7" bestFit="1" customWidth="1"/>
    <col min="15633" max="15633" width="7.140625" bestFit="1" customWidth="1"/>
    <col min="15634" max="15634" width="7.85546875" bestFit="1" customWidth="1"/>
    <col min="15635" max="15635" width="11.7109375" bestFit="1" customWidth="1"/>
    <col min="15636" max="15636" width="7.28515625" bestFit="1" customWidth="1"/>
    <col min="15637" max="15637" width="7" bestFit="1" customWidth="1"/>
    <col min="15638" max="15638" width="7.85546875" bestFit="1" customWidth="1"/>
    <col min="15639" max="15639" width="7.28515625" bestFit="1" customWidth="1"/>
    <col min="15640" max="15640" width="7" bestFit="1" customWidth="1"/>
    <col min="15641" max="15641" width="7.85546875" bestFit="1" customWidth="1"/>
    <col min="15642" max="15642" width="8.5703125" bestFit="1" customWidth="1"/>
    <col min="15643" max="15643" width="8.140625" bestFit="1" customWidth="1"/>
    <col min="15644" max="15644" width="10.28515625" bestFit="1" customWidth="1"/>
    <col min="15645" max="15645" width="5.28515625" customWidth="1"/>
    <col min="15646" max="15646" width="7" bestFit="1" customWidth="1"/>
    <col min="15647" max="15647" width="7.28515625" bestFit="1" customWidth="1"/>
    <col min="15648" max="15648" width="7" bestFit="1" customWidth="1"/>
    <col min="15649" max="15649" width="9.140625" bestFit="1" customWidth="1"/>
    <col min="15650" max="15650" width="1.85546875" customWidth="1"/>
    <col min="15651" max="15651" width="1.7109375" customWidth="1"/>
    <col min="15652" max="15652" width="9" customWidth="1"/>
    <col min="15875" max="15875" width="27.7109375" customWidth="1"/>
    <col min="15876" max="15876" width="5.85546875" bestFit="1" customWidth="1"/>
    <col min="15878" max="15879" width="5" customWidth="1"/>
    <col min="15880" max="15880" width="9" bestFit="1" customWidth="1"/>
    <col min="15881" max="15881" width="8.140625" bestFit="1" customWidth="1"/>
    <col min="15882" max="15882" width="7" bestFit="1" customWidth="1"/>
    <col min="15883" max="15884" width="8.140625" bestFit="1" customWidth="1"/>
    <col min="15885" max="15885" width="7" bestFit="1" customWidth="1"/>
    <col min="15886" max="15886" width="7.140625" bestFit="1" customWidth="1"/>
    <col min="15887" max="15887" width="7.85546875" bestFit="1" customWidth="1"/>
    <col min="15888" max="15888" width="7" bestFit="1" customWidth="1"/>
    <col min="15889" max="15889" width="7.140625" bestFit="1" customWidth="1"/>
    <col min="15890" max="15890" width="7.85546875" bestFit="1" customWidth="1"/>
    <col min="15891" max="15891" width="11.7109375" bestFit="1" customWidth="1"/>
    <col min="15892" max="15892" width="7.28515625" bestFit="1" customWidth="1"/>
    <col min="15893" max="15893" width="7" bestFit="1" customWidth="1"/>
    <col min="15894" max="15894" width="7.85546875" bestFit="1" customWidth="1"/>
    <col min="15895" max="15895" width="7.28515625" bestFit="1" customWidth="1"/>
    <col min="15896" max="15896" width="7" bestFit="1" customWidth="1"/>
    <col min="15897" max="15897" width="7.85546875" bestFit="1" customWidth="1"/>
    <col min="15898" max="15898" width="8.5703125" bestFit="1" customWidth="1"/>
    <col min="15899" max="15899" width="8.140625" bestFit="1" customWidth="1"/>
    <col min="15900" max="15900" width="10.28515625" bestFit="1" customWidth="1"/>
    <col min="15901" max="15901" width="5.28515625" customWidth="1"/>
    <col min="15902" max="15902" width="7" bestFit="1" customWidth="1"/>
    <col min="15903" max="15903" width="7.28515625" bestFit="1" customWidth="1"/>
    <col min="15904" max="15904" width="7" bestFit="1" customWidth="1"/>
    <col min="15905" max="15905" width="9.140625" bestFit="1" customWidth="1"/>
    <col min="15906" max="15906" width="1.85546875" customWidth="1"/>
    <col min="15907" max="15907" width="1.7109375" customWidth="1"/>
    <col min="15908" max="15908" width="9" customWidth="1"/>
    <col min="16131" max="16131" width="27.7109375" customWidth="1"/>
    <col min="16132" max="16132" width="5.85546875" bestFit="1" customWidth="1"/>
    <col min="16134" max="16135" width="5" customWidth="1"/>
    <col min="16136" max="16136" width="9" bestFit="1" customWidth="1"/>
    <col min="16137" max="16137" width="8.140625" bestFit="1" customWidth="1"/>
    <col min="16138" max="16138" width="7" bestFit="1" customWidth="1"/>
    <col min="16139" max="16140" width="8.140625" bestFit="1" customWidth="1"/>
    <col min="16141" max="16141" width="7" bestFit="1" customWidth="1"/>
    <col min="16142" max="16142" width="7.140625" bestFit="1" customWidth="1"/>
    <col min="16143" max="16143" width="7.85546875" bestFit="1" customWidth="1"/>
    <col min="16144" max="16144" width="7" bestFit="1" customWidth="1"/>
    <col min="16145" max="16145" width="7.140625" bestFit="1" customWidth="1"/>
    <col min="16146" max="16146" width="7.85546875" bestFit="1" customWidth="1"/>
    <col min="16147" max="16147" width="11.7109375" bestFit="1" customWidth="1"/>
    <col min="16148" max="16148" width="7.28515625" bestFit="1" customWidth="1"/>
    <col min="16149" max="16149" width="7" bestFit="1" customWidth="1"/>
    <col min="16150" max="16150" width="7.85546875" bestFit="1" customWidth="1"/>
    <col min="16151" max="16151" width="7.28515625" bestFit="1" customWidth="1"/>
    <col min="16152" max="16152" width="7" bestFit="1" customWidth="1"/>
    <col min="16153" max="16153" width="7.85546875" bestFit="1" customWidth="1"/>
    <col min="16154" max="16154" width="8.5703125" bestFit="1" customWidth="1"/>
    <col min="16155" max="16155" width="8.140625" bestFit="1" customWidth="1"/>
    <col min="16156" max="16156" width="10.28515625" bestFit="1" customWidth="1"/>
    <col min="16157" max="16157" width="5.28515625" customWidth="1"/>
    <col min="16158" max="16158" width="7" bestFit="1" customWidth="1"/>
    <col min="16159" max="16159" width="7.28515625" bestFit="1" customWidth="1"/>
    <col min="16160" max="16160" width="7" bestFit="1" customWidth="1"/>
    <col min="16161" max="16161" width="9.140625" bestFit="1" customWidth="1"/>
    <col min="16162" max="16162" width="1.85546875" customWidth="1"/>
    <col min="16163" max="16163" width="1.7109375" customWidth="1"/>
    <col min="16164" max="16164" width="9" customWidth="1"/>
  </cols>
  <sheetData>
    <row r="1" spans="1:41" s="75" customFormat="1" ht="18.75" customHeight="1" x14ac:dyDescent="0.25">
      <c r="A1" s="100"/>
      <c r="B1" s="95"/>
      <c r="D1" s="76"/>
      <c r="E1" s="370" t="s">
        <v>380</v>
      </c>
      <c r="F1" s="371"/>
      <c r="G1" s="371"/>
      <c r="H1" s="371"/>
      <c r="I1" s="371"/>
      <c r="J1" s="371"/>
      <c r="K1" s="371"/>
      <c r="L1" s="371"/>
      <c r="M1" s="371"/>
      <c r="N1" s="371"/>
      <c r="O1" s="371"/>
      <c r="P1" s="371"/>
      <c r="Q1" s="371"/>
      <c r="R1" s="371"/>
      <c r="S1" s="371"/>
      <c r="T1" s="371"/>
      <c r="U1" s="371"/>
      <c r="V1" s="371"/>
      <c r="W1" s="371"/>
      <c r="X1" s="371"/>
      <c r="Y1" s="371"/>
      <c r="Z1" s="371"/>
      <c r="AA1" s="371"/>
      <c r="AB1" s="371"/>
      <c r="AC1" s="371"/>
      <c r="AD1" s="371"/>
      <c r="AE1" s="371"/>
      <c r="AF1" s="371"/>
      <c r="AG1" s="371"/>
      <c r="AH1" s="371"/>
      <c r="AI1" s="371"/>
      <c r="AJ1" s="371"/>
      <c r="AK1" s="371"/>
      <c r="AL1" s="372"/>
    </row>
    <row r="2" spans="1:41" s="79" customFormat="1" ht="12.75" x14ac:dyDescent="0.2">
      <c r="A2" s="90"/>
      <c r="B2" s="96" t="s">
        <v>238</v>
      </c>
      <c r="C2" s="77"/>
      <c r="D2" s="77"/>
      <c r="E2" s="373"/>
      <c r="F2" s="374"/>
      <c r="G2" s="374"/>
      <c r="H2" s="374"/>
      <c r="I2" s="374"/>
      <c r="J2" s="374"/>
      <c r="K2" s="374"/>
      <c r="L2" s="374"/>
      <c r="M2" s="374"/>
      <c r="N2" s="374"/>
      <c r="O2" s="374"/>
      <c r="P2" s="374"/>
      <c r="Q2" s="374"/>
      <c r="R2" s="374"/>
      <c r="S2" s="374"/>
      <c r="T2" s="374"/>
      <c r="U2" s="374"/>
      <c r="V2" s="374"/>
      <c r="W2" s="374"/>
      <c r="X2" s="374"/>
      <c r="Y2" s="374"/>
      <c r="Z2" s="374"/>
      <c r="AA2" s="374"/>
      <c r="AB2" s="374"/>
      <c r="AC2" s="374"/>
      <c r="AD2" s="374"/>
      <c r="AE2" s="374"/>
      <c r="AF2" s="374"/>
      <c r="AG2" s="374"/>
      <c r="AH2" s="374"/>
      <c r="AI2" s="374"/>
      <c r="AJ2" s="374"/>
      <c r="AK2" s="374"/>
      <c r="AL2" s="375"/>
    </row>
    <row r="3" spans="1:41" s="79" customFormat="1" ht="12.75" x14ac:dyDescent="0.2">
      <c r="A3" s="90"/>
      <c r="B3" s="97" t="str">
        <f>UPPER(CONCATENATE("NOMINA DEL ",TEXT(Asistencias!B2,"DD/MMMM "),"AL ",(TEXT(Asistencias!B3-1,"DD/MMMM"))," DE ",TEXT(Asistencias!B3,"AAAA")))</f>
        <v>NOMINA DEL 01/FEBRERO AL 02/MARZO DE 2023</v>
      </c>
      <c r="C3" s="77"/>
      <c r="D3" s="82"/>
      <c r="E3" s="373"/>
      <c r="F3" s="374"/>
      <c r="G3" s="374"/>
      <c r="H3" s="374"/>
      <c r="I3" s="374"/>
      <c r="J3" s="374"/>
      <c r="K3" s="374"/>
      <c r="L3" s="374"/>
      <c r="M3" s="374"/>
      <c r="N3" s="374"/>
      <c r="O3" s="374"/>
      <c r="P3" s="374"/>
      <c r="Q3" s="374"/>
      <c r="R3" s="374"/>
      <c r="S3" s="374"/>
      <c r="T3" s="374"/>
      <c r="U3" s="374"/>
      <c r="V3" s="374"/>
      <c r="W3" s="374"/>
      <c r="X3" s="374"/>
      <c r="Y3" s="374"/>
      <c r="Z3" s="374"/>
      <c r="AA3" s="374"/>
      <c r="AB3" s="374"/>
      <c r="AC3" s="374"/>
      <c r="AD3" s="374"/>
      <c r="AE3" s="374"/>
      <c r="AF3" s="374"/>
      <c r="AG3" s="374"/>
      <c r="AH3" s="374"/>
      <c r="AI3" s="374"/>
      <c r="AJ3" s="374"/>
      <c r="AK3" s="374"/>
      <c r="AL3" s="375"/>
      <c r="AM3" s="368"/>
    </row>
    <row r="4" spans="1:41" s="79" customFormat="1" ht="13.5" thickBot="1" x14ac:dyDescent="0.25">
      <c r="A4" s="90"/>
      <c r="B4" s="98"/>
      <c r="C4" s="77"/>
      <c r="D4" s="78"/>
      <c r="E4" s="376"/>
      <c r="F4" s="377"/>
      <c r="G4" s="377"/>
      <c r="H4" s="377"/>
      <c r="I4" s="377"/>
      <c r="J4" s="377"/>
      <c r="K4" s="377"/>
      <c r="L4" s="377"/>
      <c r="M4" s="377"/>
      <c r="N4" s="374"/>
      <c r="O4" s="374"/>
      <c r="P4" s="374"/>
      <c r="Q4" s="374"/>
      <c r="R4" s="374"/>
      <c r="S4" s="374"/>
      <c r="T4" s="374"/>
      <c r="U4" s="374"/>
      <c r="V4" s="374"/>
      <c r="W4" s="374"/>
      <c r="X4" s="377"/>
      <c r="Y4" s="374"/>
      <c r="Z4" s="374"/>
      <c r="AA4" s="374"/>
      <c r="AB4" s="377"/>
      <c r="AC4" s="377"/>
      <c r="AD4" s="377"/>
      <c r="AE4" s="377"/>
      <c r="AF4" s="377"/>
      <c r="AG4" s="377"/>
      <c r="AH4" s="377"/>
      <c r="AI4" s="377"/>
      <c r="AJ4" s="377"/>
      <c r="AK4" s="377"/>
      <c r="AL4" s="378"/>
      <c r="AM4" s="369"/>
    </row>
    <row r="5" spans="1:41" s="79" customFormat="1" ht="14.45" customHeight="1" x14ac:dyDescent="0.2">
      <c r="A5" s="90"/>
      <c r="B5" s="99"/>
      <c r="C5" s="77"/>
      <c r="D5" s="78"/>
      <c r="E5" s="78"/>
      <c r="F5" s="78"/>
      <c r="G5" s="78"/>
      <c r="H5" s="78"/>
      <c r="I5" s="78"/>
      <c r="J5" s="78"/>
      <c r="K5" s="78"/>
      <c r="L5" s="77"/>
      <c r="M5" s="77"/>
      <c r="N5" s="367" t="s">
        <v>240</v>
      </c>
      <c r="O5" s="367"/>
      <c r="P5" s="367"/>
      <c r="Q5" s="367"/>
      <c r="R5" s="367"/>
      <c r="S5" s="367"/>
      <c r="T5" s="367"/>
      <c r="U5" s="367"/>
      <c r="V5" s="367"/>
      <c r="W5" s="367"/>
      <c r="X5" s="209"/>
      <c r="Y5" s="367" t="s">
        <v>242</v>
      </c>
      <c r="Z5" s="367"/>
      <c r="AA5" s="367"/>
      <c r="AB5" s="392" t="s">
        <v>389</v>
      </c>
      <c r="AC5" s="393"/>
      <c r="AD5" s="394"/>
      <c r="AE5" s="210"/>
      <c r="AF5" s="211"/>
      <c r="AG5" s="80"/>
      <c r="AH5" s="212"/>
      <c r="AI5" s="379" t="s">
        <v>244</v>
      </c>
      <c r="AJ5" s="380"/>
      <c r="AK5" s="381"/>
      <c r="AL5" s="212"/>
      <c r="AM5" s="388" t="s">
        <v>239</v>
      </c>
      <c r="AN5" s="389"/>
    </row>
    <row r="6" spans="1:41" s="79" customFormat="1" ht="24" customHeight="1" x14ac:dyDescent="0.2">
      <c r="A6" s="90"/>
      <c r="B6" s="99"/>
      <c r="C6" s="81"/>
      <c r="D6" s="78"/>
      <c r="E6" s="78"/>
      <c r="F6" s="78"/>
      <c r="G6" s="78"/>
      <c r="H6" s="78"/>
      <c r="I6" s="78"/>
      <c r="J6" s="78"/>
      <c r="K6" s="78"/>
      <c r="L6" s="77"/>
      <c r="M6" s="77"/>
      <c r="N6" s="360" t="s">
        <v>386</v>
      </c>
      <c r="O6" s="360"/>
      <c r="P6" s="360"/>
      <c r="Q6" s="360"/>
      <c r="R6" s="360" t="s">
        <v>387</v>
      </c>
      <c r="S6" s="360"/>
      <c r="T6" s="360"/>
      <c r="U6" s="361" t="s">
        <v>388</v>
      </c>
      <c r="V6" s="362"/>
      <c r="W6" s="363"/>
      <c r="X6" s="83" t="s">
        <v>241</v>
      </c>
      <c r="Y6" s="367"/>
      <c r="Z6" s="367"/>
      <c r="AA6" s="367"/>
      <c r="AB6" s="395"/>
      <c r="AC6" s="396"/>
      <c r="AD6" s="397"/>
      <c r="AE6" s="84"/>
      <c r="AF6" s="85"/>
      <c r="AG6" s="81"/>
      <c r="AH6" s="84" t="s">
        <v>243</v>
      </c>
      <c r="AI6" s="382"/>
      <c r="AJ6" s="383"/>
      <c r="AK6" s="384"/>
      <c r="AL6" s="84" t="s">
        <v>245</v>
      </c>
      <c r="AM6" s="390"/>
      <c r="AN6" s="391"/>
    </row>
    <row r="7" spans="1:41" s="79" customFormat="1" x14ac:dyDescent="0.25">
      <c r="A7" s="90"/>
      <c r="B7" s="99"/>
      <c r="C7" s="86"/>
      <c r="D7" s="86"/>
      <c r="E7" s="86"/>
      <c r="F7" s="86"/>
      <c r="G7" s="86"/>
      <c r="H7" s="86"/>
      <c r="I7" s="86"/>
      <c r="J7" s="175"/>
      <c r="K7" s="86"/>
      <c r="L7" s="77"/>
      <c r="M7" s="77"/>
      <c r="N7" s="360"/>
      <c r="O7" s="360"/>
      <c r="P7" s="360"/>
      <c r="Q7" s="360"/>
      <c r="R7" s="360"/>
      <c r="S7" s="360"/>
      <c r="T7" s="360"/>
      <c r="U7" s="364"/>
      <c r="V7" s="365"/>
      <c r="W7" s="366"/>
      <c r="X7" s="83" t="s">
        <v>246</v>
      </c>
      <c r="Y7" s="367"/>
      <c r="Z7" s="367"/>
      <c r="AA7" s="367"/>
      <c r="AB7" s="398"/>
      <c r="AC7" s="399"/>
      <c r="AD7" s="400"/>
      <c r="AE7" s="87"/>
      <c r="AF7" s="88"/>
      <c r="AG7" s="81"/>
      <c r="AH7" s="89"/>
      <c r="AI7" s="385"/>
      <c r="AJ7" s="386"/>
      <c r="AK7" s="387"/>
      <c r="AL7" s="89"/>
      <c r="AM7" s="390"/>
      <c r="AN7" s="391"/>
    </row>
    <row r="8" spans="1:41" s="91" customFormat="1" ht="45.75" thickBot="1" x14ac:dyDescent="0.3">
      <c r="A8" s="213" t="s">
        <v>103</v>
      </c>
      <c r="B8" s="214" t="s">
        <v>247</v>
      </c>
      <c r="C8" s="215" t="s">
        <v>248</v>
      </c>
      <c r="D8" s="216" t="s">
        <v>260</v>
      </c>
      <c r="E8" s="216" t="s">
        <v>279</v>
      </c>
      <c r="F8" s="216" t="s">
        <v>359</v>
      </c>
      <c r="G8" s="216" t="s">
        <v>361</v>
      </c>
      <c r="H8" s="216" t="s">
        <v>362</v>
      </c>
      <c r="I8" s="216" t="s">
        <v>356</v>
      </c>
      <c r="J8" s="215" t="s">
        <v>358</v>
      </c>
      <c r="K8" s="217" t="s">
        <v>249</v>
      </c>
      <c r="L8" s="217" t="s">
        <v>250</v>
      </c>
      <c r="M8" s="218" t="s">
        <v>411</v>
      </c>
      <c r="N8" s="219" t="s">
        <v>251</v>
      </c>
      <c r="O8" s="220" t="s">
        <v>253</v>
      </c>
      <c r="P8" s="221" t="s">
        <v>261</v>
      </c>
      <c r="Q8" s="221" t="s">
        <v>254</v>
      </c>
      <c r="R8" s="222" t="s">
        <v>262</v>
      </c>
      <c r="S8" s="223" t="s">
        <v>252</v>
      </c>
      <c r="T8" s="220" t="s">
        <v>255</v>
      </c>
      <c r="U8" s="222" t="s">
        <v>263</v>
      </c>
      <c r="V8" s="222" t="s">
        <v>264</v>
      </c>
      <c r="W8" s="220" t="s">
        <v>265</v>
      </c>
      <c r="X8" s="220" t="s">
        <v>385</v>
      </c>
      <c r="Y8" s="223" t="s">
        <v>266</v>
      </c>
      <c r="Z8" s="224" t="s">
        <v>267</v>
      </c>
      <c r="AA8" s="220" t="s">
        <v>268</v>
      </c>
      <c r="AB8" s="225" t="s">
        <v>269</v>
      </c>
      <c r="AC8" s="226" t="s">
        <v>270</v>
      </c>
      <c r="AD8" s="220" t="s">
        <v>271</v>
      </c>
      <c r="AE8" s="227" t="s">
        <v>256</v>
      </c>
      <c r="AF8" s="227" t="s">
        <v>257</v>
      </c>
      <c r="AG8" s="228" t="s">
        <v>258</v>
      </c>
      <c r="AH8" s="226" t="s">
        <v>272</v>
      </c>
      <c r="AI8" s="222" t="s">
        <v>273</v>
      </c>
      <c r="AJ8" s="224" t="s">
        <v>274</v>
      </c>
      <c r="AK8" s="220" t="s">
        <v>259</v>
      </c>
      <c r="AL8" s="226" t="s">
        <v>275</v>
      </c>
      <c r="AM8" s="227" t="s">
        <v>276</v>
      </c>
      <c r="AN8" s="227" t="s">
        <v>277</v>
      </c>
      <c r="AO8" s="90"/>
    </row>
    <row r="9" spans="1:41" ht="15.75" thickTop="1" x14ac:dyDescent="0.25">
      <c r="A9" s="2">
        <v>1</v>
      </c>
      <c r="B9" s="1" cm="1">
        <f t="array" ref="B9">VLOOKUP(TabCuotasIMSS[[#This Row],[ID]],TabEmpleados[],COLUMN(TabEmpleados[Fecha de alta NSS]),FALSE)</f>
        <v>44509</v>
      </c>
      <c r="C9" t="str" cm="1">
        <f t="array" ref="C9">VLOOKUP(TabCuotasIMSS[[#This Row],[ID]],TabEmpleados[],COLUMN(TabEmpleados[Nombre]),FALSE)</f>
        <v>RUIZ OLMEDO ALEJANDRO AMADO</v>
      </c>
      <c r="D9" cm="1">
        <f t="array" ref="D9">IF(VLOOKUP(TabCuotasIMSS[[#This Row],[ID]],TabEmpleados[],COLUMN(TabEmpleados[Fecha de alta NSS]),FALSE)&lt;&gt;"",VLOOKUP(TabCuotasIMSS[[#This Row],[ID]],TabAsistencias[],COLUMN(TabAsistencias[''Total de dias laborados]),FALSE),0)</f>
        <v>73</v>
      </c>
      <c r="E9" cm="1">
        <f t="array" ref="E9">IF(VLOOKUP(TabCuotasIMSS[[#This Row],[ID]],TabEmpleados[],COLUMN(TabEmpleados[Fecha de alta NSS]),FALSE)&lt;&gt;"",IF(DATEDIF((VLOOKUP(TabCuotasIMSS[[#This Row],[ID]],TabEmpleados[],COLUMN(TabEmpleados[Fecha de alta NSS]),FALSE)),'Tablas de informacion'!N$8,"Y")=0,1,DATEDIF((VLOOKUP(TabCuotasIMSS[[#This Row],[ID]],TabEmpleados[],COLUMN(TabEmpleados[Fecha de alta NSS]),FALSE)),'Tablas de informacion'!N$8,"Y")),0)</f>
        <v>1</v>
      </c>
      <c r="F9" s="55" cm="1">
        <f t="array" ref="F9">VLOOKUP(TabCuotasIMSS[[#This Row],[ID]],TabEmpleados[],COLUMN(TabEmpleados[SD Fiscal]),FALSE)</f>
        <v>1825</v>
      </c>
      <c r="G9" s="55" cm="1">
        <f t="array" ref="G9">IFERROR((VLOOKUP((VLOOKUP(TabCuotasIMSS[[#This Row],[ID]],TabEmpleados[],COLUMN(TabEmpleados[Puesto]),FALSE)),TabPuestos[],COLUMN(TabPuestos[N° ALIMENTOS]),FALSE))*TabCuotasIMSS[[#This Row],[Salario Diario]]*(VLOOKUP(TabCuotasIMSS[[#This Row],[Años]],TabFactorIntegracion[],COLUMN(TabFactorIntegracion[% por alimento]))),0)</f>
        <v>0</v>
      </c>
      <c r="H9" s="55" cm="1">
        <f t="array" ref="H9">IFERROR((VLOOKUP((VLOOKUP(TabCuotasIMSS[[#This Row],[ID]],TabEmpleados[],COLUMN(TabEmpleados[Puesto]),FALSE)),TabPuestos[],COLUMN(TabPuestos[PRIMA DOMINICAL]),FALSE))*TabCuotasIMSS[[#This Row],[Salario Diario]]*(VLOOKUP(TabCuotasIMSS[[#This Row],[Años]],TabFactorIntegracion[],COLUMN(TabFactorIntegracion[PRIMA
DOMINICAL]))),0)</f>
        <v>0</v>
      </c>
      <c r="I9" s="55" cm="1">
        <f t="array" ref="I9">IFERROR(TabCuotasIMSS[[#This Row],[Salario Diario]]*(VLOOKUP(TabCuotasIMSS[[#This Row],[Años]],TabFactorIntegracion[],COLUMN(TabFactorIntegracion[FACTOR DE
INTEGRACIÓN]))),0)</f>
        <v>90</v>
      </c>
      <c r="J9" s="174">
        <f>IFERROR(TabCuotasIMSS[[#This Row],[Salario Diario]]+TabCuotasIMSS[[#This Row],[Alimentos]]+TabCuotasIMSS[[#This Row],[Prima Dominical]]+TabCuotasIMSS[[#This Row],[Factor de Integracion]],0)</f>
        <v>1915</v>
      </c>
      <c r="K9" cm="1">
        <f t="array" ref="K9">VLOOKUP(TabCuotasIMSS[[#This Row],[ID]],TabAsistencias[],COLUMN(TabAsistencias[''I]),FALSE)+VLOOKUP(TabCuotasIMSS[[#This Row],[ID]],TabAsistencias[],COLUMN(TabAsistencias[''IG]),FALSE)</f>
        <v>0</v>
      </c>
      <c r="L9" cm="1">
        <f t="array" ref="L9">VLOOKUP(TabCuotasIMSS[[#This Row],[ID]],TabAsistencias[],COLUMN(TabAsistencias[''F]),FALSE)</f>
        <v>0</v>
      </c>
      <c r="M9" s="141">
        <f>TabCuotasIMSS[[#This Row],[S.B.C./S.D.I.]]*TabCuotasIMSS[[#This Row],[DÍAS
LAB.]]</f>
        <v>139795</v>
      </c>
      <c r="N9" s="141">
        <f>(SMDF*CF*(TabCuotasIMSS[[#This Row],[DÍAS
LAB.]]-TabCuotasIMSS[[#This Row],[INC]]))</f>
        <v>1432.90824</v>
      </c>
      <c r="O9" s="55">
        <f>IF(TabCuotasIMSS[[#This Row],[S.B.C./S.D.I.]]&gt;SMDF3,((TabCuotasIMSS[[#This Row],[S.B.C./S.D.I.]]-SMDF3)*CFP*(TabCuotasIMSS[[#This Row],[DÍAS
LAB.]]-TabCuotasIMSS[[#This Row],[INC]])),0)</f>
        <v>1305.95102</v>
      </c>
      <c r="P9" s="55">
        <f>IF(TabCuotasIMSS[[#This Row],[S.B.C./S.D.I.]]&gt;SMDF3,((TabCuotasIMSS[[#This Row],[S.B.C./S.D.I.]]-SMDF3)*CFO*(TabCuotasIMSS[[#This Row],[DÍAS
LAB.]]-TabCuotasIMSS[[#This Row],[INC]])),0)</f>
        <v>474.89128000000005</v>
      </c>
      <c r="Q9" s="55">
        <f>TabCuotasIMSS[[#This Row],[EXCED.
PATRON]]+TabCuotasIMSS[[#This Row],[EXCED.
OBRERO]]</f>
        <v>1780.8423</v>
      </c>
      <c r="R9" s="55">
        <f>IF(TabCuotasIMSS[[#This Row],[S.B.C./S.D.I.]]&lt;=SMGI,((TabCuotasIMSS[[#This Row],[SALARIO
DEL CICLO]]-(TabCuotasIMSS[[#This Row],[S.B.C./S.D.I.]]*TabCuotasIMSS[[#This Row],[INC]])))*PD,((TabCuotasIMSS[[#This Row],[SALARIO
DEL CICLO]]-(TabCuotasIMSS[[#This Row],[S.B.C./S.D.I.]]*TabCuotasIMSS[[#This Row],[INC]]))*PDP))</f>
        <v>978.56500000000005</v>
      </c>
      <c r="S9" s="55">
        <f>IF(TabCuotasIMSS[[#This Row],[S.B.C./S.D.I.]]&lt;=SMGI,0,((TabCuotasIMSS[[#This Row],[SALARIO
DEL CICLO]]-(TabCuotasIMSS[[#This Row],[S.B.C./S.D.I.]]*TabCuotasIMSS[[#This Row],[INC]]))*PDO))</f>
        <v>349.48750000000001</v>
      </c>
      <c r="T9" s="55">
        <f>TabCuotasIMSS[[#This Row],[PATRON2]]+TabCuotasIMSS[[#This Row],[OBRERO]]</f>
        <v>1328.0525</v>
      </c>
      <c r="U9" s="55">
        <f>IF(TabCuotasIMSS[[#This Row],[S.B.C./S.D.I.]]&lt;=SMGI,((TabCuotasIMSS[[#This Row],[SALARIO
DEL CICLO]]-(TabCuotasIMSS[[#This Row],[S.B.C./S.D.I.]]*TabCuotasIMSS[[#This Row],[INC]])))*GMP,((TabCuotasIMSS[[#This Row],[SALARIO
DEL CICLO]]-(TabCuotasIMSS[[#This Row],[S.B.C./S.D.I.]]*TabCuotasIMSS[[#This Row],[INC]])))*GMPP)</f>
        <v>1467.8475000000001</v>
      </c>
      <c r="V9" s="55">
        <f>IF(TabCuotasIMSS[[#This Row],[S.B.C./S.D.I.]]&lt;=SMGI,0,((TabCuotasIMSS[[#This Row],[SALARIO
DEL CICLO]]-(TabCuotasIMSS[[#This Row],[S.B.C./S.D.I.]]*TabCuotasIMSS[[#This Row],[INC]])))*GMPO)</f>
        <v>524.23124999999993</v>
      </c>
      <c r="W9" s="55">
        <f>TabCuotasIMSS[[#This Row],[PATRON3]]+TabCuotasIMSS[[#This Row],[OBRERO4]]</f>
        <v>1992.0787500000001</v>
      </c>
      <c r="X9" s="141">
        <f>((TabCuotasIMSS[[#This Row],[SALARIO
DEL CICLO]]-(TabCuotasIMSS[[#This Row],[S.B.C./S.D.I.]]*(TabCuotasIMSS[[#This Row],[INC]]+TabCuotasIMSS[[#This Row],[AUS]]))))*PRTP</f>
        <v>69897.5</v>
      </c>
      <c r="Y9" s="55">
        <f>IF(TabCuotasIMSS[[#This Row],[S.B.C./S.D.I.]]&lt;=SMGI,((TabCuotasIMSS[[#This Row],[SALARIO
DEL CICLO]]-(TabCuotasIMSS[[#This Row],[S.B.C./S.D.I.]]*(TabCuotasIMSS[[#This Row],[INC]]+TabCuotasIMSS[[#This Row],[AUS]]))))*IV,((TabCuotasIMSS[[#This Row],[SALARIO
DEL CICLO]]-(TabCuotasIMSS[[#This Row],[S.B.C./S.D.I.]]*(TabCuotasIMSS[[#This Row],[INC]]+TabCuotasIMSS[[#This Row],[AUS]]))))*IVP)</f>
        <v>2446.4125000000004</v>
      </c>
      <c r="Z9" s="55">
        <f>IF(TabCuotasIMSS[[#This Row],[S.B.C./S.D.I.]]&lt;=SMGI,0,((TabCuotasIMSS[[#This Row],[SALARIO
DEL CICLO]]-(TabCuotasIMSS[[#This Row],[S.B.C./S.D.I.]]*(TabCuotasIMSS[[#This Row],[INC]]+TabCuotasIMSS[[#This Row],[AUS]]))))*IVO)</f>
        <v>873.71875</v>
      </c>
      <c r="AA9" s="55">
        <f>TabCuotasIMSS[[#This Row],[PATRON6]]+TabCuotasIMSS[[#This Row],[OBRERO7]]</f>
        <v>3320.1312500000004</v>
      </c>
      <c r="AB9" s="141">
        <f>((TabCuotasIMSS[[#This Row],[SALARIO
DEL CICLO]]-(TabCuotasIMSS[[#This Row],[S.B.C./S.D.I.]]*(TabCuotasIMSS[[#This Row],[INC]]+TabCuotasIMSS[[#This Row],[AUS]]))))*GPS</f>
        <v>1397.95</v>
      </c>
      <c r="AC9" s="141">
        <f>TabCuotasIMSS[[#This Row],[SALARIO
DEL CICLO]]*0</f>
        <v>0</v>
      </c>
      <c r="AD9" s="141">
        <f>TabCuotasIMSS[[#This Row],[PATRON9]]+TabCuotasIMSS[[#This Row],[OBRERO10]]</f>
        <v>1397.95</v>
      </c>
      <c r="AE9" s="233">
        <f>TabCuotasIMSS[[#This Row],[PATRON]]+TabCuotasIMSS[[#This Row],[EXCED.
PATRON]]+TabCuotasIMSS[[#This Row],[PATRON2]]+TabCuotasIMSS[[#This Row],[PATRON3]]+TabCuotasIMSS[[#This Row],[PATRON
0.50%]]+TabCuotasIMSS[[#This Row],[PATRON6]]+TabCuotasIMSS[[#This Row],[PATRON9]]</f>
        <v>78927.134260000006</v>
      </c>
      <c r="AF9" s="233">
        <f>TabCuotasIMSS[[#This Row],[EXCED.
OBRERO]]+TabCuotasIMSS[[#This Row],[OBRERO]]+TabCuotasIMSS[[#This Row],[OBRERO4]]+TabCuotasIMSS[[#This Row],[OBRERO7]]+TabCuotasIMSS[[#This Row],[OBRERO10]]</f>
        <v>2222.3287799999998</v>
      </c>
      <c r="AG9" s="233">
        <f>TabCuotasIMSS[[#This Row],[TOTAL
PATRONAL]]+TabCuotasIMSS[[#This Row],[TOTAL
OBRERO]]</f>
        <v>81149.463040000002</v>
      </c>
      <c r="AH9" s="141">
        <f>((TabCuotasIMSS[[#This Row],[SALARIO
DEL CICLO]]-(TabCuotasIMSS[[#This Row],[S.B.C./S.D.I.]]*TabCuotasIMSS[[#This Row],[AUS]]))*R_)</f>
        <v>2795.9</v>
      </c>
      <c r="AI9">
        <f>IF(TabCuotasIMSS[[#This Row],[S.B.C./S.D.I.]]&lt;=SMGI,((TabCuotasIMSS[[#This Row],[SALARIO
DEL CICLO]]-(TabCuotasIMSS[[#This Row],[S.B.C./S.D.I.]]*(TabCuotasIMSS[[#This Row],[INC]]+TabCuotasIMSS[[#This Row],[AUS]]))))*CV,((TabCuotasIMSS[[#This Row],[SALARIO
DEL CICLO]]-(TabCuotasIMSS[[#This Row],[S.B.C./S.D.I.]]*(TabCuotasIMSS[[#This Row],[INC]]+TabCuotasIMSS[[#This Row],[AUS]]))))*CVP)</f>
        <v>4403.5425000000005</v>
      </c>
      <c r="AJ9">
        <f>IF(TabCuotasIMSS[[#This Row],[S.B.C./S.D.I.]]&lt;=SMGI,0,((TabCuotasIMSS[[#This Row],[SALARIO
DEL CICLO]]-(TabCuotasIMSS[[#This Row],[S.B.C./S.D.I.]]*(TabCuotasIMSS[[#This Row],[INC]]+TabCuotasIMSS[[#This Row],[AUS]]))))*CVO)</f>
        <v>1572.6937499999999</v>
      </c>
      <c r="AK9">
        <f>SUM(TabCuotasIMSS[[#This Row],[2%]]:TabCuotasIMSS[[#This Row],[OBRERO14]])</f>
        <v>8772.1362500000014</v>
      </c>
      <c r="AL9" s="141">
        <f>((TabCuotasIMSS[[#This Row],[SALARIO
DEL CICLO]]-(TabCuotasIMSS[[#This Row],[S.B.C./S.D.I.]]*(TabCuotasIMSS[[#This Row],[AUS]])))*I)</f>
        <v>6989.75</v>
      </c>
      <c r="AM9" s="141">
        <f>TabCuotasIMSS[[#This Row],[TOTAL
O.P.11]]+TabCuotasIMSS[[#This Row],[2%]]+TabCuotasIMSS[[#This Row],[PATRON13]]+TabCuotasIMSS[[#This Row],[5%]]</f>
        <v>15587.142500000002</v>
      </c>
      <c r="AN9" s="141">
        <f>TabCuotasIMSS[[#This Row],[TOTAL
OBRERO]]+TabCuotasIMSS[[#This Row],[OBRERO14]]</f>
        <v>3795.0225299999997</v>
      </c>
    </row>
    <row r="10" spans="1:41" x14ac:dyDescent="0.25">
      <c r="A10" s="2">
        <v>2</v>
      </c>
      <c r="B10" s="1" cm="1">
        <f t="array" ref="B10">VLOOKUP(TabCuotasIMSS[[#This Row],[ID]],TabEmpleados[],COLUMN(TabEmpleados[Fecha de alta NSS]),FALSE)</f>
        <v>42796</v>
      </c>
      <c r="C10" t="str" cm="1">
        <f t="array" ref="C10">VLOOKUP(TabCuotasIMSS[[#This Row],[ID]],TabEmpleados[],COLUMN(TabEmpleados[Nombre]),FALSE)</f>
        <v>RUIZ OLMEDO MARCO ANTONIO</v>
      </c>
      <c r="D10" cm="1">
        <f t="array" ref="D10">IF(VLOOKUP(TabCuotasIMSS[[#This Row],[ID]],TabEmpleados[],COLUMN(TabEmpleados[Fecha de alta NSS]),FALSE)&lt;&gt;"",VLOOKUP(TabCuotasIMSS[[#This Row],[ID]],TabAsistencias[],COLUMN(TabAsistencias[''Total de dias laborados]),FALSE),0)</f>
        <v>73</v>
      </c>
      <c r="E10" cm="1">
        <f t="array" ref="E10">IF(VLOOKUP(TabCuotasIMSS[[#This Row],[ID]],TabEmpleados[],COLUMN(TabEmpleados[Fecha de alta NSS]),FALSE)&lt;&gt;"",IF(DATEDIF((VLOOKUP(TabCuotasIMSS[[#This Row],[ID]],TabEmpleados[],COLUMN(TabEmpleados[Fecha de alta NSS]),FALSE)),'Tablas de informacion'!N$8,"Y")=0,1,DATEDIF((VLOOKUP(TabCuotasIMSS[[#This Row],[ID]],TabEmpleados[],COLUMN(TabEmpleados[Fecha de alta NSS]),FALSE)),'Tablas de informacion'!N$8,"Y")),0)</f>
        <v>5</v>
      </c>
      <c r="F10" s="55" cm="1">
        <f t="array" ref="F10">VLOOKUP(TabCuotasIMSS[[#This Row],[ID]],TabEmpleados[],COLUMN(TabEmpleados[SD Fiscal]),FALSE)</f>
        <v>1825</v>
      </c>
      <c r="G10" s="55" cm="1">
        <f t="array" ref="G10">IFERROR((VLOOKUP((VLOOKUP(TabCuotasIMSS[[#This Row],[ID]],TabEmpleados[],COLUMN(TabEmpleados[Puesto]),FALSE)),TabPuestos[],COLUMN(TabPuestos[N° ALIMENTOS]),FALSE))*TabCuotasIMSS[[#This Row],[Salario Diario]]*(VLOOKUP(TabCuotasIMSS[[#This Row],[Años]],TabFactorIntegracion[],COLUMN(TabFactorIntegracion[% por alimento]))),0)</f>
        <v>152.02250000000001</v>
      </c>
      <c r="H10" s="55" cm="1">
        <f t="array" ref="H10">IFERROR((VLOOKUP((VLOOKUP(TabCuotasIMSS[[#This Row],[ID]],TabEmpleados[],COLUMN(TabEmpleados[Puesto]),FALSE)),TabPuestos[],COLUMN(TabPuestos[PRIMA DOMINICAL]),FALSE))*TabCuotasIMSS[[#This Row],[Salario Diario]]*(VLOOKUP(TabCuotasIMSS[[#This Row],[Años]],TabFactorIntegracion[],COLUMN(TabFactorIntegracion[PRIMA
DOMINICAL]))),0)</f>
        <v>0</v>
      </c>
      <c r="I10" s="55" cm="1">
        <f t="array" ref="I10">IFERROR(TabCuotasIMSS[[#This Row],[Salario Diario]]*(VLOOKUP(TabCuotasIMSS[[#This Row],[Años]],TabFactorIntegracion[],COLUMN(TabFactorIntegracion[FACTOR DE
INTEGRACIÓN]))),0)</f>
        <v>100</v>
      </c>
      <c r="J10" s="174">
        <f>IFERROR(TabCuotasIMSS[[#This Row],[Salario Diario]]+TabCuotasIMSS[[#This Row],[Alimentos]]+TabCuotasIMSS[[#This Row],[Prima Dominical]]+TabCuotasIMSS[[#This Row],[Factor de Integracion]],0)</f>
        <v>2077.0225</v>
      </c>
      <c r="K10" cm="1">
        <f t="array" ref="K10">VLOOKUP(TabCuotasIMSS[[#This Row],[ID]],TabAsistencias[],COLUMN(TabAsistencias[''I]),FALSE)+VLOOKUP(TabCuotasIMSS[[#This Row],[ID]],TabAsistencias[],COLUMN(TabAsistencias[''IG]),FALSE)</f>
        <v>0</v>
      </c>
      <c r="L10" cm="1">
        <f t="array" ref="L10">VLOOKUP(TabCuotasIMSS[[#This Row],[ID]],TabAsistencias[],COLUMN(TabAsistencias[''F]),FALSE)</f>
        <v>0</v>
      </c>
      <c r="M10" s="141">
        <f>TabCuotasIMSS[[#This Row],[S.B.C./S.D.I.]]*TabCuotasIMSS[[#This Row],[DÍAS
LAB.]]</f>
        <v>151622.64250000002</v>
      </c>
      <c r="N10" s="141">
        <f>(SMDF*CF*(TabCuotasIMSS[[#This Row],[DÍAS
LAB.]]-TabCuotasIMSS[[#This Row],[INC]]))</f>
        <v>1432.90824</v>
      </c>
      <c r="O10" s="55">
        <f>IF(TabCuotasIMSS[[#This Row],[S.B.C./S.D.I.]]&gt;SMDF3,((TabCuotasIMSS[[#This Row],[S.B.C./S.D.I.]]-SMDF3)*CFP*(TabCuotasIMSS[[#This Row],[DÍAS
LAB.]]-TabCuotasIMSS[[#This Row],[INC]])),0)</f>
        <v>1436.0550874999999</v>
      </c>
      <c r="P10" s="55">
        <f>IF(TabCuotasIMSS[[#This Row],[S.B.C./S.D.I.]]&gt;SMDF3,((TabCuotasIMSS[[#This Row],[S.B.C./S.D.I.]]-SMDF3)*CFO*(TabCuotasIMSS[[#This Row],[DÍAS
LAB.]]-TabCuotasIMSS[[#This Row],[INC]])),0)</f>
        <v>522.20185000000004</v>
      </c>
      <c r="Q10" s="55">
        <f>TabCuotasIMSS[[#This Row],[EXCED.
PATRON]]+TabCuotasIMSS[[#This Row],[EXCED.
OBRERO]]</f>
        <v>1958.2569374999998</v>
      </c>
      <c r="R10" s="55">
        <f>IF(TabCuotasIMSS[[#This Row],[S.B.C./S.D.I.]]&lt;=SMGI,((TabCuotasIMSS[[#This Row],[SALARIO
DEL CICLO]]-(TabCuotasIMSS[[#This Row],[S.B.C./S.D.I.]]*TabCuotasIMSS[[#This Row],[INC]])))*PD,((TabCuotasIMSS[[#This Row],[SALARIO
DEL CICLO]]-(TabCuotasIMSS[[#This Row],[S.B.C./S.D.I.]]*TabCuotasIMSS[[#This Row],[INC]]))*PDP))</f>
        <v>1061.3584975000001</v>
      </c>
      <c r="S10" s="55">
        <f>IF(TabCuotasIMSS[[#This Row],[S.B.C./S.D.I.]]&lt;=SMGI,0,((TabCuotasIMSS[[#This Row],[SALARIO
DEL CICLO]]-(TabCuotasIMSS[[#This Row],[S.B.C./S.D.I.]]*TabCuotasIMSS[[#This Row],[INC]]))*PDO))</f>
        <v>379.05660625000007</v>
      </c>
      <c r="T10" s="55">
        <f>TabCuotasIMSS[[#This Row],[PATRON2]]+TabCuotasIMSS[[#This Row],[OBRERO]]</f>
        <v>1440.4151037500001</v>
      </c>
      <c r="U10" s="55">
        <f>IF(TabCuotasIMSS[[#This Row],[S.B.C./S.D.I.]]&lt;=SMGI,((TabCuotasIMSS[[#This Row],[SALARIO
DEL CICLO]]-(TabCuotasIMSS[[#This Row],[S.B.C./S.D.I.]]*TabCuotasIMSS[[#This Row],[INC]])))*GMP,((TabCuotasIMSS[[#This Row],[SALARIO
DEL CICLO]]-(TabCuotasIMSS[[#This Row],[S.B.C./S.D.I.]]*TabCuotasIMSS[[#This Row],[INC]])))*GMPP)</f>
        <v>1592.0377462500003</v>
      </c>
      <c r="V10" s="55">
        <f>IF(TabCuotasIMSS[[#This Row],[S.B.C./S.D.I.]]&lt;=SMGI,0,((TabCuotasIMSS[[#This Row],[SALARIO
DEL CICLO]]-(TabCuotasIMSS[[#This Row],[S.B.C./S.D.I.]]*TabCuotasIMSS[[#This Row],[INC]])))*GMPO)</f>
        <v>568.58490937500005</v>
      </c>
      <c r="W10" s="55">
        <f>TabCuotasIMSS[[#This Row],[PATRON3]]+TabCuotasIMSS[[#This Row],[OBRERO4]]</f>
        <v>2160.6226556250003</v>
      </c>
      <c r="X10" s="141">
        <f>((TabCuotasIMSS[[#This Row],[SALARIO
DEL CICLO]]-(TabCuotasIMSS[[#This Row],[S.B.C./S.D.I.]]*(TabCuotasIMSS[[#This Row],[INC]]+TabCuotasIMSS[[#This Row],[AUS]]))))*PRTP</f>
        <v>75811.321250000008</v>
      </c>
      <c r="Y10" s="55">
        <f>IF(TabCuotasIMSS[[#This Row],[S.B.C./S.D.I.]]&lt;=SMGI,((TabCuotasIMSS[[#This Row],[SALARIO
DEL CICLO]]-(TabCuotasIMSS[[#This Row],[S.B.C./S.D.I.]]*(TabCuotasIMSS[[#This Row],[INC]]+TabCuotasIMSS[[#This Row],[AUS]]))))*IV,((TabCuotasIMSS[[#This Row],[SALARIO
DEL CICLO]]-(TabCuotasIMSS[[#This Row],[S.B.C./S.D.I.]]*(TabCuotasIMSS[[#This Row],[INC]]+TabCuotasIMSS[[#This Row],[AUS]]))))*IVP)</f>
        <v>2653.3962437500004</v>
      </c>
      <c r="Z10" s="55">
        <f>IF(TabCuotasIMSS[[#This Row],[S.B.C./S.D.I.]]&lt;=SMGI,0,((TabCuotasIMSS[[#This Row],[SALARIO
DEL CICLO]]-(TabCuotasIMSS[[#This Row],[S.B.C./S.D.I.]]*(TabCuotasIMSS[[#This Row],[INC]]+TabCuotasIMSS[[#This Row],[AUS]]))))*IVO)</f>
        <v>947.64151562500012</v>
      </c>
      <c r="AA10" s="55">
        <f>TabCuotasIMSS[[#This Row],[PATRON6]]+TabCuotasIMSS[[#This Row],[OBRERO7]]</f>
        <v>3601.0377593750004</v>
      </c>
      <c r="AB10" s="141">
        <f>((TabCuotasIMSS[[#This Row],[SALARIO
DEL CICLO]]-(TabCuotasIMSS[[#This Row],[S.B.C./S.D.I.]]*(TabCuotasIMSS[[#This Row],[INC]]+TabCuotasIMSS[[#This Row],[AUS]]))))*GPS</f>
        <v>1516.2264250000003</v>
      </c>
      <c r="AC10" s="141">
        <f>TabCuotasIMSS[[#This Row],[SALARIO
DEL CICLO]]*0</f>
        <v>0</v>
      </c>
      <c r="AD10" s="141">
        <f>TabCuotasIMSS[[#This Row],[PATRON9]]+TabCuotasIMSS[[#This Row],[OBRERO10]]</f>
        <v>1516.2264250000003</v>
      </c>
      <c r="AE10" s="233">
        <f>TabCuotasIMSS[[#This Row],[PATRON]]+TabCuotasIMSS[[#This Row],[EXCED.
PATRON]]+TabCuotasIMSS[[#This Row],[PATRON2]]+TabCuotasIMSS[[#This Row],[PATRON3]]+TabCuotasIMSS[[#This Row],[PATRON
0.50%]]+TabCuotasIMSS[[#This Row],[PATRON6]]+TabCuotasIMSS[[#This Row],[PATRON9]]</f>
        <v>85503.303490000006</v>
      </c>
      <c r="AF10" s="233">
        <f>TabCuotasIMSS[[#This Row],[EXCED.
OBRERO]]+TabCuotasIMSS[[#This Row],[OBRERO]]+TabCuotasIMSS[[#This Row],[OBRERO4]]+TabCuotasIMSS[[#This Row],[OBRERO7]]+TabCuotasIMSS[[#This Row],[OBRERO10]]</f>
        <v>2417.4848812500004</v>
      </c>
      <c r="AG10" s="233">
        <f>TabCuotasIMSS[[#This Row],[TOTAL
PATRONAL]]+TabCuotasIMSS[[#This Row],[TOTAL
OBRERO]]</f>
        <v>87920.788371250004</v>
      </c>
      <c r="AH10" s="141">
        <f>((TabCuotasIMSS[[#This Row],[SALARIO
DEL CICLO]]-(TabCuotasIMSS[[#This Row],[S.B.C./S.D.I.]]*TabCuotasIMSS[[#This Row],[AUS]]))*R_)</f>
        <v>3032.4528500000006</v>
      </c>
      <c r="AI10">
        <f>IF(TabCuotasIMSS[[#This Row],[S.B.C./S.D.I.]]&lt;=SMGI,((TabCuotasIMSS[[#This Row],[SALARIO
DEL CICLO]]-(TabCuotasIMSS[[#This Row],[S.B.C./S.D.I.]]*(TabCuotasIMSS[[#This Row],[INC]]+TabCuotasIMSS[[#This Row],[AUS]]))))*CV,((TabCuotasIMSS[[#This Row],[SALARIO
DEL CICLO]]-(TabCuotasIMSS[[#This Row],[S.B.C./S.D.I.]]*(TabCuotasIMSS[[#This Row],[INC]]+TabCuotasIMSS[[#This Row],[AUS]]))))*CVP)</f>
        <v>4776.1132387500002</v>
      </c>
      <c r="AJ10">
        <f>IF(TabCuotasIMSS[[#This Row],[S.B.C./S.D.I.]]&lt;=SMGI,0,((TabCuotasIMSS[[#This Row],[SALARIO
DEL CICLO]]-(TabCuotasIMSS[[#This Row],[S.B.C./S.D.I.]]*(TabCuotasIMSS[[#This Row],[INC]]+TabCuotasIMSS[[#This Row],[AUS]]))))*CVO)</f>
        <v>1705.7547281250002</v>
      </c>
      <c r="AK10">
        <f>SUM(TabCuotasIMSS[[#This Row],[2%]]:TabCuotasIMSS[[#This Row],[OBRERO14]])</f>
        <v>9514.3208168750007</v>
      </c>
      <c r="AL10" s="141">
        <f>((TabCuotasIMSS[[#This Row],[SALARIO
DEL CICLO]]-(TabCuotasIMSS[[#This Row],[S.B.C./S.D.I.]]*(TabCuotasIMSS[[#This Row],[AUS]])))*I)</f>
        <v>7581.132125000001</v>
      </c>
      <c r="AM10" s="141">
        <f>TabCuotasIMSS[[#This Row],[TOTAL
O.P.11]]+TabCuotasIMSS[[#This Row],[2%]]+TabCuotasIMSS[[#This Row],[PATRON13]]+TabCuotasIMSS[[#This Row],[5%]]</f>
        <v>16905.924638750002</v>
      </c>
      <c r="AN10" s="141">
        <f>TabCuotasIMSS[[#This Row],[TOTAL
OBRERO]]+TabCuotasIMSS[[#This Row],[OBRERO14]]</f>
        <v>4123.2396093750003</v>
      </c>
    </row>
    <row r="11" spans="1:41" x14ac:dyDescent="0.25">
      <c r="A11" s="2">
        <v>3</v>
      </c>
      <c r="B11" s="1" cm="1">
        <f t="array" ref="B11">VLOOKUP(TabCuotasIMSS[[#This Row],[ID]],TabEmpleados[],COLUMN(TabEmpleados[Fecha de alta NSS]),FALSE)</f>
        <v>44197</v>
      </c>
      <c r="C11" t="str" cm="1">
        <f t="array" ref="C11">VLOOKUP(TabCuotasIMSS[[#This Row],[ID]],TabEmpleados[],COLUMN(TabEmpleados[Nombre]),FALSE)</f>
        <v xml:space="preserve">GALAN SANCHEZ BRENDA LETICIA </v>
      </c>
      <c r="D11" cm="1">
        <f t="array" ref="D11">IF(VLOOKUP(TabCuotasIMSS[[#This Row],[ID]],TabEmpleados[],COLUMN(TabEmpleados[Fecha de alta NSS]),FALSE)&lt;&gt;"",VLOOKUP(TabCuotasIMSS[[#This Row],[ID]],TabAsistencias[],COLUMN(TabAsistencias[''Total de dias laborados]),FALSE),0)</f>
        <v>73</v>
      </c>
      <c r="E11" cm="1">
        <f t="array" ref="E11">IF(VLOOKUP(TabCuotasIMSS[[#This Row],[ID]],TabEmpleados[],COLUMN(TabEmpleados[Fecha de alta NSS]),FALSE)&lt;&gt;"",IF(DATEDIF((VLOOKUP(TabCuotasIMSS[[#This Row],[ID]],TabEmpleados[],COLUMN(TabEmpleados[Fecha de alta NSS]),FALSE)),'Tablas de informacion'!N$8,"Y")=0,1,DATEDIF((VLOOKUP(TabCuotasIMSS[[#This Row],[ID]],TabEmpleados[],COLUMN(TabEmpleados[Fecha de alta NSS]),FALSE)),'Tablas de informacion'!N$8,"Y")),0)</f>
        <v>2</v>
      </c>
      <c r="F11" s="55" cm="1">
        <f t="array" ref="F11">VLOOKUP(TabCuotasIMSS[[#This Row],[ID]],TabEmpleados[],COLUMN(TabEmpleados[SD Fiscal]),FALSE)</f>
        <v>260</v>
      </c>
      <c r="G11" s="55" cm="1">
        <f t="array" ref="G11">IFERROR((VLOOKUP((VLOOKUP(TabCuotasIMSS[[#This Row],[ID]],TabEmpleados[],COLUMN(TabEmpleados[Puesto]),FALSE)),TabPuestos[],COLUMN(TabPuestos[N° ALIMENTOS]),FALSE))*TabCuotasIMSS[[#This Row],[Salario Diario]]*(VLOOKUP(TabCuotasIMSS[[#This Row],[Años]],TabFactorIntegracion[],COLUMN(TabFactorIntegracion[% por alimento]))),0)</f>
        <v>0</v>
      </c>
      <c r="H11" s="55" cm="1">
        <f t="array" ref="H11">IFERROR((VLOOKUP((VLOOKUP(TabCuotasIMSS[[#This Row],[ID]],TabEmpleados[],COLUMN(TabEmpleados[Puesto]),FALSE)),TabPuestos[],COLUMN(TabPuestos[PRIMA DOMINICAL]),FALSE))*TabCuotasIMSS[[#This Row],[Salario Diario]]*(VLOOKUP(TabCuotasIMSS[[#This Row],[Años]],TabFactorIntegracion[],COLUMN(TabFactorIntegracion[PRIMA
DOMINICAL]))),0)</f>
        <v>0</v>
      </c>
      <c r="I11" s="55" cm="1">
        <f t="array" ref="I11">IFERROR(TabCuotasIMSS[[#This Row],[Salario Diario]]*(VLOOKUP(TabCuotasIMSS[[#This Row],[Años]],TabFactorIntegracion[],COLUMN(TabFactorIntegracion[FACTOR DE
INTEGRACIÓN]))),0)</f>
        <v>13.178082191780822</v>
      </c>
      <c r="J11" s="174">
        <f>IFERROR(TabCuotasIMSS[[#This Row],[Salario Diario]]+TabCuotasIMSS[[#This Row],[Alimentos]]+TabCuotasIMSS[[#This Row],[Prima Dominical]]+TabCuotasIMSS[[#This Row],[Factor de Integracion]],0)</f>
        <v>273.17808219178085</v>
      </c>
      <c r="K11" cm="1">
        <f t="array" ref="K11">VLOOKUP(TabCuotasIMSS[[#This Row],[ID]],TabAsistencias[],COLUMN(TabAsistencias[''I]),FALSE)+VLOOKUP(TabCuotasIMSS[[#This Row],[ID]],TabAsistencias[],COLUMN(TabAsistencias[''IG]),FALSE)</f>
        <v>0</v>
      </c>
      <c r="L11" cm="1">
        <f t="array" ref="L11">VLOOKUP(TabCuotasIMSS[[#This Row],[ID]],TabAsistencias[],COLUMN(TabAsistencias[''F]),FALSE)</f>
        <v>0</v>
      </c>
      <c r="M11" s="141">
        <f>TabCuotasIMSS[[#This Row],[S.B.C./S.D.I.]]*TabCuotasIMSS[[#This Row],[DÍAS
LAB.]]</f>
        <v>19942</v>
      </c>
      <c r="N11" s="141">
        <f>(SMDF*CF*(TabCuotasIMSS[[#This Row],[DÍAS
LAB.]]-TabCuotasIMSS[[#This Row],[INC]]))</f>
        <v>1432.90824</v>
      </c>
      <c r="O11" s="55">
        <f>IF(TabCuotasIMSS[[#This Row],[S.B.C./S.D.I.]]&gt;SMDF3,((TabCuotasIMSS[[#This Row],[S.B.C./S.D.I.]]-SMDF3)*CFP*(TabCuotasIMSS[[#This Row],[DÍAS
LAB.]]-TabCuotasIMSS[[#This Row],[INC]])),0)</f>
        <v>0</v>
      </c>
      <c r="P11" s="55">
        <f>IF(TabCuotasIMSS[[#This Row],[S.B.C./S.D.I.]]&gt;SMDF3,((TabCuotasIMSS[[#This Row],[S.B.C./S.D.I.]]-SMDF3)*CFO*(TabCuotasIMSS[[#This Row],[DÍAS
LAB.]]-TabCuotasIMSS[[#This Row],[INC]])),0)</f>
        <v>0</v>
      </c>
      <c r="Q11" s="55">
        <f>TabCuotasIMSS[[#This Row],[EXCED.
PATRON]]+TabCuotasIMSS[[#This Row],[EXCED.
OBRERO]]</f>
        <v>0</v>
      </c>
      <c r="R11" s="55">
        <f>IF(TabCuotasIMSS[[#This Row],[S.B.C./S.D.I.]]&lt;=SMGI,((TabCuotasIMSS[[#This Row],[SALARIO
DEL CICLO]]-(TabCuotasIMSS[[#This Row],[S.B.C./S.D.I.]]*TabCuotasIMSS[[#This Row],[INC]])))*PD,((TabCuotasIMSS[[#This Row],[SALARIO
DEL CICLO]]-(TabCuotasIMSS[[#This Row],[S.B.C./S.D.I.]]*TabCuotasIMSS[[#This Row],[INC]]))*PDP))</f>
        <v>139.59399999999999</v>
      </c>
      <c r="S11" s="55">
        <f>IF(TabCuotasIMSS[[#This Row],[S.B.C./S.D.I.]]&lt;=SMGI,0,((TabCuotasIMSS[[#This Row],[SALARIO
DEL CICLO]]-(TabCuotasIMSS[[#This Row],[S.B.C./S.D.I.]]*TabCuotasIMSS[[#This Row],[INC]]))*PDO))</f>
        <v>49.855000000000004</v>
      </c>
      <c r="T11" s="55">
        <f>TabCuotasIMSS[[#This Row],[PATRON2]]+TabCuotasIMSS[[#This Row],[OBRERO]]</f>
        <v>189.44900000000001</v>
      </c>
      <c r="U11" s="55">
        <f>IF(TabCuotasIMSS[[#This Row],[S.B.C./S.D.I.]]&lt;=SMGI,((TabCuotasIMSS[[#This Row],[SALARIO
DEL CICLO]]-(TabCuotasIMSS[[#This Row],[S.B.C./S.D.I.]]*TabCuotasIMSS[[#This Row],[INC]])))*GMP,((TabCuotasIMSS[[#This Row],[SALARIO
DEL CICLO]]-(TabCuotasIMSS[[#This Row],[S.B.C./S.D.I.]]*TabCuotasIMSS[[#This Row],[INC]])))*GMPP)</f>
        <v>209.39100000000002</v>
      </c>
      <c r="V11" s="55">
        <f>IF(TabCuotasIMSS[[#This Row],[S.B.C./S.D.I.]]&lt;=SMGI,0,((TabCuotasIMSS[[#This Row],[SALARIO
DEL CICLO]]-(TabCuotasIMSS[[#This Row],[S.B.C./S.D.I.]]*TabCuotasIMSS[[#This Row],[INC]])))*GMPO)</f>
        <v>74.782499999999999</v>
      </c>
      <c r="W11" s="55">
        <f>TabCuotasIMSS[[#This Row],[PATRON3]]+TabCuotasIMSS[[#This Row],[OBRERO4]]</f>
        <v>284.17349999999999</v>
      </c>
      <c r="X11" s="141">
        <f>((TabCuotasIMSS[[#This Row],[SALARIO
DEL CICLO]]-(TabCuotasIMSS[[#This Row],[S.B.C./S.D.I.]]*(TabCuotasIMSS[[#This Row],[INC]]+TabCuotasIMSS[[#This Row],[AUS]]))))*PRTP</f>
        <v>9971</v>
      </c>
      <c r="Y11" s="55">
        <f>IF(TabCuotasIMSS[[#This Row],[S.B.C./S.D.I.]]&lt;=SMGI,((TabCuotasIMSS[[#This Row],[SALARIO
DEL CICLO]]-(TabCuotasIMSS[[#This Row],[S.B.C./S.D.I.]]*(TabCuotasIMSS[[#This Row],[INC]]+TabCuotasIMSS[[#This Row],[AUS]]))))*IV,((TabCuotasIMSS[[#This Row],[SALARIO
DEL CICLO]]-(TabCuotasIMSS[[#This Row],[S.B.C./S.D.I.]]*(TabCuotasIMSS[[#This Row],[INC]]+TabCuotasIMSS[[#This Row],[AUS]]))))*IVP)</f>
        <v>348.98500000000001</v>
      </c>
      <c r="Z11" s="55">
        <f>IF(TabCuotasIMSS[[#This Row],[S.B.C./S.D.I.]]&lt;=SMGI,0,((TabCuotasIMSS[[#This Row],[SALARIO
DEL CICLO]]-(TabCuotasIMSS[[#This Row],[S.B.C./S.D.I.]]*(TabCuotasIMSS[[#This Row],[INC]]+TabCuotasIMSS[[#This Row],[AUS]]))))*IVO)</f>
        <v>124.6375</v>
      </c>
      <c r="AA11" s="55">
        <f>TabCuotasIMSS[[#This Row],[PATRON6]]+TabCuotasIMSS[[#This Row],[OBRERO7]]</f>
        <v>473.6225</v>
      </c>
      <c r="AB11" s="141">
        <f>((TabCuotasIMSS[[#This Row],[SALARIO
DEL CICLO]]-(TabCuotasIMSS[[#This Row],[S.B.C./S.D.I.]]*(TabCuotasIMSS[[#This Row],[INC]]+TabCuotasIMSS[[#This Row],[AUS]]))))*GPS</f>
        <v>199.42000000000002</v>
      </c>
      <c r="AC11" s="141">
        <f>TabCuotasIMSS[[#This Row],[SALARIO
DEL CICLO]]*0</f>
        <v>0</v>
      </c>
      <c r="AD11" s="141">
        <f>TabCuotasIMSS[[#This Row],[PATRON9]]+TabCuotasIMSS[[#This Row],[OBRERO10]]</f>
        <v>199.42000000000002</v>
      </c>
      <c r="AE11" s="233">
        <f>TabCuotasIMSS[[#This Row],[PATRON]]+TabCuotasIMSS[[#This Row],[EXCED.
PATRON]]+TabCuotasIMSS[[#This Row],[PATRON2]]+TabCuotasIMSS[[#This Row],[PATRON3]]+TabCuotasIMSS[[#This Row],[PATRON
0.50%]]+TabCuotasIMSS[[#This Row],[PATRON6]]+TabCuotasIMSS[[#This Row],[PATRON9]]</f>
        <v>12301.29824</v>
      </c>
      <c r="AF11" s="233">
        <f>TabCuotasIMSS[[#This Row],[EXCED.
OBRERO]]+TabCuotasIMSS[[#This Row],[OBRERO]]+TabCuotasIMSS[[#This Row],[OBRERO4]]+TabCuotasIMSS[[#This Row],[OBRERO7]]+TabCuotasIMSS[[#This Row],[OBRERO10]]</f>
        <v>249.27500000000001</v>
      </c>
      <c r="AG11" s="233">
        <f>TabCuotasIMSS[[#This Row],[TOTAL
PATRONAL]]+TabCuotasIMSS[[#This Row],[TOTAL
OBRERO]]</f>
        <v>12550.57324</v>
      </c>
      <c r="AH11" s="141">
        <f>((TabCuotasIMSS[[#This Row],[SALARIO
DEL CICLO]]-(TabCuotasIMSS[[#This Row],[S.B.C./S.D.I.]]*TabCuotasIMSS[[#This Row],[AUS]]))*R_)</f>
        <v>398.84000000000003</v>
      </c>
      <c r="AI11">
        <f>IF(TabCuotasIMSS[[#This Row],[S.B.C./S.D.I.]]&lt;=SMGI,((TabCuotasIMSS[[#This Row],[SALARIO
DEL CICLO]]-(TabCuotasIMSS[[#This Row],[S.B.C./S.D.I.]]*(TabCuotasIMSS[[#This Row],[INC]]+TabCuotasIMSS[[#This Row],[AUS]]))))*CV,((TabCuotasIMSS[[#This Row],[SALARIO
DEL CICLO]]-(TabCuotasIMSS[[#This Row],[S.B.C./S.D.I.]]*(TabCuotasIMSS[[#This Row],[INC]]+TabCuotasIMSS[[#This Row],[AUS]]))))*CVP)</f>
        <v>628.173</v>
      </c>
      <c r="AJ11">
        <f>IF(TabCuotasIMSS[[#This Row],[S.B.C./S.D.I.]]&lt;=SMGI,0,((TabCuotasIMSS[[#This Row],[SALARIO
DEL CICLO]]-(TabCuotasIMSS[[#This Row],[S.B.C./S.D.I.]]*(TabCuotasIMSS[[#This Row],[INC]]+TabCuotasIMSS[[#This Row],[AUS]]))))*CVO)</f>
        <v>224.3475</v>
      </c>
      <c r="AK11">
        <f>SUM(TabCuotasIMSS[[#This Row],[2%]]:TabCuotasIMSS[[#This Row],[OBRERO14]])</f>
        <v>1251.3605</v>
      </c>
      <c r="AL11" s="141">
        <f>((TabCuotasIMSS[[#This Row],[SALARIO
DEL CICLO]]-(TabCuotasIMSS[[#This Row],[S.B.C./S.D.I.]]*(TabCuotasIMSS[[#This Row],[AUS]])))*I)</f>
        <v>997.1</v>
      </c>
      <c r="AM11" s="141">
        <f>TabCuotasIMSS[[#This Row],[TOTAL
O.P.11]]+TabCuotasIMSS[[#This Row],[2%]]+TabCuotasIMSS[[#This Row],[PATRON13]]+TabCuotasIMSS[[#This Row],[5%]]</f>
        <v>2223.5329999999999</v>
      </c>
      <c r="AN11" s="141">
        <f>TabCuotasIMSS[[#This Row],[TOTAL
OBRERO]]+TabCuotasIMSS[[#This Row],[OBRERO14]]</f>
        <v>473.6225</v>
      </c>
    </row>
    <row r="12" spans="1:41" x14ac:dyDescent="0.25">
      <c r="A12" s="2">
        <v>4</v>
      </c>
      <c r="B12" s="1" cm="1">
        <f t="array" ref="B12">VLOOKUP(TabCuotasIMSS[[#This Row],[ID]],TabEmpleados[],COLUMN(TabEmpleados[Fecha de alta NSS]),FALSE)</f>
        <v>44782</v>
      </c>
      <c r="C12" t="str" cm="1">
        <f t="array" ref="C12">VLOOKUP(TabCuotasIMSS[[#This Row],[ID]],TabEmpleados[],COLUMN(TabEmpleados[Nombre]),FALSE)</f>
        <v>HERNANDEZ MORALES CITLALI ITZEL</v>
      </c>
      <c r="D12" cm="1">
        <f t="array" ref="D12">IF(VLOOKUP(TabCuotasIMSS[[#This Row],[ID]],TabEmpleados[],COLUMN(TabEmpleados[Fecha de alta NSS]),FALSE)&lt;&gt;"",VLOOKUP(TabCuotasIMSS[[#This Row],[ID]],TabAsistencias[],COLUMN(TabAsistencias[''Total de dias laborados]),FALSE),0)</f>
        <v>72</v>
      </c>
      <c r="E12" cm="1">
        <f t="array" ref="E12">IF(VLOOKUP(TabCuotasIMSS[[#This Row],[ID]],TabEmpleados[],COLUMN(TabEmpleados[Fecha de alta NSS]),FALSE)&lt;&gt;"",IF(DATEDIF((VLOOKUP(TabCuotasIMSS[[#This Row],[ID]],TabEmpleados[],COLUMN(TabEmpleados[Fecha de alta NSS]),FALSE)),'Tablas de informacion'!N$8,"Y")=0,1,DATEDIF((VLOOKUP(TabCuotasIMSS[[#This Row],[ID]],TabEmpleados[],COLUMN(TabEmpleados[Fecha de alta NSS]),FALSE)),'Tablas de informacion'!N$8,"Y")),0)</f>
        <v>1</v>
      </c>
      <c r="F12" s="55" cm="1">
        <f t="array" ref="F12">VLOOKUP(TabCuotasIMSS[[#This Row],[ID]],TabEmpleados[],COLUMN(TabEmpleados[SD Fiscal]),FALSE)</f>
        <v>208.77</v>
      </c>
      <c r="G12" s="55" cm="1">
        <f t="array" ref="G12">IFERROR((VLOOKUP((VLOOKUP(TabCuotasIMSS[[#This Row],[ID]],TabEmpleados[],COLUMN(TabEmpleados[Puesto]),FALSE)),TabPuestos[],COLUMN(TabPuestos[N° ALIMENTOS]),FALSE))*TabCuotasIMSS[[#This Row],[Salario Diario]]*(VLOOKUP(TabCuotasIMSS[[#This Row],[Años]],TabFactorIntegracion[],COLUMN(TabFactorIntegracion[% por alimento]))),0)</f>
        <v>17.390540999999999</v>
      </c>
      <c r="H12" s="55" cm="1">
        <f t="array" ref="H12">IFERROR((VLOOKUP((VLOOKUP(TabCuotasIMSS[[#This Row],[ID]],TabEmpleados[],COLUMN(TabEmpleados[Puesto]),FALSE)),TabPuestos[],COLUMN(TabPuestos[PRIMA DOMINICAL]),FALSE))*TabCuotasIMSS[[#This Row],[Salario Diario]]*(VLOOKUP(TabCuotasIMSS[[#This Row],[Años]],TabFactorIntegracion[],COLUMN(TabFactorIntegracion[PRIMA
DOMINICAL]))),0)</f>
        <v>0</v>
      </c>
      <c r="I12" s="55" cm="1">
        <f t="array" ref="I12">IFERROR(TabCuotasIMSS[[#This Row],[Salario Diario]]*(VLOOKUP(TabCuotasIMSS[[#This Row],[Años]],TabFactorIntegracion[],COLUMN(TabFactorIntegracion[FACTOR DE
INTEGRACIÓN]))),0)</f>
        <v>10.295506849315069</v>
      </c>
      <c r="J12" s="174">
        <f>IFERROR(TabCuotasIMSS[[#This Row],[Salario Diario]]+TabCuotasIMSS[[#This Row],[Alimentos]]+TabCuotasIMSS[[#This Row],[Prima Dominical]]+TabCuotasIMSS[[#This Row],[Factor de Integracion]],0)</f>
        <v>236.4560478493151</v>
      </c>
      <c r="K12" cm="1">
        <f t="array" ref="K12">VLOOKUP(TabCuotasIMSS[[#This Row],[ID]],TabAsistencias[],COLUMN(TabAsistencias[''I]),FALSE)+VLOOKUP(TabCuotasIMSS[[#This Row],[ID]],TabAsistencias[],COLUMN(TabAsistencias[''IG]),FALSE)</f>
        <v>0</v>
      </c>
      <c r="L12" cm="1">
        <f t="array" ref="L12">VLOOKUP(TabCuotasIMSS[[#This Row],[ID]],TabAsistencias[],COLUMN(TabAsistencias[''F]),FALSE)</f>
        <v>0</v>
      </c>
      <c r="M12" s="141">
        <f>TabCuotasIMSS[[#This Row],[S.B.C./S.D.I.]]*TabCuotasIMSS[[#This Row],[DÍAS
LAB.]]</f>
        <v>17024.835445150686</v>
      </c>
      <c r="N12" s="141">
        <f>(SMDF*CF*(TabCuotasIMSS[[#This Row],[DÍAS
LAB.]]-TabCuotasIMSS[[#This Row],[INC]]))</f>
        <v>1413.27936</v>
      </c>
      <c r="O12" s="55">
        <f>IF(TabCuotasIMSS[[#This Row],[S.B.C./S.D.I.]]&gt;SMDF3,((TabCuotasIMSS[[#This Row],[S.B.C./S.D.I.]]-SMDF3)*CFP*(TabCuotasIMSS[[#This Row],[DÍAS
LAB.]]-TabCuotasIMSS[[#This Row],[INC]])),0)</f>
        <v>0</v>
      </c>
      <c r="P12" s="55">
        <f>IF(TabCuotasIMSS[[#This Row],[S.B.C./S.D.I.]]&gt;SMDF3,((TabCuotasIMSS[[#This Row],[S.B.C./S.D.I.]]-SMDF3)*CFO*(TabCuotasIMSS[[#This Row],[DÍAS
LAB.]]-TabCuotasIMSS[[#This Row],[INC]])),0)</f>
        <v>0</v>
      </c>
      <c r="Q12" s="55">
        <f>TabCuotasIMSS[[#This Row],[EXCED.
PATRON]]+TabCuotasIMSS[[#This Row],[EXCED.
OBRERO]]</f>
        <v>0</v>
      </c>
      <c r="R12" s="55">
        <f>IF(TabCuotasIMSS[[#This Row],[S.B.C./S.D.I.]]&lt;=SMGI,((TabCuotasIMSS[[#This Row],[SALARIO
DEL CICLO]]-(TabCuotasIMSS[[#This Row],[S.B.C./S.D.I.]]*TabCuotasIMSS[[#This Row],[INC]])))*PD,((TabCuotasIMSS[[#This Row],[SALARIO
DEL CICLO]]-(TabCuotasIMSS[[#This Row],[S.B.C./S.D.I.]]*TabCuotasIMSS[[#This Row],[INC]]))*PDP))</f>
        <v>119.1738481160548</v>
      </c>
      <c r="S12" s="55">
        <f>IF(TabCuotasIMSS[[#This Row],[S.B.C./S.D.I.]]&lt;=SMGI,0,((TabCuotasIMSS[[#This Row],[SALARIO
DEL CICLO]]-(TabCuotasIMSS[[#This Row],[S.B.C./S.D.I.]]*TabCuotasIMSS[[#This Row],[INC]]))*PDO))</f>
        <v>42.562088612876714</v>
      </c>
      <c r="T12" s="55">
        <f>TabCuotasIMSS[[#This Row],[PATRON2]]+TabCuotasIMSS[[#This Row],[OBRERO]]</f>
        <v>161.73593672893151</v>
      </c>
      <c r="U12" s="55">
        <f>IF(TabCuotasIMSS[[#This Row],[S.B.C./S.D.I.]]&lt;=SMGI,((TabCuotasIMSS[[#This Row],[SALARIO
DEL CICLO]]-(TabCuotasIMSS[[#This Row],[S.B.C./S.D.I.]]*TabCuotasIMSS[[#This Row],[INC]])))*GMP,((TabCuotasIMSS[[#This Row],[SALARIO
DEL CICLO]]-(TabCuotasIMSS[[#This Row],[S.B.C./S.D.I.]]*TabCuotasIMSS[[#This Row],[INC]])))*GMPP)</f>
        <v>178.76077217408221</v>
      </c>
      <c r="V12" s="55">
        <f>IF(TabCuotasIMSS[[#This Row],[S.B.C./S.D.I.]]&lt;=SMGI,0,((TabCuotasIMSS[[#This Row],[SALARIO
DEL CICLO]]-(TabCuotasIMSS[[#This Row],[S.B.C./S.D.I.]]*TabCuotasIMSS[[#This Row],[INC]])))*GMPO)</f>
        <v>63.843132919315067</v>
      </c>
      <c r="W12" s="55">
        <f>TabCuotasIMSS[[#This Row],[PATRON3]]+TabCuotasIMSS[[#This Row],[OBRERO4]]</f>
        <v>242.60390509339726</v>
      </c>
      <c r="X12" s="141">
        <f>((TabCuotasIMSS[[#This Row],[SALARIO
DEL CICLO]]-(TabCuotasIMSS[[#This Row],[S.B.C./S.D.I.]]*(TabCuotasIMSS[[#This Row],[INC]]+TabCuotasIMSS[[#This Row],[AUS]]))))*PRTP</f>
        <v>8512.4177225753429</v>
      </c>
      <c r="Y12" s="55">
        <f>IF(TabCuotasIMSS[[#This Row],[S.B.C./S.D.I.]]&lt;=SMGI,((TabCuotasIMSS[[#This Row],[SALARIO
DEL CICLO]]-(TabCuotasIMSS[[#This Row],[S.B.C./S.D.I.]]*(TabCuotasIMSS[[#This Row],[INC]]+TabCuotasIMSS[[#This Row],[AUS]]))))*IV,((TabCuotasIMSS[[#This Row],[SALARIO
DEL CICLO]]-(TabCuotasIMSS[[#This Row],[S.B.C./S.D.I.]]*(TabCuotasIMSS[[#This Row],[INC]]+TabCuotasIMSS[[#This Row],[AUS]]))))*IVP)</f>
        <v>297.93462029013705</v>
      </c>
      <c r="Z12" s="55">
        <f>IF(TabCuotasIMSS[[#This Row],[S.B.C./S.D.I.]]&lt;=SMGI,0,((TabCuotasIMSS[[#This Row],[SALARIO
DEL CICLO]]-(TabCuotasIMSS[[#This Row],[S.B.C./S.D.I.]]*(TabCuotasIMSS[[#This Row],[INC]]+TabCuotasIMSS[[#This Row],[AUS]]))))*IVO)</f>
        <v>106.40522153219179</v>
      </c>
      <c r="AA12" s="55">
        <f>TabCuotasIMSS[[#This Row],[PATRON6]]+TabCuotasIMSS[[#This Row],[OBRERO7]]</f>
        <v>404.33984182232882</v>
      </c>
      <c r="AB12" s="141">
        <f>((TabCuotasIMSS[[#This Row],[SALARIO
DEL CICLO]]-(TabCuotasIMSS[[#This Row],[S.B.C./S.D.I.]]*(TabCuotasIMSS[[#This Row],[INC]]+TabCuotasIMSS[[#This Row],[AUS]]))))*GPS</f>
        <v>170.24835445150686</v>
      </c>
      <c r="AC12" s="141">
        <f>TabCuotasIMSS[[#This Row],[SALARIO
DEL CICLO]]*0</f>
        <v>0</v>
      </c>
      <c r="AD12" s="141">
        <f>TabCuotasIMSS[[#This Row],[PATRON9]]+TabCuotasIMSS[[#This Row],[OBRERO10]]</f>
        <v>170.24835445150686</v>
      </c>
      <c r="AE12" s="233">
        <f>TabCuotasIMSS[[#This Row],[PATRON]]+TabCuotasIMSS[[#This Row],[EXCED.
PATRON]]+TabCuotasIMSS[[#This Row],[PATRON2]]+TabCuotasIMSS[[#This Row],[PATRON3]]+TabCuotasIMSS[[#This Row],[PATRON
0.50%]]+TabCuotasIMSS[[#This Row],[PATRON6]]+TabCuotasIMSS[[#This Row],[PATRON9]]</f>
        <v>10691.814677607124</v>
      </c>
      <c r="AF12" s="233">
        <f>TabCuotasIMSS[[#This Row],[EXCED.
OBRERO]]+TabCuotasIMSS[[#This Row],[OBRERO]]+TabCuotasIMSS[[#This Row],[OBRERO4]]+TabCuotasIMSS[[#This Row],[OBRERO7]]+TabCuotasIMSS[[#This Row],[OBRERO10]]</f>
        <v>212.81044306438355</v>
      </c>
      <c r="AG12" s="233">
        <f>TabCuotasIMSS[[#This Row],[TOTAL
PATRONAL]]+TabCuotasIMSS[[#This Row],[TOTAL
OBRERO]]</f>
        <v>10904.625120671508</v>
      </c>
      <c r="AH12" s="141">
        <f>((TabCuotasIMSS[[#This Row],[SALARIO
DEL CICLO]]-(TabCuotasIMSS[[#This Row],[S.B.C./S.D.I.]]*TabCuotasIMSS[[#This Row],[AUS]]))*R_)</f>
        <v>340.49670890301371</v>
      </c>
      <c r="AI12">
        <f>IF(TabCuotasIMSS[[#This Row],[S.B.C./S.D.I.]]&lt;=SMGI,((TabCuotasIMSS[[#This Row],[SALARIO
DEL CICLO]]-(TabCuotasIMSS[[#This Row],[S.B.C./S.D.I.]]*(TabCuotasIMSS[[#This Row],[INC]]+TabCuotasIMSS[[#This Row],[AUS]]))))*CV,((TabCuotasIMSS[[#This Row],[SALARIO
DEL CICLO]]-(TabCuotasIMSS[[#This Row],[S.B.C./S.D.I.]]*(TabCuotasIMSS[[#This Row],[INC]]+TabCuotasIMSS[[#This Row],[AUS]]))))*CVP)</f>
        <v>536.28231652224656</v>
      </c>
      <c r="AJ12">
        <f>IF(TabCuotasIMSS[[#This Row],[S.B.C./S.D.I.]]&lt;=SMGI,0,((TabCuotasIMSS[[#This Row],[SALARIO
DEL CICLO]]-(TabCuotasIMSS[[#This Row],[S.B.C./S.D.I.]]*(TabCuotasIMSS[[#This Row],[INC]]+TabCuotasIMSS[[#This Row],[AUS]]))))*CVO)</f>
        <v>191.52939875794522</v>
      </c>
      <c r="AK12">
        <f>SUM(TabCuotasIMSS[[#This Row],[2%]]:TabCuotasIMSS[[#This Row],[OBRERO14]])</f>
        <v>1068.3084241832055</v>
      </c>
      <c r="AL12" s="141">
        <f>((TabCuotasIMSS[[#This Row],[SALARIO
DEL CICLO]]-(TabCuotasIMSS[[#This Row],[S.B.C./S.D.I.]]*(TabCuotasIMSS[[#This Row],[AUS]])))*I)</f>
        <v>851.24177225753431</v>
      </c>
      <c r="AM12" s="141">
        <f>TabCuotasIMSS[[#This Row],[TOTAL
O.P.11]]+TabCuotasIMSS[[#This Row],[2%]]+TabCuotasIMSS[[#This Row],[PATRON13]]+TabCuotasIMSS[[#This Row],[5%]]</f>
        <v>1898.2691521343013</v>
      </c>
      <c r="AN12" s="141">
        <f>TabCuotasIMSS[[#This Row],[TOTAL
OBRERO]]+TabCuotasIMSS[[#This Row],[OBRERO14]]</f>
        <v>404.33984182232876</v>
      </c>
    </row>
    <row r="13" spans="1:41" x14ac:dyDescent="0.25">
      <c r="A13" s="2">
        <v>5</v>
      </c>
      <c r="B13" s="1" cm="1">
        <f t="array" ref="B13">VLOOKUP(TabCuotasIMSS[[#This Row],[ID]],TabEmpleados[],COLUMN(TabEmpleados[Fecha de alta NSS]),FALSE)</f>
        <v>44205</v>
      </c>
      <c r="C13" t="str" cm="1">
        <f t="array" ref="C13">VLOOKUP(TabCuotasIMSS[[#This Row],[ID]],TabEmpleados[],COLUMN(TabEmpleados[Nombre]),FALSE)</f>
        <v>LOPEZ CRUZ LAURA</v>
      </c>
      <c r="D13" cm="1">
        <f t="array" ref="D13">IF(VLOOKUP(TabCuotasIMSS[[#This Row],[ID]],TabEmpleados[],COLUMN(TabEmpleados[Fecha de alta NSS]),FALSE)&lt;&gt;"",VLOOKUP(TabCuotasIMSS[[#This Row],[ID]],TabAsistencias[],COLUMN(TabAsistencias[''Total de dias laborados]),FALSE),0)</f>
        <v>72</v>
      </c>
      <c r="E13" cm="1">
        <f t="array" ref="E13">IF(VLOOKUP(TabCuotasIMSS[[#This Row],[ID]],TabEmpleados[],COLUMN(TabEmpleados[Fecha de alta NSS]),FALSE)&lt;&gt;"",IF(DATEDIF((VLOOKUP(TabCuotasIMSS[[#This Row],[ID]],TabEmpleados[],COLUMN(TabEmpleados[Fecha de alta NSS]),FALSE)),'Tablas de informacion'!N$8,"Y")=0,1,DATEDIF((VLOOKUP(TabCuotasIMSS[[#This Row],[ID]],TabEmpleados[],COLUMN(TabEmpleados[Fecha de alta NSS]),FALSE)),'Tablas de informacion'!N$8,"Y")),0)</f>
        <v>2</v>
      </c>
      <c r="F13" s="55" cm="1">
        <f t="array" ref="F13">VLOOKUP(TabCuotasIMSS[[#This Row],[ID]],TabEmpleados[],COLUMN(TabEmpleados[SD Fiscal]),FALSE)</f>
        <v>220</v>
      </c>
      <c r="G13" s="55" cm="1">
        <f t="array" ref="G13">IFERROR((VLOOKUP((VLOOKUP(TabCuotasIMSS[[#This Row],[ID]],TabEmpleados[],COLUMN(TabEmpleados[Puesto]),FALSE)),TabPuestos[],COLUMN(TabPuestos[N° ALIMENTOS]),FALSE))*TabCuotasIMSS[[#This Row],[Salario Diario]]*(VLOOKUP(TabCuotasIMSS[[#This Row],[Años]],TabFactorIntegracion[],COLUMN(TabFactorIntegracion[% por alimento]))),0)</f>
        <v>18.326000000000001</v>
      </c>
      <c r="H13" s="55" cm="1">
        <f t="array" ref="H13">IFERROR((VLOOKUP((VLOOKUP(TabCuotasIMSS[[#This Row],[ID]],TabEmpleados[],COLUMN(TabEmpleados[Puesto]),FALSE)),TabPuestos[],COLUMN(TabPuestos[PRIMA DOMINICAL]),FALSE))*TabCuotasIMSS[[#This Row],[Salario Diario]]*(VLOOKUP(TabCuotasIMSS[[#This Row],[Años]],TabFactorIntegracion[],COLUMN(TabFactorIntegracion[PRIMA
DOMINICAL]))),0)</f>
        <v>3.9931506849315066</v>
      </c>
      <c r="I13" s="55" cm="1">
        <f t="array" ref="I13">IFERROR(TabCuotasIMSS[[#This Row],[Salario Diario]]*(VLOOKUP(TabCuotasIMSS[[#This Row],[Años]],TabFactorIntegracion[],COLUMN(TabFactorIntegracion[FACTOR DE
INTEGRACIÓN]))),0)</f>
        <v>11.150684931506849</v>
      </c>
      <c r="J13" s="174">
        <f>IFERROR(TabCuotasIMSS[[#This Row],[Salario Diario]]+TabCuotasIMSS[[#This Row],[Alimentos]]+TabCuotasIMSS[[#This Row],[Prima Dominical]]+TabCuotasIMSS[[#This Row],[Factor de Integracion]],0)</f>
        <v>253.46983561643833</v>
      </c>
      <c r="K13" cm="1">
        <f t="array" ref="K13">VLOOKUP(TabCuotasIMSS[[#This Row],[ID]],TabAsistencias[],COLUMN(TabAsistencias[''I]),FALSE)+VLOOKUP(TabCuotasIMSS[[#This Row],[ID]],TabAsistencias[],COLUMN(TabAsistencias[''IG]),FALSE)</f>
        <v>0</v>
      </c>
      <c r="L13" cm="1">
        <f t="array" ref="L13">VLOOKUP(TabCuotasIMSS[[#This Row],[ID]],TabAsistencias[],COLUMN(TabAsistencias[''F]),FALSE)</f>
        <v>0</v>
      </c>
      <c r="M13" s="141">
        <f>TabCuotasIMSS[[#This Row],[S.B.C./S.D.I.]]*TabCuotasIMSS[[#This Row],[DÍAS
LAB.]]</f>
        <v>18249.828164383558</v>
      </c>
      <c r="N13" s="141">
        <f>(SMDF*CF*(TabCuotasIMSS[[#This Row],[DÍAS
LAB.]]-TabCuotasIMSS[[#This Row],[INC]]))</f>
        <v>1413.27936</v>
      </c>
      <c r="O13" s="55">
        <f>IF(TabCuotasIMSS[[#This Row],[S.B.C./S.D.I.]]&gt;SMDF3,((TabCuotasIMSS[[#This Row],[S.B.C./S.D.I.]]-SMDF3)*CFP*(TabCuotasIMSS[[#This Row],[DÍAS
LAB.]]-TabCuotasIMSS[[#This Row],[INC]])),0)</f>
        <v>0</v>
      </c>
      <c r="P13" s="55">
        <f>IF(TabCuotasIMSS[[#This Row],[S.B.C./S.D.I.]]&gt;SMDF3,((TabCuotasIMSS[[#This Row],[S.B.C./S.D.I.]]-SMDF3)*CFO*(TabCuotasIMSS[[#This Row],[DÍAS
LAB.]]-TabCuotasIMSS[[#This Row],[INC]])),0)</f>
        <v>0</v>
      </c>
      <c r="Q13" s="55">
        <f>TabCuotasIMSS[[#This Row],[EXCED.
PATRON]]+TabCuotasIMSS[[#This Row],[EXCED.
OBRERO]]</f>
        <v>0</v>
      </c>
      <c r="R13" s="55">
        <f>IF(TabCuotasIMSS[[#This Row],[S.B.C./S.D.I.]]&lt;=SMGI,((TabCuotasIMSS[[#This Row],[SALARIO
DEL CICLO]]-(TabCuotasIMSS[[#This Row],[S.B.C./S.D.I.]]*TabCuotasIMSS[[#This Row],[INC]])))*PD,((TabCuotasIMSS[[#This Row],[SALARIO
DEL CICLO]]-(TabCuotasIMSS[[#This Row],[S.B.C./S.D.I.]]*TabCuotasIMSS[[#This Row],[INC]]))*PDP))</f>
        <v>127.74879715068491</v>
      </c>
      <c r="S13" s="55">
        <f>IF(TabCuotasIMSS[[#This Row],[S.B.C./S.D.I.]]&lt;=SMGI,0,((TabCuotasIMSS[[#This Row],[SALARIO
DEL CICLO]]-(TabCuotasIMSS[[#This Row],[S.B.C./S.D.I.]]*TabCuotasIMSS[[#This Row],[INC]]))*PDO))</f>
        <v>45.624570410958896</v>
      </c>
      <c r="T13" s="55">
        <f>TabCuotasIMSS[[#This Row],[PATRON2]]+TabCuotasIMSS[[#This Row],[OBRERO]]</f>
        <v>173.37336756164382</v>
      </c>
      <c r="U13" s="55">
        <f>IF(TabCuotasIMSS[[#This Row],[S.B.C./S.D.I.]]&lt;=SMGI,((TabCuotasIMSS[[#This Row],[SALARIO
DEL CICLO]]-(TabCuotasIMSS[[#This Row],[S.B.C./S.D.I.]]*TabCuotasIMSS[[#This Row],[INC]])))*GMP,((TabCuotasIMSS[[#This Row],[SALARIO
DEL CICLO]]-(TabCuotasIMSS[[#This Row],[S.B.C./S.D.I.]]*TabCuotasIMSS[[#This Row],[INC]])))*GMPP)</f>
        <v>191.62319572602738</v>
      </c>
      <c r="V13" s="55">
        <f>IF(TabCuotasIMSS[[#This Row],[S.B.C./S.D.I.]]&lt;=SMGI,0,((TabCuotasIMSS[[#This Row],[SALARIO
DEL CICLO]]-(TabCuotasIMSS[[#This Row],[S.B.C./S.D.I.]]*TabCuotasIMSS[[#This Row],[INC]])))*GMPO)</f>
        <v>68.436855616438336</v>
      </c>
      <c r="W13" s="55">
        <f>TabCuotasIMSS[[#This Row],[PATRON3]]+TabCuotasIMSS[[#This Row],[OBRERO4]]</f>
        <v>260.06005134246573</v>
      </c>
      <c r="X13" s="141">
        <f>((TabCuotasIMSS[[#This Row],[SALARIO
DEL CICLO]]-(TabCuotasIMSS[[#This Row],[S.B.C./S.D.I.]]*(TabCuotasIMSS[[#This Row],[INC]]+TabCuotasIMSS[[#This Row],[AUS]]))))*PRTP</f>
        <v>9124.914082191779</v>
      </c>
      <c r="Y13" s="55">
        <f>IF(TabCuotasIMSS[[#This Row],[S.B.C./S.D.I.]]&lt;=SMGI,((TabCuotasIMSS[[#This Row],[SALARIO
DEL CICLO]]-(TabCuotasIMSS[[#This Row],[S.B.C./S.D.I.]]*(TabCuotasIMSS[[#This Row],[INC]]+TabCuotasIMSS[[#This Row],[AUS]]))))*IV,((TabCuotasIMSS[[#This Row],[SALARIO
DEL CICLO]]-(TabCuotasIMSS[[#This Row],[S.B.C./S.D.I.]]*(TabCuotasIMSS[[#This Row],[INC]]+TabCuotasIMSS[[#This Row],[AUS]]))))*IVP)</f>
        <v>319.37199287671228</v>
      </c>
      <c r="Z13" s="55">
        <f>IF(TabCuotasIMSS[[#This Row],[S.B.C./S.D.I.]]&lt;=SMGI,0,((TabCuotasIMSS[[#This Row],[SALARIO
DEL CICLO]]-(TabCuotasIMSS[[#This Row],[S.B.C./S.D.I.]]*(TabCuotasIMSS[[#This Row],[INC]]+TabCuotasIMSS[[#This Row],[AUS]]))))*IVO)</f>
        <v>114.06142602739725</v>
      </c>
      <c r="AA13" s="55">
        <f>TabCuotasIMSS[[#This Row],[PATRON6]]+TabCuotasIMSS[[#This Row],[OBRERO7]]</f>
        <v>433.43341890410954</v>
      </c>
      <c r="AB13" s="141">
        <f>((TabCuotasIMSS[[#This Row],[SALARIO
DEL CICLO]]-(TabCuotasIMSS[[#This Row],[S.B.C./S.D.I.]]*(TabCuotasIMSS[[#This Row],[INC]]+TabCuotasIMSS[[#This Row],[AUS]]))))*GPS</f>
        <v>182.49828164383558</v>
      </c>
      <c r="AC13" s="141">
        <f>TabCuotasIMSS[[#This Row],[SALARIO
DEL CICLO]]*0</f>
        <v>0</v>
      </c>
      <c r="AD13" s="141">
        <f>TabCuotasIMSS[[#This Row],[PATRON9]]+TabCuotasIMSS[[#This Row],[OBRERO10]]</f>
        <v>182.49828164383558</v>
      </c>
      <c r="AE13" s="233">
        <f>TabCuotasIMSS[[#This Row],[PATRON]]+TabCuotasIMSS[[#This Row],[EXCED.
PATRON]]+TabCuotasIMSS[[#This Row],[PATRON2]]+TabCuotasIMSS[[#This Row],[PATRON3]]+TabCuotasIMSS[[#This Row],[PATRON
0.50%]]+TabCuotasIMSS[[#This Row],[PATRON6]]+TabCuotasIMSS[[#This Row],[PATRON9]]</f>
        <v>11359.435709589037</v>
      </c>
      <c r="AF13" s="233">
        <f>TabCuotasIMSS[[#This Row],[EXCED.
OBRERO]]+TabCuotasIMSS[[#This Row],[OBRERO]]+TabCuotasIMSS[[#This Row],[OBRERO4]]+TabCuotasIMSS[[#This Row],[OBRERO7]]+TabCuotasIMSS[[#This Row],[OBRERO10]]</f>
        <v>228.12285205479446</v>
      </c>
      <c r="AG13" s="233">
        <f>TabCuotasIMSS[[#This Row],[TOTAL
PATRONAL]]+TabCuotasIMSS[[#This Row],[TOTAL
OBRERO]]</f>
        <v>11587.558561643831</v>
      </c>
      <c r="AH13" s="141">
        <f>((TabCuotasIMSS[[#This Row],[SALARIO
DEL CICLO]]-(TabCuotasIMSS[[#This Row],[S.B.C./S.D.I.]]*TabCuotasIMSS[[#This Row],[AUS]]))*R_)</f>
        <v>364.99656328767117</v>
      </c>
      <c r="AI13">
        <f>IF(TabCuotasIMSS[[#This Row],[S.B.C./S.D.I.]]&lt;=SMGI,((TabCuotasIMSS[[#This Row],[SALARIO
DEL CICLO]]-(TabCuotasIMSS[[#This Row],[S.B.C./S.D.I.]]*(TabCuotasIMSS[[#This Row],[INC]]+TabCuotasIMSS[[#This Row],[AUS]]))))*CV,((TabCuotasIMSS[[#This Row],[SALARIO
DEL CICLO]]-(TabCuotasIMSS[[#This Row],[S.B.C./S.D.I.]]*(TabCuotasIMSS[[#This Row],[INC]]+TabCuotasIMSS[[#This Row],[AUS]]))))*CVP)</f>
        <v>574.86958717808204</v>
      </c>
      <c r="AJ13">
        <f>IF(TabCuotasIMSS[[#This Row],[S.B.C./S.D.I.]]&lt;=SMGI,0,((TabCuotasIMSS[[#This Row],[SALARIO
DEL CICLO]]-(TabCuotasIMSS[[#This Row],[S.B.C./S.D.I.]]*(TabCuotasIMSS[[#This Row],[INC]]+TabCuotasIMSS[[#This Row],[AUS]]))))*CVO)</f>
        <v>205.31056684931502</v>
      </c>
      <c r="AK13">
        <f>SUM(TabCuotasIMSS[[#This Row],[2%]]:TabCuotasIMSS[[#This Row],[OBRERO14]])</f>
        <v>1145.1767173150683</v>
      </c>
      <c r="AL13" s="141">
        <f>((TabCuotasIMSS[[#This Row],[SALARIO
DEL CICLO]]-(TabCuotasIMSS[[#This Row],[S.B.C./S.D.I.]]*(TabCuotasIMSS[[#This Row],[AUS]])))*I)</f>
        <v>912.49140821917797</v>
      </c>
      <c r="AM13" s="141">
        <f>TabCuotasIMSS[[#This Row],[TOTAL
O.P.11]]+TabCuotasIMSS[[#This Row],[2%]]+TabCuotasIMSS[[#This Row],[PATRON13]]+TabCuotasIMSS[[#This Row],[5%]]</f>
        <v>2034.855840328767</v>
      </c>
      <c r="AN13" s="141">
        <f>TabCuotasIMSS[[#This Row],[TOTAL
OBRERO]]+TabCuotasIMSS[[#This Row],[OBRERO14]]</f>
        <v>433.43341890410949</v>
      </c>
    </row>
    <row r="14" spans="1:41" x14ac:dyDescent="0.25">
      <c r="A14" s="2">
        <v>6</v>
      </c>
      <c r="B14" s="1" cm="1">
        <f t="array" ref="B14">VLOOKUP(TabCuotasIMSS[[#This Row],[ID]],TabEmpleados[],COLUMN(TabEmpleados[Fecha de alta NSS]),FALSE)</f>
        <v>44509</v>
      </c>
      <c r="C14" t="str" cm="1">
        <f t="array" ref="C14">VLOOKUP(TabCuotasIMSS[[#This Row],[ID]],TabEmpleados[],COLUMN(TabEmpleados[Nombre]),FALSE)</f>
        <v>CAMACHO RAMIREZ ARELI</v>
      </c>
      <c r="D14" cm="1">
        <f t="array" ref="D14">IF(VLOOKUP(TabCuotasIMSS[[#This Row],[ID]],TabEmpleados[],COLUMN(TabEmpleados[Fecha de alta NSS]),FALSE)&lt;&gt;"",VLOOKUP(TabCuotasIMSS[[#This Row],[ID]],TabAsistencias[],COLUMN(TabAsistencias[''Total de dias laborados]),FALSE),0)</f>
        <v>72</v>
      </c>
      <c r="E14" cm="1">
        <f t="array" ref="E14">IF(VLOOKUP(TabCuotasIMSS[[#This Row],[ID]],TabEmpleados[],COLUMN(TabEmpleados[Fecha de alta NSS]),FALSE)&lt;&gt;"",IF(DATEDIF((VLOOKUP(TabCuotasIMSS[[#This Row],[ID]],TabEmpleados[],COLUMN(TabEmpleados[Fecha de alta NSS]),FALSE)),'Tablas de informacion'!N$8,"Y")=0,1,DATEDIF((VLOOKUP(TabCuotasIMSS[[#This Row],[ID]],TabEmpleados[],COLUMN(TabEmpleados[Fecha de alta NSS]),FALSE)),'Tablas de informacion'!N$8,"Y")),0)</f>
        <v>1</v>
      </c>
      <c r="F14" s="55" cm="1">
        <f t="array" ref="F14">VLOOKUP(TabCuotasIMSS[[#This Row],[ID]],TabEmpleados[],COLUMN(TabEmpleados[SD Fiscal]),FALSE)</f>
        <v>208.77</v>
      </c>
      <c r="G14" s="55" cm="1">
        <f t="array" ref="G14">IFERROR((VLOOKUP((VLOOKUP(TabCuotasIMSS[[#This Row],[ID]],TabEmpleados[],COLUMN(TabEmpleados[Puesto]),FALSE)),TabPuestos[],COLUMN(TabPuestos[N° ALIMENTOS]),FALSE))*TabCuotasIMSS[[#This Row],[Salario Diario]]*(VLOOKUP(TabCuotasIMSS[[#This Row],[Años]],TabFactorIntegracion[],COLUMN(TabFactorIntegracion[% por alimento]))),0)</f>
        <v>17.390540999999999</v>
      </c>
      <c r="H14" s="55" cm="1">
        <f t="array" ref="H14">IFERROR((VLOOKUP((VLOOKUP(TabCuotasIMSS[[#This Row],[ID]],TabEmpleados[],COLUMN(TabEmpleados[Puesto]),FALSE)),TabPuestos[],COLUMN(TabPuestos[PRIMA DOMINICAL]),FALSE))*TabCuotasIMSS[[#This Row],[Salario Diario]]*(VLOOKUP(TabCuotasIMSS[[#This Row],[Años]],TabFactorIntegracion[],COLUMN(TabFactorIntegracion[PRIMA
DOMINICAL]))),0)</f>
        <v>0</v>
      </c>
      <c r="I14" s="55" cm="1">
        <f t="array" ref="I14">IFERROR(TabCuotasIMSS[[#This Row],[Salario Diario]]*(VLOOKUP(TabCuotasIMSS[[#This Row],[Años]],TabFactorIntegracion[],COLUMN(TabFactorIntegracion[FACTOR DE
INTEGRACIÓN]))),0)</f>
        <v>10.295506849315069</v>
      </c>
      <c r="J14" s="174">
        <f>IFERROR(TabCuotasIMSS[[#This Row],[Salario Diario]]+TabCuotasIMSS[[#This Row],[Alimentos]]+TabCuotasIMSS[[#This Row],[Prima Dominical]]+TabCuotasIMSS[[#This Row],[Factor de Integracion]],0)</f>
        <v>236.4560478493151</v>
      </c>
      <c r="K14" cm="1">
        <f t="array" ref="K14">VLOOKUP(TabCuotasIMSS[[#This Row],[ID]],TabAsistencias[],COLUMN(TabAsistencias[''I]),FALSE)+VLOOKUP(TabCuotasIMSS[[#This Row],[ID]],TabAsistencias[],COLUMN(TabAsistencias[''IG]),FALSE)</f>
        <v>0</v>
      </c>
      <c r="L14" cm="1">
        <f t="array" ref="L14">VLOOKUP(TabCuotasIMSS[[#This Row],[ID]],TabAsistencias[],COLUMN(TabAsistencias[''F]),FALSE)</f>
        <v>0</v>
      </c>
      <c r="M14" s="141">
        <f>TabCuotasIMSS[[#This Row],[S.B.C./S.D.I.]]*TabCuotasIMSS[[#This Row],[DÍAS
LAB.]]</f>
        <v>17024.835445150686</v>
      </c>
      <c r="N14" s="141">
        <f>(SMDF*CF*(TabCuotasIMSS[[#This Row],[DÍAS
LAB.]]-TabCuotasIMSS[[#This Row],[INC]]))</f>
        <v>1413.27936</v>
      </c>
      <c r="O14" s="55">
        <f>IF(TabCuotasIMSS[[#This Row],[S.B.C./S.D.I.]]&gt;SMDF3,((TabCuotasIMSS[[#This Row],[S.B.C./S.D.I.]]-SMDF3)*CFP*(TabCuotasIMSS[[#This Row],[DÍAS
LAB.]]-TabCuotasIMSS[[#This Row],[INC]])),0)</f>
        <v>0</v>
      </c>
      <c r="P14" s="55">
        <f>IF(TabCuotasIMSS[[#This Row],[S.B.C./S.D.I.]]&gt;SMDF3,((TabCuotasIMSS[[#This Row],[S.B.C./S.D.I.]]-SMDF3)*CFO*(TabCuotasIMSS[[#This Row],[DÍAS
LAB.]]-TabCuotasIMSS[[#This Row],[INC]])),0)</f>
        <v>0</v>
      </c>
      <c r="Q14" s="55">
        <f>TabCuotasIMSS[[#This Row],[EXCED.
PATRON]]+TabCuotasIMSS[[#This Row],[EXCED.
OBRERO]]</f>
        <v>0</v>
      </c>
      <c r="R14" s="55">
        <f>IF(TabCuotasIMSS[[#This Row],[S.B.C./S.D.I.]]&lt;=SMGI,((TabCuotasIMSS[[#This Row],[SALARIO
DEL CICLO]]-(TabCuotasIMSS[[#This Row],[S.B.C./S.D.I.]]*TabCuotasIMSS[[#This Row],[INC]])))*PD,((TabCuotasIMSS[[#This Row],[SALARIO
DEL CICLO]]-(TabCuotasIMSS[[#This Row],[S.B.C./S.D.I.]]*TabCuotasIMSS[[#This Row],[INC]]))*PDP))</f>
        <v>119.1738481160548</v>
      </c>
      <c r="S14" s="55">
        <f>IF(TabCuotasIMSS[[#This Row],[S.B.C./S.D.I.]]&lt;=SMGI,0,((TabCuotasIMSS[[#This Row],[SALARIO
DEL CICLO]]-(TabCuotasIMSS[[#This Row],[S.B.C./S.D.I.]]*TabCuotasIMSS[[#This Row],[INC]]))*PDO))</f>
        <v>42.562088612876714</v>
      </c>
      <c r="T14" s="55">
        <f>TabCuotasIMSS[[#This Row],[PATRON2]]+TabCuotasIMSS[[#This Row],[OBRERO]]</f>
        <v>161.73593672893151</v>
      </c>
      <c r="U14" s="55">
        <f>IF(TabCuotasIMSS[[#This Row],[S.B.C./S.D.I.]]&lt;=SMGI,((TabCuotasIMSS[[#This Row],[SALARIO
DEL CICLO]]-(TabCuotasIMSS[[#This Row],[S.B.C./S.D.I.]]*TabCuotasIMSS[[#This Row],[INC]])))*GMP,((TabCuotasIMSS[[#This Row],[SALARIO
DEL CICLO]]-(TabCuotasIMSS[[#This Row],[S.B.C./S.D.I.]]*TabCuotasIMSS[[#This Row],[INC]])))*GMPP)</f>
        <v>178.76077217408221</v>
      </c>
      <c r="V14" s="55">
        <f>IF(TabCuotasIMSS[[#This Row],[S.B.C./S.D.I.]]&lt;=SMGI,0,((TabCuotasIMSS[[#This Row],[SALARIO
DEL CICLO]]-(TabCuotasIMSS[[#This Row],[S.B.C./S.D.I.]]*TabCuotasIMSS[[#This Row],[INC]])))*GMPO)</f>
        <v>63.843132919315067</v>
      </c>
      <c r="W14" s="55">
        <f>TabCuotasIMSS[[#This Row],[PATRON3]]+TabCuotasIMSS[[#This Row],[OBRERO4]]</f>
        <v>242.60390509339726</v>
      </c>
      <c r="X14" s="141">
        <f>((TabCuotasIMSS[[#This Row],[SALARIO
DEL CICLO]]-(TabCuotasIMSS[[#This Row],[S.B.C./S.D.I.]]*(TabCuotasIMSS[[#This Row],[INC]]+TabCuotasIMSS[[#This Row],[AUS]]))))*PRTP</f>
        <v>8512.4177225753429</v>
      </c>
      <c r="Y14" s="55">
        <f>IF(TabCuotasIMSS[[#This Row],[S.B.C./S.D.I.]]&lt;=SMGI,((TabCuotasIMSS[[#This Row],[SALARIO
DEL CICLO]]-(TabCuotasIMSS[[#This Row],[S.B.C./S.D.I.]]*(TabCuotasIMSS[[#This Row],[INC]]+TabCuotasIMSS[[#This Row],[AUS]]))))*IV,((TabCuotasIMSS[[#This Row],[SALARIO
DEL CICLO]]-(TabCuotasIMSS[[#This Row],[S.B.C./S.D.I.]]*(TabCuotasIMSS[[#This Row],[INC]]+TabCuotasIMSS[[#This Row],[AUS]]))))*IVP)</f>
        <v>297.93462029013705</v>
      </c>
      <c r="Z14" s="55">
        <f>IF(TabCuotasIMSS[[#This Row],[S.B.C./S.D.I.]]&lt;=SMGI,0,((TabCuotasIMSS[[#This Row],[SALARIO
DEL CICLO]]-(TabCuotasIMSS[[#This Row],[S.B.C./S.D.I.]]*(TabCuotasIMSS[[#This Row],[INC]]+TabCuotasIMSS[[#This Row],[AUS]]))))*IVO)</f>
        <v>106.40522153219179</v>
      </c>
      <c r="AA14" s="55">
        <f>TabCuotasIMSS[[#This Row],[PATRON6]]+TabCuotasIMSS[[#This Row],[OBRERO7]]</f>
        <v>404.33984182232882</v>
      </c>
      <c r="AB14" s="141">
        <f>((TabCuotasIMSS[[#This Row],[SALARIO
DEL CICLO]]-(TabCuotasIMSS[[#This Row],[S.B.C./S.D.I.]]*(TabCuotasIMSS[[#This Row],[INC]]+TabCuotasIMSS[[#This Row],[AUS]]))))*GPS</f>
        <v>170.24835445150686</v>
      </c>
      <c r="AC14" s="141">
        <f>TabCuotasIMSS[[#This Row],[SALARIO
DEL CICLO]]*0</f>
        <v>0</v>
      </c>
      <c r="AD14" s="141">
        <f>TabCuotasIMSS[[#This Row],[PATRON9]]+TabCuotasIMSS[[#This Row],[OBRERO10]]</f>
        <v>170.24835445150686</v>
      </c>
      <c r="AE14" s="233">
        <f>TabCuotasIMSS[[#This Row],[PATRON]]+TabCuotasIMSS[[#This Row],[EXCED.
PATRON]]+TabCuotasIMSS[[#This Row],[PATRON2]]+TabCuotasIMSS[[#This Row],[PATRON3]]+TabCuotasIMSS[[#This Row],[PATRON
0.50%]]+TabCuotasIMSS[[#This Row],[PATRON6]]+TabCuotasIMSS[[#This Row],[PATRON9]]</f>
        <v>10691.814677607124</v>
      </c>
      <c r="AF14" s="233">
        <f>TabCuotasIMSS[[#This Row],[EXCED.
OBRERO]]+TabCuotasIMSS[[#This Row],[OBRERO]]+TabCuotasIMSS[[#This Row],[OBRERO4]]+TabCuotasIMSS[[#This Row],[OBRERO7]]+TabCuotasIMSS[[#This Row],[OBRERO10]]</f>
        <v>212.81044306438355</v>
      </c>
      <c r="AG14" s="233">
        <f>TabCuotasIMSS[[#This Row],[TOTAL
PATRONAL]]+TabCuotasIMSS[[#This Row],[TOTAL
OBRERO]]</f>
        <v>10904.625120671508</v>
      </c>
      <c r="AH14" s="141">
        <f>((TabCuotasIMSS[[#This Row],[SALARIO
DEL CICLO]]-(TabCuotasIMSS[[#This Row],[S.B.C./S.D.I.]]*TabCuotasIMSS[[#This Row],[AUS]]))*R_)</f>
        <v>340.49670890301371</v>
      </c>
      <c r="AI14">
        <f>IF(TabCuotasIMSS[[#This Row],[S.B.C./S.D.I.]]&lt;=SMGI,((TabCuotasIMSS[[#This Row],[SALARIO
DEL CICLO]]-(TabCuotasIMSS[[#This Row],[S.B.C./S.D.I.]]*(TabCuotasIMSS[[#This Row],[INC]]+TabCuotasIMSS[[#This Row],[AUS]]))))*CV,((TabCuotasIMSS[[#This Row],[SALARIO
DEL CICLO]]-(TabCuotasIMSS[[#This Row],[S.B.C./S.D.I.]]*(TabCuotasIMSS[[#This Row],[INC]]+TabCuotasIMSS[[#This Row],[AUS]]))))*CVP)</f>
        <v>536.28231652224656</v>
      </c>
      <c r="AJ14">
        <f>IF(TabCuotasIMSS[[#This Row],[S.B.C./S.D.I.]]&lt;=SMGI,0,((TabCuotasIMSS[[#This Row],[SALARIO
DEL CICLO]]-(TabCuotasIMSS[[#This Row],[S.B.C./S.D.I.]]*(TabCuotasIMSS[[#This Row],[INC]]+TabCuotasIMSS[[#This Row],[AUS]]))))*CVO)</f>
        <v>191.52939875794522</v>
      </c>
      <c r="AK14">
        <f>SUM(TabCuotasIMSS[[#This Row],[2%]]:TabCuotasIMSS[[#This Row],[OBRERO14]])</f>
        <v>1068.3084241832055</v>
      </c>
      <c r="AL14" s="141">
        <f>((TabCuotasIMSS[[#This Row],[SALARIO
DEL CICLO]]-(TabCuotasIMSS[[#This Row],[S.B.C./S.D.I.]]*(TabCuotasIMSS[[#This Row],[AUS]])))*I)</f>
        <v>851.24177225753431</v>
      </c>
      <c r="AM14" s="141">
        <f>TabCuotasIMSS[[#This Row],[TOTAL
O.P.11]]+TabCuotasIMSS[[#This Row],[2%]]+TabCuotasIMSS[[#This Row],[PATRON13]]+TabCuotasIMSS[[#This Row],[5%]]</f>
        <v>1898.2691521343013</v>
      </c>
      <c r="AN14" s="141">
        <f>TabCuotasIMSS[[#This Row],[TOTAL
OBRERO]]+TabCuotasIMSS[[#This Row],[OBRERO14]]</f>
        <v>404.33984182232876</v>
      </c>
    </row>
    <row r="15" spans="1:41" x14ac:dyDescent="0.25">
      <c r="A15" s="2">
        <v>7</v>
      </c>
      <c r="B15" s="1" cm="1">
        <f t="array" ref="B15">VLOOKUP(TabCuotasIMSS[[#This Row],[ID]],TabEmpleados[],COLUMN(TabEmpleados[Fecha de alta NSS]),FALSE)</f>
        <v>44509</v>
      </c>
      <c r="C15" t="str" cm="1">
        <f t="array" ref="C15">VLOOKUP(TabCuotasIMSS[[#This Row],[ID]],TabEmpleados[],COLUMN(TabEmpleados[Nombre]),FALSE)</f>
        <v>GONZALEZ DURAN EDER</v>
      </c>
      <c r="D15" cm="1">
        <f t="array" ref="D15">IF(VLOOKUP(TabCuotasIMSS[[#This Row],[ID]],TabEmpleados[],COLUMN(TabEmpleados[Fecha de alta NSS]),FALSE)&lt;&gt;"",VLOOKUP(TabCuotasIMSS[[#This Row],[ID]],TabAsistencias[],COLUMN(TabAsistencias[''Total de dias laborados]),FALSE),0)</f>
        <v>73</v>
      </c>
      <c r="E15" cm="1">
        <f t="array" ref="E15">IF(VLOOKUP(TabCuotasIMSS[[#This Row],[ID]],TabEmpleados[],COLUMN(TabEmpleados[Fecha de alta NSS]),FALSE)&lt;&gt;"",IF(DATEDIF((VLOOKUP(TabCuotasIMSS[[#This Row],[ID]],TabEmpleados[],COLUMN(TabEmpleados[Fecha de alta NSS]),FALSE)),'Tablas de informacion'!N$8,"Y")=0,1,DATEDIF((VLOOKUP(TabCuotasIMSS[[#This Row],[ID]],TabEmpleados[],COLUMN(TabEmpleados[Fecha de alta NSS]),FALSE)),'Tablas de informacion'!N$8,"Y")),0)</f>
        <v>1</v>
      </c>
      <c r="F15" s="55" cm="1">
        <f t="array" ref="F15">VLOOKUP(TabCuotasIMSS[[#This Row],[ID]],TabEmpleados[],COLUMN(TabEmpleados[SD Fiscal]),FALSE)</f>
        <v>109.99999980000001</v>
      </c>
      <c r="G15" s="55" cm="1">
        <f t="array" ref="G15">IFERROR((VLOOKUP((VLOOKUP(TabCuotasIMSS[[#This Row],[ID]],TabEmpleados[],COLUMN(TabEmpleados[Puesto]),FALSE)),TabPuestos[],COLUMN(TabPuestos[N° ALIMENTOS]),FALSE))*TabCuotasIMSS[[#This Row],[Salario Diario]]*(VLOOKUP(TabCuotasIMSS[[#This Row],[Años]],TabFactorIntegracion[],COLUMN(TabFactorIntegracion[% por alimento]))),0)</f>
        <v>0</v>
      </c>
      <c r="H15" s="55" cm="1">
        <f t="array" ref="H15">IFERROR((VLOOKUP((VLOOKUP(TabCuotasIMSS[[#This Row],[ID]],TabEmpleados[],COLUMN(TabEmpleados[Puesto]),FALSE)),TabPuestos[],COLUMN(TabPuestos[PRIMA DOMINICAL]),FALSE))*TabCuotasIMSS[[#This Row],[Salario Diario]]*(VLOOKUP(TabCuotasIMSS[[#This Row],[Años]],TabFactorIntegracion[],COLUMN(TabFactorIntegracion[PRIMA
DOMINICAL]))),0)</f>
        <v>0</v>
      </c>
      <c r="I15" s="55" cm="1">
        <f t="array" ref="I15">IFERROR(TabCuotasIMSS[[#This Row],[Salario Diario]]*(VLOOKUP(TabCuotasIMSS[[#This Row],[Años]],TabFactorIntegracion[],COLUMN(TabFactorIntegracion[FACTOR DE
INTEGRACIÓN]))),0)</f>
        <v>5.4246575243835622</v>
      </c>
      <c r="J15" s="174">
        <f>IFERROR(TabCuotasIMSS[[#This Row],[Salario Diario]]+TabCuotasIMSS[[#This Row],[Alimentos]]+TabCuotasIMSS[[#This Row],[Prima Dominical]]+TabCuotasIMSS[[#This Row],[Factor de Integracion]],0)</f>
        <v>115.42465732438357</v>
      </c>
      <c r="K15" cm="1">
        <f t="array" ref="K15">VLOOKUP(TabCuotasIMSS[[#This Row],[ID]],TabAsistencias[],COLUMN(TabAsistencias[''I]),FALSE)+VLOOKUP(TabCuotasIMSS[[#This Row],[ID]],TabAsistencias[],COLUMN(TabAsistencias[''IG]),FALSE)</f>
        <v>0</v>
      </c>
      <c r="L15" cm="1">
        <f t="array" ref="L15">VLOOKUP(TabCuotasIMSS[[#This Row],[ID]],TabAsistencias[],COLUMN(TabAsistencias[''F]),FALSE)</f>
        <v>0</v>
      </c>
      <c r="M15" s="141">
        <f>TabCuotasIMSS[[#This Row],[S.B.C./S.D.I.]]*TabCuotasIMSS[[#This Row],[DÍAS
LAB.]]</f>
        <v>8425.9999846800001</v>
      </c>
      <c r="N15" s="141">
        <f>(SMDF*CF*(TabCuotasIMSS[[#This Row],[DÍAS
LAB.]]-TabCuotasIMSS[[#This Row],[INC]]))</f>
        <v>1432.90824</v>
      </c>
      <c r="O15" s="55">
        <f>IF(TabCuotasIMSS[[#This Row],[S.B.C./S.D.I.]]&gt;SMDF3,((TabCuotasIMSS[[#This Row],[S.B.C./S.D.I.]]-SMDF3)*CFP*(TabCuotasIMSS[[#This Row],[DÍAS
LAB.]]-TabCuotasIMSS[[#This Row],[INC]])),0)</f>
        <v>0</v>
      </c>
      <c r="P15" s="55">
        <f>IF(TabCuotasIMSS[[#This Row],[S.B.C./S.D.I.]]&gt;SMDF3,((TabCuotasIMSS[[#This Row],[S.B.C./S.D.I.]]-SMDF3)*CFO*(TabCuotasIMSS[[#This Row],[DÍAS
LAB.]]-TabCuotasIMSS[[#This Row],[INC]])),0)</f>
        <v>0</v>
      </c>
      <c r="Q15" s="55">
        <f>TabCuotasIMSS[[#This Row],[EXCED.
PATRON]]+TabCuotasIMSS[[#This Row],[EXCED.
OBRERO]]</f>
        <v>0</v>
      </c>
      <c r="R15" s="55">
        <f>IF(TabCuotasIMSS[[#This Row],[S.B.C./S.D.I.]]&lt;=SMGI,((TabCuotasIMSS[[#This Row],[SALARIO
DEL CICLO]]-(TabCuotasIMSS[[#This Row],[S.B.C./S.D.I.]]*TabCuotasIMSS[[#This Row],[INC]])))*PD,((TabCuotasIMSS[[#This Row],[SALARIO
DEL CICLO]]-(TabCuotasIMSS[[#This Row],[S.B.C./S.D.I.]]*TabCuotasIMSS[[#This Row],[INC]]))*PDP))</f>
        <v>80.046999854459997</v>
      </c>
      <c r="S15" s="55">
        <f>IF(TabCuotasIMSS[[#This Row],[S.B.C./S.D.I.]]&lt;=SMGI,0,((TabCuotasIMSS[[#This Row],[SALARIO
DEL CICLO]]-(TabCuotasIMSS[[#This Row],[S.B.C./S.D.I.]]*TabCuotasIMSS[[#This Row],[INC]]))*PDO))</f>
        <v>0</v>
      </c>
      <c r="T15" s="55">
        <f>TabCuotasIMSS[[#This Row],[PATRON2]]+TabCuotasIMSS[[#This Row],[OBRERO]]</f>
        <v>80.046999854459997</v>
      </c>
      <c r="U15" s="55">
        <f>IF(TabCuotasIMSS[[#This Row],[S.B.C./S.D.I.]]&lt;=SMGI,((TabCuotasIMSS[[#This Row],[SALARIO
DEL CICLO]]-(TabCuotasIMSS[[#This Row],[S.B.C./S.D.I.]]*TabCuotasIMSS[[#This Row],[INC]])))*GMP,((TabCuotasIMSS[[#This Row],[SALARIO
DEL CICLO]]-(TabCuotasIMSS[[#This Row],[S.B.C./S.D.I.]]*TabCuotasIMSS[[#This Row],[INC]])))*GMPP)</f>
        <v>120.07049978169</v>
      </c>
      <c r="V15" s="55">
        <f>IF(TabCuotasIMSS[[#This Row],[S.B.C./S.D.I.]]&lt;=SMGI,0,((TabCuotasIMSS[[#This Row],[SALARIO
DEL CICLO]]-(TabCuotasIMSS[[#This Row],[S.B.C./S.D.I.]]*TabCuotasIMSS[[#This Row],[INC]])))*GMPO)</f>
        <v>0</v>
      </c>
      <c r="W15" s="55">
        <f>TabCuotasIMSS[[#This Row],[PATRON3]]+TabCuotasIMSS[[#This Row],[OBRERO4]]</f>
        <v>120.07049978169</v>
      </c>
      <c r="X15" s="141">
        <f>((TabCuotasIMSS[[#This Row],[SALARIO
DEL CICLO]]-(TabCuotasIMSS[[#This Row],[S.B.C./S.D.I.]]*(TabCuotasIMSS[[#This Row],[INC]]+TabCuotasIMSS[[#This Row],[AUS]]))))*PRTP</f>
        <v>4212.9999923400001</v>
      </c>
      <c r="Y15" s="55">
        <f>IF(TabCuotasIMSS[[#This Row],[S.B.C./S.D.I.]]&lt;=SMGI,((TabCuotasIMSS[[#This Row],[SALARIO
DEL CICLO]]-(TabCuotasIMSS[[#This Row],[S.B.C./S.D.I.]]*(TabCuotasIMSS[[#This Row],[INC]]+TabCuotasIMSS[[#This Row],[AUS]]))))*IV,((TabCuotasIMSS[[#This Row],[SALARIO
DEL CICLO]]-(TabCuotasIMSS[[#This Row],[S.B.C./S.D.I.]]*(TabCuotasIMSS[[#This Row],[INC]]+TabCuotasIMSS[[#This Row],[AUS]]))))*IVP)</f>
        <v>200.11749963615</v>
      </c>
      <c r="Z15" s="55">
        <f>IF(TabCuotasIMSS[[#This Row],[S.B.C./S.D.I.]]&lt;=SMGI,0,((TabCuotasIMSS[[#This Row],[SALARIO
DEL CICLO]]-(TabCuotasIMSS[[#This Row],[S.B.C./S.D.I.]]*(TabCuotasIMSS[[#This Row],[INC]]+TabCuotasIMSS[[#This Row],[AUS]]))))*IVO)</f>
        <v>0</v>
      </c>
      <c r="AA15" s="55">
        <f>TabCuotasIMSS[[#This Row],[PATRON6]]+TabCuotasIMSS[[#This Row],[OBRERO7]]</f>
        <v>200.11749963615</v>
      </c>
      <c r="AB15" s="141">
        <f>((TabCuotasIMSS[[#This Row],[SALARIO
DEL CICLO]]-(TabCuotasIMSS[[#This Row],[S.B.C./S.D.I.]]*(TabCuotasIMSS[[#This Row],[INC]]+TabCuotasIMSS[[#This Row],[AUS]]))))*GPS</f>
        <v>84.2599998468</v>
      </c>
      <c r="AC15" s="141">
        <f>TabCuotasIMSS[[#This Row],[SALARIO
DEL CICLO]]*0</f>
        <v>0</v>
      </c>
      <c r="AD15" s="141">
        <f>TabCuotasIMSS[[#This Row],[PATRON9]]+TabCuotasIMSS[[#This Row],[OBRERO10]]</f>
        <v>84.2599998468</v>
      </c>
      <c r="AE15" s="233">
        <f>TabCuotasIMSS[[#This Row],[PATRON]]+TabCuotasIMSS[[#This Row],[EXCED.
PATRON]]+TabCuotasIMSS[[#This Row],[PATRON2]]+TabCuotasIMSS[[#This Row],[PATRON3]]+TabCuotasIMSS[[#This Row],[PATRON
0.50%]]+TabCuotasIMSS[[#This Row],[PATRON6]]+TabCuotasIMSS[[#This Row],[PATRON9]]</f>
        <v>6130.4032314590995</v>
      </c>
      <c r="AF15" s="233">
        <f>TabCuotasIMSS[[#This Row],[EXCED.
OBRERO]]+TabCuotasIMSS[[#This Row],[OBRERO]]+TabCuotasIMSS[[#This Row],[OBRERO4]]+TabCuotasIMSS[[#This Row],[OBRERO7]]+TabCuotasIMSS[[#This Row],[OBRERO10]]</f>
        <v>0</v>
      </c>
      <c r="AG15" s="233">
        <f>TabCuotasIMSS[[#This Row],[TOTAL
PATRONAL]]+TabCuotasIMSS[[#This Row],[TOTAL
OBRERO]]</f>
        <v>6130.4032314590995</v>
      </c>
      <c r="AH15" s="141">
        <f>((TabCuotasIMSS[[#This Row],[SALARIO
DEL CICLO]]-(TabCuotasIMSS[[#This Row],[S.B.C./S.D.I.]]*TabCuotasIMSS[[#This Row],[AUS]]))*R_)</f>
        <v>168.5199996936</v>
      </c>
      <c r="AI15">
        <f>IF(TabCuotasIMSS[[#This Row],[S.B.C./S.D.I.]]&lt;=SMGI,((TabCuotasIMSS[[#This Row],[SALARIO
DEL CICLO]]-(TabCuotasIMSS[[#This Row],[S.B.C./S.D.I.]]*(TabCuotasIMSS[[#This Row],[INC]]+TabCuotasIMSS[[#This Row],[AUS]]))))*CV,((TabCuotasIMSS[[#This Row],[SALARIO
DEL CICLO]]-(TabCuotasIMSS[[#This Row],[S.B.C./S.D.I.]]*(TabCuotasIMSS[[#This Row],[INC]]+TabCuotasIMSS[[#This Row],[AUS]]))))*CVP)</f>
        <v>360.21149934507002</v>
      </c>
      <c r="AJ15">
        <f>IF(TabCuotasIMSS[[#This Row],[S.B.C./S.D.I.]]&lt;=SMGI,0,((TabCuotasIMSS[[#This Row],[SALARIO
DEL CICLO]]-(TabCuotasIMSS[[#This Row],[S.B.C./S.D.I.]]*(TabCuotasIMSS[[#This Row],[INC]]+TabCuotasIMSS[[#This Row],[AUS]]))))*CVO)</f>
        <v>0</v>
      </c>
      <c r="AK15">
        <f>SUM(TabCuotasIMSS[[#This Row],[2%]]:TabCuotasIMSS[[#This Row],[OBRERO14]])</f>
        <v>528.73149903866999</v>
      </c>
      <c r="AL15" s="141">
        <f>((TabCuotasIMSS[[#This Row],[SALARIO
DEL CICLO]]-(TabCuotasIMSS[[#This Row],[S.B.C./S.D.I.]]*(TabCuotasIMSS[[#This Row],[AUS]])))*I)</f>
        <v>421.29999923400004</v>
      </c>
      <c r="AM15" s="141">
        <f>TabCuotasIMSS[[#This Row],[TOTAL
O.P.11]]+TabCuotasIMSS[[#This Row],[2%]]+TabCuotasIMSS[[#This Row],[PATRON13]]+TabCuotasIMSS[[#This Row],[5%]]</f>
        <v>1034.2914981194701</v>
      </c>
      <c r="AN15" s="141">
        <f>TabCuotasIMSS[[#This Row],[TOTAL
OBRERO]]+TabCuotasIMSS[[#This Row],[OBRERO14]]</f>
        <v>0</v>
      </c>
    </row>
    <row r="16" spans="1:41" x14ac:dyDescent="0.25">
      <c r="A16" s="2">
        <v>8</v>
      </c>
      <c r="B16" s="1" cm="1">
        <f t="array" ref="B16">VLOOKUP(TabCuotasIMSS[[#This Row],[ID]],TabEmpleados[],COLUMN(TabEmpleados[Fecha de alta NSS]),FALSE)</f>
        <v>44509</v>
      </c>
      <c r="C16" t="str" cm="1">
        <f t="array" ref="C16">VLOOKUP(TabCuotasIMSS[[#This Row],[ID]],TabEmpleados[],COLUMN(TabEmpleados[Nombre]),FALSE)</f>
        <v>REYES JARQUIN DANIEL</v>
      </c>
      <c r="D16" cm="1">
        <f t="array" ref="D16">IF(VLOOKUP(TabCuotasIMSS[[#This Row],[ID]],TabEmpleados[],COLUMN(TabEmpleados[Fecha de alta NSS]),FALSE)&lt;&gt;"",VLOOKUP(TabCuotasIMSS[[#This Row],[ID]],TabAsistencias[],COLUMN(TabAsistencias[''Total de dias laborados]),FALSE),0)</f>
        <v>73</v>
      </c>
      <c r="E16" cm="1">
        <f t="array" ref="E16">IF(VLOOKUP(TabCuotasIMSS[[#This Row],[ID]],TabEmpleados[],COLUMN(TabEmpleados[Fecha de alta NSS]),FALSE)&lt;&gt;"",IF(DATEDIF((VLOOKUP(TabCuotasIMSS[[#This Row],[ID]],TabEmpleados[],COLUMN(TabEmpleados[Fecha de alta NSS]),FALSE)),'Tablas de informacion'!N$8,"Y")=0,1,DATEDIF((VLOOKUP(TabCuotasIMSS[[#This Row],[ID]],TabEmpleados[],COLUMN(TabEmpleados[Fecha de alta NSS]),FALSE)),'Tablas de informacion'!N$8,"Y")),0)</f>
        <v>1</v>
      </c>
      <c r="F16" s="55" cm="1">
        <f t="array" ref="F16">VLOOKUP(TabCuotasIMSS[[#This Row],[ID]],TabEmpleados[],COLUMN(TabEmpleados[SD Fiscal]),FALSE)</f>
        <v>84.999999989999992</v>
      </c>
      <c r="G16" s="55" cm="1">
        <f t="array" ref="G16">IFERROR((VLOOKUP((VLOOKUP(TabCuotasIMSS[[#This Row],[ID]],TabEmpleados[],COLUMN(TabEmpleados[Puesto]),FALSE)),TabPuestos[],COLUMN(TabPuestos[N° ALIMENTOS]),FALSE))*TabCuotasIMSS[[#This Row],[Salario Diario]]*(VLOOKUP(TabCuotasIMSS[[#This Row],[Años]],TabFactorIntegracion[],COLUMN(TabFactorIntegracion[% por alimento]))),0)</f>
        <v>0</v>
      </c>
      <c r="H16" s="55" cm="1">
        <f t="array" ref="H16">IFERROR((VLOOKUP((VLOOKUP(TabCuotasIMSS[[#This Row],[ID]],TabEmpleados[],COLUMN(TabEmpleados[Puesto]),FALSE)),TabPuestos[],COLUMN(TabPuestos[PRIMA DOMINICAL]),FALSE))*TabCuotasIMSS[[#This Row],[Salario Diario]]*(VLOOKUP(TabCuotasIMSS[[#This Row],[Años]],TabFactorIntegracion[],COLUMN(TabFactorIntegracion[PRIMA
DOMINICAL]))),0)</f>
        <v>0</v>
      </c>
      <c r="I16" s="55" cm="1">
        <f t="array" ref="I16">IFERROR(TabCuotasIMSS[[#This Row],[Salario Diario]]*(VLOOKUP(TabCuotasIMSS[[#This Row],[Años]],TabFactorIntegracion[],COLUMN(TabFactorIntegracion[FACTOR DE
INTEGRACIÓN]))),0)</f>
        <v>4.1917808214246568</v>
      </c>
      <c r="J16" s="174">
        <f>IFERROR(TabCuotasIMSS[[#This Row],[Salario Diario]]+TabCuotasIMSS[[#This Row],[Alimentos]]+TabCuotasIMSS[[#This Row],[Prima Dominical]]+TabCuotasIMSS[[#This Row],[Factor de Integracion]],0)</f>
        <v>89.19178081142465</v>
      </c>
      <c r="K16" cm="1">
        <f t="array" ref="K16">VLOOKUP(TabCuotasIMSS[[#This Row],[ID]],TabAsistencias[],COLUMN(TabAsistencias[''I]),FALSE)+VLOOKUP(TabCuotasIMSS[[#This Row],[ID]],TabAsistencias[],COLUMN(TabAsistencias[''IG]),FALSE)</f>
        <v>0</v>
      </c>
      <c r="L16" cm="1">
        <f t="array" ref="L16">VLOOKUP(TabCuotasIMSS[[#This Row],[ID]],TabAsistencias[],COLUMN(TabAsistencias[''F]),FALSE)</f>
        <v>0</v>
      </c>
      <c r="M16" s="141">
        <f>TabCuotasIMSS[[#This Row],[S.B.C./S.D.I.]]*TabCuotasIMSS[[#This Row],[DÍAS
LAB.]]</f>
        <v>6510.999999233999</v>
      </c>
      <c r="N16" s="141">
        <f>(SMDF*CF*(TabCuotasIMSS[[#This Row],[DÍAS
LAB.]]-TabCuotasIMSS[[#This Row],[INC]]))</f>
        <v>1432.90824</v>
      </c>
      <c r="O16" s="55">
        <f>IF(TabCuotasIMSS[[#This Row],[S.B.C./S.D.I.]]&gt;SMDF3,((TabCuotasIMSS[[#This Row],[S.B.C./S.D.I.]]-SMDF3)*CFP*(TabCuotasIMSS[[#This Row],[DÍAS
LAB.]]-TabCuotasIMSS[[#This Row],[INC]])),0)</f>
        <v>0</v>
      </c>
      <c r="P16" s="55">
        <f>IF(TabCuotasIMSS[[#This Row],[S.B.C./S.D.I.]]&gt;SMDF3,((TabCuotasIMSS[[#This Row],[S.B.C./S.D.I.]]-SMDF3)*CFO*(TabCuotasIMSS[[#This Row],[DÍAS
LAB.]]-TabCuotasIMSS[[#This Row],[INC]])),0)</f>
        <v>0</v>
      </c>
      <c r="Q16" s="55">
        <f>TabCuotasIMSS[[#This Row],[EXCED.
PATRON]]+TabCuotasIMSS[[#This Row],[EXCED.
OBRERO]]</f>
        <v>0</v>
      </c>
      <c r="R16" s="55">
        <f>IF(TabCuotasIMSS[[#This Row],[S.B.C./S.D.I.]]&lt;=SMGI,((TabCuotasIMSS[[#This Row],[SALARIO
DEL CICLO]]-(TabCuotasIMSS[[#This Row],[S.B.C./S.D.I.]]*TabCuotasIMSS[[#This Row],[INC]])))*PD,((TabCuotasIMSS[[#This Row],[SALARIO
DEL CICLO]]-(TabCuotasIMSS[[#This Row],[S.B.C./S.D.I.]]*TabCuotasIMSS[[#This Row],[INC]]))*PDP))</f>
        <v>61.854499992722992</v>
      </c>
      <c r="S16" s="55">
        <f>IF(TabCuotasIMSS[[#This Row],[S.B.C./S.D.I.]]&lt;=SMGI,0,((TabCuotasIMSS[[#This Row],[SALARIO
DEL CICLO]]-(TabCuotasIMSS[[#This Row],[S.B.C./S.D.I.]]*TabCuotasIMSS[[#This Row],[INC]]))*PDO))</f>
        <v>0</v>
      </c>
      <c r="T16" s="55">
        <f>TabCuotasIMSS[[#This Row],[PATRON2]]+TabCuotasIMSS[[#This Row],[OBRERO]]</f>
        <v>61.854499992722992</v>
      </c>
      <c r="U16" s="55">
        <f>IF(TabCuotasIMSS[[#This Row],[S.B.C./S.D.I.]]&lt;=SMGI,((TabCuotasIMSS[[#This Row],[SALARIO
DEL CICLO]]-(TabCuotasIMSS[[#This Row],[S.B.C./S.D.I.]]*TabCuotasIMSS[[#This Row],[INC]])))*GMP,((TabCuotasIMSS[[#This Row],[SALARIO
DEL CICLO]]-(TabCuotasIMSS[[#This Row],[S.B.C./S.D.I.]]*TabCuotasIMSS[[#This Row],[INC]])))*GMPP)</f>
        <v>92.781749989084489</v>
      </c>
      <c r="V16" s="55">
        <f>IF(TabCuotasIMSS[[#This Row],[S.B.C./S.D.I.]]&lt;=SMGI,0,((TabCuotasIMSS[[#This Row],[SALARIO
DEL CICLO]]-(TabCuotasIMSS[[#This Row],[S.B.C./S.D.I.]]*TabCuotasIMSS[[#This Row],[INC]])))*GMPO)</f>
        <v>0</v>
      </c>
      <c r="W16" s="55">
        <f>TabCuotasIMSS[[#This Row],[PATRON3]]+TabCuotasIMSS[[#This Row],[OBRERO4]]</f>
        <v>92.781749989084489</v>
      </c>
      <c r="X16" s="141">
        <f>((TabCuotasIMSS[[#This Row],[SALARIO
DEL CICLO]]-(TabCuotasIMSS[[#This Row],[S.B.C./S.D.I.]]*(TabCuotasIMSS[[#This Row],[INC]]+TabCuotasIMSS[[#This Row],[AUS]]))))*PRTP</f>
        <v>3255.4999996169995</v>
      </c>
      <c r="Y16" s="55">
        <f>IF(TabCuotasIMSS[[#This Row],[S.B.C./S.D.I.]]&lt;=SMGI,((TabCuotasIMSS[[#This Row],[SALARIO
DEL CICLO]]-(TabCuotasIMSS[[#This Row],[S.B.C./S.D.I.]]*(TabCuotasIMSS[[#This Row],[INC]]+TabCuotasIMSS[[#This Row],[AUS]]))))*IV,((TabCuotasIMSS[[#This Row],[SALARIO
DEL CICLO]]-(TabCuotasIMSS[[#This Row],[S.B.C./S.D.I.]]*(TabCuotasIMSS[[#This Row],[INC]]+TabCuotasIMSS[[#This Row],[AUS]]))))*IVP)</f>
        <v>154.63624998180748</v>
      </c>
      <c r="Z16" s="55">
        <f>IF(TabCuotasIMSS[[#This Row],[S.B.C./S.D.I.]]&lt;=SMGI,0,((TabCuotasIMSS[[#This Row],[SALARIO
DEL CICLO]]-(TabCuotasIMSS[[#This Row],[S.B.C./S.D.I.]]*(TabCuotasIMSS[[#This Row],[INC]]+TabCuotasIMSS[[#This Row],[AUS]]))))*IVO)</f>
        <v>0</v>
      </c>
      <c r="AA16" s="55">
        <f>TabCuotasIMSS[[#This Row],[PATRON6]]+TabCuotasIMSS[[#This Row],[OBRERO7]]</f>
        <v>154.63624998180748</v>
      </c>
      <c r="AB16" s="141">
        <f>((TabCuotasIMSS[[#This Row],[SALARIO
DEL CICLO]]-(TabCuotasIMSS[[#This Row],[S.B.C./S.D.I.]]*(TabCuotasIMSS[[#This Row],[INC]]+TabCuotasIMSS[[#This Row],[AUS]]))))*GPS</f>
        <v>65.109999992339993</v>
      </c>
      <c r="AC16" s="141">
        <f>TabCuotasIMSS[[#This Row],[SALARIO
DEL CICLO]]*0</f>
        <v>0</v>
      </c>
      <c r="AD16" s="141">
        <f>TabCuotasIMSS[[#This Row],[PATRON9]]+TabCuotasIMSS[[#This Row],[OBRERO10]]</f>
        <v>65.109999992339993</v>
      </c>
      <c r="AE16" s="233">
        <f>TabCuotasIMSS[[#This Row],[PATRON]]+TabCuotasIMSS[[#This Row],[EXCED.
PATRON]]+TabCuotasIMSS[[#This Row],[PATRON2]]+TabCuotasIMSS[[#This Row],[PATRON3]]+TabCuotasIMSS[[#This Row],[PATRON
0.50%]]+TabCuotasIMSS[[#This Row],[PATRON6]]+TabCuotasIMSS[[#This Row],[PATRON9]]</f>
        <v>5062.7907395729553</v>
      </c>
      <c r="AF16" s="233">
        <f>TabCuotasIMSS[[#This Row],[EXCED.
OBRERO]]+TabCuotasIMSS[[#This Row],[OBRERO]]+TabCuotasIMSS[[#This Row],[OBRERO4]]+TabCuotasIMSS[[#This Row],[OBRERO7]]+TabCuotasIMSS[[#This Row],[OBRERO10]]</f>
        <v>0</v>
      </c>
      <c r="AG16" s="233">
        <f>TabCuotasIMSS[[#This Row],[TOTAL
PATRONAL]]+TabCuotasIMSS[[#This Row],[TOTAL
OBRERO]]</f>
        <v>5062.7907395729553</v>
      </c>
      <c r="AH16" s="141">
        <f>((TabCuotasIMSS[[#This Row],[SALARIO
DEL CICLO]]-(TabCuotasIMSS[[#This Row],[S.B.C./S.D.I.]]*TabCuotasIMSS[[#This Row],[AUS]]))*R_)</f>
        <v>130.21999998467999</v>
      </c>
      <c r="AI16">
        <f>IF(TabCuotasIMSS[[#This Row],[S.B.C./S.D.I.]]&lt;=SMGI,((TabCuotasIMSS[[#This Row],[SALARIO
DEL CICLO]]-(TabCuotasIMSS[[#This Row],[S.B.C./S.D.I.]]*(TabCuotasIMSS[[#This Row],[INC]]+TabCuotasIMSS[[#This Row],[AUS]]))))*CV,((TabCuotasIMSS[[#This Row],[SALARIO
DEL CICLO]]-(TabCuotasIMSS[[#This Row],[S.B.C./S.D.I.]]*(TabCuotasIMSS[[#This Row],[INC]]+TabCuotasIMSS[[#This Row],[AUS]]))))*CVP)</f>
        <v>278.34524996725349</v>
      </c>
      <c r="AJ16">
        <f>IF(TabCuotasIMSS[[#This Row],[S.B.C./S.D.I.]]&lt;=SMGI,0,((TabCuotasIMSS[[#This Row],[SALARIO
DEL CICLO]]-(TabCuotasIMSS[[#This Row],[S.B.C./S.D.I.]]*(TabCuotasIMSS[[#This Row],[INC]]+TabCuotasIMSS[[#This Row],[AUS]]))))*CVO)</f>
        <v>0</v>
      </c>
      <c r="AK16">
        <f>SUM(TabCuotasIMSS[[#This Row],[2%]]:TabCuotasIMSS[[#This Row],[OBRERO14]])</f>
        <v>408.56524995193348</v>
      </c>
      <c r="AL16" s="141">
        <f>((TabCuotasIMSS[[#This Row],[SALARIO
DEL CICLO]]-(TabCuotasIMSS[[#This Row],[S.B.C./S.D.I.]]*(TabCuotasIMSS[[#This Row],[AUS]])))*I)</f>
        <v>325.5499999617</v>
      </c>
      <c r="AM16" s="141">
        <f>TabCuotasIMSS[[#This Row],[TOTAL
O.P.11]]+TabCuotasIMSS[[#This Row],[2%]]+TabCuotasIMSS[[#This Row],[PATRON13]]+TabCuotasIMSS[[#This Row],[5%]]</f>
        <v>799.22524990597344</v>
      </c>
      <c r="AN16" s="141">
        <f>TabCuotasIMSS[[#This Row],[TOTAL
OBRERO]]+TabCuotasIMSS[[#This Row],[OBRERO14]]</f>
        <v>0</v>
      </c>
    </row>
    <row r="17" spans="1:40" x14ac:dyDescent="0.25">
      <c r="A17" s="2">
        <v>9</v>
      </c>
      <c r="B17" s="1" cm="1">
        <f t="array" ref="B17">VLOOKUP(TabCuotasIMSS[[#This Row],[ID]],TabEmpleados[],COLUMN(TabEmpleados[Fecha de alta NSS]),FALSE)</f>
        <v>0</v>
      </c>
      <c r="C17" t="str" cm="1">
        <f t="array" ref="C17">VLOOKUP(TabCuotasIMSS[[#This Row],[ID]],TabEmpleados[],COLUMN(TabEmpleados[Nombre]),FALSE)</f>
        <v xml:space="preserve">ANTONIO LOPEZ JAVIER </v>
      </c>
      <c r="D17" cm="1">
        <f t="array" ref="D17">IF(VLOOKUP(TabCuotasIMSS[[#This Row],[ID]],TabEmpleados[],COLUMN(TabEmpleados[Fecha de alta NSS]),FALSE)&lt;&gt;"",VLOOKUP(TabCuotasIMSS[[#This Row],[ID]],TabAsistencias[],COLUMN(TabAsistencias[''Total de dias laborados]),FALSE),0)</f>
        <v>0</v>
      </c>
      <c r="E17" cm="1">
        <f t="array" ref="E17">IF(VLOOKUP(TabCuotasIMSS[[#This Row],[ID]],TabEmpleados[],COLUMN(TabEmpleados[Fecha de alta NSS]),FALSE)&lt;&gt;"",IF(DATEDIF((VLOOKUP(TabCuotasIMSS[[#This Row],[ID]],TabEmpleados[],COLUMN(TabEmpleados[Fecha de alta NSS]),FALSE)),'Tablas de informacion'!N$8,"Y")=0,1,DATEDIF((VLOOKUP(TabCuotasIMSS[[#This Row],[ID]],TabEmpleados[],COLUMN(TabEmpleados[Fecha de alta NSS]),FALSE)),'Tablas de informacion'!N$8,"Y")),0)</f>
        <v>0</v>
      </c>
      <c r="F17" s="55" cm="1">
        <f t="array" ref="F17">VLOOKUP(TabCuotasIMSS[[#This Row],[ID]],TabEmpleados[],COLUMN(TabEmpleados[SD Fiscal]),FALSE)</f>
        <v>0</v>
      </c>
      <c r="G17" s="55" cm="1">
        <f t="array" ref="G17">IFERROR((VLOOKUP((VLOOKUP(TabCuotasIMSS[[#This Row],[ID]],TabEmpleados[],COLUMN(TabEmpleados[Puesto]),FALSE)),TabPuestos[],COLUMN(TabPuestos[N° ALIMENTOS]),FALSE))*TabCuotasIMSS[[#This Row],[Salario Diario]]*(VLOOKUP(TabCuotasIMSS[[#This Row],[Años]],TabFactorIntegracion[],COLUMN(TabFactorIntegracion[% por alimento]))),0)</f>
        <v>0</v>
      </c>
      <c r="H17" s="55" cm="1">
        <f t="array" ref="H17">IFERROR((VLOOKUP((VLOOKUP(TabCuotasIMSS[[#This Row],[ID]],TabEmpleados[],COLUMN(TabEmpleados[Puesto]),FALSE)),TabPuestos[],COLUMN(TabPuestos[PRIMA DOMINICAL]),FALSE))*TabCuotasIMSS[[#This Row],[Salario Diario]]*(VLOOKUP(TabCuotasIMSS[[#This Row],[Años]],TabFactorIntegracion[],COLUMN(TabFactorIntegracion[PRIMA
DOMINICAL]))),0)</f>
        <v>0</v>
      </c>
      <c r="I17" s="55" cm="1">
        <f t="array" ref="I17">IFERROR(TabCuotasIMSS[[#This Row],[Salario Diario]]*(VLOOKUP(TabCuotasIMSS[[#This Row],[Años]],TabFactorIntegracion[],COLUMN(TabFactorIntegracion[FACTOR DE
INTEGRACIÓN]))),0)</f>
        <v>0</v>
      </c>
      <c r="J17" s="174">
        <f>IFERROR(TabCuotasIMSS[[#This Row],[Salario Diario]]+TabCuotasIMSS[[#This Row],[Alimentos]]+TabCuotasIMSS[[#This Row],[Prima Dominical]]+TabCuotasIMSS[[#This Row],[Factor de Integracion]],0)</f>
        <v>0</v>
      </c>
      <c r="K17" cm="1">
        <f t="array" ref="K17">VLOOKUP(TabCuotasIMSS[[#This Row],[ID]],TabAsistencias[],COLUMN(TabAsistencias[''I]),FALSE)+VLOOKUP(TabCuotasIMSS[[#This Row],[ID]],TabAsistencias[],COLUMN(TabAsistencias[''IG]),FALSE)</f>
        <v>0</v>
      </c>
      <c r="L17" cm="1">
        <f t="array" ref="L17">VLOOKUP(TabCuotasIMSS[[#This Row],[ID]],TabAsistencias[],COLUMN(TabAsistencias[''F]),FALSE)</f>
        <v>0</v>
      </c>
      <c r="M17" s="141">
        <f>TabCuotasIMSS[[#This Row],[S.B.C./S.D.I.]]*TabCuotasIMSS[[#This Row],[DÍAS
LAB.]]</f>
        <v>0</v>
      </c>
      <c r="N17" s="141">
        <f>(SMDF*CF*(TabCuotasIMSS[[#This Row],[DÍAS
LAB.]]-TabCuotasIMSS[[#This Row],[INC]]))</f>
        <v>0</v>
      </c>
      <c r="O17" s="55">
        <f>IF(TabCuotasIMSS[[#This Row],[S.B.C./S.D.I.]]&gt;SMDF3,((TabCuotasIMSS[[#This Row],[S.B.C./S.D.I.]]-SMDF3)*CFP*(TabCuotasIMSS[[#This Row],[DÍAS
LAB.]]-TabCuotasIMSS[[#This Row],[INC]])),0)</f>
        <v>0</v>
      </c>
      <c r="P17" s="55">
        <f>IF(TabCuotasIMSS[[#This Row],[S.B.C./S.D.I.]]&gt;SMDF3,((TabCuotasIMSS[[#This Row],[S.B.C./S.D.I.]]-SMDF3)*CFO*(TabCuotasIMSS[[#This Row],[DÍAS
LAB.]]-TabCuotasIMSS[[#This Row],[INC]])),0)</f>
        <v>0</v>
      </c>
      <c r="Q17" s="55">
        <f>TabCuotasIMSS[[#This Row],[EXCED.
PATRON]]+TabCuotasIMSS[[#This Row],[EXCED.
OBRERO]]</f>
        <v>0</v>
      </c>
      <c r="R17" s="55">
        <f>IF(TabCuotasIMSS[[#This Row],[S.B.C./S.D.I.]]&lt;=SMGI,((TabCuotasIMSS[[#This Row],[SALARIO
DEL CICLO]]-(TabCuotasIMSS[[#This Row],[S.B.C./S.D.I.]]*TabCuotasIMSS[[#This Row],[INC]])))*PD,((TabCuotasIMSS[[#This Row],[SALARIO
DEL CICLO]]-(TabCuotasIMSS[[#This Row],[S.B.C./S.D.I.]]*TabCuotasIMSS[[#This Row],[INC]]))*PDP))</f>
        <v>0</v>
      </c>
      <c r="S17" s="55">
        <f>IF(TabCuotasIMSS[[#This Row],[S.B.C./S.D.I.]]&lt;=SMGI,0,((TabCuotasIMSS[[#This Row],[SALARIO
DEL CICLO]]-(TabCuotasIMSS[[#This Row],[S.B.C./S.D.I.]]*TabCuotasIMSS[[#This Row],[INC]]))*PDO))</f>
        <v>0</v>
      </c>
      <c r="T17" s="55">
        <f>TabCuotasIMSS[[#This Row],[PATRON2]]+TabCuotasIMSS[[#This Row],[OBRERO]]</f>
        <v>0</v>
      </c>
      <c r="U17" s="55">
        <f>IF(TabCuotasIMSS[[#This Row],[S.B.C./S.D.I.]]&lt;=SMGI,((TabCuotasIMSS[[#This Row],[SALARIO
DEL CICLO]]-(TabCuotasIMSS[[#This Row],[S.B.C./S.D.I.]]*TabCuotasIMSS[[#This Row],[INC]])))*GMP,((TabCuotasIMSS[[#This Row],[SALARIO
DEL CICLO]]-(TabCuotasIMSS[[#This Row],[S.B.C./S.D.I.]]*TabCuotasIMSS[[#This Row],[INC]])))*GMPP)</f>
        <v>0</v>
      </c>
      <c r="V17" s="55">
        <f>IF(TabCuotasIMSS[[#This Row],[S.B.C./S.D.I.]]&lt;=SMGI,0,((TabCuotasIMSS[[#This Row],[SALARIO
DEL CICLO]]-(TabCuotasIMSS[[#This Row],[S.B.C./S.D.I.]]*TabCuotasIMSS[[#This Row],[INC]])))*GMPO)</f>
        <v>0</v>
      </c>
      <c r="W17" s="55">
        <f>TabCuotasIMSS[[#This Row],[PATRON3]]+TabCuotasIMSS[[#This Row],[OBRERO4]]</f>
        <v>0</v>
      </c>
      <c r="X17" s="141">
        <f>((TabCuotasIMSS[[#This Row],[SALARIO
DEL CICLO]]-(TabCuotasIMSS[[#This Row],[S.B.C./S.D.I.]]*(TabCuotasIMSS[[#This Row],[INC]]+TabCuotasIMSS[[#This Row],[AUS]]))))*PRTP</f>
        <v>0</v>
      </c>
      <c r="Y17" s="55">
        <f>IF(TabCuotasIMSS[[#This Row],[S.B.C./S.D.I.]]&lt;=SMGI,((TabCuotasIMSS[[#This Row],[SALARIO
DEL CICLO]]-(TabCuotasIMSS[[#This Row],[S.B.C./S.D.I.]]*(TabCuotasIMSS[[#This Row],[INC]]+TabCuotasIMSS[[#This Row],[AUS]]))))*IV,((TabCuotasIMSS[[#This Row],[SALARIO
DEL CICLO]]-(TabCuotasIMSS[[#This Row],[S.B.C./S.D.I.]]*(TabCuotasIMSS[[#This Row],[INC]]+TabCuotasIMSS[[#This Row],[AUS]]))))*IVP)</f>
        <v>0</v>
      </c>
      <c r="Z17" s="55">
        <f>IF(TabCuotasIMSS[[#This Row],[S.B.C./S.D.I.]]&lt;=SMGI,0,((TabCuotasIMSS[[#This Row],[SALARIO
DEL CICLO]]-(TabCuotasIMSS[[#This Row],[S.B.C./S.D.I.]]*(TabCuotasIMSS[[#This Row],[INC]]+TabCuotasIMSS[[#This Row],[AUS]]))))*IVO)</f>
        <v>0</v>
      </c>
      <c r="AA17" s="55">
        <f>TabCuotasIMSS[[#This Row],[PATRON6]]+TabCuotasIMSS[[#This Row],[OBRERO7]]</f>
        <v>0</v>
      </c>
      <c r="AB17" s="141">
        <f>((TabCuotasIMSS[[#This Row],[SALARIO
DEL CICLO]]-(TabCuotasIMSS[[#This Row],[S.B.C./S.D.I.]]*(TabCuotasIMSS[[#This Row],[INC]]+TabCuotasIMSS[[#This Row],[AUS]]))))*GPS</f>
        <v>0</v>
      </c>
      <c r="AC17" s="141">
        <f>TabCuotasIMSS[[#This Row],[SALARIO
DEL CICLO]]*0</f>
        <v>0</v>
      </c>
      <c r="AD17" s="141">
        <f>TabCuotasIMSS[[#This Row],[PATRON9]]+TabCuotasIMSS[[#This Row],[OBRERO10]]</f>
        <v>0</v>
      </c>
      <c r="AE17" s="233">
        <f>TabCuotasIMSS[[#This Row],[PATRON]]+TabCuotasIMSS[[#This Row],[EXCED.
PATRON]]+TabCuotasIMSS[[#This Row],[PATRON2]]+TabCuotasIMSS[[#This Row],[PATRON3]]+TabCuotasIMSS[[#This Row],[PATRON
0.50%]]+TabCuotasIMSS[[#This Row],[PATRON6]]+TabCuotasIMSS[[#This Row],[PATRON9]]</f>
        <v>0</v>
      </c>
      <c r="AF17" s="233">
        <f>TabCuotasIMSS[[#This Row],[EXCED.
OBRERO]]+TabCuotasIMSS[[#This Row],[OBRERO]]+TabCuotasIMSS[[#This Row],[OBRERO4]]+TabCuotasIMSS[[#This Row],[OBRERO7]]+TabCuotasIMSS[[#This Row],[OBRERO10]]</f>
        <v>0</v>
      </c>
      <c r="AG17" s="233">
        <f>TabCuotasIMSS[[#This Row],[TOTAL
PATRONAL]]+TabCuotasIMSS[[#This Row],[TOTAL
OBRERO]]</f>
        <v>0</v>
      </c>
      <c r="AH17" s="141">
        <f>((TabCuotasIMSS[[#This Row],[SALARIO
DEL CICLO]]-(TabCuotasIMSS[[#This Row],[S.B.C./S.D.I.]]*TabCuotasIMSS[[#This Row],[AUS]]))*R_)</f>
        <v>0</v>
      </c>
      <c r="AI17">
        <f>IF(TabCuotasIMSS[[#This Row],[S.B.C./S.D.I.]]&lt;=SMGI,((TabCuotasIMSS[[#This Row],[SALARIO
DEL CICLO]]-(TabCuotasIMSS[[#This Row],[S.B.C./S.D.I.]]*(TabCuotasIMSS[[#This Row],[INC]]+TabCuotasIMSS[[#This Row],[AUS]]))))*CV,((TabCuotasIMSS[[#This Row],[SALARIO
DEL CICLO]]-(TabCuotasIMSS[[#This Row],[S.B.C./S.D.I.]]*(TabCuotasIMSS[[#This Row],[INC]]+TabCuotasIMSS[[#This Row],[AUS]]))))*CVP)</f>
        <v>0</v>
      </c>
      <c r="AJ17">
        <f>IF(TabCuotasIMSS[[#This Row],[S.B.C./S.D.I.]]&lt;=SMGI,0,((TabCuotasIMSS[[#This Row],[SALARIO
DEL CICLO]]-(TabCuotasIMSS[[#This Row],[S.B.C./S.D.I.]]*(TabCuotasIMSS[[#This Row],[INC]]+TabCuotasIMSS[[#This Row],[AUS]]))))*CVO)</f>
        <v>0</v>
      </c>
      <c r="AK17">
        <f>SUM(TabCuotasIMSS[[#This Row],[2%]]:TabCuotasIMSS[[#This Row],[OBRERO14]])</f>
        <v>0</v>
      </c>
      <c r="AL17" s="141">
        <f>((TabCuotasIMSS[[#This Row],[SALARIO
DEL CICLO]]-(TabCuotasIMSS[[#This Row],[S.B.C./S.D.I.]]*(TabCuotasIMSS[[#This Row],[AUS]])))*I)</f>
        <v>0</v>
      </c>
      <c r="AM17" s="141">
        <f>TabCuotasIMSS[[#This Row],[TOTAL
O.P.11]]+TabCuotasIMSS[[#This Row],[2%]]+TabCuotasIMSS[[#This Row],[PATRON13]]+TabCuotasIMSS[[#This Row],[5%]]</f>
        <v>0</v>
      </c>
      <c r="AN17" s="141">
        <f>TabCuotasIMSS[[#This Row],[TOTAL
OBRERO]]+TabCuotasIMSS[[#This Row],[OBRERO14]]</f>
        <v>0</v>
      </c>
    </row>
    <row r="18" spans="1:40" x14ac:dyDescent="0.25">
      <c r="A18" s="2">
        <v>10</v>
      </c>
      <c r="B18" s="1" cm="1">
        <f t="array" ref="B18">VLOOKUP(TabCuotasIMSS[[#This Row],[ID]],TabEmpleados[],COLUMN(TabEmpleados[Fecha de alta NSS]),FALSE)</f>
        <v>44509</v>
      </c>
      <c r="C18" t="str" cm="1">
        <f t="array" ref="C18">VLOOKUP(TabCuotasIMSS[[#This Row],[ID]],TabEmpleados[],COLUMN(TabEmpleados[Nombre]),FALSE)</f>
        <v>GALVAN HERNANDEZ FLOR SILVANA</v>
      </c>
      <c r="D18" cm="1">
        <f t="array" ref="D18">IF(VLOOKUP(TabCuotasIMSS[[#This Row],[ID]],TabEmpleados[],COLUMN(TabEmpleados[Fecha de alta NSS]),FALSE)&lt;&gt;"",VLOOKUP(TabCuotasIMSS[[#This Row],[ID]],TabAsistencias[],COLUMN(TabAsistencias[''Total de dias laborados]),FALSE),0)</f>
        <v>73</v>
      </c>
      <c r="E18" cm="1">
        <f t="array" ref="E18">IF(VLOOKUP(TabCuotasIMSS[[#This Row],[ID]],TabEmpleados[],COLUMN(TabEmpleados[Fecha de alta NSS]),FALSE)&lt;&gt;"",IF(DATEDIF((VLOOKUP(TabCuotasIMSS[[#This Row],[ID]],TabEmpleados[],COLUMN(TabEmpleados[Fecha de alta NSS]),FALSE)),'Tablas de informacion'!N$8,"Y")=0,1,DATEDIF((VLOOKUP(TabCuotasIMSS[[#This Row],[ID]],TabEmpleados[],COLUMN(TabEmpleados[Fecha de alta NSS]),FALSE)),'Tablas de informacion'!N$8,"Y")),0)</f>
        <v>1</v>
      </c>
      <c r="F18" s="55" cm="1">
        <f t="array" ref="F18">VLOOKUP(TabCuotasIMSS[[#This Row],[ID]],TabEmpleados[],COLUMN(TabEmpleados[SD Fiscal]),FALSE)</f>
        <v>75</v>
      </c>
      <c r="G18" s="55" cm="1">
        <f t="array" ref="G18">IFERROR((VLOOKUP((VLOOKUP(TabCuotasIMSS[[#This Row],[ID]],TabEmpleados[],COLUMN(TabEmpleados[Puesto]),FALSE)),TabPuestos[],COLUMN(TabPuestos[N° ALIMENTOS]),FALSE))*TabCuotasIMSS[[#This Row],[Salario Diario]]*(VLOOKUP(TabCuotasIMSS[[#This Row],[Años]],TabFactorIntegracion[],COLUMN(TabFactorIntegracion[% por alimento]))),0)</f>
        <v>6.2474999999999996</v>
      </c>
      <c r="H18" s="55" cm="1">
        <f t="array" ref="H18">IFERROR((VLOOKUP((VLOOKUP(TabCuotasIMSS[[#This Row],[ID]],TabEmpleados[],COLUMN(TabEmpleados[Puesto]),FALSE)),TabPuestos[],COLUMN(TabPuestos[PRIMA DOMINICAL]),FALSE))*TabCuotasIMSS[[#This Row],[Salario Diario]]*(VLOOKUP(TabCuotasIMSS[[#This Row],[Años]],TabFactorIntegracion[],COLUMN(TabFactorIntegracion[PRIMA
DOMINICAL]))),0)</f>
        <v>1.3613013698630136</v>
      </c>
      <c r="I18" s="55" cm="1">
        <f t="array" ref="I18">IFERROR(TabCuotasIMSS[[#This Row],[Salario Diario]]*(VLOOKUP(TabCuotasIMSS[[#This Row],[Años]],TabFactorIntegracion[],COLUMN(TabFactorIntegracion[FACTOR DE
INTEGRACIÓN]))),0)</f>
        <v>3.6986301369863011</v>
      </c>
      <c r="J18" s="174">
        <f>IFERROR(TabCuotasIMSS[[#This Row],[Salario Diario]]+TabCuotasIMSS[[#This Row],[Alimentos]]+TabCuotasIMSS[[#This Row],[Prima Dominical]]+TabCuotasIMSS[[#This Row],[Factor de Integracion]],0)</f>
        <v>86.307431506849312</v>
      </c>
      <c r="K18" cm="1">
        <f t="array" ref="K18">VLOOKUP(TabCuotasIMSS[[#This Row],[ID]],TabAsistencias[],COLUMN(TabAsistencias[''I]),FALSE)+VLOOKUP(TabCuotasIMSS[[#This Row],[ID]],TabAsistencias[],COLUMN(TabAsistencias[''IG]),FALSE)</f>
        <v>0</v>
      </c>
      <c r="L18" cm="1">
        <f t="array" ref="L18">VLOOKUP(TabCuotasIMSS[[#This Row],[ID]],TabAsistencias[],COLUMN(TabAsistencias[''F]),FALSE)</f>
        <v>0</v>
      </c>
      <c r="M18" s="141">
        <f>TabCuotasIMSS[[#This Row],[S.B.C./S.D.I.]]*TabCuotasIMSS[[#This Row],[DÍAS
LAB.]]</f>
        <v>6300.4425000000001</v>
      </c>
      <c r="N18" s="141">
        <f>(SMDF*CF*(TabCuotasIMSS[[#This Row],[DÍAS
LAB.]]-TabCuotasIMSS[[#This Row],[INC]]))</f>
        <v>1432.90824</v>
      </c>
      <c r="O18" s="55">
        <f>IF(TabCuotasIMSS[[#This Row],[S.B.C./S.D.I.]]&gt;SMDF3,((TabCuotasIMSS[[#This Row],[S.B.C./S.D.I.]]-SMDF3)*CFP*(TabCuotasIMSS[[#This Row],[DÍAS
LAB.]]-TabCuotasIMSS[[#This Row],[INC]])),0)</f>
        <v>0</v>
      </c>
      <c r="P18" s="55">
        <f>IF(TabCuotasIMSS[[#This Row],[S.B.C./S.D.I.]]&gt;SMDF3,((TabCuotasIMSS[[#This Row],[S.B.C./S.D.I.]]-SMDF3)*CFO*(TabCuotasIMSS[[#This Row],[DÍAS
LAB.]]-TabCuotasIMSS[[#This Row],[INC]])),0)</f>
        <v>0</v>
      </c>
      <c r="Q18" s="55">
        <f>TabCuotasIMSS[[#This Row],[EXCED.
PATRON]]+TabCuotasIMSS[[#This Row],[EXCED.
OBRERO]]</f>
        <v>0</v>
      </c>
      <c r="R18" s="55">
        <f>IF(TabCuotasIMSS[[#This Row],[S.B.C./S.D.I.]]&lt;=SMGI,((TabCuotasIMSS[[#This Row],[SALARIO
DEL CICLO]]-(TabCuotasIMSS[[#This Row],[S.B.C./S.D.I.]]*TabCuotasIMSS[[#This Row],[INC]])))*PD,((TabCuotasIMSS[[#This Row],[SALARIO
DEL CICLO]]-(TabCuotasIMSS[[#This Row],[S.B.C./S.D.I.]]*TabCuotasIMSS[[#This Row],[INC]]))*PDP))</f>
        <v>59.854203749999996</v>
      </c>
      <c r="S18" s="55">
        <f>IF(TabCuotasIMSS[[#This Row],[S.B.C./S.D.I.]]&lt;=SMGI,0,((TabCuotasIMSS[[#This Row],[SALARIO
DEL CICLO]]-(TabCuotasIMSS[[#This Row],[S.B.C./S.D.I.]]*TabCuotasIMSS[[#This Row],[INC]]))*PDO))</f>
        <v>0</v>
      </c>
      <c r="T18" s="55">
        <f>TabCuotasIMSS[[#This Row],[PATRON2]]+TabCuotasIMSS[[#This Row],[OBRERO]]</f>
        <v>59.854203749999996</v>
      </c>
      <c r="U18" s="55">
        <f>IF(TabCuotasIMSS[[#This Row],[S.B.C./S.D.I.]]&lt;=SMGI,((TabCuotasIMSS[[#This Row],[SALARIO
DEL CICLO]]-(TabCuotasIMSS[[#This Row],[S.B.C./S.D.I.]]*TabCuotasIMSS[[#This Row],[INC]])))*GMP,((TabCuotasIMSS[[#This Row],[SALARIO
DEL CICLO]]-(TabCuotasIMSS[[#This Row],[S.B.C./S.D.I.]]*TabCuotasIMSS[[#This Row],[INC]])))*GMPP)</f>
        <v>89.781305625000002</v>
      </c>
      <c r="V18" s="55">
        <f>IF(TabCuotasIMSS[[#This Row],[S.B.C./S.D.I.]]&lt;=SMGI,0,((TabCuotasIMSS[[#This Row],[SALARIO
DEL CICLO]]-(TabCuotasIMSS[[#This Row],[S.B.C./S.D.I.]]*TabCuotasIMSS[[#This Row],[INC]])))*GMPO)</f>
        <v>0</v>
      </c>
      <c r="W18" s="55">
        <f>TabCuotasIMSS[[#This Row],[PATRON3]]+TabCuotasIMSS[[#This Row],[OBRERO4]]</f>
        <v>89.781305625000002</v>
      </c>
      <c r="X18" s="141">
        <f>((TabCuotasIMSS[[#This Row],[SALARIO
DEL CICLO]]-(TabCuotasIMSS[[#This Row],[S.B.C./S.D.I.]]*(TabCuotasIMSS[[#This Row],[INC]]+TabCuotasIMSS[[#This Row],[AUS]]))))*PRTP</f>
        <v>3150.2212500000001</v>
      </c>
      <c r="Y18" s="55">
        <f>IF(TabCuotasIMSS[[#This Row],[S.B.C./S.D.I.]]&lt;=SMGI,((TabCuotasIMSS[[#This Row],[SALARIO
DEL CICLO]]-(TabCuotasIMSS[[#This Row],[S.B.C./S.D.I.]]*(TabCuotasIMSS[[#This Row],[INC]]+TabCuotasIMSS[[#This Row],[AUS]]))))*IV,((TabCuotasIMSS[[#This Row],[SALARIO
DEL CICLO]]-(TabCuotasIMSS[[#This Row],[S.B.C./S.D.I.]]*(TabCuotasIMSS[[#This Row],[INC]]+TabCuotasIMSS[[#This Row],[AUS]]))))*IVP)</f>
        <v>149.635509375</v>
      </c>
      <c r="Z18" s="55">
        <f>IF(TabCuotasIMSS[[#This Row],[S.B.C./S.D.I.]]&lt;=SMGI,0,((TabCuotasIMSS[[#This Row],[SALARIO
DEL CICLO]]-(TabCuotasIMSS[[#This Row],[S.B.C./S.D.I.]]*(TabCuotasIMSS[[#This Row],[INC]]+TabCuotasIMSS[[#This Row],[AUS]]))))*IVO)</f>
        <v>0</v>
      </c>
      <c r="AA18" s="55">
        <f>TabCuotasIMSS[[#This Row],[PATRON6]]+TabCuotasIMSS[[#This Row],[OBRERO7]]</f>
        <v>149.635509375</v>
      </c>
      <c r="AB18" s="141">
        <f>((TabCuotasIMSS[[#This Row],[SALARIO
DEL CICLO]]-(TabCuotasIMSS[[#This Row],[S.B.C./S.D.I.]]*(TabCuotasIMSS[[#This Row],[INC]]+TabCuotasIMSS[[#This Row],[AUS]]))))*GPS</f>
        <v>63.004425000000005</v>
      </c>
      <c r="AC18" s="141">
        <f>TabCuotasIMSS[[#This Row],[SALARIO
DEL CICLO]]*0</f>
        <v>0</v>
      </c>
      <c r="AD18" s="141">
        <f>TabCuotasIMSS[[#This Row],[PATRON9]]+TabCuotasIMSS[[#This Row],[OBRERO10]]</f>
        <v>63.004425000000005</v>
      </c>
      <c r="AE18" s="233">
        <f>TabCuotasIMSS[[#This Row],[PATRON]]+TabCuotasIMSS[[#This Row],[EXCED.
PATRON]]+TabCuotasIMSS[[#This Row],[PATRON2]]+TabCuotasIMSS[[#This Row],[PATRON3]]+TabCuotasIMSS[[#This Row],[PATRON
0.50%]]+TabCuotasIMSS[[#This Row],[PATRON6]]+TabCuotasIMSS[[#This Row],[PATRON9]]</f>
        <v>4945.4049337500001</v>
      </c>
      <c r="AF18" s="233">
        <f>TabCuotasIMSS[[#This Row],[EXCED.
OBRERO]]+TabCuotasIMSS[[#This Row],[OBRERO]]+TabCuotasIMSS[[#This Row],[OBRERO4]]+TabCuotasIMSS[[#This Row],[OBRERO7]]+TabCuotasIMSS[[#This Row],[OBRERO10]]</f>
        <v>0</v>
      </c>
      <c r="AG18" s="233">
        <f>TabCuotasIMSS[[#This Row],[TOTAL
PATRONAL]]+TabCuotasIMSS[[#This Row],[TOTAL
OBRERO]]</f>
        <v>4945.4049337500001</v>
      </c>
      <c r="AH18" s="141">
        <f>((TabCuotasIMSS[[#This Row],[SALARIO
DEL CICLO]]-(TabCuotasIMSS[[#This Row],[S.B.C./S.D.I.]]*TabCuotasIMSS[[#This Row],[AUS]]))*R_)</f>
        <v>126.00885000000001</v>
      </c>
      <c r="AI18">
        <f>IF(TabCuotasIMSS[[#This Row],[S.B.C./S.D.I.]]&lt;=SMGI,((TabCuotasIMSS[[#This Row],[SALARIO
DEL CICLO]]-(TabCuotasIMSS[[#This Row],[S.B.C./S.D.I.]]*(TabCuotasIMSS[[#This Row],[INC]]+TabCuotasIMSS[[#This Row],[AUS]]))))*CV,((TabCuotasIMSS[[#This Row],[SALARIO
DEL CICLO]]-(TabCuotasIMSS[[#This Row],[S.B.C./S.D.I.]]*(TabCuotasIMSS[[#This Row],[INC]]+TabCuotasIMSS[[#This Row],[AUS]]))))*CVP)</f>
        <v>269.34391687500005</v>
      </c>
      <c r="AJ18">
        <f>IF(TabCuotasIMSS[[#This Row],[S.B.C./S.D.I.]]&lt;=SMGI,0,((TabCuotasIMSS[[#This Row],[SALARIO
DEL CICLO]]-(TabCuotasIMSS[[#This Row],[S.B.C./S.D.I.]]*(TabCuotasIMSS[[#This Row],[INC]]+TabCuotasIMSS[[#This Row],[AUS]]))))*CVO)</f>
        <v>0</v>
      </c>
      <c r="AK18">
        <f>SUM(TabCuotasIMSS[[#This Row],[2%]]:TabCuotasIMSS[[#This Row],[OBRERO14]])</f>
        <v>395.35276687500004</v>
      </c>
      <c r="AL18" s="141">
        <f>((TabCuotasIMSS[[#This Row],[SALARIO
DEL CICLO]]-(TabCuotasIMSS[[#This Row],[S.B.C./S.D.I.]]*(TabCuotasIMSS[[#This Row],[AUS]])))*I)</f>
        <v>315.02212500000002</v>
      </c>
      <c r="AM18" s="141">
        <f>TabCuotasIMSS[[#This Row],[TOTAL
O.P.11]]+TabCuotasIMSS[[#This Row],[2%]]+TabCuotasIMSS[[#This Row],[PATRON13]]+TabCuotasIMSS[[#This Row],[5%]]</f>
        <v>773.37931687500009</v>
      </c>
      <c r="AN18" s="141">
        <f>TabCuotasIMSS[[#This Row],[TOTAL
OBRERO]]+TabCuotasIMSS[[#This Row],[OBRERO14]]</f>
        <v>0</v>
      </c>
    </row>
    <row r="19" spans="1:40" x14ac:dyDescent="0.25">
      <c r="A19" s="2">
        <v>11</v>
      </c>
      <c r="B19" s="1" cm="1">
        <f t="array" ref="B19">VLOOKUP(TabCuotasIMSS[[#This Row],[ID]],TabEmpleados[],COLUMN(TabEmpleados[Fecha de alta NSS]),FALSE)</f>
        <v>44509</v>
      </c>
      <c r="C19" t="str" cm="1">
        <f t="array" ref="C19">VLOOKUP(TabCuotasIMSS[[#This Row],[ID]],TabEmpleados[],COLUMN(TabEmpleados[Nombre]),FALSE)</f>
        <v>VELASCO TEAHULOS MARIA ASUNCION</v>
      </c>
      <c r="D19" cm="1">
        <f t="array" ref="D19">IF(VLOOKUP(TabCuotasIMSS[[#This Row],[ID]],TabEmpleados[],COLUMN(TabEmpleados[Fecha de alta NSS]),FALSE)&lt;&gt;"",VLOOKUP(TabCuotasIMSS[[#This Row],[ID]],TabAsistencias[],COLUMN(TabAsistencias[''Total de dias laborados]),FALSE),0)</f>
        <v>73</v>
      </c>
      <c r="E19" cm="1">
        <f t="array" ref="E19">IF(VLOOKUP(TabCuotasIMSS[[#This Row],[ID]],TabEmpleados[],COLUMN(TabEmpleados[Fecha de alta NSS]),FALSE)&lt;&gt;"",IF(DATEDIF((VLOOKUP(TabCuotasIMSS[[#This Row],[ID]],TabEmpleados[],COLUMN(TabEmpleados[Fecha de alta NSS]),FALSE)),'Tablas de informacion'!N$8,"Y")=0,1,DATEDIF((VLOOKUP(TabCuotasIMSS[[#This Row],[ID]],TabEmpleados[],COLUMN(TabEmpleados[Fecha de alta NSS]),FALSE)),'Tablas de informacion'!N$8,"Y")),0)</f>
        <v>1</v>
      </c>
      <c r="F19" s="55" cm="1">
        <f t="array" ref="F19">VLOOKUP(TabCuotasIMSS[[#This Row],[ID]],TabEmpleados[],COLUMN(TabEmpleados[SD Fiscal]),FALSE)</f>
        <v>135</v>
      </c>
      <c r="G19" s="55" cm="1">
        <f t="array" ref="G19">IFERROR((VLOOKUP((VLOOKUP(TabCuotasIMSS[[#This Row],[ID]],TabEmpleados[],COLUMN(TabEmpleados[Puesto]),FALSE)),TabPuestos[],COLUMN(TabPuestos[N° ALIMENTOS]),FALSE))*TabCuotasIMSS[[#This Row],[Salario Diario]]*(VLOOKUP(TabCuotasIMSS[[#This Row],[Años]],TabFactorIntegracion[],COLUMN(TabFactorIntegracion[% por alimento]))),0)</f>
        <v>11.2455</v>
      </c>
      <c r="H19" s="55" cm="1">
        <f t="array" ref="H19">IFERROR((VLOOKUP((VLOOKUP(TabCuotasIMSS[[#This Row],[ID]],TabEmpleados[],COLUMN(TabEmpleados[Puesto]),FALSE)),TabPuestos[],COLUMN(TabPuestos[PRIMA DOMINICAL]),FALSE))*TabCuotasIMSS[[#This Row],[Salario Diario]]*(VLOOKUP(TabCuotasIMSS[[#This Row],[Años]],TabFactorIntegracion[],COLUMN(TabFactorIntegracion[PRIMA
DOMINICAL]))),0)</f>
        <v>2.4503424657534243</v>
      </c>
      <c r="I19" s="55" cm="1">
        <f t="array" ref="I19">IFERROR(TabCuotasIMSS[[#This Row],[Salario Diario]]*(VLOOKUP(TabCuotasIMSS[[#This Row],[Años]],TabFactorIntegracion[],COLUMN(TabFactorIntegracion[FACTOR DE
INTEGRACIÓN]))),0)</f>
        <v>6.6575342465753424</v>
      </c>
      <c r="J19" s="174">
        <f>IFERROR(TabCuotasIMSS[[#This Row],[Salario Diario]]+TabCuotasIMSS[[#This Row],[Alimentos]]+TabCuotasIMSS[[#This Row],[Prima Dominical]]+TabCuotasIMSS[[#This Row],[Factor de Integracion]],0)</f>
        <v>155.35337671232878</v>
      </c>
      <c r="K19" cm="1">
        <f t="array" ref="K19">VLOOKUP(TabCuotasIMSS[[#This Row],[ID]],TabAsistencias[],COLUMN(TabAsistencias[''I]),FALSE)+VLOOKUP(TabCuotasIMSS[[#This Row],[ID]],TabAsistencias[],COLUMN(TabAsistencias[''IG]),FALSE)</f>
        <v>0</v>
      </c>
      <c r="L19" cm="1">
        <f t="array" ref="L19">VLOOKUP(TabCuotasIMSS[[#This Row],[ID]],TabAsistencias[],COLUMN(TabAsistencias[''F]),FALSE)</f>
        <v>0</v>
      </c>
      <c r="M19" s="141">
        <f>TabCuotasIMSS[[#This Row],[S.B.C./S.D.I.]]*TabCuotasIMSS[[#This Row],[DÍAS
LAB.]]</f>
        <v>11340.7965</v>
      </c>
      <c r="N19" s="141">
        <f>(SMDF*CF*(TabCuotasIMSS[[#This Row],[DÍAS
LAB.]]-TabCuotasIMSS[[#This Row],[INC]]))</f>
        <v>1432.90824</v>
      </c>
      <c r="O19" s="55">
        <f>IF(TabCuotasIMSS[[#This Row],[S.B.C./S.D.I.]]&gt;SMDF3,((TabCuotasIMSS[[#This Row],[S.B.C./S.D.I.]]-SMDF3)*CFP*(TabCuotasIMSS[[#This Row],[DÍAS
LAB.]]-TabCuotasIMSS[[#This Row],[INC]])),0)</f>
        <v>0</v>
      </c>
      <c r="P19" s="55">
        <f>IF(TabCuotasIMSS[[#This Row],[S.B.C./S.D.I.]]&gt;SMDF3,((TabCuotasIMSS[[#This Row],[S.B.C./S.D.I.]]-SMDF3)*CFO*(TabCuotasIMSS[[#This Row],[DÍAS
LAB.]]-TabCuotasIMSS[[#This Row],[INC]])),0)</f>
        <v>0</v>
      </c>
      <c r="Q19" s="55">
        <f>TabCuotasIMSS[[#This Row],[EXCED.
PATRON]]+TabCuotasIMSS[[#This Row],[EXCED.
OBRERO]]</f>
        <v>0</v>
      </c>
      <c r="R19" s="55">
        <f>IF(TabCuotasIMSS[[#This Row],[S.B.C./S.D.I.]]&lt;=SMGI,((TabCuotasIMSS[[#This Row],[SALARIO
DEL CICLO]]-(TabCuotasIMSS[[#This Row],[S.B.C./S.D.I.]]*TabCuotasIMSS[[#This Row],[INC]])))*PD,((TabCuotasIMSS[[#This Row],[SALARIO
DEL CICLO]]-(TabCuotasIMSS[[#This Row],[S.B.C./S.D.I.]]*TabCuotasIMSS[[#This Row],[INC]]))*PDP))</f>
        <v>107.73756675</v>
      </c>
      <c r="S19" s="55">
        <f>IF(TabCuotasIMSS[[#This Row],[S.B.C./S.D.I.]]&lt;=SMGI,0,((TabCuotasIMSS[[#This Row],[SALARIO
DEL CICLO]]-(TabCuotasIMSS[[#This Row],[S.B.C./S.D.I.]]*TabCuotasIMSS[[#This Row],[INC]]))*PDO))</f>
        <v>0</v>
      </c>
      <c r="T19" s="55">
        <f>TabCuotasIMSS[[#This Row],[PATRON2]]+TabCuotasIMSS[[#This Row],[OBRERO]]</f>
        <v>107.73756675</v>
      </c>
      <c r="U19" s="55">
        <f>IF(TabCuotasIMSS[[#This Row],[S.B.C./S.D.I.]]&lt;=SMGI,((TabCuotasIMSS[[#This Row],[SALARIO
DEL CICLO]]-(TabCuotasIMSS[[#This Row],[S.B.C./S.D.I.]]*TabCuotasIMSS[[#This Row],[INC]])))*GMP,((TabCuotasIMSS[[#This Row],[SALARIO
DEL CICLO]]-(TabCuotasIMSS[[#This Row],[S.B.C./S.D.I.]]*TabCuotasIMSS[[#This Row],[INC]])))*GMPP)</f>
        <v>161.60635012500001</v>
      </c>
      <c r="V19" s="55">
        <f>IF(TabCuotasIMSS[[#This Row],[S.B.C./S.D.I.]]&lt;=SMGI,0,((TabCuotasIMSS[[#This Row],[SALARIO
DEL CICLO]]-(TabCuotasIMSS[[#This Row],[S.B.C./S.D.I.]]*TabCuotasIMSS[[#This Row],[INC]])))*GMPO)</f>
        <v>0</v>
      </c>
      <c r="W19" s="55">
        <f>TabCuotasIMSS[[#This Row],[PATRON3]]+TabCuotasIMSS[[#This Row],[OBRERO4]]</f>
        <v>161.60635012500001</v>
      </c>
      <c r="X19" s="141">
        <f>((TabCuotasIMSS[[#This Row],[SALARIO
DEL CICLO]]-(TabCuotasIMSS[[#This Row],[S.B.C./S.D.I.]]*(TabCuotasIMSS[[#This Row],[INC]]+TabCuotasIMSS[[#This Row],[AUS]]))))*PRTP</f>
        <v>5670.3982500000002</v>
      </c>
      <c r="Y19" s="55">
        <f>IF(TabCuotasIMSS[[#This Row],[S.B.C./S.D.I.]]&lt;=SMGI,((TabCuotasIMSS[[#This Row],[SALARIO
DEL CICLO]]-(TabCuotasIMSS[[#This Row],[S.B.C./S.D.I.]]*(TabCuotasIMSS[[#This Row],[INC]]+TabCuotasIMSS[[#This Row],[AUS]]))))*IV,((TabCuotasIMSS[[#This Row],[SALARIO
DEL CICLO]]-(TabCuotasIMSS[[#This Row],[S.B.C./S.D.I.]]*(TabCuotasIMSS[[#This Row],[INC]]+TabCuotasIMSS[[#This Row],[AUS]]))))*IVP)</f>
        <v>269.34391687499999</v>
      </c>
      <c r="Z19" s="55">
        <f>IF(TabCuotasIMSS[[#This Row],[S.B.C./S.D.I.]]&lt;=SMGI,0,((TabCuotasIMSS[[#This Row],[SALARIO
DEL CICLO]]-(TabCuotasIMSS[[#This Row],[S.B.C./S.D.I.]]*(TabCuotasIMSS[[#This Row],[INC]]+TabCuotasIMSS[[#This Row],[AUS]]))))*IVO)</f>
        <v>0</v>
      </c>
      <c r="AA19" s="55">
        <f>TabCuotasIMSS[[#This Row],[PATRON6]]+TabCuotasIMSS[[#This Row],[OBRERO7]]</f>
        <v>269.34391687499999</v>
      </c>
      <c r="AB19" s="141">
        <f>((TabCuotasIMSS[[#This Row],[SALARIO
DEL CICLO]]-(TabCuotasIMSS[[#This Row],[S.B.C./S.D.I.]]*(TabCuotasIMSS[[#This Row],[INC]]+TabCuotasIMSS[[#This Row],[AUS]]))))*GPS</f>
        <v>113.407965</v>
      </c>
      <c r="AC19" s="141">
        <f>TabCuotasIMSS[[#This Row],[SALARIO
DEL CICLO]]*0</f>
        <v>0</v>
      </c>
      <c r="AD19" s="141">
        <f>TabCuotasIMSS[[#This Row],[PATRON9]]+TabCuotasIMSS[[#This Row],[OBRERO10]]</f>
        <v>113.407965</v>
      </c>
      <c r="AE19" s="233">
        <f>TabCuotasIMSS[[#This Row],[PATRON]]+TabCuotasIMSS[[#This Row],[EXCED.
PATRON]]+TabCuotasIMSS[[#This Row],[PATRON2]]+TabCuotasIMSS[[#This Row],[PATRON3]]+TabCuotasIMSS[[#This Row],[PATRON
0.50%]]+TabCuotasIMSS[[#This Row],[PATRON6]]+TabCuotasIMSS[[#This Row],[PATRON9]]</f>
        <v>7755.4022887500005</v>
      </c>
      <c r="AF19" s="233">
        <f>TabCuotasIMSS[[#This Row],[EXCED.
OBRERO]]+TabCuotasIMSS[[#This Row],[OBRERO]]+TabCuotasIMSS[[#This Row],[OBRERO4]]+TabCuotasIMSS[[#This Row],[OBRERO7]]+TabCuotasIMSS[[#This Row],[OBRERO10]]</f>
        <v>0</v>
      </c>
      <c r="AG19" s="233">
        <f>TabCuotasIMSS[[#This Row],[TOTAL
PATRONAL]]+TabCuotasIMSS[[#This Row],[TOTAL
OBRERO]]</f>
        <v>7755.4022887500005</v>
      </c>
      <c r="AH19" s="141">
        <f>((TabCuotasIMSS[[#This Row],[SALARIO
DEL CICLO]]-(TabCuotasIMSS[[#This Row],[S.B.C./S.D.I.]]*TabCuotasIMSS[[#This Row],[AUS]]))*R_)</f>
        <v>226.81593000000001</v>
      </c>
      <c r="AI19">
        <f>IF(TabCuotasIMSS[[#This Row],[S.B.C./S.D.I.]]&lt;=SMGI,((TabCuotasIMSS[[#This Row],[SALARIO
DEL CICLO]]-(TabCuotasIMSS[[#This Row],[S.B.C./S.D.I.]]*(TabCuotasIMSS[[#This Row],[INC]]+TabCuotasIMSS[[#This Row],[AUS]]))))*CV,((TabCuotasIMSS[[#This Row],[SALARIO
DEL CICLO]]-(TabCuotasIMSS[[#This Row],[S.B.C./S.D.I.]]*(TabCuotasIMSS[[#This Row],[INC]]+TabCuotasIMSS[[#This Row],[AUS]]))))*CVP)</f>
        <v>484.81905037500007</v>
      </c>
      <c r="AJ19">
        <f>IF(TabCuotasIMSS[[#This Row],[S.B.C./S.D.I.]]&lt;=SMGI,0,((TabCuotasIMSS[[#This Row],[SALARIO
DEL CICLO]]-(TabCuotasIMSS[[#This Row],[S.B.C./S.D.I.]]*(TabCuotasIMSS[[#This Row],[INC]]+TabCuotasIMSS[[#This Row],[AUS]]))))*CVO)</f>
        <v>0</v>
      </c>
      <c r="AK19">
        <f>SUM(TabCuotasIMSS[[#This Row],[2%]]:TabCuotasIMSS[[#This Row],[OBRERO14]])</f>
        <v>711.63498037500005</v>
      </c>
      <c r="AL19" s="141">
        <f>((TabCuotasIMSS[[#This Row],[SALARIO
DEL CICLO]]-(TabCuotasIMSS[[#This Row],[S.B.C./S.D.I.]]*(TabCuotasIMSS[[#This Row],[AUS]])))*I)</f>
        <v>567.03982500000006</v>
      </c>
      <c r="AM19" s="141">
        <f>TabCuotasIMSS[[#This Row],[TOTAL
O.P.11]]+TabCuotasIMSS[[#This Row],[2%]]+TabCuotasIMSS[[#This Row],[PATRON13]]+TabCuotasIMSS[[#This Row],[5%]]</f>
        <v>1392.0827703750001</v>
      </c>
      <c r="AN19" s="141">
        <f>TabCuotasIMSS[[#This Row],[TOTAL
OBRERO]]+TabCuotasIMSS[[#This Row],[OBRERO14]]</f>
        <v>0</v>
      </c>
    </row>
    <row r="20" spans="1:40" x14ac:dyDescent="0.25">
      <c r="A20" s="2">
        <v>12</v>
      </c>
      <c r="B20" s="1" cm="1">
        <f t="array" ref="B20">VLOOKUP(TabCuotasIMSS[[#This Row],[ID]],TabEmpleados[],COLUMN(TabEmpleados[Fecha de alta NSS]),FALSE)</f>
        <v>44509</v>
      </c>
      <c r="C20" t="str" cm="1">
        <f t="array" ref="C20">VLOOKUP(TabCuotasIMSS[[#This Row],[ID]],TabEmpleados[],COLUMN(TabEmpleados[Nombre]),FALSE)</f>
        <v>GARCIA MARTINEZ JORGE MANUEL</v>
      </c>
      <c r="D20" cm="1">
        <f t="array" ref="D20">IF(VLOOKUP(TabCuotasIMSS[[#This Row],[ID]],TabEmpleados[],COLUMN(TabEmpleados[Fecha de alta NSS]),FALSE)&lt;&gt;"",VLOOKUP(TabCuotasIMSS[[#This Row],[ID]],TabAsistencias[],COLUMN(TabAsistencias[''Total de dias laborados]),FALSE),0)</f>
        <v>73</v>
      </c>
      <c r="E20" cm="1">
        <f t="array" ref="E20">IF(VLOOKUP(TabCuotasIMSS[[#This Row],[ID]],TabEmpleados[],COLUMN(TabEmpleados[Fecha de alta NSS]),FALSE)&lt;&gt;"",IF(DATEDIF((VLOOKUP(TabCuotasIMSS[[#This Row],[ID]],TabEmpleados[],COLUMN(TabEmpleados[Fecha de alta NSS]),FALSE)),'Tablas de informacion'!N$8,"Y")=0,1,DATEDIF((VLOOKUP(TabCuotasIMSS[[#This Row],[ID]],TabEmpleados[],COLUMN(TabEmpleados[Fecha de alta NSS]),FALSE)),'Tablas de informacion'!N$8,"Y")),0)</f>
        <v>1</v>
      </c>
      <c r="F20" s="55" cm="1">
        <f t="array" ref="F20">VLOOKUP(TabCuotasIMSS[[#This Row],[ID]],TabEmpleados[],COLUMN(TabEmpleados[SD Fiscal]),FALSE)</f>
        <v>195</v>
      </c>
      <c r="G20" s="55" cm="1">
        <f t="array" ref="G20">IFERROR((VLOOKUP((VLOOKUP(TabCuotasIMSS[[#This Row],[ID]],TabEmpleados[],COLUMN(TabEmpleados[Puesto]),FALSE)),TabPuestos[],COLUMN(TabPuestos[N° ALIMENTOS]),FALSE))*TabCuotasIMSS[[#This Row],[Salario Diario]]*(VLOOKUP(TabCuotasIMSS[[#This Row],[Años]],TabFactorIntegracion[],COLUMN(TabFactorIntegracion[% por alimento]))),0)</f>
        <v>16.243500000000001</v>
      </c>
      <c r="H20" s="55" cm="1">
        <f t="array" ref="H20">IFERROR((VLOOKUP((VLOOKUP(TabCuotasIMSS[[#This Row],[ID]],TabEmpleados[],COLUMN(TabEmpleados[Puesto]),FALSE)),TabPuestos[],COLUMN(TabPuestos[PRIMA DOMINICAL]),FALSE))*TabCuotasIMSS[[#This Row],[Salario Diario]]*(VLOOKUP(TabCuotasIMSS[[#This Row],[Años]],TabFactorIntegracion[],COLUMN(TabFactorIntegracion[PRIMA
DOMINICAL]))),0)</f>
        <v>3.5393835616438354</v>
      </c>
      <c r="I20" s="55" cm="1">
        <f t="array" ref="I20">IFERROR(TabCuotasIMSS[[#This Row],[Salario Diario]]*(VLOOKUP(TabCuotasIMSS[[#This Row],[Años]],TabFactorIntegracion[],COLUMN(TabFactorIntegracion[FACTOR DE
INTEGRACIÓN]))),0)</f>
        <v>9.6164383561643838</v>
      </c>
      <c r="J20" s="174">
        <f>IFERROR(TabCuotasIMSS[[#This Row],[Salario Diario]]+TabCuotasIMSS[[#This Row],[Alimentos]]+TabCuotasIMSS[[#This Row],[Prima Dominical]]+TabCuotasIMSS[[#This Row],[Factor de Integracion]],0)</f>
        <v>224.39932191780824</v>
      </c>
      <c r="K20" cm="1">
        <f t="array" ref="K20">VLOOKUP(TabCuotasIMSS[[#This Row],[ID]],TabAsistencias[],COLUMN(TabAsistencias[''I]),FALSE)+VLOOKUP(TabCuotasIMSS[[#This Row],[ID]],TabAsistencias[],COLUMN(TabAsistencias[''IG]),FALSE)</f>
        <v>0</v>
      </c>
      <c r="L20" cm="1">
        <f t="array" ref="L20">VLOOKUP(TabCuotasIMSS[[#This Row],[ID]],TabAsistencias[],COLUMN(TabAsistencias[''F]),FALSE)</f>
        <v>0</v>
      </c>
      <c r="M20" s="141">
        <f>TabCuotasIMSS[[#This Row],[S.B.C./S.D.I.]]*TabCuotasIMSS[[#This Row],[DÍAS
LAB.]]</f>
        <v>16381.150500000002</v>
      </c>
      <c r="N20" s="141">
        <f>(SMDF*CF*(TabCuotasIMSS[[#This Row],[DÍAS
LAB.]]-TabCuotasIMSS[[#This Row],[INC]]))</f>
        <v>1432.90824</v>
      </c>
      <c r="O20" s="55">
        <f>IF(TabCuotasIMSS[[#This Row],[S.B.C./S.D.I.]]&gt;SMDF3,((TabCuotasIMSS[[#This Row],[S.B.C./S.D.I.]]-SMDF3)*CFP*(TabCuotasIMSS[[#This Row],[DÍAS
LAB.]]-TabCuotasIMSS[[#This Row],[INC]])),0)</f>
        <v>0</v>
      </c>
      <c r="P20" s="55">
        <f>IF(TabCuotasIMSS[[#This Row],[S.B.C./S.D.I.]]&gt;SMDF3,((TabCuotasIMSS[[#This Row],[S.B.C./S.D.I.]]-SMDF3)*CFO*(TabCuotasIMSS[[#This Row],[DÍAS
LAB.]]-TabCuotasIMSS[[#This Row],[INC]])),0)</f>
        <v>0</v>
      </c>
      <c r="Q20" s="55">
        <f>TabCuotasIMSS[[#This Row],[EXCED.
PATRON]]+TabCuotasIMSS[[#This Row],[EXCED.
OBRERO]]</f>
        <v>0</v>
      </c>
      <c r="R20" s="55">
        <f>IF(TabCuotasIMSS[[#This Row],[S.B.C./S.D.I.]]&lt;=SMGI,((TabCuotasIMSS[[#This Row],[SALARIO
DEL CICLO]]-(TabCuotasIMSS[[#This Row],[S.B.C./S.D.I.]]*TabCuotasIMSS[[#This Row],[INC]])))*PD,((TabCuotasIMSS[[#This Row],[SALARIO
DEL CICLO]]-(TabCuotasIMSS[[#This Row],[S.B.C./S.D.I.]]*TabCuotasIMSS[[#This Row],[INC]]))*PDP))</f>
        <v>114.66805350000001</v>
      </c>
      <c r="S20" s="55">
        <f>IF(TabCuotasIMSS[[#This Row],[S.B.C./S.D.I.]]&lt;=SMGI,0,((TabCuotasIMSS[[#This Row],[SALARIO
DEL CICLO]]-(TabCuotasIMSS[[#This Row],[S.B.C./S.D.I.]]*TabCuotasIMSS[[#This Row],[INC]]))*PDO))</f>
        <v>40.952876250000003</v>
      </c>
      <c r="T20" s="55">
        <f>TabCuotasIMSS[[#This Row],[PATRON2]]+TabCuotasIMSS[[#This Row],[OBRERO]]</f>
        <v>155.62092975000002</v>
      </c>
      <c r="U20" s="55">
        <f>IF(TabCuotasIMSS[[#This Row],[S.B.C./S.D.I.]]&lt;=SMGI,((TabCuotasIMSS[[#This Row],[SALARIO
DEL CICLO]]-(TabCuotasIMSS[[#This Row],[S.B.C./S.D.I.]]*TabCuotasIMSS[[#This Row],[INC]])))*GMP,((TabCuotasIMSS[[#This Row],[SALARIO
DEL CICLO]]-(TabCuotasIMSS[[#This Row],[S.B.C./S.D.I.]]*TabCuotasIMSS[[#This Row],[INC]])))*GMPP)</f>
        <v>172.00208025000003</v>
      </c>
      <c r="V20" s="55">
        <f>IF(TabCuotasIMSS[[#This Row],[S.B.C./S.D.I.]]&lt;=SMGI,0,((TabCuotasIMSS[[#This Row],[SALARIO
DEL CICLO]]-(TabCuotasIMSS[[#This Row],[S.B.C./S.D.I.]]*TabCuotasIMSS[[#This Row],[INC]])))*GMPO)</f>
        <v>61.429314375000004</v>
      </c>
      <c r="W20" s="55">
        <f>TabCuotasIMSS[[#This Row],[PATRON3]]+TabCuotasIMSS[[#This Row],[OBRERO4]]</f>
        <v>233.43139462500005</v>
      </c>
      <c r="X20" s="141">
        <f>((TabCuotasIMSS[[#This Row],[SALARIO
DEL CICLO]]-(TabCuotasIMSS[[#This Row],[S.B.C./S.D.I.]]*(TabCuotasIMSS[[#This Row],[INC]]+TabCuotasIMSS[[#This Row],[AUS]]))))*PRTP</f>
        <v>8190.5752500000008</v>
      </c>
      <c r="Y20" s="55">
        <f>IF(TabCuotasIMSS[[#This Row],[S.B.C./S.D.I.]]&lt;=SMGI,((TabCuotasIMSS[[#This Row],[SALARIO
DEL CICLO]]-(TabCuotasIMSS[[#This Row],[S.B.C./S.D.I.]]*(TabCuotasIMSS[[#This Row],[INC]]+TabCuotasIMSS[[#This Row],[AUS]]))))*IV,((TabCuotasIMSS[[#This Row],[SALARIO
DEL CICLO]]-(TabCuotasIMSS[[#This Row],[S.B.C./S.D.I.]]*(TabCuotasIMSS[[#This Row],[INC]]+TabCuotasIMSS[[#This Row],[AUS]]))))*IVP)</f>
        <v>286.67013375000005</v>
      </c>
      <c r="Z20" s="55">
        <f>IF(TabCuotasIMSS[[#This Row],[S.B.C./S.D.I.]]&lt;=SMGI,0,((TabCuotasIMSS[[#This Row],[SALARIO
DEL CICLO]]-(TabCuotasIMSS[[#This Row],[S.B.C./S.D.I.]]*(TabCuotasIMSS[[#This Row],[INC]]+TabCuotasIMSS[[#This Row],[AUS]]))))*IVO)</f>
        <v>102.38219062500002</v>
      </c>
      <c r="AA20" s="55">
        <f>TabCuotasIMSS[[#This Row],[PATRON6]]+TabCuotasIMSS[[#This Row],[OBRERO7]]</f>
        <v>389.05232437500007</v>
      </c>
      <c r="AB20" s="141">
        <f>((TabCuotasIMSS[[#This Row],[SALARIO
DEL CICLO]]-(TabCuotasIMSS[[#This Row],[S.B.C./S.D.I.]]*(TabCuotasIMSS[[#This Row],[INC]]+TabCuotasIMSS[[#This Row],[AUS]]))))*GPS</f>
        <v>163.81150500000001</v>
      </c>
      <c r="AC20" s="141">
        <f>TabCuotasIMSS[[#This Row],[SALARIO
DEL CICLO]]*0</f>
        <v>0</v>
      </c>
      <c r="AD20" s="141">
        <f>TabCuotasIMSS[[#This Row],[PATRON9]]+TabCuotasIMSS[[#This Row],[OBRERO10]]</f>
        <v>163.81150500000001</v>
      </c>
      <c r="AE20" s="233">
        <f>TabCuotasIMSS[[#This Row],[PATRON]]+TabCuotasIMSS[[#This Row],[EXCED.
PATRON]]+TabCuotasIMSS[[#This Row],[PATRON2]]+TabCuotasIMSS[[#This Row],[PATRON3]]+TabCuotasIMSS[[#This Row],[PATRON
0.50%]]+TabCuotasIMSS[[#This Row],[PATRON6]]+TabCuotasIMSS[[#This Row],[PATRON9]]</f>
        <v>10360.6352625</v>
      </c>
      <c r="AF20" s="233">
        <f>TabCuotasIMSS[[#This Row],[EXCED.
OBRERO]]+TabCuotasIMSS[[#This Row],[OBRERO]]+TabCuotasIMSS[[#This Row],[OBRERO4]]+TabCuotasIMSS[[#This Row],[OBRERO7]]+TabCuotasIMSS[[#This Row],[OBRERO10]]</f>
        <v>204.76438125000004</v>
      </c>
      <c r="AG20" s="233">
        <f>TabCuotasIMSS[[#This Row],[TOTAL
PATRONAL]]+TabCuotasIMSS[[#This Row],[TOTAL
OBRERO]]</f>
        <v>10565.399643749999</v>
      </c>
      <c r="AH20" s="141">
        <f>((TabCuotasIMSS[[#This Row],[SALARIO
DEL CICLO]]-(TabCuotasIMSS[[#This Row],[S.B.C./S.D.I.]]*TabCuotasIMSS[[#This Row],[AUS]]))*R_)</f>
        <v>327.62301000000002</v>
      </c>
      <c r="AI20">
        <f>IF(TabCuotasIMSS[[#This Row],[S.B.C./S.D.I.]]&lt;=SMGI,((TabCuotasIMSS[[#This Row],[SALARIO
DEL CICLO]]-(TabCuotasIMSS[[#This Row],[S.B.C./S.D.I.]]*(TabCuotasIMSS[[#This Row],[INC]]+TabCuotasIMSS[[#This Row],[AUS]]))))*CV,((TabCuotasIMSS[[#This Row],[SALARIO
DEL CICLO]]-(TabCuotasIMSS[[#This Row],[S.B.C./S.D.I.]]*(TabCuotasIMSS[[#This Row],[INC]]+TabCuotasIMSS[[#This Row],[AUS]]))))*CVP)</f>
        <v>516.00624075000007</v>
      </c>
      <c r="AJ20">
        <f>IF(TabCuotasIMSS[[#This Row],[S.B.C./S.D.I.]]&lt;=SMGI,0,((TabCuotasIMSS[[#This Row],[SALARIO
DEL CICLO]]-(TabCuotasIMSS[[#This Row],[S.B.C./S.D.I.]]*(TabCuotasIMSS[[#This Row],[INC]]+TabCuotasIMSS[[#This Row],[AUS]]))))*CVO)</f>
        <v>184.287943125</v>
      </c>
      <c r="AK20">
        <f>SUM(TabCuotasIMSS[[#This Row],[2%]]:TabCuotasIMSS[[#This Row],[OBRERO14]])</f>
        <v>1027.9171938750001</v>
      </c>
      <c r="AL20" s="141">
        <f>((TabCuotasIMSS[[#This Row],[SALARIO
DEL CICLO]]-(TabCuotasIMSS[[#This Row],[S.B.C./S.D.I.]]*(TabCuotasIMSS[[#This Row],[AUS]])))*I)</f>
        <v>819.05752500000017</v>
      </c>
      <c r="AM20" s="141">
        <f>TabCuotasIMSS[[#This Row],[TOTAL
O.P.11]]+TabCuotasIMSS[[#This Row],[2%]]+TabCuotasIMSS[[#This Row],[PATRON13]]+TabCuotasIMSS[[#This Row],[5%]]</f>
        <v>1826.4982807500003</v>
      </c>
      <c r="AN20" s="141">
        <f>TabCuotasIMSS[[#This Row],[TOTAL
OBRERO]]+TabCuotasIMSS[[#This Row],[OBRERO14]]</f>
        <v>389.05232437500001</v>
      </c>
    </row>
    <row r="21" spans="1:40" x14ac:dyDescent="0.25">
      <c r="A21" s="2">
        <v>13</v>
      </c>
      <c r="B21" s="1" cm="1">
        <f t="array" ref="B21">VLOOKUP(TabCuotasIMSS[[#This Row],[ID]],TabEmpleados[],COLUMN(TabEmpleados[Fecha de alta NSS]),FALSE)</f>
        <v>44509</v>
      </c>
      <c r="C21" t="str" cm="1">
        <f t="array" ref="C21">VLOOKUP(TabCuotasIMSS[[#This Row],[ID]],TabEmpleados[],COLUMN(TabEmpleados[Nombre]),FALSE)</f>
        <v>APARICIO MORALES EFRAIN</v>
      </c>
      <c r="D21" cm="1">
        <f t="array" ref="D21">IF(VLOOKUP(TabCuotasIMSS[[#This Row],[ID]],TabEmpleados[],COLUMN(TabEmpleados[Fecha de alta NSS]),FALSE)&lt;&gt;"",VLOOKUP(TabCuotasIMSS[[#This Row],[ID]],TabAsistencias[],COLUMN(TabAsistencias[''Total de dias laborados]),FALSE),0)</f>
        <v>73</v>
      </c>
      <c r="E21" cm="1">
        <f t="array" ref="E21">IF(VLOOKUP(TabCuotasIMSS[[#This Row],[ID]],TabEmpleados[],COLUMN(TabEmpleados[Fecha de alta NSS]),FALSE)&lt;&gt;"",IF(DATEDIF((VLOOKUP(TabCuotasIMSS[[#This Row],[ID]],TabEmpleados[],COLUMN(TabEmpleados[Fecha de alta NSS]),FALSE)),'Tablas de informacion'!N$8,"Y")=0,1,DATEDIF((VLOOKUP(TabCuotasIMSS[[#This Row],[ID]],TabEmpleados[],COLUMN(TabEmpleados[Fecha de alta NSS]),FALSE)),'Tablas de informacion'!N$8,"Y")),0)</f>
        <v>1</v>
      </c>
      <c r="F21" s="55" cm="1">
        <f t="array" ref="F21">VLOOKUP(TabCuotasIMSS[[#This Row],[ID]],TabEmpleados[],COLUMN(TabEmpleados[SD Fiscal]),FALSE)</f>
        <v>180</v>
      </c>
      <c r="G21" s="55" cm="1">
        <f t="array" ref="G21">IFERROR((VLOOKUP((VLOOKUP(TabCuotasIMSS[[#This Row],[ID]],TabEmpleados[],COLUMN(TabEmpleados[Puesto]),FALSE)),TabPuestos[],COLUMN(TabPuestos[N° ALIMENTOS]),FALSE))*TabCuotasIMSS[[#This Row],[Salario Diario]]*(VLOOKUP(TabCuotasIMSS[[#This Row],[Años]],TabFactorIntegracion[],COLUMN(TabFactorIntegracion[% por alimento]))),0)</f>
        <v>14.994</v>
      </c>
      <c r="H21" s="55" cm="1">
        <f t="array" ref="H21">IFERROR((VLOOKUP((VLOOKUP(TabCuotasIMSS[[#This Row],[ID]],TabEmpleados[],COLUMN(TabEmpleados[Puesto]),FALSE)),TabPuestos[],COLUMN(TabPuestos[PRIMA DOMINICAL]),FALSE))*TabCuotasIMSS[[#This Row],[Salario Diario]]*(VLOOKUP(TabCuotasIMSS[[#This Row],[Años]],TabFactorIntegracion[],COLUMN(TabFactorIntegracion[PRIMA
DOMINICAL]))),0)</f>
        <v>3.2671232876712324</v>
      </c>
      <c r="I21" s="55" cm="1">
        <f t="array" ref="I21">IFERROR(TabCuotasIMSS[[#This Row],[Salario Diario]]*(VLOOKUP(TabCuotasIMSS[[#This Row],[Años]],TabFactorIntegracion[],COLUMN(TabFactorIntegracion[FACTOR DE
INTEGRACIÓN]))),0)</f>
        <v>8.8767123287671232</v>
      </c>
      <c r="J21" s="174">
        <f>IFERROR(TabCuotasIMSS[[#This Row],[Salario Diario]]+TabCuotasIMSS[[#This Row],[Alimentos]]+TabCuotasIMSS[[#This Row],[Prima Dominical]]+TabCuotasIMSS[[#This Row],[Factor de Integracion]],0)</f>
        <v>207.13783561643837</v>
      </c>
      <c r="K21" cm="1">
        <f t="array" ref="K21">VLOOKUP(TabCuotasIMSS[[#This Row],[ID]],TabAsistencias[],COLUMN(TabAsistencias[''I]),FALSE)+VLOOKUP(TabCuotasIMSS[[#This Row],[ID]],TabAsistencias[],COLUMN(TabAsistencias[''IG]),FALSE)</f>
        <v>0</v>
      </c>
      <c r="L21" cm="1">
        <f t="array" ref="L21">VLOOKUP(TabCuotasIMSS[[#This Row],[ID]],TabAsistencias[],COLUMN(TabAsistencias[''F]),FALSE)</f>
        <v>0</v>
      </c>
      <c r="M21" s="141">
        <f>TabCuotasIMSS[[#This Row],[S.B.C./S.D.I.]]*TabCuotasIMSS[[#This Row],[DÍAS
LAB.]]</f>
        <v>15121.062</v>
      </c>
      <c r="N21" s="141">
        <f>(SMDF*CF*(TabCuotasIMSS[[#This Row],[DÍAS
LAB.]]-TabCuotasIMSS[[#This Row],[INC]]))</f>
        <v>1432.90824</v>
      </c>
      <c r="O21" s="55">
        <f>IF(TabCuotasIMSS[[#This Row],[S.B.C./S.D.I.]]&gt;SMDF3,((TabCuotasIMSS[[#This Row],[S.B.C./S.D.I.]]-SMDF3)*CFP*(TabCuotasIMSS[[#This Row],[DÍAS
LAB.]]-TabCuotasIMSS[[#This Row],[INC]])),0)</f>
        <v>0</v>
      </c>
      <c r="P21" s="55">
        <f>IF(TabCuotasIMSS[[#This Row],[S.B.C./S.D.I.]]&gt;SMDF3,((TabCuotasIMSS[[#This Row],[S.B.C./S.D.I.]]-SMDF3)*CFO*(TabCuotasIMSS[[#This Row],[DÍAS
LAB.]]-TabCuotasIMSS[[#This Row],[INC]])),0)</f>
        <v>0</v>
      </c>
      <c r="Q21" s="55">
        <f>TabCuotasIMSS[[#This Row],[EXCED.
PATRON]]+TabCuotasIMSS[[#This Row],[EXCED.
OBRERO]]</f>
        <v>0</v>
      </c>
      <c r="R21" s="55">
        <f>IF(TabCuotasIMSS[[#This Row],[S.B.C./S.D.I.]]&lt;=SMGI,((TabCuotasIMSS[[#This Row],[SALARIO
DEL CICLO]]-(TabCuotasIMSS[[#This Row],[S.B.C./S.D.I.]]*TabCuotasIMSS[[#This Row],[INC]])))*PD,((TabCuotasIMSS[[#This Row],[SALARIO
DEL CICLO]]-(TabCuotasIMSS[[#This Row],[S.B.C./S.D.I.]]*TabCuotasIMSS[[#This Row],[INC]]))*PDP))</f>
        <v>105.84743400000001</v>
      </c>
      <c r="S21" s="55">
        <f>IF(TabCuotasIMSS[[#This Row],[S.B.C./S.D.I.]]&lt;=SMGI,0,((TabCuotasIMSS[[#This Row],[SALARIO
DEL CICLO]]-(TabCuotasIMSS[[#This Row],[S.B.C./S.D.I.]]*TabCuotasIMSS[[#This Row],[INC]]))*PDO))</f>
        <v>37.802655000000001</v>
      </c>
      <c r="T21" s="55">
        <f>TabCuotasIMSS[[#This Row],[PATRON2]]+TabCuotasIMSS[[#This Row],[OBRERO]]</f>
        <v>143.65008900000001</v>
      </c>
      <c r="U21" s="55">
        <f>IF(TabCuotasIMSS[[#This Row],[S.B.C./S.D.I.]]&lt;=SMGI,((TabCuotasIMSS[[#This Row],[SALARIO
DEL CICLO]]-(TabCuotasIMSS[[#This Row],[S.B.C./S.D.I.]]*TabCuotasIMSS[[#This Row],[INC]])))*GMP,((TabCuotasIMSS[[#This Row],[SALARIO
DEL CICLO]]-(TabCuotasIMSS[[#This Row],[S.B.C./S.D.I.]]*TabCuotasIMSS[[#This Row],[INC]])))*GMPP)</f>
        <v>158.771151</v>
      </c>
      <c r="V21" s="55">
        <f>IF(TabCuotasIMSS[[#This Row],[S.B.C./S.D.I.]]&lt;=SMGI,0,((TabCuotasIMSS[[#This Row],[SALARIO
DEL CICLO]]-(TabCuotasIMSS[[#This Row],[S.B.C./S.D.I.]]*TabCuotasIMSS[[#This Row],[INC]])))*GMPO)</f>
        <v>56.703982499999995</v>
      </c>
      <c r="W21" s="55">
        <f>TabCuotasIMSS[[#This Row],[PATRON3]]+TabCuotasIMSS[[#This Row],[OBRERO4]]</f>
        <v>215.4751335</v>
      </c>
      <c r="X21" s="141">
        <f>((TabCuotasIMSS[[#This Row],[SALARIO
DEL CICLO]]-(TabCuotasIMSS[[#This Row],[S.B.C./S.D.I.]]*(TabCuotasIMSS[[#This Row],[INC]]+TabCuotasIMSS[[#This Row],[AUS]]))))*PRTP</f>
        <v>7560.5309999999999</v>
      </c>
      <c r="Y21" s="55">
        <f>IF(TabCuotasIMSS[[#This Row],[S.B.C./S.D.I.]]&lt;=SMGI,((TabCuotasIMSS[[#This Row],[SALARIO
DEL CICLO]]-(TabCuotasIMSS[[#This Row],[S.B.C./S.D.I.]]*(TabCuotasIMSS[[#This Row],[INC]]+TabCuotasIMSS[[#This Row],[AUS]]))))*IV,((TabCuotasIMSS[[#This Row],[SALARIO
DEL CICLO]]-(TabCuotasIMSS[[#This Row],[S.B.C./S.D.I.]]*(TabCuotasIMSS[[#This Row],[INC]]+TabCuotasIMSS[[#This Row],[AUS]]))))*IVP)</f>
        <v>264.618585</v>
      </c>
      <c r="Z21" s="55">
        <f>IF(TabCuotasIMSS[[#This Row],[S.B.C./S.D.I.]]&lt;=SMGI,0,((TabCuotasIMSS[[#This Row],[SALARIO
DEL CICLO]]-(TabCuotasIMSS[[#This Row],[S.B.C./S.D.I.]]*(TabCuotasIMSS[[#This Row],[INC]]+TabCuotasIMSS[[#This Row],[AUS]]))))*IVO)</f>
        <v>94.506637500000011</v>
      </c>
      <c r="AA21" s="55">
        <f>TabCuotasIMSS[[#This Row],[PATRON6]]+TabCuotasIMSS[[#This Row],[OBRERO7]]</f>
        <v>359.12522250000001</v>
      </c>
      <c r="AB21" s="141">
        <f>((TabCuotasIMSS[[#This Row],[SALARIO
DEL CICLO]]-(TabCuotasIMSS[[#This Row],[S.B.C./S.D.I.]]*(TabCuotasIMSS[[#This Row],[INC]]+TabCuotasIMSS[[#This Row],[AUS]]))))*GPS</f>
        <v>151.21062000000001</v>
      </c>
      <c r="AC21" s="141">
        <f>TabCuotasIMSS[[#This Row],[SALARIO
DEL CICLO]]*0</f>
        <v>0</v>
      </c>
      <c r="AD21" s="141">
        <f>TabCuotasIMSS[[#This Row],[PATRON9]]+TabCuotasIMSS[[#This Row],[OBRERO10]]</f>
        <v>151.21062000000001</v>
      </c>
      <c r="AE21" s="233">
        <f>TabCuotasIMSS[[#This Row],[PATRON]]+TabCuotasIMSS[[#This Row],[EXCED.
PATRON]]+TabCuotasIMSS[[#This Row],[PATRON2]]+TabCuotasIMSS[[#This Row],[PATRON3]]+TabCuotasIMSS[[#This Row],[PATRON
0.50%]]+TabCuotasIMSS[[#This Row],[PATRON6]]+TabCuotasIMSS[[#This Row],[PATRON9]]</f>
        <v>9673.8870299999999</v>
      </c>
      <c r="AF21" s="233">
        <f>TabCuotasIMSS[[#This Row],[EXCED.
OBRERO]]+TabCuotasIMSS[[#This Row],[OBRERO]]+TabCuotasIMSS[[#This Row],[OBRERO4]]+TabCuotasIMSS[[#This Row],[OBRERO7]]+TabCuotasIMSS[[#This Row],[OBRERO10]]</f>
        <v>189.01327500000002</v>
      </c>
      <c r="AG21" s="233">
        <f>TabCuotasIMSS[[#This Row],[TOTAL
PATRONAL]]+TabCuotasIMSS[[#This Row],[TOTAL
OBRERO]]</f>
        <v>9862.9003049999992</v>
      </c>
      <c r="AH21" s="141">
        <f>((TabCuotasIMSS[[#This Row],[SALARIO
DEL CICLO]]-(TabCuotasIMSS[[#This Row],[S.B.C./S.D.I.]]*TabCuotasIMSS[[#This Row],[AUS]]))*R_)</f>
        <v>302.42124000000001</v>
      </c>
      <c r="AI21">
        <f>IF(TabCuotasIMSS[[#This Row],[S.B.C./S.D.I.]]&lt;=SMGI,((TabCuotasIMSS[[#This Row],[SALARIO
DEL CICLO]]-(TabCuotasIMSS[[#This Row],[S.B.C./S.D.I.]]*(TabCuotasIMSS[[#This Row],[INC]]+TabCuotasIMSS[[#This Row],[AUS]]))))*CV,((TabCuotasIMSS[[#This Row],[SALARIO
DEL CICLO]]-(TabCuotasIMSS[[#This Row],[S.B.C./S.D.I.]]*(TabCuotasIMSS[[#This Row],[INC]]+TabCuotasIMSS[[#This Row],[AUS]]))))*CVP)</f>
        <v>476.31345299999998</v>
      </c>
      <c r="AJ21">
        <f>IF(TabCuotasIMSS[[#This Row],[S.B.C./S.D.I.]]&lt;=SMGI,0,((TabCuotasIMSS[[#This Row],[SALARIO
DEL CICLO]]-(TabCuotasIMSS[[#This Row],[S.B.C./S.D.I.]]*(TabCuotasIMSS[[#This Row],[INC]]+TabCuotasIMSS[[#This Row],[AUS]]))))*CVO)</f>
        <v>170.11194749999999</v>
      </c>
      <c r="AK21">
        <f>SUM(TabCuotasIMSS[[#This Row],[2%]]:TabCuotasIMSS[[#This Row],[OBRERO14]])</f>
        <v>948.84664049999992</v>
      </c>
      <c r="AL21" s="141">
        <f>((TabCuotasIMSS[[#This Row],[SALARIO
DEL CICLO]]-(TabCuotasIMSS[[#This Row],[S.B.C./S.D.I.]]*(TabCuotasIMSS[[#This Row],[AUS]])))*I)</f>
        <v>756.05310000000009</v>
      </c>
      <c r="AM21" s="141">
        <f>TabCuotasIMSS[[#This Row],[TOTAL
O.P.11]]+TabCuotasIMSS[[#This Row],[2%]]+TabCuotasIMSS[[#This Row],[PATRON13]]+TabCuotasIMSS[[#This Row],[5%]]</f>
        <v>1685.998413</v>
      </c>
      <c r="AN21" s="141">
        <f>TabCuotasIMSS[[#This Row],[TOTAL
OBRERO]]+TabCuotasIMSS[[#This Row],[OBRERO14]]</f>
        <v>359.12522250000001</v>
      </c>
    </row>
    <row r="22" spans="1:40" x14ac:dyDescent="0.25">
      <c r="A22" s="2">
        <v>14</v>
      </c>
      <c r="B22" s="1" cm="1">
        <f t="array" ref="B22">VLOOKUP(TabCuotasIMSS[[#This Row],[ID]],TabEmpleados[],COLUMN(TabEmpleados[Fecha de alta NSS]),FALSE)</f>
        <v>44509</v>
      </c>
      <c r="C22" t="str" cm="1">
        <f t="array" ref="C22">VLOOKUP(TabCuotasIMSS[[#This Row],[ID]],TabEmpleados[],COLUMN(TabEmpleados[Nombre]),FALSE)</f>
        <v>MIGUEL MIGUEL CAROLINA</v>
      </c>
      <c r="D22" cm="1">
        <f t="array" ref="D22">IF(VLOOKUP(TabCuotasIMSS[[#This Row],[ID]],TabEmpleados[],COLUMN(TabEmpleados[Fecha de alta NSS]),FALSE)&lt;&gt;"",VLOOKUP(TabCuotasIMSS[[#This Row],[ID]],TabAsistencias[],COLUMN(TabAsistencias[''Total de dias laborados]),FALSE),0)</f>
        <v>73</v>
      </c>
      <c r="E22" cm="1">
        <f t="array" ref="E22">IF(VLOOKUP(TabCuotasIMSS[[#This Row],[ID]],TabEmpleados[],COLUMN(TabEmpleados[Fecha de alta NSS]),FALSE)&lt;&gt;"",IF(DATEDIF((VLOOKUP(TabCuotasIMSS[[#This Row],[ID]],TabEmpleados[],COLUMN(TabEmpleados[Fecha de alta NSS]),FALSE)),'Tablas de informacion'!N$8,"Y")=0,1,DATEDIF((VLOOKUP(TabCuotasIMSS[[#This Row],[ID]],TabEmpleados[],COLUMN(TabEmpleados[Fecha de alta NSS]),FALSE)),'Tablas de informacion'!N$8,"Y")),0)</f>
        <v>1</v>
      </c>
      <c r="F22" s="55" cm="1">
        <f t="array" ref="F22">VLOOKUP(TabCuotasIMSS[[#This Row],[ID]],TabEmpleados[],COLUMN(TabEmpleados[SD Fiscal]),FALSE)</f>
        <v>90</v>
      </c>
      <c r="G22" s="55" cm="1">
        <f t="array" ref="G22">IFERROR((VLOOKUP((VLOOKUP(TabCuotasIMSS[[#This Row],[ID]],TabEmpleados[],COLUMN(TabEmpleados[Puesto]),FALSE)),TabPuestos[],COLUMN(TabPuestos[N° ALIMENTOS]),FALSE))*TabCuotasIMSS[[#This Row],[Salario Diario]]*(VLOOKUP(TabCuotasIMSS[[#This Row],[Años]],TabFactorIntegracion[],COLUMN(TabFactorIntegracion[% por alimento]))),0)</f>
        <v>7.4969999999999999</v>
      </c>
      <c r="H22" s="55" cm="1">
        <f t="array" ref="H22">IFERROR((VLOOKUP((VLOOKUP(TabCuotasIMSS[[#This Row],[ID]],TabEmpleados[],COLUMN(TabEmpleados[Puesto]),FALSE)),TabPuestos[],COLUMN(TabPuestos[PRIMA DOMINICAL]),FALSE))*TabCuotasIMSS[[#This Row],[Salario Diario]]*(VLOOKUP(TabCuotasIMSS[[#This Row],[Años]],TabFactorIntegracion[],COLUMN(TabFactorIntegracion[PRIMA
DOMINICAL]))),0)</f>
        <v>1.6335616438356162</v>
      </c>
      <c r="I22" s="55" cm="1">
        <f t="array" ref="I22">IFERROR(TabCuotasIMSS[[#This Row],[Salario Diario]]*(VLOOKUP(TabCuotasIMSS[[#This Row],[Años]],TabFactorIntegracion[],COLUMN(TabFactorIntegracion[FACTOR DE
INTEGRACIÓN]))),0)</f>
        <v>4.4383561643835616</v>
      </c>
      <c r="J22" s="174">
        <f>IFERROR(TabCuotasIMSS[[#This Row],[Salario Diario]]+TabCuotasIMSS[[#This Row],[Alimentos]]+TabCuotasIMSS[[#This Row],[Prima Dominical]]+TabCuotasIMSS[[#This Row],[Factor de Integracion]],0)</f>
        <v>103.56891780821918</v>
      </c>
      <c r="K22" cm="1">
        <f t="array" ref="K22">VLOOKUP(TabCuotasIMSS[[#This Row],[ID]],TabAsistencias[],COLUMN(TabAsistencias[''I]),FALSE)+VLOOKUP(TabCuotasIMSS[[#This Row],[ID]],TabAsistencias[],COLUMN(TabAsistencias[''IG]),FALSE)</f>
        <v>0</v>
      </c>
      <c r="L22" cm="1">
        <f t="array" ref="L22">VLOOKUP(TabCuotasIMSS[[#This Row],[ID]],TabAsistencias[],COLUMN(TabAsistencias[''F]),FALSE)</f>
        <v>0</v>
      </c>
      <c r="M22" s="141">
        <f>TabCuotasIMSS[[#This Row],[S.B.C./S.D.I.]]*TabCuotasIMSS[[#This Row],[DÍAS
LAB.]]</f>
        <v>7560.5309999999999</v>
      </c>
      <c r="N22" s="141">
        <f>(SMDF*CF*(TabCuotasIMSS[[#This Row],[DÍAS
LAB.]]-TabCuotasIMSS[[#This Row],[INC]]))</f>
        <v>1432.90824</v>
      </c>
      <c r="O22" s="55">
        <f>IF(TabCuotasIMSS[[#This Row],[S.B.C./S.D.I.]]&gt;SMDF3,((TabCuotasIMSS[[#This Row],[S.B.C./S.D.I.]]-SMDF3)*CFP*(TabCuotasIMSS[[#This Row],[DÍAS
LAB.]]-TabCuotasIMSS[[#This Row],[INC]])),0)</f>
        <v>0</v>
      </c>
      <c r="P22" s="55">
        <f>IF(TabCuotasIMSS[[#This Row],[S.B.C./S.D.I.]]&gt;SMDF3,((TabCuotasIMSS[[#This Row],[S.B.C./S.D.I.]]-SMDF3)*CFO*(TabCuotasIMSS[[#This Row],[DÍAS
LAB.]]-TabCuotasIMSS[[#This Row],[INC]])),0)</f>
        <v>0</v>
      </c>
      <c r="Q22" s="55">
        <f>TabCuotasIMSS[[#This Row],[EXCED.
PATRON]]+TabCuotasIMSS[[#This Row],[EXCED.
OBRERO]]</f>
        <v>0</v>
      </c>
      <c r="R22" s="55">
        <f>IF(TabCuotasIMSS[[#This Row],[S.B.C./S.D.I.]]&lt;=SMGI,((TabCuotasIMSS[[#This Row],[SALARIO
DEL CICLO]]-(TabCuotasIMSS[[#This Row],[S.B.C./S.D.I.]]*TabCuotasIMSS[[#This Row],[INC]])))*PD,((TabCuotasIMSS[[#This Row],[SALARIO
DEL CICLO]]-(TabCuotasIMSS[[#This Row],[S.B.C./S.D.I.]]*TabCuotasIMSS[[#This Row],[INC]]))*PDP))</f>
        <v>71.825044500000004</v>
      </c>
      <c r="S22" s="55">
        <f>IF(TabCuotasIMSS[[#This Row],[S.B.C./S.D.I.]]&lt;=SMGI,0,((TabCuotasIMSS[[#This Row],[SALARIO
DEL CICLO]]-(TabCuotasIMSS[[#This Row],[S.B.C./S.D.I.]]*TabCuotasIMSS[[#This Row],[INC]]))*PDO))</f>
        <v>0</v>
      </c>
      <c r="T22" s="55">
        <f>TabCuotasIMSS[[#This Row],[PATRON2]]+TabCuotasIMSS[[#This Row],[OBRERO]]</f>
        <v>71.825044500000004</v>
      </c>
      <c r="U22" s="55">
        <f>IF(TabCuotasIMSS[[#This Row],[S.B.C./S.D.I.]]&lt;=SMGI,((TabCuotasIMSS[[#This Row],[SALARIO
DEL CICLO]]-(TabCuotasIMSS[[#This Row],[S.B.C./S.D.I.]]*TabCuotasIMSS[[#This Row],[INC]])))*GMP,((TabCuotasIMSS[[#This Row],[SALARIO
DEL CICLO]]-(TabCuotasIMSS[[#This Row],[S.B.C./S.D.I.]]*TabCuotasIMSS[[#This Row],[INC]])))*GMPP)</f>
        <v>107.73756675</v>
      </c>
      <c r="V22" s="55">
        <f>IF(TabCuotasIMSS[[#This Row],[S.B.C./S.D.I.]]&lt;=SMGI,0,((TabCuotasIMSS[[#This Row],[SALARIO
DEL CICLO]]-(TabCuotasIMSS[[#This Row],[S.B.C./S.D.I.]]*TabCuotasIMSS[[#This Row],[INC]])))*GMPO)</f>
        <v>0</v>
      </c>
      <c r="W22" s="55">
        <f>TabCuotasIMSS[[#This Row],[PATRON3]]+TabCuotasIMSS[[#This Row],[OBRERO4]]</f>
        <v>107.73756675</v>
      </c>
      <c r="X22" s="141">
        <f>((TabCuotasIMSS[[#This Row],[SALARIO
DEL CICLO]]-(TabCuotasIMSS[[#This Row],[S.B.C./S.D.I.]]*(TabCuotasIMSS[[#This Row],[INC]]+TabCuotasIMSS[[#This Row],[AUS]]))))*PRTP</f>
        <v>3780.2655</v>
      </c>
      <c r="Y22" s="55">
        <f>IF(TabCuotasIMSS[[#This Row],[S.B.C./S.D.I.]]&lt;=SMGI,((TabCuotasIMSS[[#This Row],[SALARIO
DEL CICLO]]-(TabCuotasIMSS[[#This Row],[S.B.C./S.D.I.]]*(TabCuotasIMSS[[#This Row],[INC]]+TabCuotasIMSS[[#This Row],[AUS]]))))*IV,((TabCuotasIMSS[[#This Row],[SALARIO
DEL CICLO]]-(TabCuotasIMSS[[#This Row],[S.B.C./S.D.I.]]*(TabCuotasIMSS[[#This Row],[INC]]+TabCuotasIMSS[[#This Row],[AUS]]))))*IVP)</f>
        <v>179.56261125</v>
      </c>
      <c r="Z22" s="55">
        <f>IF(TabCuotasIMSS[[#This Row],[S.B.C./S.D.I.]]&lt;=SMGI,0,((TabCuotasIMSS[[#This Row],[SALARIO
DEL CICLO]]-(TabCuotasIMSS[[#This Row],[S.B.C./S.D.I.]]*(TabCuotasIMSS[[#This Row],[INC]]+TabCuotasIMSS[[#This Row],[AUS]]))))*IVO)</f>
        <v>0</v>
      </c>
      <c r="AA22" s="55">
        <f>TabCuotasIMSS[[#This Row],[PATRON6]]+TabCuotasIMSS[[#This Row],[OBRERO7]]</f>
        <v>179.56261125</v>
      </c>
      <c r="AB22" s="141">
        <f>((TabCuotasIMSS[[#This Row],[SALARIO
DEL CICLO]]-(TabCuotasIMSS[[#This Row],[S.B.C./S.D.I.]]*(TabCuotasIMSS[[#This Row],[INC]]+TabCuotasIMSS[[#This Row],[AUS]]))))*GPS</f>
        <v>75.605310000000003</v>
      </c>
      <c r="AC22" s="141">
        <f>TabCuotasIMSS[[#This Row],[SALARIO
DEL CICLO]]*0</f>
        <v>0</v>
      </c>
      <c r="AD22" s="141">
        <f>TabCuotasIMSS[[#This Row],[PATRON9]]+TabCuotasIMSS[[#This Row],[OBRERO10]]</f>
        <v>75.605310000000003</v>
      </c>
      <c r="AE22" s="233">
        <f>TabCuotasIMSS[[#This Row],[PATRON]]+TabCuotasIMSS[[#This Row],[EXCED.
PATRON]]+TabCuotasIMSS[[#This Row],[PATRON2]]+TabCuotasIMSS[[#This Row],[PATRON3]]+TabCuotasIMSS[[#This Row],[PATRON
0.50%]]+TabCuotasIMSS[[#This Row],[PATRON6]]+TabCuotasIMSS[[#This Row],[PATRON9]]</f>
        <v>5647.9042724999999</v>
      </c>
      <c r="AF22" s="233">
        <f>TabCuotasIMSS[[#This Row],[EXCED.
OBRERO]]+TabCuotasIMSS[[#This Row],[OBRERO]]+TabCuotasIMSS[[#This Row],[OBRERO4]]+TabCuotasIMSS[[#This Row],[OBRERO7]]+TabCuotasIMSS[[#This Row],[OBRERO10]]</f>
        <v>0</v>
      </c>
      <c r="AG22" s="233">
        <f>TabCuotasIMSS[[#This Row],[TOTAL
PATRONAL]]+TabCuotasIMSS[[#This Row],[TOTAL
OBRERO]]</f>
        <v>5647.9042724999999</v>
      </c>
      <c r="AH22" s="141">
        <f>((TabCuotasIMSS[[#This Row],[SALARIO
DEL CICLO]]-(TabCuotasIMSS[[#This Row],[S.B.C./S.D.I.]]*TabCuotasIMSS[[#This Row],[AUS]]))*R_)</f>
        <v>151.21062000000001</v>
      </c>
      <c r="AI22">
        <f>IF(TabCuotasIMSS[[#This Row],[S.B.C./S.D.I.]]&lt;=SMGI,((TabCuotasIMSS[[#This Row],[SALARIO
DEL CICLO]]-(TabCuotasIMSS[[#This Row],[S.B.C./S.D.I.]]*(TabCuotasIMSS[[#This Row],[INC]]+TabCuotasIMSS[[#This Row],[AUS]]))))*CV,((TabCuotasIMSS[[#This Row],[SALARIO
DEL CICLO]]-(TabCuotasIMSS[[#This Row],[S.B.C./S.D.I.]]*(TabCuotasIMSS[[#This Row],[INC]]+TabCuotasIMSS[[#This Row],[AUS]]))))*CVP)</f>
        <v>323.21270025000001</v>
      </c>
      <c r="AJ22">
        <f>IF(TabCuotasIMSS[[#This Row],[S.B.C./S.D.I.]]&lt;=SMGI,0,((TabCuotasIMSS[[#This Row],[SALARIO
DEL CICLO]]-(TabCuotasIMSS[[#This Row],[S.B.C./S.D.I.]]*(TabCuotasIMSS[[#This Row],[INC]]+TabCuotasIMSS[[#This Row],[AUS]]))))*CVO)</f>
        <v>0</v>
      </c>
      <c r="AK22">
        <f>SUM(TabCuotasIMSS[[#This Row],[2%]]:TabCuotasIMSS[[#This Row],[OBRERO14]])</f>
        <v>474.42332025000002</v>
      </c>
      <c r="AL22" s="141">
        <f>((TabCuotasIMSS[[#This Row],[SALARIO
DEL CICLO]]-(TabCuotasIMSS[[#This Row],[S.B.C./S.D.I.]]*(TabCuotasIMSS[[#This Row],[AUS]])))*I)</f>
        <v>378.02655000000004</v>
      </c>
      <c r="AM22" s="141">
        <f>TabCuotasIMSS[[#This Row],[TOTAL
O.P.11]]+TabCuotasIMSS[[#This Row],[2%]]+TabCuotasIMSS[[#This Row],[PATRON13]]+TabCuotasIMSS[[#This Row],[5%]]</f>
        <v>928.05518025000003</v>
      </c>
      <c r="AN22" s="141">
        <f>TabCuotasIMSS[[#This Row],[TOTAL
OBRERO]]+TabCuotasIMSS[[#This Row],[OBRERO14]]</f>
        <v>0</v>
      </c>
    </row>
    <row r="23" spans="1:40" x14ac:dyDescent="0.25">
      <c r="A23" s="2">
        <v>15</v>
      </c>
      <c r="B23" s="1" cm="1">
        <f t="array" ref="B23">VLOOKUP(TabCuotasIMSS[[#This Row],[ID]],TabEmpleados[],COLUMN(TabEmpleados[Fecha de alta NSS]),FALSE)</f>
        <v>44509</v>
      </c>
      <c r="C23" t="str" cm="1">
        <f t="array" ref="C23">VLOOKUP(TabCuotasIMSS[[#This Row],[ID]],TabEmpleados[],COLUMN(TabEmpleados[Nombre]),FALSE)</f>
        <v>HERNANDEZ MARTINEZ NORMA ITZEL</v>
      </c>
      <c r="D23" cm="1">
        <f t="array" ref="D23">IF(VLOOKUP(TabCuotasIMSS[[#This Row],[ID]],TabEmpleados[],COLUMN(TabEmpleados[Fecha de alta NSS]),FALSE)&lt;&gt;"",VLOOKUP(TabCuotasIMSS[[#This Row],[ID]],TabAsistencias[],COLUMN(TabAsistencias[''Total de dias laborados]),FALSE),0)</f>
        <v>73</v>
      </c>
      <c r="E23" cm="1">
        <f t="array" ref="E23">IF(VLOOKUP(TabCuotasIMSS[[#This Row],[ID]],TabEmpleados[],COLUMN(TabEmpleados[Fecha de alta NSS]),FALSE)&lt;&gt;"",IF(DATEDIF((VLOOKUP(TabCuotasIMSS[[#This Row],[ID]],TabEmpleados[],COLUMN(TabEmpleados[Fecha de alta NSS]),FALSE)),'Tablas de informacion'!N$8,"Y")=0,1,DATEDIF((VLOOKUP(TabCuotasIMSS[[#This Row],[ID]],TabEmpleados[],COLUMN(TabEmpleados[Fecha de alta NSS]),FALSE)),'Tablas de informacion'!N$8,"Y")),0)</f>
        <v>1</v>
      </c>
      <c r="F23" s="55" cm="1">
        <f t="array" ref="F23">VLOOKUP(TabCuotasIMSS[[#This Row],[ID]],TabEmpleados[],COLUMN(TabEmpleados[SD Fiscal]),FALSE)</f>
        <v>114</v>
      </c>
      <c r="G23" s="55" cm="1">
        <f t="array" ref="G23">IFERROR((VLOOKUP((VLOOKUP(TabCuotasIMSS[[#This Row],[ID]],TabEmpleados[],COLUMN(TabEmpleados[Puesto]),FALSE)),TabPuestos[],COLUMN(TabPuestos[N° ALIMENTOS]),FALSE))*TabCuotasIMSS[[#This Row],[Salario Diario]]*(VLOOKUP(TabCuotasIMSS[[#This Row],[Años]],TabFactorIntegracion[],COLUMN(TabFactorIntegracion[% por alimento]))),0)</f>
        <v>9.4962</v>
      </c>
      <c r="H23" s="55" cm="1">
        <f t="array" ref="H23">IFERROR((VLOOKUP((VLOOKUP(TabCuotasIMSS[[#This Row],[ID]],TabEmpleados[],COLUMN(TabEmpleados[Puesto]),FALSE)),TabPuestos[],COLUMN(TabPuestos[PRIMA DOMINICAL]),FALSE))*TabCuotasIMSS[[#This Row],[Salario Diario]]*(VLOOKUP(TabCuotasIMSS[[#This Row],[Años]],TabFactorIntegracion[],COLUMN(TabFactorIntegracion[PRIMA
DOMINICAL]))),0)</f>
        <v>2.0691780821917805</v>
      </c>
      <c r="I23" s="55" cm="1">
        <f t="array" ref="I23">IFERROR(TabCuotasIMSS[[#This Row],[Salario Diario]]*(VLOOKUP(TabCuotasIMSS[[#This Row],[Años]],TabFactorIntegracion[],COLUMN(TabFactorIntegracion[FACTOR DE
INTEGRACIÓN]))),0)</f>
        <v>5.6219178082191776</v>
      </c>
      <c r="J23" s="174">
        <f>IFERROR(TabCuotasIMSS[[#This Row],[Salario Diario]]+TabCuotasIMSS[[#This Row],[Alimentos]]+TabCuotasIMSS[[#This Row],[Prima Dominical]]+TabCuotasIMSS[[#This Row],[Factor de Integracion]],0)</f>
        <v>131.18729589041095</v>
      </c>
      <c r="K23" cm="1">
        <f t="array" ref="K23">VLOOKUP(TabCuotasIMSS[[#This Row],[ID]],TabAsistencias[],COLUMN(TabAsistencias[''I]),FALSE)+VLOOKUP(TabCuotasIMSS[[#This Row],[ID]],TabAsistencias[],COLUMN(TabAsistencias[''IG]),FALSE)</f>
        <v>0</v>
      </c>
      <c r="L23" cm="1">
        <f t="array" ref="L23">VLOOKUP(TabCuotasIMSS[[#This Row],[ID]],TabAsistencias[],COLUMN(TabAsistencias[''F]),FALSE)</f>
        <v>0</v>
      </c>
      <c r="M23" s="141">
        <f>TabCuotasIMSS[[#This Row],[S.B.C./S.D.I.]]*TabCuotasIMSS[[#This Row],[DÍAS
LAB.]]</f>
        <v>9576.6725999999999</v>
      </c>
      <c r="N23" s="141">
        <f>(SMDF*CF*(TabCuotasIMSS[[#This Row],[DÍAS
LAB.]]-TabCuotasIMSS[[#This Row],[INC]]))</f>
        <v>1432.90824</v>
      </c>
      <c r="O23" s="55">
        <f>IF(TabCuotasIMSS[[#This Row],[S.B.C./S.D.I.]]&gt;SMDF3,((TabCuotasIMSS[[#This Row],[S.B.C./S.D.I.]]-SMDF3)*CFP*(TabCuotasIMSS[[#This Row],[DÍAS
LAB.]]-TabCuotasIMSS[[#This Row],[INC]])),0)</f>
        <v>0</v>
      </c>
      <c r="P23" s="55">
        <f>IF(TabCuotasIMSS[[#This Row],[S.B.C./S.D.I.]]&gt;SMDF3,((TabCuotasIMSS[[#This Row],[S.B.C./S.D.I.]]-SMDF3)*CFO*(TabCuotasIMSS[[#This Row],[DÍAS
LAB.]]-TabCuotasIMSS[[#This Row],[INC]])),0)</f>
        <v>0</v>
      </c>
      <c r="Q23" s="55">
        <f>TabCuotasIMSS[[#This Row],[EXCED.
PATRON]]+TabCuotasIMSS[[#This Row],[EXCED.
OBRERO]]</f>
        <v>0</v>
      </c>
      <c r="R23" s="55">
        <f>IF(TabCuotasIMSS[[#This Row],[S.B.C./S.D.I.]]&lt;=SMGI,((TabCuotasIMSS[[#This Row],[SALARIO
DEL CICLO]]-(TabCuotasIMSS[[#This Row],[S.B.C./S.D.I.]]*TabCuotasIMSS[[#This Row],[INC]])))*PD,((TabCuotasIMSS[[#This Row],[SALARIO
DEL CICLO]]-(TabCuotasIMSS[[#This Row],[S.B.C./S.D.I.]]*TabCuotasIMSS[[#This Row],[INC]]))*PDP))</f>
        <v>90.978389699999994</v>
      </c>
      <c r="S23" s="55">
        <f>IF(TabCuotasIMSS[[#This Row],[S.B.C./S.D.I.]]&lt;=SMGI,0,((TabCuotasIMSS[[#This Row],[SALARIO
DEL CICLO]]-(TabCuotasIMSS[[#This Row],[S.B.C./S.D.I.]]*TabCuotasIMSS[[#This Row],[INC]]))*PDO))</f>
        <v>0</v>
      </c>
      <c r="T23" s="55">
        <f>TabCuotasIMSS[[#This Row],[PATRON2]]+TabCuotasIMSS[[#This Row],[OBRERO]]</f>
        <v>90.978389699999994</v>
      </c>
      <c r="U23" s="55">
        <f>IF(TabCuotasIMSS[[#This Row],[S.B.C./S.D.I.]]&lt;=SMGI,((TabCuotasIMSS[[#This Row],[SALARIO
DEL CICLO]]-(TabCuotasIMSS[[#This Row],[S.B.C./S.D.I.]]*TabCuotasIMSS[[#This Row],[INC]])))*GMP,((TabCuotasIMSS[[#This Row],[SALARIO
DEL CICLO]]-(TabCuotasIMSS[[#This Row],[S.B.C./S.D.I.]]*TabCuotasIMSS[[#This Row],[INC]])))*GMPP)</f>
        <v>136.46758455</v>
      </c>
      <c r="V23" s="55">
        <f>IF(TabCuotasIMSS[[#This Row],[S.B.C./S.D.I.]]&lt;=SMGI,0,((TabCuotasIMSS[[#This Row],[SALARIO
DEL CICLO]]-(TabCuotasIMSS[[#This Row],[S.B.C./S.D.I.]]*TabCuotasIMSS[[#This Row],[INC]])))*GMPO)</f>
        <v>0</v>
      </c>
      <c r="W23" s="55">
        <f>TabCuotasIMSS[[#This Row],[PATRON3]]+TabCuotasIMSS[[#This Row],[OBRERO4]]</f>
        <v>136.46758455</v>
      </c>
      <c r="X23" s="141">
        <f>((TabCuotasIMSS[[#This Row],[SALARIO
DEL CICLO]]-(TabCuotasIMSS[[#This Row],[S.B.C./S.D.I.]]*(TabCuotasIMSS[[#This Row],[INC]]+TabCuotasIMSS[[#This Row],[AUS]]))))*PRTP</f>
        <v>4788.3362999999999</v>
      </c>
      <c r="Y23" s="55">
        <f>IF(TabCuotasIMSS[[#This Row],[S.B.C./S.D.I.]]&lt;=SMGI,((TabCuotasIMSS[[#This Row],[SALARIO
DEL CICLO]]-(TabCuotasIMSS[[#This Row],[S.B.C./S.D.I.]]*(TabCuotasIMSS[[#This Row],[INC]]+TabCuotasIMSS[[#This Row],[AUS]]))))*IV,((TabCuotasIMSS[[#This Row],[SALARIO
DEL CICLO]]-(TabCuotasIMSS[[#This Row],[S.B.C./S.D.I.]]*(TabCuotasIMSS[[#This Row],[INC]]+TabCuotasIMSS[[#This Row],[AUS]]))))*IVP)</f>
        <v>227.44597425000001</v>
      </c>
      <c r="Z23" s="55">
        <f>IF(TabCuotasIMSS[[#This Row],[S.B.C./S.D.I.]]&lt;=SMGI,0,((TabCuotasIMSS[[#This Row],[SALARIO
DEL CICLO]]-(TabCuotasIMSS[[#This Row],[S.B.C./S.D.I.]]*(TabCuotasIMSS[[#This Row],[INC]]+TabCuotasIMSS[[#This Row],[AUS]]))))*IVO)</f>
        <v>0</v>
      </c>
      <c r="AA23" s="55">
        <f>TabCuotasIMSS[[#This Row],[PATRON6]]+TabCuotasIMSS[[#This Row],[OBRERO7]]</f>
        <v>227.44597425000001</v>
      </c>
      <c r="AB23" s="141">
        <f>((TabCuotasIMSS[[#This Row],[SALARIO
DEL CICLO]]-(TabCuotasIMSS[[#This Row],[S.B.C./S.D.I.]]*(TabCuotasIMSS[[#This Row],[INC]]+TabCuotasIMSS[[#This Row],[AUS]]))))*GPS</f>
        <v>95.766726000000006</v>
      </c>
      <c r="AC23" s="141">
        <f>TabCuotasIMSS[[#This Row],[SALARIO
DEL CICLO]]*0</f>
        <v>0</v>
      </c>
      <c r="AD23" s="141">
        <f>TabCuotasIMSS[[#This Row],[PATRON9]]+TabCuotasIMSS[[#This Row],[OBRERO10]]</f>
        <v>95.766726000000006</v>
      </c>
      <c r="AE23" s="233">
        <f>TabCuotasIMSS[[#This Row],[PATRON]]+TabCuotasIMSS[[#This Row],[EXCED.
PATRON]]+TabCuotasIMSS[[#This Row],[PATRON2]]+TabCuotasIMSS[[#This Row],[PATRON3]]+TabCuotasIMSS[[#This Row],[PATRON
0.50%]]+TabCuotasIMSS[[#This Row],[PATRON6]]+TabCuotasIMSS[[#This Row],[PATRON9]]</f>
        <v>6771.9032145000001</v>
      </c>
      <c r="AF23" s="233">
        <f>TabCuotasIMSS[[#This Row],[EXCED.
OBRERO]]+TabCuotasIMSS[[#This Row],[OBRERO]]+TabCuotasIMSS[[#This Row],[OBRERO4]]+TabCuotasIMSS[[#This Row],[OBRERO7]]+TabCuotasIMSS[[#This Row],[OBRERO10]]</f>
        <v>0</v>
      </c>
      <c r="AG23" s="233">
        <f>TabCuotasIMSS[[#This Row],[TOTAL
PATRONAL]]+TabCuotasIMSS[[#This Row],[TOTAL
OBRERO]]</f>
        <v>6771.9032145000001</v>
      </c>
      <c r="AH23" s="141">
        <f>((TabCuotasIMSS[[#This Row],[SALARIO
DEL CICLO]]-(TabCuotasIMSS[[#This Row],[S.B.C./S.D.I.]]*TabCuotasIMSS[[#This Row],[AUS]]))*R_)</f>
        <v>191.53345200000001</v>
      </c>
      <c r="AI23">
        <f>IF(TabCuotasIMSS[[#This Row],[S.B.C./S.D.I.]]&lt;=SMGI,((TabCuotasIMSS[[#This Row],[SALARIO
DEL CICLO]]-(TabCuotasIMSS[[#This Row],[S.B.C./S.D.I.]]*(TabCuotasIMSS[[#This Row],[INC]]+TabCuotasIMSS[[#This Row],[AUS]]))))*CV,((TabCuotasIMSS[[#This Row],[SALARIO
DEL CICLO]]-(TabCuotasIMSS[[#This Row],[S.B.C./S.D.I.]]*(TabCuotasIMSS[[#This Row],[INC]]+TabCuotasIMSS[[#This Row],[AUS]]))))*CVP)</f>
        <v>409.40275365000002</v>
      </c>
      <c r="AJ23">
        <f>IF(TabCuotasIMSS[[#This Row],[S.B.C./S.D.I.]]&lt;=SMGI,0,((TabCuotasIMSS[[#This Row],[SALARIO
DEL CICLO]]-(TabCuotasIMSS[[#This Row],[S.B.C./S.D.I.]]*(TabCuotasIMSS[[#This Row],[INC]]+TabCuotasIMSS[[#This Row],[AUS]]))))*CVO)</f>
        <v>0</v>
      </c>
      <c r="AK23">
        <f>SUM(TabCuotasIMSS[[#This Row],[2%]]:TabCuotasIMSS[[#This Row],[OBRERO14]])</f>
        <v>600.93620565000003</v>
      </c>
      <c r="AL23" s="141">
        <f>((TabCuotasIMSS[[#This Row],[SALARIO
DEL CICLO]]-(TabCuotasIMSS[[#This Row],[S.B.C./S.D.I.]]*(TabCuotasIMSS[[#This Row],[AUS]])))*I)</f>
        <v>478.83363000000003</v>
      </c>
      <c r="AM23" s="141">
        <f>TabCuotasIMSS[[#This Row],[TOTAL
O.P.11]]+TabCuotasIMSS[[#This Row],[2%]]+TabCuotasIMSS[[#This Row],[PATRON13]]+TabCuotasIMSS[[#This Row],[5%]]</f>
        <v>1175.5365616500001</v>
      </c>
      <c r="AN23" s="141">
        <f>TabCuotasIMSS[[#This Row],[TOTAL
OBRERO]]+TabCuotasIMSS[[#This Row],[OBRERO14]]</f>
        <v>0</v>
      </c>
    </row>
    <row r="24" spans="1:40" x14ac:dyDescent="0.25">
      <c r="A24" s="2">
        <v>16</v>
      </c>
      <c r="B24" s="1" cm="1">
        <f t="array" ref="B24">VLOOKUP(TabCuotasIMSS[[#This Row],[ID]],TabEmpleados[],COLUMN(TabEmpleados[Fecha de alta NSS]),FALSE)</f>
        <v>44509</v>
      </c>
      <c r="C24" t="str" cm="1">
        <f t="array" ref="C24">VLOOKUP(TabCuotasIMSS[[#This Row],[ID]],TabEmpleados[],COLUMN(TabEmpleados[Nombre]),FALSE)</f>
        <v>HERNANDEZ HERNANDEZ MODESTA</v>
      </c>
      <c r="D24" cm="1">
        <f t="array" ref="D24">IF(VLOOKUP(TabCuotasIMSS[[#This Row],[ID]],TabEmpleados[],COLUMN(TabEmpleados[Fecha de alta NSS]),FALSE)&lt;&gt;"",VLOOKUP(TabCuotasIMSS[[#This Row],[ID]],TabAsistencias[],COLUMN(TabAsistencias[''Total de dias laborados]),FALSE),0)</f>
        <v>73</v>
      </c>
      <c r="E24" cm="1">
        <f t="array" ref="E24">IF(VLOOKUP(TabCuotasIMSS[[#This Row],[ID]],TabEmpleados[],COLUMN(TabEmpleados[Fecha de alta NSS]),FALSE)&lt;&gt;"",IF(DATEDIF((VLOOKUP(TabCuotasIMSS[[#This Row],[ID]],TabEmpleados[],COLUMN(TabEmpleados[Fecha de alta NSS]),FALSE)),'Tablas de informacion'!N$8,"Y")=0,1,DATEDIF((VLOOKUP(TabCuotasIMSS[[#This Row],[ID]],TabEmpleados[],COLUMN(TabEmpleados[Fecha de alta NSS]),FALSE)),'Tablas de informacion'!N$8,"Y")),0)</f>
        <v>1</v>
      </c>
      <c r="F24" s="55" cm="1">
        <f t="array" ref="F24">VLOOKUP(TabCuotasIMSS[[#This Row],[ID]],TabEmpleados[],COLUMN(TabEmpleados[SD Fiscal]),FALSE)</f>
        <v>105</v>
      </c>
      <c r="G24" s="55" cm="1">
        <f t="array" ref="G24">IFERROR((VLOOKUP((VLOOKUP(TabCuotasIMSS[[#This Row],[ID]],TabEmpleados[],COLUMN(TabEmpleados[Puesto]),FALSE)),TabPuestos[],COLUMN(TabPuestos[N° ALIMENTOS]),FALSE))*TabCuotasIMSS[[#This Row],[Salario Diario]]*(VLOOKUP(TabCuotasIMSS[[#This Row],[Años]],TabFactorIntegracion[],COLUMN(TabFactorIntegracion[% por alimento]))),0)</f>
        <v>8.7464999999999993</v>
      </c>
      <c r="H24" s="55" cm="1">
        <f t="array" ref="H24">IFERROR((VLOOKUP((VLOOKUP(TabCuotasIMSS[[#This Row],[ID]],TabEmpleados[],COLUMN(TabEmpleados[Puesto]),FALSE)),TabPuestos[],COLUMN(TabPuestos[PRIMA DOMINICAL]),FALSE))*TabCuotasIMSS[[#This Row],[Salario Diario]]*(VLOOKUP(TabCuotasIMSS[[#This Row],[Años]],TabFactorIntegracion[],COLUMN(TabFactorIntegracion[PRIMA
DOMINICAL]))),0)</f>
        <v>1.905821917808219</v>
      </c>
      <c r="I24" s="55" cm="1">
        <f t="array" ref="I24">IFERROR(TabCuotasIMSS[[#This Row],[Salario Diario]]*(VLOOKUP(TabCuotasIMSS[[#This Row],[Años]],TabFactorIntegracion[],COLUMN(TabFactorIntegracion[FACTOR DE
INTEGRACIÓN]))),0)</f>
        <v>5.1780821917808222</v>
      </c>
      <c r="J24" s="174">
        <f>IFERROR(TabCuotasIMSS[[#This Row],[Salario Diario]]+TabCuotasIMSS[[#This Row],[Alimentos]]+TabCuotasIMSS[[#This Row],[Prima Dominical]]+TabCuotasIMSS[[#This Row],[Factor de Integracion]],0)</f>
        <v>120.83040410958904</v>
      </c>
      <c r="K24" cm="1">
        <f t="array" ref="K24">VLOOKUP(TabCuotasIMSS[[#This Row],[ID]],TabAsistencias[],COLUMN(TabAsistencias[''I]),FALSE)+VLOOKUP(TabCuotasIMSS[[#This Row],[ID]],TabAsistencias[],COLUMN(TabAsistencias[''IG]),FALSE)</f>
        <v>0</v>
      </c>
      <c r="L24" cm="1">
        <f t="array" ref="L24">VLOOKUP(TabCuotasIMSS[[#This Row],[ID]],TabAsistencias[],COLUMN(TabAsistencias[''F]),FALSE)</f>
        <v>0</v>
      </c>
      <c r="M24" s="141">
        <f>TabCuotasIMSS[[#This Row],[S.B.C./S.D.I.]]*TabCuotasIMSS[[#This Row],[DÍAS
LAB.]]</f>
        <v>8820.6195000000007</v>
      </c>
      <c r="N24" s="141">
        <f>(SMDF*CF*(TabCuotasIMSS[[#This Row],[DÍAS
LAB.]]-TabCuotasIMSS[[#This Row],[INC]]))</f>
        <v>1432.90824</v>
      </c>
      <c r="O24" s="55">
        <f>IF(TabCuotasIMSS[[#This Row],[S.B.C./S.D.I.]]&gt;SMDF3,((TabCuotasIMSS[[#This Row],[S.B.C./S.D.I.]]-SMDF3)*CFP*(TabCuotasIMSS[[#This Row],[DÍAS
LAB.]]-TabCuotasIMSS[[#This Row],[INC]])),0)</f>
        <v>0</v>
      </c>
      <c r="P24" s="55">
        <f>IF(TabCuotasIMSS[[#This Row],[S.B.C./S.D.I.]]&gt;SMDF3,((TabCuotasIMSS[[#This Row],[S.B.C./S.D.I.]]-SMDF3)*CFO*(TabCuotasIMSS[[#This Row],[DÍAS
LAB.]]-TabCuotasIMSS[[#This Row],[INC]])),0)</f>
        <v>0</v>
      </c>
      <c r="Q24" s="55">
        <f>TabCuotasIMSS[[#This Row],[EXCED.
PATRON]]+TabCuotasIMSS[[#This Row],[EXCED.
OBRERO]]</f>
        <v>0</v>
      </c>
      <c r="R24" s="55">
        <f>IF(TabCuotasIMSS[[#This Row],[S.B.C./S.D.I.]]&lt;=SMGI,((TabCuotasIMSS[[#This Row],[SALARIO
DEL CICLO]]-(TabCuotasIMSS[[#This Row],[S.B.C./S.D.I.]]*TabCuotasIMSS[[#This Row],[INC]])))*PD,((TabCuotasIMSS[[#This Row],[SALARIO
DEL CICLO]]-(TabCuotasIMSS[[#This Row],[S.B.C./S.D.I.]]*TabCuotasIMSS[[#This Row],[INC]]))*PDP))</f>
        <v>83.795885249999998</v>
      </c>
      <c r="S24" s="55">
        <f>IF(TabCuotasIMSS[[#This Row],[S.B.C./S.D.I.]]&lt;=SMGI,0,((TabCuotasIMSS[[#This Row],[SALARIO
DEL CICLO]]-(TabCuotasIMSS[[#This Row],[S.B.C./S.D.I.]]*TabCuotasIMSS[[#This Row],[INC]]))*PDO))</f>
        <v>0</v>
      </c>
      <c r="T24" s="55">
        <f>TabCuotasIMSS[[#This Row],[PATRON2]]+TabCuotasIMSS[[#This Row],[OBRERO]]</f>
        <v>83.795885249999998</v>
      </c>
      <c r="U24" s="55">
        <f>IF(TabCuotasIMSS[[#This Row],[S.B.C./S.D.I.]]&lt;=SMGI,((TabCuotasIMSS[[#This Row],[SALARIO
DEL CICLO]]-(TabCuotasIMSS[[#This Row],[S.B.C./S.D.I.]]*TabCuotasIMSS[[#This Row],[INC]])))*GMP,((TabCuotasIMSS[[#This Row],[SALARIO
DEL CICLO]]-(TabCuotasIMSS[[#This Row],[S.B.C./S.D.I.]]*TabCuotasIMSS[[#This Row],[INC]])))*GMPP)</f>
        <v>125.69382787500001</v>
      </c>
      <c r="V24" s="55">
        <f>IF(TabCuotasIMSS[[#This Row],[S.B.C./S.D.I.]]&lt;=SMGI,0,((TabCuotasIMSS[[#This Row],[SALARIO
DEL CICLO]]-(TabCuotasIMSS[[#This Row],[S.B.C./S.D.I.]]*TabCuotasIMSS[[#This Row],[INC]])))*GMPO)</f>
        <v>0</v>
      </c>
      <c r="W24" s="55">
        <f>TabCuotasIMSS[[#This Row],[PATRON3]]+TabCuotasIMSS[[#This Row],[OBRERO4]]</f>
        <v>125.69382787500001</v>
      </c>
      <c r="X24" s="141">
        <f>((TabCuotasIMSS[[#This Row],[SALARIO
DEL CICLO]]-(TabCuotasIMSS[[#This Row],[S.B.C./S.D.I.]]*(TabCuotasIMSS[[#This Row],[INC]]+TabCuotasIMSS[[#This Row],[AUS]]))))*PRTP</f>
        <v>4410.3097500000003</v>
      </c>
      <c r="Y24" s="55">
        <f>IF(TabCuotasIMSS[[#This Row],[S.B.C./S.D.I.]]&lt;=SMGI,((TabCuotasIMSS[[#This Row],[SALARIO
DEL CICLO]]-(TabCuotasIMSS[[#This Row],[S.B.C./S.D.I.]]*(TabCuotasIMSS[[#This Row],[INC]]+TabCuotasIMSS[[#This Row],[AUS]]))))*IV,((TabCuotasIMSS[[#This Row],[SALARIO
DEL CICLO]]-(TabCuotasIMSS[[#This Row],[S.B.C./S.D.I.]]*(TabCuotasIMSS[[#This Row],[INC]]+TabCuotasIMSS[[#This Row],[AUS]]))))*IVP)</f>
        <v>209.48971312500001</v>
      </c>
      <c r="Z24" s="55">
        <f>IF(TabCuotasIMSS[[#This Row],[S.B.C./S.D.I.]]&lt;=SMGI,0,((TabCuotasIMSS[[#This Row],[SALARIO
DEL CICLO]]-(TabCuotasIMSS[[#This Row],[S.B.C./S.D.I.]]*(TabCuotasIMSS[[#This Row],[INC]]+TabCuotasIMSS[[#This Row],[AUS]]))))*IVO)</f>
        <v>0</v>
      </c>
      <c r="AA24" s="55">
        <f>TabCuotasIMSS[[#This Row],[PATRON6]]+TabCuotasIMSS[[#This Row],[OBRERO7]]</f>
        <v>209.48971312500001</v>
      </c>
      <c r="AB24" s="141">
        <f>((TabCuotasIMSS[[#This Row],[SALARIO
DEL CICLO]]-(TabCuotasIMSS[[#This Row],[S.B.C./S.D.I.]]*(TabCuotasIMSS[[#This Row],[INC]]+TabCuotasIMSS[[#This Row],[AUS]]))))*GPS</f>
        <v>88.206195000000008</v>
      </c>
      <c r="AC24" s="141">
        <f>TabCuotasIMSS[[#This Row],[SALARIO
DEL CICLO]]*0</f>
        <v>0</v>
      </c>
      <c r="AD24" s="141">
        <f>TabCuotasIMSS[[#This Row],[PATRON9]]+TabCuotasIMSS[[#This Row],[OBRERO10]]</f>
        <v>88.206195000000008</v>
      </c>
      <c r="AE24" s="233">
        <f>TabCuotasIMSS[[#This Row],[PATRON]]+TabCuotasIMSS[[#This Row],[EXCED.
PATRON]]+TabCuotasIMSS[[#This Row],[PATRON2]]+TabCuotasIMSS[[#This Row],[PATRON3]]+TabCuotasIMSS[[#This Row],[PATRON
0.50%]]+TabCuotasIMSS[[#This Row],[PATRON6]]+TabCuotasIMSS[[#This Row],[PATRON9]]</f>
        <v>6350.4036112500007</v>
      </c>
      <c r="AF24" s="233">
        <f>TabCuotasIMSS[[#This Row],[EXCED.
OBRERO]]+TabCuotasIMSS[[#This Row],[OBRERO]]+TabCuotasIMSS[[#This Row],[OBRERO4]]+TabCuotasIMSS[[#This Row],[OBRERO7]]+TabCuotasIMSS[[#This Row],[OBRERO10]]</f>
        <v>0</v>
      </c>
      <c r="AG24" s="233">
        <f>TabCuotasIMSS[[#This Row],[TOTAL
PATRONAL]]+TabCuotasIMSS[[#This Row],[TOTAL
OBRERO]]</f>
        <v>6350.4036112500007</v>
      </c>
      <c r="AH24" s="141">
        <f>((TabCuotasIMSS[[#This Row],[SALARIO
DEL CICLO]]-(TabCuotasIMSS[[#This Row],[S.B.C./S.D.I.]]*TabCuotasIMSS[[#This Row],[AUS]]))*R_)</f>
        <v>176.41239000000002</v>
      </c>
      <c r="AI24">
        <f>IF(TabCuotasIMSS[[#This Row],[S.B.C./S.D.I.]]&lt;=SMGI,((TabCuotasIMSS[[#This Row],[SALARIO
DEL CICLO]]-(TabCuotasIMSS[[#This Row],[S.B.C./S.D.I.]]*(TabCuotasIMSS[[#This Row],[INC]]+TabCuotasIMSS[[#This Row],[AUS]]))))*CV,((TabCuotasIMSS[[#This Row],[SALARIO
DEL CICLO]]-(TabCuotasIMSS[[#This Row],[S.B.C./S.D.I.]]*(TabCuotasIMSS[[#This Row],[INC]]+TabCuotasIMSS[[#This Row],[AUS]]))))*CVP)</f>
        <v>377.08148362500003</v>
      </c>
      <c r="AJ24">
        <f>IF(TabCuotasIMSS[[#This Row],[S.B.C./S.D.I.]]&lt;=SMGI,0,((TabCuotasIMSS[[#This Row],[SALARIO
DEL CICLO]]-(TabCuotasIMSS[[#This Row],[S.B.C./S.D.I.]]*(TabCuotasIMSS[[#This Row],[INC]]+TabCuotasIMSS[[#This Row],[AUS]]))))*CVO)</f>
        <v>0</v>
      </c>
      <c r="AK24">
        <f>SUM(TabCuotasIMSS[[#This Row],[2%]]:TabCuotasIMSS[[#This Row],[OBRERO14]])</f>
        <v>553.49387362500011</v>
      </c>
      <c r="AL24" s="141">
        <f>((TabCuotasIMSS[[#This Row],[SALARIO
DEL CICLO]]-(TabCuotasIMSS[[#This Row],[S.B.C./S.D.I.]]*(TabCuotasIMSS[[#This Row],[AUS]])))*I)</f>
        <v>441.03097500000007</v>
      </c>
      <c r="AM24" s="141">
        <f>TabCuotasIMSS[[#This Row],[TOTAL
O.P.11]]+TabCuotasIMSS[[#This Row],[2%]]+TabCuotasIMSS[[#This Row],[PATRON13]]+TabCuotasIMSS[[#This Row],[5%]]</f>
        <v>1082.7310436250002</v>
      </c>
      <c r="AN24" s="141">
        <f>TabCuotasIMSS[[#This Row],[TOTAL
OBRERO]]+TabCuotasIMSS[[#This Row],[OBRERO14]]</f>
        <v>0</v>
      </c>
    </row>
    <row r="25" spans="1:40" x14ac:dyDescent="0.25">
      <c r="A25" s="2">
        <v>17</v>
      </c>
      <c r="B25" s="1" cm="1">
        <f t="array" ref="B25">VLOOKUP(TabCuotasIMSS[[#This Row],[ID]],TabEmpleados[],COLUMN(TabEmpleados[Fecha de alta NSS]),FALSE)</f>
        <v>41198</v>
      </c>
      <c r="C25" t="str" cm="1">
        <f t="array" ref="C25">VLOOKUP(TabCuotasIMSS[[#This Row],[ID]],TabEmpleados[],COLUMN(TabEmpleados[Nombre]),FALSE)</f>
        <v>ANTONIO ENRIQUEZ GERMAN</v>
      </c>
      <c r="D25" cm="1">
        <f t="array" ref="D25">IF(VLOOKUP(TabCuotasIMSS[[#This Row],[ID]],TabEmpleados[],COLUMN(TabEmpleados[Fecha de alta NSS]),FALSE)&lt;&gt;"",VLOOKUP(TabCuotasIMSS[[#This Row],[ID]],TabAsistencias[],COLUMN(TabAsistencias[''Total de dias laborados]),FALSE),0)</f>
        <v>73</v>
      </c>
      <c r="E25" cm="1">
        <f t="array" ref="E25">IF(VLOOKUP(TabCuotasIMSS[[#This Row],[ID]],TabEmpleados[],COLUMN(TabEmpleados[Fecha de alta NSS]),FALSE)&lt;&gt;"",IF(DATEDIF((VLOOKUP(TabCuotasIMSS[[#This Row],[ID]],TabEmpleados[],COLUMN(TabEmpleados[Fecha de alta NSS]),FALSE)),'Tablas de informacion'!N$8,"Y")=0,1,DATEDIF((VLOOKUP(TabCuotasIMSS[[#This Row],[ID]],TabEmpleados[],COLUMN(TabEmpleados[Fecha de alta NSS]),FALSE)),'Tablas de informacion'!N$8,"Y")),0)</f>
        <v>10</v>
      </c>
      <c r="F25" s="55" cm="1">
        <f t="array" ref="F25">VLOOKUP(TabCuotasIMSS[[#This Row],[ID]],TabEmpleados[],COLUMN(TabEmpleados[SD Fiscal]),FALSE)</f>
        <v>173</v>
      </c>
      <c r="G25" s="55" cm="1">
        <f t="array" ref="G25">IFERROR((VLOOKUP((VLOOKUP(TabCuotasIMSS[[#This Row],[ID]],TabEmpleados[],COLUMN(TabEmpleados[Puesto]),FALSE)),TabPuestos[],COLUMN(TabPuestos[N° ALIMENTOS]),FALSE))*TabCuotasIMSS[[#This Row],[Salario Diario]]*(VLOOKUP(TabCuotasIMSS[[#This Row],[Años]],TabFactorIntegracion[],COLUMN(TabFactorIntegracion[% por alimento]))),0)</f>
        <v>14.4109</v>
      </c>
      <c r="H25" s="55" cm="1">
        <f t="array" ref="H25">IFERROR((VLOOKUP((VLOOKUP(TabCuotasIMSS[[#This Row],[ID]],TabEmpleados[],COLUMN(TabEmpleados[Puesto]),FALSE)),TabPuestos[],COLUMN(TabPuestos[PRIMA DOMINICAL]),FALSE))*TabCuotasIMSS[[#This Row],[Salario Diario]]*(VLOOKUP(TabCuotasIMSS[[#This Row],[Años]],TabFactorIntegracion[],COLUMN(TabFactorIntegracion[PRIMA
DOMINICAL]))),0)</f>
        <v>3.1400684931506846</v>
      </c>
      <c r="I25" s="55" cm="1">
        <f t="array" ref="I25">IFERROR(TabCuotasIMSS[[#This Row],[Salario Diario]]*(VLOOKUP(TabCuotasIMSS[[#This Row],[Años]],TabFactorIntegracion[],COLUMN(TabFactorIntegracion[FACTOR DE
INTEGRACIÓN]))),0)</f>
        <v>9.4794520547945194</v>
      </c>
      <c r="J25" s="174">
        <f>IFERROR(TabCuotasIMSS[[#This Row],[Salario Diario]]+TabCuotasIMSS[[#This Row],[Alimentos]]+TabCuotasIMSS[[#This Row],[Prima Dominical]]+TabCuotasIMSS[[#This Row],[Factor de Integracion]],0)</f>
        <v>200.0304205479452</v>
      </c>
      <c r="K25" cm="1">
        <f t="array" ref="K25">VLOOKUP(TabCuotasIMSS[[#This Row],[ID]],TabAsistencias[],COLUMN(TabAsistencias[''I]),FALSE)+VLOOKUP(TabCuotasIMSS[[#This Row],[ID]],TabAsistencias[],COLUMN(TabAsistencias[''IG]),FALSE)</f>
        <v>0</v>
      </c>
      <c r="L25" cm="1">
        <f t="array" ref="L25">VLOOKUP(TabCuotasIMSS[[#This Row],[ID]],TabAsistencias[],COLUMN(TabAsistencias[''F]),FALSE)</f>
        <v>0</v>
      </c>
      <c r="M25" s="141">
        <f>TabCuotasIMSS[[#This Row],[S.B.C./S.D.I.]]*TabCuotasIMSS[[#This Row],[DÍAS
LAB.]]</f>
        <v>14602.2207</v>
      </c>
      <c r="N25" s="141">
        <f>(SMDF*CF*(TabCuotasIMSS[[#This Row],[DÍAS
LAB.]]-TabCuotasIMSS[[#This Row],[INC]]))</f>
        <v>1432.90824</v>
      </c>
      <c r="O25" s="55">
        <f>IF(TabCuotasIMSS[[#This Row],[S.B.C./S.D.I.]]&gt;SMDF3,((TabCuotasIMSS[[#This Row],[S.B.C./S.D.I.]]-SMDF3)*CFP*(TabCuotasIMSS[[#This Row],[DÍAS
LAB.]]-TabCuotasIMSS[[#This Row],[INC]])),0)</f>
        <v>0</v>
      </c>
      <c r="P25" s="55">
        <f>IF(TabCuotasIMSS[[#This Row],[S.B.C./S.D.I.]]&gt;SMDF3,((TabCuotasIMSS[[#This Row],[S.B.C./S.D.I.]]-SMDF3)*CFO*(TabCuotasIMSS[[#This Row],[DÍAS
LAB.]]-TabCuotasIMSS[[#This Row],[INC]])),0)</f>
        <v>0</v>
      </c>
      <c r="Q25" s="55">
        <f>TabCuotasIMSS[[#This Row],[EXCED.
PATRON]]+TabCuotasIMSS[[#This Row],[EXCED.
OBRERO]]</f>
        <v>0</v>
      </c>
      <c r="R25" s="55">
        <f>IF(TabCuotasIMSS[[#This Row],[S.B.C./S.D.I.]]&lt;=SMGI,((TabCuotasIMSS[[#This Row],[SALARIO
DEL CICLO]]-(TabCuotasIMSS[[#This Row],[S.B.C./S.D.I.]]*TabCuotasIMSS[[#This Row],[INC]])))*PD,((TabCuotasIMSS[[#This Row],[SALARIO
DEL CICLO]]-(TabCuotasIMSS[[#This Row],[S.B.C./S.D.I.]]*TabCuotasIMSS[[#This Row],[INC]]))*PDP))</f>
        <v>102.2155449</v>
      </c>
      <c r="S25" s="55">
        <f>IF(TabCuotasIMSS[[#This Row],[S.B.C./S.D.I.]]&lt;=SMGI,0,((TabCuotasIMSS[[#This Row],[SALARIO
DEL CICLO]]-(TabCuotasIMSS[[#This Row],[S.B.C./S.D.I.]]*TabCuotasIMSS[[#This Row],[INC]]))*PDO))</f>
        <v>36.505551750000002</v>
      </c>
      <c r="T25" s="55">
        <f>TabCuotasIMSS[[#This Row],[PATRON2]]+TabCuotasIMSS[[#This Row],[OBRERO]]</f>
        <v>138.72109664999999</v>
      </c>
      <c r="U25" s="55">
        <f>IF(TabCuotasIMSS[[#This Row],[S.B.C./S.D.I.]]&lt;=SMGI,((TabCuotasIMSS[[#This Row],[SALARIO
DEL CICLO]]-(TabCuotasIMSS[[#This Row],[S.B.C./S.D.I.]]*TabCuotasIMSS[[#This Row],[INC]])))*GMP,((TabCuotasIMSS[[#This Row],[SALARIO
DEL CICLO]]-(TabCuotasIMSS[[#This Row],[S.B.C./S.D.I.]]*TabCuotasIMSS[[#This Row],[INC]])))*GMPP)</f>
        <v>153.32331735</v>
      </c>
      <c r="V25" s="55">
        <f>IF(TabCuotasIMSS[[#This Row],[S.B.C./S.D.I.]]&lt;=SMGI,0,((TabCuotasIMSS[[#This Row],[SALARIO
DEL CICLO]]-(TabCuotasIMSS[[#This Row],[S.B.C./S.D.I.]]*TabCuotasIMSS[[#This Row],[INC]])))*GMPO)</f>
        <v>54.758327625</v>
      </c>
      <c r="W25" s="55">
        <f>TabCuotasIMSS[[#This Row],[PATRON3]]+TabCuotasIMSS[[#This Row],[OBRERO4]]</f>
        <v>208.08164497499999</v>
      </c>
      <c r="X25" s="141">
        <f>((TabCuotasIMSS[[#This Row],[SALARIO
DEL CICLO]]-(TabCuotasIMSS[[#This Row],[S.B.C./S.D.I.]]*(TabCuotasIMSS[[#This Row],[INC]]+TabCuotasIMSS[[#This Row],[AUS]]))))*PRTP</f>
        <v>7301.1103499999999</v>
      </c>
      <c r="Y25" s="55">
        <f>IF(TabCuotasIMSS[[#This Row],[S.B.C./S.D.I.]]&lt;=SMGI,((TabCuotasIMSS[[#This Row],[SALARIO
DEL CICLO]]-(TabCuotasIMSS[[#This Row],[S.B.C./S.D.I.]]*(TabCuotasIMSS[[#This Row],[INC]]+TabCuotasIMSS[[#This Row],[AUS]]))))*IV,((TabCuotasIMSS[[#This Row],[SALARIO
DEL CICLO]]-(TabCuotasIMSS[[#This Row],[S.B.C./S.D.I.]]*(TabCuotasIMSS[[#This Row],[INC]]+TabCuotasIMSS[[#This Row],[AUS]]))))*IVP)</f>
        <v>255.53886225000002</v>
      </c>
      <c r="Z25" s="55">
        <f>IF(TabCuotasIMSS[[#This Row],[S.B.C./S.D.I.]]&lt;=SMGI,0,((TabCuotasIMSS[[#This Row],[SALARIO
DEL CICLO]]-(TabCuotasIMSS[[#This Row],[S.B.C./S.D.I.]]*(TabCuotasIMSS[[#This Row],[INC]]+TabCuotasIMSS[[#This Row],[AUS]]))))*IVO)</f>
        <v>91.263879375000002</v>
      </c>
      <c r="AA25" s="55">
        <f>TabCuotasIMSS[[#This Row],[PATRON6]]+TabCuotasIMSS[[#This Row],[OBRERO7]]</f>
        <v>346.80274162500001</v>
      </c>
      <c r="AB25" s="141">
        <f>((TabCuotasIMSS[[#This Row],[SALARIO
DEL CICLO]]-(TabCuotasIMSS[[#This Row],[S.B.C./S.D.I.]]*(TabCuotasIMSS[[#This Row],[INC]]+TabCuotasIMSS[[#This Row],[AUS]]))))*GPS</f>
        <v>146.02220700000001</v>
      </c>
      <c r="AC25" s="141">
        <f>TabCuotasIMSS[[#This Row],[SALARIO
DEL CICLO]]*0</f>
        <v>0</v>
      </c>
      <c r="AD25" s="141">
        <f>TabCuotasIMSS[[#This Row],[PATRON9]]+TabCuotasIMSS[[#This Row],[OBRERO10]]</f>
        <v>146.02220700000001</v>
      </c>
      <c r="AE25" s="233">
        <f>TabCuotasIMSS[[#This Row],[PATRON]]+TabCuotasIMSS[[#This Row],[EXCED.
PATRON]]+TabCuotasIMSS[[#This Row],[PATRON2]]+TabCuotasIMSS[[#This Row],[PATRON3]]+TabCuotasIMSS[[#This Row],[PATRON
0.50%]]+TabCuotasIMSS[[#This Row],[PATRON6]]+TabCuotasIMSS[[#This Row],[PATRON9]]</f>
        <v>9391.1185214999987</v>
      </c>
      <c r="AF25" s="233">
        <f>TabCuotasIMSS[[#This Row],[EXCED.
OBRERO]]+TabCuotasIMSS[[#This Row],[OBRERO]]+TabCuotasIMSS[[#This Row],[OBRERO4]]+TabCuotasIMSS[[#This Row],[OBRERO7]]+TabCuotasIMSS[[#This Row],[OBRERO10]]</f>
        <v>182.52775875</v>
      </c>
      <c r="AG25" s="233">
        <f>TabCuotasIMSS[[#This Row],[TOTAL
PATRONAL]]+TabCuotasIMSS[[#This Row],[TOTAL
OBRERO]]</f>
        <v>9573.6462802499991</v>
      </c>
      <c r="AH25" s="141">
        <f>((TabCuotasIMSS[[#This Row],[SALARIO
DEL CICLO]]-(TabCuotasIMSS[[#This Row],[S.B.C./S.D.I.]]*TabCuotasIMSS[[#This Row],[AUS]]))*R_)</f>
        <v>292.04441400000002</v>
      </c>
      <c r="AI25">
        <f>IF(TabCuotasIMSS[[#This Row],[S.B.C./S.D.I.]]&lt;=SMGI,((TabCuotasIMSS[[#This Row],[SALARIO
DEL CICLO]]-(TabCuotasIMSS[[#This Row],[S.B.C./S.D.I.]]*(TabCuotasIMSS[[#This Row],[INC]]+TabCuotasIMSS[[#This Row],[AUS]]))))*CV,((TabCuotasIMSS[[#This Row],[SALARIO
DEL CICLO]]-(TabCuotasIMSS[[#This Row],[S.B.C./S.D.I.]]*(TabCuotasIMSS[[#This Row],[INC]]+TabCuotasIMSS[[#This Row],[AUS]]))))*CVP)</f>
        <v>459.96995205000002</v>
      </c>
      <c r="AJ25">
        <f>IF(TabCuotasIMSS[[#This Row],[S.B.C./S.D.I.]]&lt;=SMGI,0,((TabCuotasIMSS[[#This Row],[SALARIO
DEL CICLO]]-(TabCuotasIMSS[[#This Row],[S.B.C./S.D.I.]]*(TabCuotasIMSS[[#This Row],[INC]]+TabCuotasIMSS[[#This Row],[AUS]]))))*CVO)</f>
        <v>164.27498287500001</v>
      </c>
      <c r="AK25">
        <f>SUM(TabCuotasIMSS[[#This Row],[2%]]:TabCuotasIMSS[[#This Row],[OBRERO14]])</f>
        <v>916.28934892500001</v>
      </c>
      <c r="AL25" s="141">
        <f>((TabCuotasIMSS[[#This Row],[SALARIO
DEL CICLO]]-(TabCuotasIMSS[[#This Row],[S.B.C./S.D.I.]]*(TabCuotasIMSS[[#This Row],[AUS]])))*I)</f>
        <v>730.11103500000002</v>
      </c>
      <c r="AM25" s="141">
        <f>TabCuotasIMSS[[#This Row],[TOTAL
O.P.11]]+TabCuotasIMSS[[#This Row],[2%]]+TabCuotasIMSS[[#This Row],[PATRON13]]+TabCuotasIMSS[[#This Row],[5%]]</f>
        <v>1628.1476080500001</v>
      </c>
      <c r="AN25" s="141">
        <f>TabCuotasIMSS[[#This Row],[TOTAL
OBRERO]]+TabCuotasIMSS[[#This Row],[OBRERO14]]</f>
        <v>346.80274162500001</v>
      </c>
    </row>
    <row r="26" spans="1:40" x14ac:dyDescent="0.25">
      <c r="A26" s="2">
        <v>18</v>
      </c>
      <c r="B26" s="1" cm="1">
        <f t="array" ref="B26">VLOOKUP(TabCuotasIMSS[[#This Row],[ID]],TabEmpleados[],COLUMN(TabEmpleados[Fecha de alta NSS]),FALSE)</f>
        <v>44509</v>
      </c>
      <c r="C26" t="str" cm="1">
        <f t="array" ref="C26">VLOOKUP(TabCuotasIMSS[[#This Row],[ID]],TabEmpleados[],COLUMN(TabEmpleados[Nombre]),FALSE)</f>
        <v>RAMIREZ SANTIAGO IRVIN DANIEL</v>
      </c>
      <c r="D26" cm="1">
        <f t="array" ref="D26">IF(VLOOKUP(TabCuotasIMSS[[#This Row],[ID]],TabEmpleados[],COLUMN(TabEmpleados[Fecha de alta NSS]),FALSE)&lt;&gt;"",VLOOKUP(TabCuotasIMSS[[#This Row],[ID]],TabAsistencias[],COLUMN(TabAsistencias[''Total de dias laborados]),FALSE),0)</f>
        <v>73</v>
      </c>
      <c r="E26" cm="1">
        <f t="array" ref="E26">IF(VLOOKUP(TabCuotasIMSS[[#This Row],[ID]],TabEmpleados[],COLUMN(TabEmpleados[Fecha de alta NSS]),FALSE)&lt;&gt;"",IF(DATEDIF((VLOOKUP(TabCuotasIMSS[[#This Row],[ID]],TabEmpleados[],COLUMN(TabEmpleados[Fecha de alta NSS]),FALSE)),'Tablas de informacion'!N$8,"Y")=0,1,DATEDIF((VLOOKUP(TabCuotasIMSS[[#This Row],[ID]],TabEmpleados[],COLUMN(TabEmpleados[Fecha de alta NSS]),FALSE)),'Tablas de informacion'!N$8,"Y")),0)</f>
        <v>1</v>
      </c>
      <c r="F26" s="55" cm="1">
        <f t="array" ref="F26">VLOOKUP(TabCuotasIMSS[[#This Row],[ID]],TabEmpleados[],COLUMN(TabEmpleados[SD Fiscal]),FALSE)</f>
        <v>105</v>
      </c>
      <c r="G26" s="55" cm="1">
        <f t="array" ref="G26">IFERROR((VLOOKUP((VLOOKUP(TabCuotasIMSS[[#This Row],[ID]],TabEmpleados[],COLUMN(TabEmpleados[Puesto]),FALSE)),TabPuestos[],COLUMN(TabPuestos[N° ALIMENTOS]),FALSE))*TabCuotasIMSS[[#This Row],[Salario Diario]]*(VLOOKUP(TabCuotasIMSS[[#This Row],[Años]],TabFactorIntegracion[],COLUMN(TabFactorIntegracion[% por alimento]))),0)</f>
        <v>8.7464999999999993</v>
      </c>
      <c r="H26" s="55" cm="1">
        <f t="array" ref="H26">IFERROR((VLOOKUP((VLOOKUP(TabCuotasIMSS[[#This Row],[ID]],TabEmpleados[],COLUMN(TabEmpleados[Puesto]),FALSE)),TabPuestos[],COLUMN(TabPuestos[PRIMA DOMINICAL]),FALSE))*TabCuotasIMSS[[#This Row],[Salario Diario]]*(VLOOKUP(TabCuotasIMSS[[#This Row],[Años]],TabFactorIntegracion[],COLUMN(TabFactorIntegracion[PRIMA
DOMINICAL]))),0)</f>
        <v>1.905821917808219</v>
      </c>
      <c r="I26" s="55" cm="1">
        <f t="array" ref="I26">IFERROR(TabCuotasIMSS[[#This Row],[Salario Diario]]*(VLOOKUP(TabCuotasIMSS[[#This Row],[Años]],TabFactorIntegracion[],COLUMN(TabFactorIntegracion[FACTOR DE
INTEGRACIÓN]))),0)</f>
        <v>5.1780821917808222</v>
      </c>
      <c r="J26" s="174">
        <f>IFERROR(TabCuotasIMSS[[#This Row],[Salario Diario]]+TabCuotasIMSS[[#This Row],[Alimentos]]+TabCuotasIMSS[[#This Row],[Prima Dominical]]+TabCuotasIMSS[[#This Row],[Factor de Integracion]],0)</f>
        <v>120.83040410958904</v>
      </c>
      <c r="K26" cm="1">
        <f t="array" ref="K26">VLOOKUP(TabCuotasIMSS[[#This Row],[ID]],TabAsistencias[],COLUMN(TabAsistencias[''I]),FALSE)+VLOOKUP(TabCuotasIMSS[[#This Row],[ID]],TabAsistencias[],COLUMN(TabAsistencias[''IG]),FALSE)</f>
        <v>0</v>
      </c>
      <c r="L26" cm="1">
        <f t="array" ref="L26">VLOOKUP(TabCuotasIMSS[[#This Row],[ID]],TabAsistencias[],COLUMN(TabAsistencias[''F]),FALSE)</f>
        <v>0</v>
      </c>
      <c r="M26" s="141">
        <f>TabCuotasIMSS[[#This Row],[S.B.C./S.D.I.]]*TabCuotasIMSS[[#This Row],[DÍAS
LAB.]]</f>
        <v>8820.6195000000007</v>
      </c>
      <c r="N26" s="141">
        <f>(SMDF*CF*(TabCuotasIMSS[[#This Row],[DÍAS
LAB.]]-TabCuotasIMSS[[#This Row],[INC]]))</f>
        <v>1432.90824</v>
      </c>
      <c r="O26" s="55">
        <f>IF(TabCuotasIMSS[[#This Row],[S.B.C./S.D.I.]]&gt;SMDF3,((TabCuotasIMSS[[#This Row],[S.B.C./S.D.I.]]-SMDF3)*CFP*(TabCuotasIMSS[[#This Row],[DÍAS
LAB.]]-TabCuotasIMSS[[#This Row],[INC]])),0)</f>
        <v>0</v>
      </c>
      <c r="P26" s="55">
        <f>IF(TabCuotasIMSS[[#This Row],[S.B.C./S.D.I.]]&gt;SMDF3,((TabCuotasIMSS[[#This Row],[S.B.C./S.D.I.]]-SMDF3)*CFO*(TabCuotasIMSS[[#This Row],[DÍAS
LAB.]]-TabCuotasIMSS[[#This Row],[INC]])),0)</f>
        <v>0</v>
      </c>
      <c r="Q26" s="55">
        <f>TabCuotasIMSS[[#This Row],[EXCED.
PATRON]]+TabCuotasIMSS[[#This Row],[EXCED.
OBRERO]]</f>
        <v>0</v>
      </c>
      <c r="R26" s="55">
        <f>IF(TabCuotasIMSS[[#This Row],[S.B.C./S.D.I.]]&lt;=SMGI,((TabCuotasIMSS[[#This Row],[SALARIO
DEL CICLO]]-(TabCuotasIMSS[[#This Row],[S.B.C./S.D.I.]]*TabCuotasIMSS[[#This Row],[INC]])))*PD,((TabCuotasIMSS[[#This Row],[SALARIO
DEL CICLO]]-(TabCuotasIMSS[[#This Row],[S.B.C./S.D.I.]]*TabCuotasIMSS[[#This Row],[INC]]))*PDP))</f>
        <v>83.795885249999998</v>
      </c>
      <c r="S26" s="55">
        <f>IF(TabCuotasIMSS[[#This Row],[S.B.C./S.D.I.]]&lt;=SMGI,0,((TabCuotasIMSS[[#This Row],[SALARIO
DEL CICLO]]-(TabCuotasIMSS[[#This Row],[S.B.C./S.D.I.]]*TabCuotasIMSS[[#This Row],[INC]]))*PDO))</f>
        <v>0</v>
      </c>
      <c r="T26" s="55">
        <f>TabCuotasIMSS[[#This Row],[PATRON2]]+TabCuotasIMSS[[#This Row],[OBRERO]]</f>
        <v>83.795885249999998</v>
      </c>
      <c r="U26" s="55">
        <f>IF(TabCuotasIMSS[[#This Row],[S.B.C./S.D.I.]]&lt;=SMGI,((TabCuotasIMSS[[#This Row],[SALARIO
DEL CICLO]]-(TabCuotasIMSS[[#This Row],[S.B.C./S.D.I.]]*TabCuotasIMSS[[#This Row],[INC]])))*GMP,((TabCuotasIMSS[[#This Row],[SALARIO
DEL CICLO]]-(TabCuotasIMSS[[#This Row],[S.B.C./S.D.I.]]*TabCuotasIMSS[[#This Row],[INC]])))*GMPP)</f>
        <v>125.69382787500001</v>
      </c>
      <c r="V26" s="55">
        <f>IF(TabCuotasIMSS[[#This Row],[S.B.C./S.D.I.]]&lt;=SMGI,0,((TabCuotasIMSS[[#This Row],[SALARIO
DEL CICLO]]-(TabCuotasIMSS[[#This Row],[S.B.C./S.D.I.]]*TabCuotasIMSS[[#This Row],[INC]])))*GMPO)</f>
        <v>0</v>
      </c>
      <c r="W26" s="55">
        <f>TabCuotasIMSS[[#This Row],[PATRON3]]+TabCuotasIMSS[[#This Row],[OBRERO4]]</f>
        <v>125.69382787500001</v>
      </c>
      <c r="X26" s="141">
        <f>((TabCuotasIMSS[[#This Row],[SALARIO
DEL CICLO]]-(TabCuotasIMSS[[#This Row],[S.B.C./S.D.I.]]*(TabCuotasIMSS[[#This Row],[INC]]+TabCuotasIMSS[[#This Row],[AUS]]))))*PRTP</f>
        <v>4410.3097500000003</v>
      </c>
      <c r="Y26" s="55">
        <f>IF(TabCuotasIMSS[[#This Row],[S.B.C./S.D.I.]]&lt;=SMGI,((TabCuotasIMSS[[#This Row],[SALARIO
DEL CICLO]]-(TabCuotasIMSS[[#This Row],[S.B.C./S.D.I.]]*(TabCuotasIMSS[[#This Row],[INC]]+TabCuotasIMSS[[#This Row],[AUS]]))))*IV,((TabCuotasIMSS[[#This Row],[SALARIO
DEL CICLO]]-(TabCuotasIMSS[[#This Row],[S.B.C./S.D.I.]]*(TabCuotasIMSS[[#This Row],[INC]]+TabCuotasIMSS[[#This Row],[AUS]]))))*IVP)</f>
        <v>209.48971312500001</v>
      </c>
      <c r="Z26" s="55">
        <f>IF(TabCuotasIMSS[[#This Row],[S.B.C./S.D.I.]]&lt;=SMGI,0,((TabCuotasIMSS[[#This Row],[SALARIO
DEL CICLO]]-(TabCuotasIMSS[[#This Row],[S.B.C./S.D.I.]]*(TabCuotasIMSS[[#This Row],[INC]]+TabCuotasIMSS[[#This Row],[AUS]]))))*IVO)</f>
        <v>0</v>
      </c>
      <c r="AA26" s="55">
        <f>TabCuotasIMSS[[#This Row],[PATRON6]]+TabCuotasIMSS[[#This Row],[OBRERO7]]</f>
        <v>209.48971312500001</v>
      </c>
      <c r="AB26" s="141">
        <f>((TabCuotasIMSS[[#This Row],[SALARIO
DEL CICLO]]-(TabCuotasIMSS[[#This Row],[S.B.C./S.D.I.]]*(TabCuotasIMSS[[#This Row],[INC]]+TabCuotasIMSS[[#This Row],[AUS]]))))*GPS</f>
        <v>88.206195000000008</v>
      </c>
      <c r="AC26" s="141">
        <f>TabCuotasIMSS[[#This Row],[SALARIO
DEL CICLO]]*0</f>
        <v>0</v>
      </c>
      <c r="AD26" s="141">
        <f>TabCuotasIMSS[[#This Row],[PATRON9]]+TabCuotasIMSS[[#This Row],[OBRERO10]]</f>
        <v>88.206195000000008</v>
      </c>
      <c r="AE26" s="233">
        <f>TabCuotasIMSS[[#This Row],[PATRON]]+TabCuotasIMSS[[#This Row],[EXCED.
PATRON]]+TabCuotasIMSS[[#This Row],[PATRON2]]+TabCuotasIMSS[[#This Row],[PATRON3]]+TabCuotasIMSS[[#This Row],[PATRON
0.50%]]+TabCuotasIMSS[[#This Row],[PATRON6]]+TabCuotasIMSS[[#This Row],[PATRON9]]</f>
        <v>6350.4036112500007</v>
      </c>
      <c r="AF26" s="233">
        <f>TabCuotasIMSS[[#This Row],[EXCED.
OBRERO]]+TabCuotasIMSS[[#This Row],[OBRERO]]+TabCuotasIMSS[[#This Row],[OBRERO4]]+TabCuotasIMSS[[#This Row],[OBRERO7]]+TabCuotasIMSS[[#This Row],[OBRERO10]]</f>
        <v>0</v>
      </c>
      <c r="AG26" s="233">
        <f>TabCuotasIMSS[[#This Row],[TOTAL
PATRONAL]]+TabCuotasIMSS[[#This Row],[TOTAL
OBRERO]]</f>
        <v>6350.4036112500007</v>
      </c>
      <c r="AH26" s="141">
        <f>((TabCuotasIMSS[[#This Row],[SALARIO
DEL CICLO]]-(TabCuotasIMSS[[#This Row],[S.B.C./S.D.I.]]*TabCuotasIMSS[[#This Row],[AUS]]))*R_)</f>
        <v>176.41239000000002</v>
      </c>
      <c r="AI26">
        <f>IF(TabCuotasIMSS[[#This Row],[S.B.C./S.D.I.]]&lt;=SMGI,((TabCuotasIMSS[[#This Row],[SALARIO
DEL CICLO]]-(TabCuotasIMSS[[#This Row],[S.B.C./S.D.I.]]*(TabCuotasIMSS[[#This Row],[INC]]+TabCuotasIMSS[[#This Row],[AUS]]))))*CV,((TabCuotasIMSS[[#This Row],[SALARIO
DEL CICLO]]-(TabCuotasIMSS[[#This Row],[S.B.C./S.D.I.]]*(TabCuotasIMSS[[#This Row],[INC]]+TabCuotasIMSS[[#This Row],[AUS]]))))*CVP)</f>
        <v>377.08148362500003</v>
      </c>
      <c r="AJ26">
        <f>IF(TabCuotasIMSS[[#This Row],[S.B.C./S.D.I.]]&lt;=SMGI,0,((TabCuotasIMSS[[#This Row],[SALARIO
DEL CICLO]]-(TabCuotasIMSS[[#This Row],[S.B.C./S.D.I.]]*(TabCuotasIMSS[[#This Row],[INC]]+TabCuotasIMSS[[#This Row],[AUS]]))))*CVO)</f>
        <v>0</v>
      </c>
      <c r="AK26">
        <f>SUM(TabCuotasIMSS[[#This Row],[2%]]:TabCuotasIMSS[[#This Row],[OBRERO14]])</f>
        <v>553.49387362500011</v>
      </c>
      <c r="AL26" s="141">
        <f>((TabCuotasIMSS[[#This Row],[SALARIO
DEL CICLO]]-(TabCuotasIMSS[[#This Row],[S.B.C./S.D.I.]]*(TabCuotasIMSS[[#This Row],[AUS]])))*I)</f>
        <v>441.03097500000007</v>
      </c>
      <c r="AM26" s="141">
        <f>TabCuotasIMSS[[#This Row],[TOTAL
O.P.11]]+TabCuotasIMSS[[#This Row],[2%]]+TabCuotasIMSS[[#This Row],[PATRON13]]+TabCuotasIMSS[[#This Row],[5%]]</f>
        <v>1082.7310436250002</v>
      </c>
      <c r="AN26" s="141">
        <f>TabCuotasIMSS[[#This Row],[TOTAL
OBRERO]]+TabCuotasIMSS[[#This Row],[OBRERO14]]</f>
        <v>0</v>
      </c>
    </row>
    <row r="27" spans="1:40" x14ac:dyDescent="0.25">
      <c r="A27" s="2">
        <v>19</v>
      </c>
      <c r="B27" s="1" cm="1">
        <f t="array" ref="B27">VLOOKUP(TabCuotasIMSS[[#This Row],[ID]],TabEmpleados[],COLUMN(TabEmpleados[Fecha de alta NSS]),FALSE)</f>
        <v>44509</v>
      </c>
      <c r="C27" t="str" cm="1">
        <f t="array" ref="C27">VLOOKUP(TabCuotasIMSS[[#This Row],[ID]],TabEmpleados[],COLUMN(TabEmpleados[Nombre]),FALSE)</f>
        <v>SOSA ALCÁNTARA JOSUE</v>
      </c>
      <c r="D27" cm="1">
        <f t="array" ref="D27">IF(VLOOKUP(TabCuotasIMSS[[#This Row],[ID]],TabEmpleados[],COLUMN(TabEmpleados[Fecha de alta NSS]),FALSE)&lt;&gt;"",VLOOKUP(TabCuotasIMSS[[#This Row],[ID]],TabAsistencias[],COLUMN(TabAsistencias[''Total de dias laborados]),FALSE),0)</f>
        <v>73</v>
      </c>
      <c r="E27" cm="1">
        <f t="array" ref="E27">IF(VLOOKUP(TabCuotasIMSS[[#This Row],[ID]],TabEmpleados[],COLUMN(TabEmpleados[Fecha de alta NSS]),FALSE)&lt;&gt;"",IF(DATEDIF((VLOOKUP(TabCuotasIMSS[[#This Row],[ID]],TabEmpleados[],COLUMN(TabEmpleados[Fecha de alta NSS]),FALSE)),'Tablas de informacion'!N$8,"Y")=0,1,DATEDIF((VLOOKUP(TabCuotasIMSS[[#This Row],[ID]],TabEmpleados[],COLUMN(TabEmpleados[Fecha de alta NSS]),FALSE)),'Tablas de informacion'!N$8,"Y")),0)</f>
        <v>1</v>
      </c>
      <c r="F27" s="55" cm="1">
        <f t="array" ref="F27">VLOOKUP(TabCuotasIMSS[[#This Row],[ID]],TabEmpleados[],COLUMN(TabEmpleados[SD Fiscal]),FALSE)</f>
        <v>135</v>
      </c>
      <c r="G27" s="55" cm="1">
        <f t="array" ref="G27">IFERROR((VLOOKUP((VLOOKUP(TabCuotasIMSS[[#This Row],[ID]],TabEmpleados[],COLUMN(TabEmpleados[Puesto]),FALSE)),TabPuestos[],COLUMN(TabPuestos[N° ALIMENTOS]),FALSE))*TabCuotasIMSS[[#This Row],[Salario Diario]]*(VLOOKUP(TabCuotasIMSS[[#This Row],[Años]],TabFactorIntegracion[],COLUMN(TabFactorIntegracion[% por alimento]))),0)</f>
        <v>11.2455</v>
      </c>
      <c r="H27" s="55" cm="1">
        <f t="array" ref="H27">IFERROR((VLOOKUP((VLOOKUP(TabCuotasIMSS[[#This Row],[ID]],TabEmpleados[],COLUMN(TabEmpleados[Puesto]),FALSE)),TabPuestos[],COLUMN(TabPuestos[PRIMA DOMINICAL]),FALSE))*TabCuotasIMSS[[#This Row],[Salario Diario]]*(VLOOKUP(TabCuotasIMSS[[#This Row],[Años]],TabFactorIntegracion[],COLUMN(TabFactorIntegracion[PRIMA
DOMINICAL]))),0)</f>
        <v>2.4503424657534243</v>
      </c>
      <c r="I27" s="55" cm="1">
        <f t="array" ref="I27">IFERROR(TabCuotasIMSS[[#This Row],[Salario Diario]]*(VLOOKUP(TabCuotasIMSS[[#This Row],[Años]],TabFactorIntegracion[],COLUMN(TabFactorIntegracion[FACTOR DE
INTEGRACIÓN]))),0)</f>
        <v>6.6575342465753424</v>
      </c>
      <c r="J27" s="174">
        <f>IFERROR(TabCuotasIMSS[[#This Row],[Salario Diario]]+TabCuotasIMSS[[#This Row],[Alimentos]]+TabCuotasIMSS[[#This Row],[Prima Dominical]]+TabCuotasIMSS[[#This Row],[Factor de Integracion]],0)</f>
        <v>155.35337671232878</v>
      </c>
      <c r="K27" cm="1">
        <f t="array" ref="K27">VLOOKUP(TabCuotasIMSS[[#This Row],[ID]],TabAsistencias[],COLUMN(TabAsistencias[''I]),FALSE)+VLOOKUP(TabCuotasIMSS[[#This Row],[ID]],TabAsistencias[],COLUMN(TabAsistencias[''IG]),FALSE)</f>
        <v>0</v>
      </c>
      <c r="L27" cm="1">
        <f t="array" ref="L27">VLOOKUP(TabCuotasIMSS[[#This Row],[ID]],TabAsistencias[],COLUMN(TabAsistencias[''F]),FALSE)</f>
        <v>0</v>
      </c>
      <c r="M27" s="141">
        <f>TabCuotasIMSS[[#This Row],[S.B.C./S.D.I.]]*TabCuotasIMSS[[#This Row],[DÍAS
LAB.]]</f>
        <v>11340.7965</v>
      </c>
      <c r="N27" s="141">
        <f>(SMDF*CF*(TabCuotasIMSS[[#This Row],[DÍAS
LAB.]]-TabCuotasIMSS[[#This Row],[INC]]))</f>
        <v>1432.90824</v>
      </c>
      <c r="O27" s="55">
        <f>IF(TabCuotasIMSS[[#This Row],[S.B.C./S.D.I.]]&gt;SMDF3,((TabCuotasIMSS[[#This Row],[S.B.C./S.D.I.]]-SMDF3)*CFP*(TabCuotasIMSS[[#This Row],[DÍAS
LAB.]]-TabCuotasIMSS[[#This Row],[INC]])),0)</f>
        <v>0</v>
      </c>
      <c r="P27" s="55">
        <f>IF(TabCuotasIMSS[[#This Row],[S.B.C./S.D.I.]]&gt;SMDF3,((TabCuotasIMSS[[#This Row],[S.B.C./S.D.I.]]-SMDF3)*CFO*(TabCuotasIMSS[[#This Row],[DÍAS
LAB.]]-TabCuotasIMSS[[#This Row],[INC]])),0)</f>
        <v>0</v>
      </c>
      <c r="Q27" s="55">
        <f>TabCuotasIMSS[[#This Row],[EXCED.
PATRON]]+TabCuotasIMSS[[#This Row],[EXCED.
OBRERO]]</f>
        <v>0</v>
      </c>
      <c r="R27" s="55">
        <f>IF(TabCuotasIMSS[[#This Row],[S.B.C./S.D.I.]]&lt;=SMGI,((TabCuotasIMSS[[#This Row],[SALARIO
DEL CICLO]]-(TabCuotasIMSS[[#This Row],[S.B.C./S.D.I.]]*TabCuotasIMSS[[#This Row],[INC]])))*PD,((TabCuotasIMSS[[#This Row],[SALARIO
DEL CICLO]]-(TabCuotasIMSS[[#This Row],[S.B.C./S.D.I.]]*TabCuotasIMSS[[#This Row],[INC]]))*PDP))</f>
        <v>107.73756675</v>
      </c>
      <c r="S27" s="55">
        <f>IF(TabCuotasIMSS[[#This Row],[S.B.C./S.D.I.]]&lt;=SMGI,0,((TabCuotasIMSS[[#This Row],[SALARIO
DEL CICLO]]-(TabCuotasIMSS[[#This Row],[S.B.C./S.D.I.]]*TabCuotasIMSS[[#This Row],[INC]]))*PDO))</f>
        <v>0</v>
      </c>
      <c r="T27" s="55">
        <f>TabCuotasIMSS[[#This Row],[PATRON2]]+TabCuotasIMSS[[#This Row],[OBRERO]]</f>
        <v>107.73756675</v>
      </c>
      <c r="U27" s="55">
        <f>IF(TabCuotasIMSS[[#This Row],[S.B.C./S.D.I.]]&lt;=SMGI,((TabCuotasIMSS[[#This Row],[SALARIO
DEL CICLO]]-(TabCuotasIMSS[[#This Row],[S.B.C./S.D.I.]]*TabCuotasIMSS[[#This Row],[INC]])))*GMP,((TabCuotasIMSS[[#This Row],[SALARIO
DEL CICLO]]-(TabCuotasIMSS[[#This Row],[S.B.C./S.D.I.]]*TabCuotasIMSS[[#This Row],[INC]])))*GMPP)</f>
        <v>161.60635012500001</v>
      </c>
      <c r="V27" s="55">
        <f>IF(TabCuotasIMSS[[#This Row],[S.B.C./S.D.I.]]&lt;=SMGI,0,((TabCuotasIMSS[[#This Row],[SALARIO
DEL CICLO]]-(TabCuotasIMSS[[#This Row],[S.B.C./S.D.I.]]*TabCuotasIMSS[[#This Row],[INC]])))*GMPO)</f>
        <v>0</v>
      </c>
      <c r="W27" s="55">
        <f>TabCuotasIMSS[[#This Row],[PATRON3]]+TabCuotasIMSS[[#This Row],[OBRERO4]]</f>
        <v>161.60635012500001</v>
      </c>
      <c r="X27" s="141">
        <f>((TabCuotasIMSS[[#This Row],[SALARIO
DEL CICLO]]-(TabCuotasIMSS[[#This Row],[S.B.C./S.D.I.]]*(TabCuotasIMSS[[#This Row],[INC]]+TabCuotasIMSS[[#This Row],[AUS]]))))*PRTP</f>
        <v>5670.3982500000002</v>
      </c>
      <c r="Y27" s="55">
        <f>IF(TabCuotasIMSS[[#This Row],[S.B.C./S.D.I.]]&lt;=SMGI,((TabCuotasIMSS[[#This Row],[SALARIO
DEL CICLO]]-(TabCuotasIMSS[[#This Row],[S.B.C./S.D.I.]]*(TabCuotasIMSS[[#This Row],[INC]]+TabCuotasIMSS[[#This Row],[AUS]]))))*IV,((TabCuotasIMSS[[#This Row],[SALARIO
DEL CICLO]]-(TabCuotasIMSS[[#This Row],[S.B.C./S.D.I.]]*(TabCuotasIMSS[[#This Row],[INC]]+TabCuotasIMSS[[#This Row],[AUS]]))))*IVP)</f>
        <v>269.34391687499999</v>
      </c>
      <c r="Z27" s="55">
        <f>IF(TabCuotasIMSS[[#This Row],[S.B.C./S.D.I.]]&lt;=SMGI,0,((TabCuotasIMSS[[#This Row],[SALARIO
DEL CICLO]]-(TabCuotasIMSS[[#This Row],[S.B.C./S.D.I.]]*(TabCuotasIMSS[[#This Row],[INC]]+TabCuotasIMSS[[#This Row],[AUS]]))))*IVO)</f>
        <v>0</v>
      </c>
      <c r="AA27" s="55">
        <f>TabCuotasIMSS[[#This Row],[PATRON6]]+TabCuotasIMSS[[#This Row],[OBRERO7]]</f>
        <v>269.34391687499999</v>
      </c>
      <c r="AB27" s="141">
        <f>((TabCuotasIMSS[[#This Row],[SALARIO
DEL CICLO]]-(TabCuotasIMSS[[#This Row],[S.B.C./S.D.I.]]*(TabCuotasIMSS[[#This Row],[INC]]+TabCuotasIMSS[[#This Row],[AUS]]))))*GPS</f>
        <v>113.407965</v>
      </c>
      <c r="AC27" s="141">
        <f>TabCuotasIMSS[[#This Row],[SALARIO
DEL CICLO]]*0</f>
        <v>0</v>
      </c>
      <c r="AD27" s="141">
        <f>TabCuotasIMSS[[#This Row],[PATRON9]]+TabCuotasIMSS[[#This Row],[OBRERO10]]</f>
        <v>113.407965</v>
      </c>
      <c r="AE27" s="233">
        <f>TabCuotasIMSS[[#This Row],[PATRON]]+TabCuotasIMSS[[#This Row],[EXCED.
PATRON]]+TabCuotasIMSS[[#This Row],[PATRON2]]+TabCuotasIMSS[[#This Row],[PATRON3]]+TabCuotasIMSS[[#This Row],[PATRON
0.50%]]+TabCuotasIMSS[[#This Row],[PATRON6]]+TabCuotasIMSS[[#This Row],[PATRON9]]</f>
        <v>7755.4022887500005</v>
      </c>
      <c r="AF27" s="233">
        <f>TabCuotasIMSS[[#This Row],[EXCED.
OBRERO]]+TabCuotasIMSS[[#This Row],[OBRERO]]+TabCuotasIMSS[[#This Row],[OBRERO4]]+TabCuotasIMSS[[#This Row],[OBRERO7]]+TabCuotasIMSS[[#This Row],[OBRERO10]]</f>
        <v>0</v>
      </c>
      <c r="AG27" s="233">
        <f>TabCuotasIMSS[[#This Row],[TOTAL
PATRONAL]]+TabCuotasIMSS[[#This Row],[TOTAL
OBRERO]]</f>
        <v>7755.4022887500005</v>
      </c>
      <c r="AH27" s="141">
        <f>((TabCuotasIMSS[[#This Row],[SALARIO
DEL CICLO]]-(TabCuotasIMSS[[#This Row],[S.B.C./S.D.I.]]*TabCuotasIMSS[[#This Row],[AUS]]))*R_)</f>
        <v>226.81593000000001</v>
      </c>
      <c r="AI27">
        <f>IF(TabCuotasIMSS[[#This Row],[S.B.C./S.D.I.]]&lt;=SMGI,((TabCuotasIMSS[[#This Row],[SALARIO
DEL CICLO]]-(TabCuotasIMSS[[#This Row],[S.B.C./S.D.I.]]*(TabCuotasIMSS[[#This Row],[INC]]+TabCuotasIMSS[[#This Row],[AUS]]))))*CV,((TabCuotasIMSS[[#This Row],[SALARIO
DEL CICLO]]-(TabCuotasIMSS[[#This Row],[S.B.C./S.D.I.]]*(TabCuotasIMSS[[#This Row],[INC]]+TabCuotasIMSS[[#This Row],[AUS]]))))*CVP)</f>
        <v>484.81905037500007</v>
      </c>
      <c r="AJ27">
        <f>IF(TabCuotasIMSS[[#This Row],[S.B.C./S.D.I.]]&lt;=SMGI,0,((TabCuotasIMSS[[#This Row],[SALARIO
DEL CICLO]]-(TabCuotasIMSS[[#This Row],[S.B.C./S.D.I.]]*(TabCuotasIMSS[[#This Row],[INC]]+TabCuotasIMSS[[#This Row],[AUS]]))))*CVO)</f>
        <v>0</v>
      </c>
      <c r="AK27">
        <f>SUM(TabCuotasIMSS[[#This Row],[2%]]:TabCuotasIMSS[[#This Row],[OBRERO14]])</f>
        <v>711.63498037500005</v>
      </c>
      <c r="AL27" s="141">
        <f>((TabCuotasIMSS[[#This Row],[SALARIO
DEL CICLO]]-(TabCuotasIMSS[[#This Row],[S.B.C./S.D.I.]]*(TabCuotasIMSS[[#This Row],[AUS]])))*I)</f>
        <v>567.03982500000006</v>
      </c>
      <c r="AM27" s="141">
        <f>TabCuotasIMSS[[#This Row],[TOTAL
O.P.11]]+TabCuotasIMSS[[#This Row],[2%]]+TabCuotasIMSS[[#This Row],[PATRON13]]+TabCuotasIMSS[[#This Row],[5%]]</f>
        <v>1392.0827703750001</v>
      </c>
      <c r="AN27" s="141">
        <f>TabCuotasIMSS[[#This Row],[TOTAL
OBRERO]]+TabCuotasIMSS[[#This Row],[OBRERO14]]</f>
        <v>0</v>
      </c>
    </row>
    <row r="28" spans="1:40" x14ac:dyDescent="0.25">
      <c r="A28" s="2">
        <v>20</v>
      </c>
      <c r="B28" s="1" cm="1">
        <f t="array" ref="B28">VLOOKUP(TabCuotasIMSS[[#This Row],[ID]],TabEmpleados[],COLUMN(TabEmpleados[Fecha de alta NSS]),FALSE)</f>
        <v>44509</v>
      </c>
      <c r="C28" t="str" cm="1">
        <f t="array" ref="C28">VLOOKUP(TabCuotasIMSS[[#This Row],[ID]],TabEmpleados[],COLUMN(TabEmpleados[Nombre]),FALSE)</f>
        <v>DECIDERIO ESPINA ISMAEL</v>
      </c>
      <c r="D28" cm="1">
        <f t="array" ref="D28">IF(VLOOKUP(TabCuotasIMSS[[#This Row],[ID]],TabEmpleados[],COLUMN(TabEmpleados[Fecha de alta NSS]),FALSE)&lt;&gt;"",VLOOKUP(TabCuotasIMSS[[#This Row],[ID]],TabAsistencias[],COLUMN(TabAsistencias[''Total de dias laborados]),FALSE),0)</f>
        <v>73</v>
      </c>
      <c r="E28" cm="1">
        <f t="array" ref="E28">IF(VLOOKUP(TabCuotasIMSS[[#This Row],[ID]],TabEmpleados[],COLUMN(TabEmpleados[Fecha de alta NSS]),FALSE)&lt;&gt;"",IF(DATEDIF((VLOOKUP(TabCuotasIMSS[[#This Row],[ID]],TabEmpleados[],COLUMN(TabEmpleados[Fecha de alta NSS]),FALSE)),'Tablas de informacion'!N$8,"Y")=0,1,DATEDIF((VLOOKUP(TabCuotasIMSS[[#This Row],[ID]],TabEmpleados[],COLUMN(TabEmpleados[Fecha de alta NSS]),FALSE)),'Tablas de informacion'!N$8,"Y")),0)</f>
        <v>1</v>
      </c>
      <c r="F28" s="55" cm="1">
        <f t="array" ref="F28">VLOOKUP(TabCuotasIMSS[[#This Row],[ID]],TabEmpleados[],COLUMN(TabEmpleados[SD Fiscal]),FALSE)</f>
        <v>120</v>
      </c>
      <c r="G28" s="55" cm="1">
        <f t="array" ref="G28">IFERROR((VLOOKUP((VLOOKUP(TabCuotasIMSS[[#This Row],[ID]],TabEmpleados[],COLUMN(TabEmpleados[Puesto]),FALSE)),TabPuestos[],COLUMN(TabPuestos[N° ALIMENTOS]),FALSE))*TabCuotasIMSS[[#This Row],[Salario Diario]]*(VLOOKUP(TabCuotasIMSS[[#This Row],[Años]],TabFactorIntegracion[],COLUMN(TabFactorIntegracion[% por alimento]))),0)</f>
        <v>9.9960000000000004</v>
      </c>
      <c r="H28" s="55" cm="1">
        <f t="array" ref="H28">IFERROR((VLOOKUP((VLOOKUP(TabCuotasIMSS[[#This Row],[ID]],TabEmpleados[],COLUMN(TabEmpleados[Puesto]),FALSE)),TabPuestos[],COLUMN(TabPuestos[PRIMA DOMINICAL]),FALSE))*TabCuotasIMSS[[#This Row],[Salario Diario]]*(VLOOKUP(TabCuotasIMSS[[#This Row],[Años]],TabFactorIntegracion[],COLUMN(TabFactorIntegracion[PRIMA
DOMINICAL]))),0)</f>
        <v>2.1780821917808217</v>
      </c>
      <c r="I28" s="55" cm="1">
        <f t="array" ref="I28">IFERROR(TabCuotasIMSS[[#This Row],[Salario Diario]]*(VLOOKUP(TabCuotasIMSS[[#This Row],[Años]],TabFactorIntegracion[],COLUMN(TabFactorIntegracion[FACTOR DE
INTEGRACIÓN]))),0)</f>
        <v>5.9178082191780819</v>
      </c>
      <c r="J28" s="174">
        <f>IFERROR(TabCuotasIMSS[[#This Row],[Salario Diario]]+TabCuotasIMSS[[#This Row],[Alimentos]]+TabCuotasIMSS[[#This Row],[Prima Dominical]]+TabCuotasIMSS[[#This Row],[Factor de Integracion]],0)</f>
        <v>138.09189041095891</v>
      </c>
      <c r="K28" cm="1">
        <f t="array" ref="K28">VLOOKUP(TabCuotasIMSS[[#This Row],[ID]],TabAsistencias[],COLUMN(TabAsistencias[''I]),FALSE)+VLOOKUP(TabCuotasIMSS[[#This Row],[ID]],TabAsistencias[],COLUMN(TabAsistencias[''IG]),FALSE)</f>
        <v>0</v>
      </c>
      <c r="L28" cm="1">
        <f t="array" ref="L28">VLOOKUP(TabCuotasIMSS[[#This Row],[ID]],TabAsistencias[],COLUMN(TabAsistencias[''F]),FALSE)</f>
        <v>0</v>
      </c>
      <c r="M28" s="141">
        <f>TabCuotasIMSS[[#This Row],[S.B.C./S.D.I.]]*TabCuotasIMSS[[#This Row],[DÍAS
LAB.]]</f>
        <v>10080.708000000001</v>
      </c>
      <c r="N28" s="141">
        <f>(SMDF*CF*(TabCuotasIMSS[[#This Row],[DÍAS
LAB.]]-TabCuotasIMSS[[#This Row],[INC]]))</f>
        <v>1432.90824</v>
      </c>
      <c r="O28" s="55">
        <f>IF(TabCuotasIMSS[[#This Row],[S.B.C./S.D.I.]]&gt;SMDF3,((TabCuotasIMSS[[#This Row],[S.B.C./S.D.I.]]-SMDF3)*CFP*(TabCuotasIMSS[[#This Row],[DÍAS
LAB.]]-TabCuotasIMSS[[#This Row],[INC]])),0)</f>
        <v>0</v>
      </c>
      <c r="P28" s="55">
        <f>IF(TabCuotasIMSS[[#This Row],[S.B.C./S.D.I.]]&gt;SMDF3,((TabCuotasIMSS[[#This Row],[S.B.C./S.D.I.]]-SMDF3)*CFO*(TabCuotasIMSS[[#This Row],[DÍAS
LAB.]]-TabCuotasIMSS[[#This Row],[INC]])),0)</f>
        <v>0</v>
      </c>
      <c r="Q28" s="55">
        <f>TabCuotasIMSS[[#This Row],[EXCED.
PATRON]]+TabCuotasIMSS[[#This Row],[EXCED.
OBRERO]]</f>
        <v>0</v>
      </c>
      <c r="R28" s="55">
        <f>IF(TabCuotasIMSS[[#This Row],[S.B.C./S.D.I.]]&lt;=SMGI,((TabCuotasIMSS[[#This Row],[SALARIO
DEL CICLO]]-(TabCuotasIMSS[[#This Row],[S.B.C./S.D.I.]]*TabCuotasIMSS[[#This Row],[INC]])))*PD,((TabCuotasIMSS[[#This Row],[SALARIO
DEL CICLO]]-(TabCuotasIMSS[[#This Row],[S.B.C./S.D.I.]]*TabCuotasIMSS[[#This Row],[INC]]))*PDP))</f>
        <v>95.766726000000006</v>
      </c>
      <c r="S28" s="55">
        <f>IF(TabCuotasIMSS[[#This Row],[S.B.C./S.D.I.]]&lt;=SMGI,0,((TabCuotasIMSS[[#This Row],[SALARIO
DEL CICLO]]-(TabCuotasIMSS[[#This Row],[S.B.C./S.D.I.]]*TabCuotasIMSS[[#This Row],[INC]]))*PDO))</f>
        <v>0</v>
      </c>
      <c r="T28" s="55">
        <f>TabCuotasIMSS[[#This Row],[PATRON2]]+TabCuotasIMSS[[#This Row],[OBRERO]]</f>
        <v>95.766726000000006</v>
      </c>
      <c r="U28" s="55">
        <f>IF(TabCuotasIMSS[[#This Row],[S.B.C./S.D.I.]]&lt;=SMGI,((TabCuotasIMSS[[#This Row],[SALARIO
DEL CICLO]]-(TabCuotasIMSS[[#This Row],[S.B.C./S.D.I.]]*TabCuotasIMSS[[#This Row],[INC]])))*GMP,((TabCuotasIMSS[[#This Row],[SALARIO
DEL CICLO]]-(TabCuotasIMSS[[#This Row],[S.B.C./S.D.I.]]*TabCuotasIMSS[[#This Row],[INC]])))*GMPP)</f>
        <v>143.65008900000001</v>
      </c>
      <c r="V28" s="55">
        <f>IF(TabCuotasIMSS[[#This Row],[S.B.C./S.D.I.]]&lt;=SMGI,0,((TabCuotasIMSS[[#This Row],[SALARIO
DEL CICLO]]-(TabCuotasIMSS[[#This Row],[S.B.C./S.D.I.]]*TabCuotasIMSS[[#This Row],[INC]])))*GMPO)</f>
        <v>0</v>
      </c>
      <c r="W28" s="55">
        <f>TabCuotasIMSS[[#This Row],[PATRON3]]+TabCuotasIMSS[[#This Row],[OBRERO4]]</f>
        <v>143.65008900000001</v>
      </c>
      <c r="X28" s="141">
        <f>((TabCuotasIMSS[[#This Row],[SALARIO
DEL CICLO]]-(TabCuotasIMSS[[#This Row],[S.B.C./S.D.I.]]*(TabCuotasIMSS[[#This Row],[INC]]+TabCuotasIMSS[[#This Row],[AUS]]))))*PRTP</f>
        <v>5040.3540000000003</v>
      </c>
      <c r="Y28" s="55">
        <f>IF(TabCuotasIMSS[[#This Row],[S.B.C./S.D.I.]]&lt;=SMGI,((TabCuotasIMSS[[#This Row],[SALARIO
DEL CICLO]]-(TabCuotasIMSS[[#This Row],[S.B.C./S.D.I.]]*(TabCuotasIMSS[[#This Row],[INC]]+TabCuotasIMSS[[#This Row],[AUS]]))))*IV,((TabCuotasIMSS[[#This Row],[SALARIO
DEL CICLO]]-(TabCuotasIMSS[[#This Row],[S.B.C./S.D.I.]]*(TabCuotasIMSS[[#This Row],[INC]]+TabCuotasIMSS[[#This Row],[AUS]]))))*IVP)</f>
        <v>239.41681500000001</v>
      </c>
      <c r="Z28" s="55">
        <f>IF(TabCuotasIMSS[[#This Row],[S.B.C./S.D.I.]]&lt;=SMGI,0,((TabCuotasIMSS[[#This Row],[SALARIO
DEL CICLO]]-(TabCuotasIMSS[[#This Row],[S.B.C./S.D.I.]]*(TabCuotasIMSS[[#This Row],[INC]]+TabCuotasIMSS[[#This Row],[AUS]]))))*IVO)</f>
        <v>0</v>
      </c>
      <c r="AA28" s="55">
        <f>TabCuotasIMSS[[#This Row],[PATRON6]]+TabCuotasIMSS[[#This Row],[OBRERO7]]</f>
        <v>239.41681500000001</v>
      </c>
      <c r="AB28" s="141">
        <f>((TabCuotasIMSS[[#This Row],[SALARIO
DEL CICLO]]-(TabCuotasIMSS[[#This Row],[S.B.C./S.D.I.]]*(TabCuotasIMSS[[#This Row],[INC]]+TabCuotasIMSS[[#This Row],[AUS]]))))*GPS</f>
        <v>100.80708000000001</v>
      </c>
      <c r="AC28" s="141">
        <f>TabCuotasIMSS[[#This Row],[SALARIO
DEL CICLO]]*0</f>
        <v>0</v>
      </c>
      <c r="AD28" s="141">
        <f>TabCuotasIMSS[[#This Row],[PATRON9]]+TabCuotasIMSS[[#This Row],[OBRERO10]]</f>
        <v>100.80708000000001</v>
      </c>
      <c r="AE28" s="233">
        <f>TabCuotasIMSS[[#This Row],[PATRON]]+TabCuotasIMSS[[#This Row],[EXCED.
PATRON]]+TabCuotasIMSS[[#This Row],[PATRON2]]+TabCuotasIMSS[[#This Row],[PATRON3]]+TabCuotasIMSS[[#This Row],[PATRON
0.50%]]+TabCuotasIMSS[[#This Row],[PATRON6]]+TabCuotasIMSS[[#This Row],[PATRON9]]</f>
        <v>7052.9029499999997</v>
      </c>
      <c r="AF28" s="233">
        <f>TabCuotasIMSS[[#This Row],[EXCED.
OBRERO]]+TabCuotasIMSS[[#This Row],[OBRERO]]+TabCuotasIMSS[[#This Row],[OBRERO4]]+TabCuotasIMSS[[#This Row],[OBRERO7]]+TabCuotasIMSS[[#This Row],[OBRERO10]]</f>
        <v>0</v>
      </c>
      <c r="AG28" s="233">
        <f>TabCuotasIMSS[[#This Row],[TOTAL
PATRONAL]]+TabCuotasIMSS[[#This Row],[TOTAL
OBRERO]]</f>
        <v>7052.9029499999997</v>
      </c>
      <c r="AH28" s="141">
        <f>((TabCuotasIMSS[[#This Row],[SALARIO
DEL CICLO]]-(TabCuotasIMSS[[#This Row],[S.B.C./S.D.I.]]*TabCuotasIMSS[[#This Row],[AUS]]))*R_)</f>
        <v>201.61416000000003</v>
      </c>
      <c r="AI28">
        <f>IF(TabCuotasIMSS[[#This Row],[S.B.C./S.D.I.]]&lt;=SMGI,((TabCuotasIMSS[[#This Row],[SALARIO
DEL CICLO]]-(TabCuotasIMSS[[#This Row],[S.B.C./S.D.I.]]*(TabCuotasIMSS[[#This Row],[INC]]+TabCuotasIMSS[[#This Row],[AUS]]))))*CV,((TabCuotasIMSS[[#This Row],[SALARIO
DEL CICLO]]-(TabCuotasIMSS[[#This Row],[S.B.C./S.D.I.]]*(TabCuotasIMSS[[#This Row],[INC]]+TabCuotasIMSS[[#This Row],[AUS]]))))*CVP)</f>
        <v>430.95026700000005</v>
      </c>
      <c r="AJ28">
        <f>IF(TabCuotasIMSS[[#This Row],[S.B.C./S.D.I.]]&lt;=SMGI,0,((TabCuotasIMSS[[#This Row],[SALARIO
DEL CICLO]]-(TabCuotasIMSS[[#This Row],[S.B.C./S.D.I.]]*(TabCuotasIMSS[[#This Row],[INC]]+TabCuotasIMSS[[#This Row],[AUS]]))))*CVO)</f>
        <v>0</v>
      </c>
      <c r="AK28">
        <f>SUM(TabCuotasIMSS[[#This Row],[2%]]:TabCuotasIMSS[[#This Row],[OBRERO14]])</f>
        <v>632.56442700000002</v>
      </c>
      <c r="AL28" s="141">
        <f>((TabCuotasIMSS[[#This Row],[SALARIO
DEL CICLO]]-(TabCuotasIMSS[[#This Row],[S.B.C./S.D.I.]]*(TabCuotasIMSS[[#This Row],[AUS]])))*I)</f>
        <v>504.03540000000004</v>
      </c>
      <c r="AM28" s="141">
        <f>TabCuotasIMSS[[#This Row],[TOTAL
O.P.11]]+TabCuotasIMSS[[#This Row],[2%]]+TabCuotasIMSS[[#This Row],[PATRON13]]+TabCuotasIMSS[[#This Row],[5%]]</f>
        <v>1237.406907</v>
      </c>
      <c r="AN28" s="141">
        <f>TabCuotasIMSS[[#This Row],[TOTAL
OBRERO]]+TabCuotasIMSS[[#This Row],[OBRERO14]]</f>
        <v>0</v>
      </c>
    </row>
    <row r="29" spans="1:40" x14ac:dyDescent="0.25">
      <c r="A29" s="2">
        <v>21</v>
      </c>
      <c r="B29" s="1" cm="1">
        <f t="array" ref="B29">VLOOKUP(TabCuotasIMSS[[#This Row],[ID]],TabEmpleados[],COLUMN(TabEmpleados[Fecha de alta NSS]),FALSE)</f>
        <v>44509</v>
      </c>
      <c r="C29" t="str" cm="1">
        <f t="array" ref="C29">VLOOKUP(TabCuotasIMSS[[#This Row],[ID]],TabEmpleados[],COLUMN(TabEmpleados[Nombre]),FALSE)</f>
        <v>HERNANDEZ MIGUEL GRISELDA ITAHI</v>
      </c>
      <c r="D29" cm="1">
        <f t="array" ref="D29">IF(VLOOKUP(TabCuotasIMSS[[#This Row],[ID]],TabEmpleados[],COLUMN(TabEmpleados[Fecha de alta NSS]),FALSE)&lt;&gt;"",VLOOKUP(TabCuotasIMSS[[#This Row],[ID]],TabAsistencias[],COLUMN(TabAsistencias[''Total de dias laborados]),FALSE),0)</f>
        <v>73</v>
      </c>
      <c r="E29" cm="1">
        <f t="array" ref="E29">IF(VLOOKUP(TabCuotasIMSS[[#This Row],[ID]],TabEmpleados[],COLUMN(TabEmpleados[Fecha de alta NSS]),FALSE)&lt;&gt;"",IF(DATEDIF((VLOOKUP(TabCuotasIMSS[[#This Row],[ID]],TabEmpleados[],COLUMN(TabEmpleados[Fecha de alta NSS]),FALSE)),'Tablas de informacion'!N$8,"Y")=0,1,DATEDIF((VLOOKUP(TabCuotasIMSS[[#This Row],[ID]],TabEmpleados[],COLUMN(TabEmpleados[Fecha de alta NSS]),FALSE)),'Tablas de informacion'!N$8,"Y")),0)</f>
        <v>1</v>
      </c>
      <c r="F29" s="55" cm="1">
        <f t="array" ref="F29">VLOOKUP(TabCuotasIMSS[[#This Row],[ID]],TabEmpleados[],COLUMN(TabEmpleados[SD Fiscal]),FALSE)</f>
        <v>84</v>
      </c>
      <c r="G29" s="55" cm="1">
        <f t="array" ref="G29">IFERROR((VLOOKUP((VLOOKUP(TabCuotasIMSS[[#This Row],[ID]],TabEmpleados[],COLUMN(TabEmpleados[Puesto]),FALSE)),TabPuestos[],COLUMN(TabPuestos[N° ALIMENTOS]),FALSE))*TabCuotasIMSS[[#This Row],[Salario Diario]]*(VLOOKUP(TabCuotasIMSS[[#This Row],[Años]],TabFactorIntegracion[],COLUMN(TabFactorIntegracion[% por alimento]))),0)</f>
        <v>6.9972000000000003</v>
      </c>
      <c r="H29" s="55" cm="1">
        <f t="array" ref="H29">IFERROR((VLOOKUP((VLOOKUP(TabCuotasIMSS[[#This Row],[ID]],TabEmpleados[],COLUMN(TabEmpleados[Puesto]),FALSE)),TabPuestos[],COLUMN(TabPuestos[PRIMA DOMINICAL]),FALSE))*TabCuotasIMSS[[#This Row],[Salario Diario]]*(VLOOKUP(TabCuotasIMSS[[#This Row],[Años]],TabFactorIntegracion[],COLUMN(TabFactorIntegracion[PRIMA
DOMINICAL]))),0)</f>
        <v>1.5246575342465751</v>
      </c>
      <c r="I29" s="55" cm="1">
        <f t="array" ref="I29">IFERROR(TabCuotasIMSS[[#This Row],[Salario Diario]]*(VLOOKUP(TabCuotasIMSS[[#This Row],[Años]],TabFactorIntegracion[],COLUMN(TabFactorIntegracion[FACTOR DE
INTEGRACIÓN]))),0)</f>
        <v>4.1424657534246574</v>
      </c>
      <c r="J29" s="174">
        <f>IFERROR(TabCuotasIMSS[[#This Row],[Salario Diario]]+TabCuotasIMSS[[#This Row],[Alimentos]]+TabCuotasIMSS[[#This Row],[Prima Dominical]]+TabCuotasIMSS[[#This Row],[Factor de Integracion]],0)</f>
        <v>96.664323287671237</v>
      </c>
      <c r="K29" cm="1">
        <f t="array" ref="K29">VLOOKUP(TabCuotasIMSS[[#This Row],[ID]],TabAsistencias[],COLUMN(TabAsistencias[''I]),FALSE)+VLOOKUP(TabCuotasIMSS[[#This Row],[ID]],TabAsistencias[],COLUMN(TabAsistencias[''IG]),FALSE)</f>
        <v>0</v>
      </c>
      <c r="L29" cm="1">
        <f t="array" ref="L29">VLOOKUP(TabCuotasIMSS[[#This Row],[ID]],TabAsistencias[],COLUMN(TabAsistencias[''F]),FALSE)</f>
        <v>0</v>
      </c>
      <c r="M29" s="141">
        <f>TabCuotasIMSS[[#This Row],[S.B.C./S.D.I.]]*TabCuotasIMSS[[#This Row],[DÍAS
LAB.]]</f>
        <v>7056.4956000000002</v>
      </c>
      <c r="N29" s="141">
        <f>(SMDF*CF*(TabCuotasIMSS[[#This Row],[DÍAS
LAB.]]-TabCuotasIMSS[[#This Row],[INC]]))</f>
        <v>1432.90824</v>
      </c>
      <c r="O29" s="55">
        <f>IF(TabCuotasIMSS[[#This Row],[S.B.C./S.D.I.]]&gt;SMDF3,((TabCuotasIMSS[[#This Row],[S.B.C./S.D.I.]]-SMDF3)*CFP*(TabCuotasIMSS[[#This Row],[DÍAS
LAB.]]-TabCuotasIMSS[[#This Row],[INC]])),0)</f>
        <v>0</v>
      </c>
      <c r="P29" s="55">
        <f>IF(TabCuotasIMSS[[#This Row],[S.B.C./S.D.I.]]&gt;SMDF3,((TabCuotasIMSS[[#This Row],[S.B.C./S.D.I.]]-SMDF3)*CFO*(TabCuotasIMSS[[#This Row],[DÍAS
LAB.]]-TabCuotasIMSS[[#This Row],[INC]])),0)</f>
        <v>0</v>
      </c>
      <c r="Q29" s="55">
        <f>TabCuotasIMSS[[#This Row],[EXCED.
PATRON]]+TabCuotasIMSS[[#This Row],[EXCED.
OBRERO]]</f>
        <v>0</v>
      </c>
      <c r="R29" s="55">
        <f>IF(TabCuotasIMSS[[#This Row],[S.B.C./S.D.I.]]&lt;=SMGI,((TabCuotasIMSS[[#This Row],[SALARIO
DEL CICLO]]-(TabCuotasIMSS[[#This Row],[S.B.C./S.D.I.]]*TabCuotasIMSS[[#This Row],[INC]])))*PD,((TabCuotasIMSS[[#This Row],[SALARIO
DEL CICLO]]-(TabCuotasIMSS[[#This Row],[S.B.C./S.D.I.]]*TabCuotasIMSS[[#This Row],[INC]]))*PDP))</f>
        <v>67.036708200000007</v>
      </c>
      <c r="S29" s="55">
        <f>IF(TabCuotasIMSS[[#This Row],[S.B.C./S.D.I.]]&lt;=SMGI,0,((TabCuotasIMSS[[#This Row],[SALARIO
DEL CICLO]]-(TabCuotasIMSS[[#This Row],[S.B.C./S.D.I.]]*TabCuotasIMSS[[#This Row],[INC]]))*PDO))</f>
        <v>0</v>
      </c>
      <c r="T29" s="55">
        <f>TabCuotasIMSS[[#This Row],[PATRON2]]+TabCuotasIMSS[[#This Row],[OBRERO]]</f>
        <v>67.036708200000007</v>
      </c>
      <c r="U29" s="55">
        <f>IF(TabCuotasIMSS[[#This Row],[S.B.C./S.D.I.]]&lt;=SMGI,((TabCuotasIMSS[[#This Row],[SALARIO
DEL CICLO]]-(TabCuotasIMSS[[#This Row],[S.B.C./S.D.I.]]*TabCuotasIMSS[[#This Row],[INC]])))*GMP,((TabCuotasIMSS[[#This Row],[SALARIO
DEL CICLO]]-(TabCuotasIMSS[[#This Row],[S.B.C./S.D.I.]]*TabCuotasIMSS[[#This Row],[INC]])))*GMPP)</f>
        <v>100.5550623</v>
      </c>
      <c r="V29" s="55">
        <f>IF(TabCuotasIMSS[[#This Row],[S.B.C./S.D.I.]]&lt;=SMGI,0,((TabCuotasIMSS[[#This Row],[SALARIO
DEL CICLO]]-(TabCuotasIMSS[[#This Row],[S.B.C./S.D.I.]]*TabCuotasIMSS[[#This Row],[INC]])))*GMPO)</f>
        <v>0</v>
      </c>
      <c r="W29" s="55">
        <f>TabCuotasIMSS[[#This Row],[PATRON3]]+TabCuotasIMSS[[#This Row],[OBRERO4]]</f>
        <v>100.5550623</v>
      </c>
      <c r="X29" s="141">
        <f>((TabCuotasIMSS[[#This Row],[SALARIO
DEL CICLO]]-(TabCuotasIMSS[[#This Row],[S.B.C./S.D.I.]]*(TabCuotasIMSS[[#This Row],[INC]]+TabCuotasIMSS[[#This Row],[AUS]]))))*PRTP</f>
        <v>3528.2478000000001</v>
      </c>
      <c r="Y29" s="55">
        <f>IF(TabCuotasIMSS[[#This Row],[S.B.C./S.D.I.]]&lt;=SMGI,((TabCuotasIMSS[[#This Row],[SALARIO
DEL CICLO]]-(TabCuotasIMSS[[#This Row],[S.B.C./S.D.I.]]*(TabCuotasIMSS[[#This Row],[INC]]+TabCuotasIMSS[[#This Row],[AUS]]))))*IV,((TabCuotasIMSS[[#This Row],[SALARIO
DEL CICLO]]-(TabCuotasIMSS[[#This Row],[S.B.C./S.D.I.]]*(TabCuotasIMSS[[#This Row],[INC]]+TabCuotasIMSS[[#This Row],[AUS]]))))*IVP)</f>
        <v>167.5917705</v>
      </c>
      <c r="Z29" s="55">
        <f>IF(TabCuotasIMSS[[#This Row],[S.B.C./S.D.I.]]&lt;=SMGI,0,((TabCuotasIMSS[[#This Row],[SALARIO
DEL CICLO]]-(TabCuotasIMSS[[#This Row],[S.B.C./S.D.I.]]*(TabCuotasIMSS[[#This Row],[INC]]+TabCuotasIMSS[[#This Row],[AUS]]))))*IVO)</f>
        <v>0</v>
      </c>
      <c r="AA29" s="55">
        <f>TabCuotasIMSS[[#This Row],[PATRON6]]+TabCuotasIMSS[[#This Row],[OBRERO7]]</f>
        <v>167.5917705</v>
      </c>
      <c r="AB29" s="141">
        <f>((TabCuotasIMSS[[#This Row],[SALARIO
DEL CICLO]]-(TabCuotasIMSS[[#This Row],[S.B.C./S.D.I.]]*(TabCuotasIMSS[[#This Row],[INC]]+TabCuotasIMSS[[#This Row],[AUS]]))))*GPS</f>
        <v>70.564956000000009</v>
      </c>
      <c r="AC29" s="141">
        <f>TabCuotasIMSS[[#This Row],[SALARIO
DEL CICLO]]*0</f>
        <v>0</v>
      </c>
      <c r="AD29" s="141">
        <f>TabCuotasIMSS[[#This Row],[PATRON9]]+TabCuotasIMSS[[#This Row],[OBRERO10]]</f>
        <v>70.564956000000009</v>
      </c>
      <c r="AE29" s="233">
        <f>TabCuotasIMSS[[#This Row],[PATRON]]+TabCuotasIMSS[[#This Row],[EXCED.
PATRON]]+TabCuotasIMSS[[#This Row],[PATRON2]]+TabCuotasIMSS[[#This Row],[PATRON3]]+TabCuotasIMSS[[#This Row],[PATRON
0.50%]]+TabCuotasIMSS[[#This Row],[PATRON6]]+TabCuotasIMSS[[#This Row],[PATRON9]]</f>
        <v>5366.9045370000003</v>
      </c>
      <c r="AF29" s="233">
        <f>TabCuotasIMSS[[#This Row],[EXCED.
OBRERO]]+TabCuotasIMSS[[#This Row],[OBRERO]]+TabCuotasIMSS[[#This Row],[OBRERO4]]+TabCuotasIMSS[[#This Row],[OBRERO7]]+TabCuotasIMSS[[#This Row],[OBRERO10]]</f>
        <v>0</v>
      </c>
      <c r="AG29" s="233">
        <f>TabCuotasIMSS[[#This Row],[TOTAL
PATRONAL]]+TabCuotasIMSS[[#This Row],[TOTAL
OBRERO]]</f>
        <v>5366.9045370000003</v>
      </c>
      <c r="AH29" s="141">
        <f>((TabCuotasIMSS[[#This Row],[SALARIO
DEL CICLO]]-(TabCuotasIMSS[[#This Row],[S.B.C./S.D.I.]]*TabCuotasIMSS[[#This Row],[AUS]]))*R_)</f>
        <v>141.12991200000002</v>
      </c>
      <c r="AI29">
        <f>IF(TabCuotasIMSS[[#This Row],[S.B.C./S.D.I.]]&lt;=SMGI,((TabCuotasIMSS[[#This Row],[SALARIO
DEL CICLO]]-(TabCuotasIMSS[[#This Row],[S.B.C./S.D.I.]]*(TabCuotasIMSS[[#This Row],[INC]]+TabCuotasIMSS[[#This Row],[AUS]]))))*CV,((TabCuotasIMSS[[#This Row],[SALARIO
DEL CICLO]]-(TabCuotasIMSS[[#This Row],[S.B.C./S.D.I.]]*(TabCuotasIMSS[[#This Row],[INC]]+TabCuotasIMSS[[#This Row],[AUS]]))))*CVP)</f>
        <v>301.66518690000004</v>
      </c>
      <c r="AJ29">
        <f>IF(TabCuotasIMSS[[#This Row],[S.B.C./S.D.I.]]&lt;=SMGI,0,((TabCuotasIMSS[[#This Row],[SALARIO
DEL CICLO]]-(TabCuotasIMSS[[#This Row],[S.B.C./S.D.I.]]*(TabCuotasIMSS[[#This Row],[INC]]+TabCuotasIMSS[[#This Row],[AUS]]))))*CVO)</f>
        <v>0</v>
      </c>
      <c r="AK29">
        <f>SUM(TabCuotasIMSS[[#This Row],[2%]]:TabCuotasIMSS[[#This Row],[OBRERO14]])</f>
        <v>442.79509890000008</v>
      </c>
      <c r="AL29" s="141">
        <f>((TabCuotasIMSS[[#This Row],[SALARIO
DEL CICLO]]-(TabCuotasIMSS[[#This Row],[S.B.C./S.D.I.]]*(TabCuotasIMSS[[#This Row],[AUS]])))*I)</f>
        <v>352.82478000000003</v>
      </c>
      <c r="AM29" s="141">
        <f>TabCuotasIMSS[[#This Row],[TOTAL
O.P.11]]+TabCuotasIMSS[[#This Row],[2%]]+TabCuotasIMSS[[#This Row],[PATRON13]]+TabCuotasIMSS[[#This Row],[5%]]</f>
        <v>866.18483490000006</v>
      </c>
      <c r="AN29" s="141">
        <f>TabCuotasIMSS[[#This Row],[TOTAL
OBRERO]]+TabCuotasIMSS[[#This Row],[OBRERO14]]</f>
        <v>0</v>
      </c>
    </row>
    <row r="30" spans="1:40" x14ac:dyDescent="0.25">
      <c r="A30" s="2">
        <v>22</v>
      </c>
      <c r="B30" s="1" cm="1">
        <f t="array" ref="B30">VLOOKUP(TabCuotasIMSS[[#This Row],[ID]],TabEmpleados[],COLUMN(TabEmpleados[Fecha de alta NSS]),FALSE)</f>
        <v>44509</v>
      </c>
      <c r="C30" t="str" cm="1">
        <f t="array" ref="C30">VLOOKUP(TabCuotasIMSS[[#This Row],[ID]],TabEmpleados[],COLUMN(TabEmpleados[Nombre]),FALSE)</f>
        <v>GONZALEZ ARAGON TANIA YURICEL</v>
      </c>
      <c r="D30" cm="1">
        <f t="array" ref="D30">IF(VLOOKUP(TabCuotasIMSS[[#This Row],[ID]],TabEmpleados[],COLUMN(TabEmpleados[Fecha de alta NSS]),FALSE)&lt;&gt;"",VLOOKUP(TabCuotasIMSS[[#This Row],[ID]],TabAsistencias[],COLUMN(TabAsistencias[''Total de dias laborados]),FALSE),0)</f>
        <v>73</v>
      </c>
      <c r="E30" cm="1">
        <f t="array" ref="E30">IF(VLOOKUP(TabCuotasIMSS[[#This Row],[ID]],TabEmpleados[],COLUMN(TabEmpleados[Fecha de alta NSS]),FALSE)&lt;&gt;"",IF(DATEDIF((VLOOKUP(TabCuotasIMSS[[#This Row],[ID]],TabEmpleados[],COLUMN(TabEmpleados[Fecha de alta NSS]),FALSE)),'Tablas de informacion'!N$8,"Y")=0,1,DATEDIF((VLOOKUP(TabCuotasIMSS[[#This Row],[ID]],TabEmpleados[],COLUMN(TabEmpleados[Fecha de alta NSS]),FALSE)),'Tablas de informacion'!N$8,"Y")),0)</f>
        <v>1</v>
      </c>
      <c r="F30" s="55" cm="1">
        <f t="array" ref="F30">VLOOKUP(TabCuotasIMSS[[#This Row],[ID]],TabEmpleados[],COLUMN(TabEmpleados[SD Fiscal]),FALSE)</f>
        <v>84</v>
      </c>
      <c r="G30" s="55" cm="1">
        <f t="array" ref="G30">IFERROR((VLOOKUP((VLOOKUP(TabCuotasIMSS[[#This Row],[ID]],TabEmpleados[],COLUMN(TabEmpleados[Puesto]),FALSE)),TabPuestos[],COLUMN(TabPuestos[N° ALIMENTOS]),FALSE))*TabCuotasIMSS[[#This Row],[Salario Diario]]*(VLOOKUP(TabCuotasIMSS[[#This Row],[Años]],TabFactorIntegracion[],COLUMN(TabFactorIntegracion[% por alimento]))),0)</f>
        <v>6.9972000000000003</v>
      </c>
      <c r="H30" s="55" cm="1">
        <f t="array" ref="H30">IFERROR((VLOOKUP((VLOOKUP(TabCuotasIMSS[[#This Row],[ID]],TabEmpleados[],COLUMN(TabEmpleados[Puesto]),FALSE)),TabPuestos[],COLUMN(TabPuestos[PRIMA DOMINICAL]),FALSE))*TabCuotasIMSS[[#This Row],[Salario Diario]]*(VLOOKUP(TabCuotasIMSS[[#This Row],[Años]],TabFactorIntegracion[],COLUMN(TabFactorIntegracion[PRIMA
DOMINICAL]))),0)</f>
        <v>1.5246575342465751</v>
      </c>
      <c r="I30" s="55" cm="1">
        <f t="array" ref="I30">IFERROR(TabCuotasIMSS[[#This Row],[Salario Diario]]*(VLOOKUP(TabCuotasIMSS[[#This Row],[Años]],TabFactorIntegracion[],COLUMN(TabFactorIntegracion[FACTOR DE
INTEGRACIÓN]))),0)</f>
        <v>4.1424657534246574</v>
      </c>
      <c r="J30" s="174">
        <f>IFERROR(TabCuotasIMSS[[#This Row],[Salario Diario]]+TabCuotasIMSS[[#This Row],[Alimentos]]+TabCuotasIMSS[[#This Row],[Prima Dominical]]+TabCuotasIMSS[[#This Row],[Factor de Integracion]],0)</f>
        <v>96.664323287671237</v>
      </c>
      <c r="K30" cm="1">
        <f t="array" ref="K30">VLOOKUP(TabCuotasIMSS[[#This Row],[ID]],TabAsistencias[],COLUMN(TabAsistencias[''I]),FALSE)+VLOOKUP(TabCuotasIMSS[[#This Row],[ID]],TabAsistencias[],COLUMN(TabAsistencias[''IG]),FALSE)</f>
        <v>0</v>
      </c>
      <c r="L30" cm="1">
        <f t="array" ref="L30">VLOOKUP(TabCuotasIMSS[[#This Row],[ID]],TabAsistencias[],COLUMN(TabAsistencias[''F]),FALSE)</f>
        <v>0</v>
      </c>
      <c r="M30" s="141">
        <f>TabCuotasIMSS[[#This Row],[S.B.C./S.D.I.]]*TabCuotasIMSS[[#This Row],[DÍAS
LAB.]]</f>
        <v>7056.4956000000002</v>
      </c>
      <c r="N30" s="141">
        <f>(SMDF*CF*(TabCuotasIMSS[[#This Row],[DÍAS
LAB.]]-TabCuotasIMSS[[#This Row],[INC]]))</f>
        <v>1432.90824</v>
      </c>
      <c r="O30" s="55">
        <f>IF(TabCuotasIMSS[[#This Row],[S.B.C./S.D.I.]]&gt;SMDF3,((TabCuotasIMSS[[#This Row],[S.B.C./S.D.I.]]-SMDF3)*CFP*(TabCuotasIMSS[[#This Row],[DÍAS
LAB.]]-TabCuotasIMSS[[#This Row],[INC]])),0)</f>
        <v>0</v>
      </c>
      <c r="P30" s="55">
        <f>IF(TabCuotasIMSS[[#This Row],[S.B.C./S.D.I.]]&gt;SMDF3,((TabCuotasIMSS[[#This Row],[S.B.C./S.D.I.]]-SMDF3)*CFO*(TabCuotasIMSS[[#This Row],[DÍAS
LAB.]]-TabCuotasIMSS[[#This Row],[INC]])),0)</f>
        <v>0</v>
      </c>
      <c r="Q30" s="55">
        <f>TabCuotasIMSS[[#This Row],[EXCED.
PATRON]]+TabCuotasIMSS[[#This Row],[EXCED.
OBRERO]]</f>
        <v>0</v>
      </c>
      <c r="R30" s="55">
        <f>IF(TabCuotasIMSS[[#This Row],[S.B.C./S.D.I.]]&lt;=SMGI,((TabCuotasIMSS[[#This Row],[SALARIO
DEL CICLO]]-(TabCuotasIMSS[[#This Row],[S.B.C./S.D.I.]]*TabCuotasIMSS[[#This Row],[INC]])))*PD,((TabCuotasIMSS[[#This Row],[SALARIO
DEL CICLO]]-(TabCuotasIMSS[[#This Row],[S.B.C./S.D.I.]]*TabCuotasIMSS[[#This Row],[INC]]))*PDP))</f>
        <v>67.036708200000007</v>
      </c>
      <c r="S30" s="55">
        <f>IF(TabCuotasIMSS[[#This Row],[S.B.C./S.D.I.]]&lt;=SMGI,0,((TabCuotasIMSS[[#This Row],[SALARIO
DEL CICLO]]-(TabCuotasIMSS[[#This Row],[S.B.C./S.D.I.]]*TabCuotasIMSS[[#This Row],[INC]]))*PDO))</f>
        <v>0</v>
      </c>
      <c r="T30" s="55">
        <f>TabCuotasIMSS[[#This Row],[PATRON2]]+TabCuotasIMSS[[#This Row],[OBRERO]]</f>
        <v>67.036708200000007</v>
      </c>
      <c r="U30" s="55">
        <f>IF(TabCuotasIMSS[[#This Row],[S.B.C./S.D.I.]]&lt;=SMGI,((TabCuotasIMSS[[#This Row],[SALARIO
DEL CICLO]]-(TabCuotasIMSS[[#This Row],[S.B.C./S.D.I.]]*TabCuotasIMSS[[#This Row],[INC]])))*GMP,((TabCuotasIMSS[[#This Row],[SALARIO
DEL CICLO]]-(TabCuotasIMSS[[#This Row],[S.B.C./S.D.I.]]*TabCuotasIMSS[[#This Row],[INC]])))*GMPP)</f>
        <v>100.5550623</v>
      </c>
      <c r="V30" s="55">
        <f>IF(TabCuotasIMSS[[#This Row],[S.B.C./S.D.I.]]&lt;=SMGI,0,((TabCuotasIMSS[[#This Row],[SALARIO
DEL CICLO]]-(TabCuotasIMSS[[#This Row],[S.B.C./S.D.I.]]*TabCuotasIMSS[[#This Row],[INC]])))*GMPO)</f>
        <v>0</v>
      </c>
      <c r="W30" s="55">
        <f>TabCuotasIMSS[[#This Row],[PATRON3]]+TabCuotasIMSS[[#This Row],[OBRERO4]]</f>
        <v>100.5550623</v>
      </c>
      <c r="X30" s="141">
        <f>((TabCuotasIMSS[[#This Row],[SALARIO
DEL CICLO]]-(TabCuotasIMSS[[#This Row],[S.B.C./S.D.I.]]*(TabCuotasIMSS[[#This Row],[INC]]+TabCuotasIMSS[[#This Row],[AUS]]))))*PRTP</f>
        <v>3528.2478000000001</v>
      </c>
      <c r="Y30" s="55">
        <f>IF(TabCuotasIMSS[[#This Row],[S.B.C./S.D.I.]]&lt;=SMGI,((TabCuotasIMSS[[#This Row],[SALARIO
DEL CICLO]]-(TabCuotasIMSS[[#This Row],[S.B.C./S.D.I.]]*(TabCuotasIMSS[[#This Row],[INC]]+TabCuotasIMSS[[#This Row],[AUS]]))))*IV,((TabCuotasIMSS[[#This Row],[SALARIO
DEL CICLO]]-(TabCuotasIMSS[[#This Row],[S.B.C./S.D.I.]]*(TabCuotasIMSS[[#This Row],[INC]]+TabCuotasIMSS[[#This Row],[AUS]]))))*IVP)</f>
        <v>167.5917705</v>
      </c>
      <c r="Z30" s="55">
        <f>IF(TabCuotasIMSS[[#This Row],[S.B.C./S.D.I.]]&lt;=SMGI,0,((TabCuotasIMSS[[#This Row],[SALARIO
DEL CICLO]]-(TabCuotasIMSS[[#This Row],[S.B.C./S.D.I.]]*(TabCuotasIMSS[[#This Row],[INC]]+TabCuotasIMSS[[#This Row],[AUS]]))))*IVO)</f>
        <v>0</v>
      </c>
      <c r="AA30" s="55">
        <f>TabCuotasIMSS[[#This Row],[PATRON6]]+TabCuotasIMSS[[#This Row],[OBRERO7]]</f>
        <v>167.5917705</v>
      </c>
      <c r="AB30" s="141">
        <f>((TabCuotasIMSS[[#This Row],[SALARIO
DEL CICLO]]-(TabCuotasIMSS[[#This Row],[S.B.C./S.D.I.]]*(TabCuotasIMSS[[#This Row],[INC]]+TabCuotasIMSS[[#This Row],[AUS]]))))*GPS</f>
        <v>70.564956000000009</v>
      </c>
      <c r="AC30" s="141">
        <f>TabCuotasIMSS[[#This Row],[SALARIO
DEL CICLO]]*0</f>
        <v>0</v>
      </c>
      <c r="AD30" s="141">
        <f>TabCuotasIMSS[[#This Row],[PATRON9]]+TabCuotasIMSS[[#This Row],[OBRERO10]]</f>
        <v>70.564956000000009</v>
      </c>
      <c r="AE30" s="233">
        <f>TabCuotasIMSS[[#This Row],[PATRON]]+TabCuotasIMSS[[#This Row],[EXCED.
PATRON]]+TabCuotasIMSS[[#This Row],[PATRON2]]+TabCuotasIMSS[[#This Row],[PATRON3]]+TabCuotasIMSS[[#This Row],[PATRON
0.50%]]+TabCuotasIMSS[[#This Row],[PATRON6]]+TabCuotasIMSS[[#This Row],[PATRON9]]</f>
        <v>5366.9045370000003</v>
      </c>
      <c r="AF30" s="233">
        <f>TabCuotasIMSS[[#This Row],[EXCED.
OBRERO]]+TabCuotasIMSS[[#This Row],[OBRERO]]+TabCuotasIMSS[[#This Row],[OBRERO4]]+TabCuotasIMSS[[#This Row],[OBRERO7]]+TabCuotasIMSS[[#This Row],[OBRERO10]]</f>
        <v>0</v>
      </c>
      <c r="AG30" s="233">
        <f>TabCuotasIMSS[[#This Row],[TOTAL
PATRONAL]]+TabCuotasIMSS[[#This Row],[TOTAL
OBRERO]]</f>
        <v>5366.9045370000003</v>
      </c>
      <c r="AH30" s="141">
        <f>((TabCuotasIMSS[[#This Row],[SALARIO
DEL CICLO]]-(TabCuotasIMSS[[#This Row],[S.B.C./S.D.I.]]*TabCuotasIMSS[[#This Row],[AUS]]))*R_)</f>
        <v>141.12991200000002</v>
      </c>
      <c r="AI30">
        <f>IF(TabCuotasIMSS[[#This Row],[S.B.C./S.D.I.]]&lt;=SMGI,((TabCuotasIMSS[[#This Row],[SALARIO
DEL CICLO]]-(TabCuotasIMSS[[#This Row],[S.B.C./S.D.I.]]*(TabCuotasIMSS[[#This Row],[INC]]+TabCuotasIMSS[[#This Row],[AUS]]))))*CV,((TabCuotasIMSS[[#This Row],[SALARIO
DEL CICLO]]-(TabCuotasIMSS[[#This Row],[S.B.C./S.D.I.]]*(TabCuotasIMSS[[#This Row],[INC]]+TabCuotasIMSS[[#This Row],[AUS]]))))*CVP)</f>
        <v>301.66518690000004</v>
      </c>
      <c r="AJ30">
        <f>IF(TabCuotasIMSS[[#This Row],[S.B.C./S.D.I.]]&lt;=SMGI,0,((TabCuotasIMSS[[#This Row],[SALARIO
DEL CICLO]]-(TabCuotasIMSS[[#This Row],[S.B.C./S.D.I.]]*(TabCuotasIMSS[[#This Row],[INC]]+TabCuotasIMSS[[#This Row],[AUS]]))))*CVO)</f>
        <v>0</v>
      </c>
      <c r="AK30">
        <f>SUM(TabCuotasIMSS[[#This Row],[2%]]:TabCuotasIMSS[[#This Row],[OBRERO14]])</f>
        <v>442.79509890000008</v>
      </c>
      <c r="AL30" s="141">
        <f>((TabCuotasIMSS[[#This Row],[SALARIO
DEL CICLO]]-(TabCuotasIMSS[[#This Row],[S.B.C./S.D.I.]]*(TabCuotasIMSS[[#This Row],[AUS]])))*I)</f>
        <v>352.82478000000003</v>
      </c>
      <c r="AM30" s="141">
        <f>TabCuotasIMSS[[#This Row],[TOTAL
O.P.11]]+TabCuotasIMSS[[#This Row],[2%]]+TabCuotasIMSS[[#This Row],[PATRON13]]+TabCuotasIMSS[[#This Row],[5%]]</f>
        <v>866.18483490000006</v>
      </c>
      <c r="AN30" s="141">
        <f>TabCuotasIMSS[[#This Row],[TOTAL
OBRERO]]+TabCuotasIMSS[[#This Row],[OBRERO14]]</f>
        <v>0</v>
      </c>
    </row>
    <row r="31" spans="1:40" x14ac:dyDescent="0.25">
      <c r="A31" s="2">
        <v>23</v>
      </c>
      <c r="B31" s="1" cm="1">
        <f t="array" ref="B31">VLOOKUP(TabCuotasIMSS[[#This Row],[ID]],TabEmpleados[],COLUMN(TabEmpleados[Fecha de alta NSS]),FALSE)</f>
        <v>44509</v>
      </c>
      <c r="C31" t="str" cm="1">
        <f t="array" ref="C31">VLOOKUP(TabCuotasIMSS[[#This Row],[ID]],TabEmpleados[],COLUMN(TabEmpleados[Nombre]),FALSE)</f>
        <v>CHAVEZ HERNANDEZ DIANA IRIS</v>
      </c>
      <c r="D31" cm="1">
        <f t="array" ref="D31">IF(VLOOKUP(TabCuotasIMSS[[#This Row],[ID]],TabEmpleados[],COLUMN(TabEmpleados[Fecha de alta NSS]),FALSE)&lt;&gt;"",VLOOKUP(TabCuotasIMSS[[#This Row],[ID]],TabAsistencias[],COLUMN(TabAsistencias[''Total de dias laborados]),FALSE),0)</f>
        <v>73</v>
      </c>
      <c r="E31" cm="1">
        <f t="array" ref="E31">IF(VLOOKUP(TabCuotasIMSS[[#This Row],[ID]],TabEmpleados[],COLUMN(TabEmpleados[Fecha de alta NSS]),FALSE)&lt;&gt;"",IF(DATEDIF((VLOOKUP(TabCuotasIMSS[[#This Row],[ID]],TabEmpleados[],COLUMN(TabEmpleados[Fecha de alta NSS]),FALSE)),'Tablas de informacion'!N$8,"Y")=0,1,DATEDIF((VLOOKUP(TabCuotasIMSS[[#This Row],[ID]],TabEmpleados[],COLUMN(TabEmpleados[Fecha de alta NSS]),FALSE)),'Tablas de informacion'!N$8,"Y")),0)</f>
        <v>1</v>
      </c>
      <c r="F31" s="55" cm="1">
        <f t="array" ref="F31">VLOOKUP(TabCuotasIMSS[[#This Row],[ID]],TabEmpleados[],COLUMN(TabEmpleados[SD Fiscal]),FALSE)</f>
        <v>105</v>
      </c>
      <c r="G31" s="55" cm="1">
        <f t="array" ref="G31">IFERROR((VLOOKUP((VLOOKUP(TabCuotasIMSS[[#This Row],[ID]],TabEmpleados[],COLUMN(TabEmpleados[Puesto]),FALSE)),TabPuestos[],COLUMN(TabPuestos[N° ALIMENTOS]),FALSE))*TabCuotasIMSS[[#This Row],[Salario Diario]]*(VLOOKUP(TabCuotasIMSS[[#This Row],[Años]],TabFactorIntegracion[],COLUMN(TabFactorIntegracion[% por alimento]))),0)</f>
        <v>8.7464999999999993</v>
      </c>
      <c r="H31" s="55" cm="1">
        <f t="array" ref="H31">IFERROR((VLOOKUP((VLOOKUP(TabCuotasIMSS[[#This Row],[ID]],TabEmpleados[],COLUMN(TabEmpleados[Puesto]),FALSE)),TabPuestos[],COLUMN(TabPuestos[PRIMA DOMINICAL]),FALSE))*TabCuotasIMSS[[#This Row],[Salario Diario]]*(VLOOKUP(TabCuotasIMSS[[#This Row],[Años]],TabFactorIntegracion[],COLUMN(TabFactorIntegracion[PRIMA
DOMINICAL]))),0)</f>
        <v>1.905821917808219</v>
      </c>
      <c r="I31" s="55" cm="1">
        <f t="array" ref="I31">IFERROR(TabCuotasIMSS[[#This Row],[Salario Diario]]*(VLOOKUP(TabCuotasIMSS[[#This Row],[Años]],TabFactorIntegracion[],COLUMN(TabFactorIntegracion[FACTOR DE
INTEGRACIÓN]))),0)</f>
        <v>5.1780821917808222</v>
      </c>
      <c r="J31" s="174">
        <f>IFERROR(TabCuotasIMSS[[#This Row],[Salario Diario]]+TabCuotasIMSS[[#This Row],[Alimentos]]+TabCuotasIMSS[[#This Row],[Prima Dominical]]+TabCuotasIMSS[[#This Row],[Factor de Integracion]],0)</f>
        <v>120.83040410958904</v>
      </c>
      <c r="K31" cm="1">
        <f t="array" ref="K31">VLOOKUP(TabCuotasIMSS[[#This Row],[ID]],TabAsistencias[],COLUMN(TabAsistencias[''I]),FALSE)+VLOOKUP(TabCuotasIMSS[[#This Row],[ID]],TabAsistencias[],COLUMN(TabAsistencias[''IG]),FALSE)</f>
        <v>0</v>
      </c>
      <c r="L31" cm="1">
        <f t="array" ref="L31">VLOOKUP(TabCuotasIMSS[[#This Row],[ID]],TabAsistencias[],COLUMN(TabAsistencias[''F]),FALSE)</f>
        <v>0</v>
      </c>
      <c r="M31" s="141">
        <f>TabCuotasIMSS[[#This Row],[S.B.C./S.D.I.]]*TabCuotasIMSS[[#This Row],[DÍAS
LAB.]]</f>
        <v>8820.6195000000007</v>
      </c>
      <c r="N31" s="141">
        <f>(SMDF*CF*(TabCuotasIMSS[[#This Row],[DÍAS
LAB.]]-TabCuotasIMSS[[#This Row],[INC]]))</f>
        <v>1432.90824</v>
      </c>
      <c r="O31" s="55">
        <f>IF(TabCuotasIMSS[[#This Row],[S.B.C./S.D.I.]]&gt;SMDF3,((TabCuotasIMSS[[#This Row],[S.B.C./S.D.I.]]-SMDF3)*CFP*(TabCuotasIMSS[[#This Row],[DÍAS
LAB.]]-TabCuotasIMSS[[#This Row],[INC]])),0)</f>
        <v>0</v>
      </c>
      <c r="P31" s="55">
        <f>IF(TabCuotasIMSS[[#This Row],[S.B.C./S.D.I.]]&gt;SMDF3,((TabCuotasIMSS[[#This Row],[S.B.C./S.D.I.]]-SMDF3)*CFO*(TabCuotasIMSS[[#This Row],[DÍAS
LAB.]]-TabCuotasIMSS[[#This Row],[INC]])),0)</f>
        <v>0</v>
      </c>
      <c r="Q31" s="55">
        <f>TabCuotasIMSS[[#This Row],[EXCED.
PATRON]]+TabCuotasIMSS[[#This Row],[EXCED.
OBRERO]]</f>
        <v>0</v>
      </c>
      <c r="R31" s="55">
        <f>IF(TabCuotasIMSS[[#This Row],[S.B.C./S.D.I.]]&lt;=SMGI,((TabCuotasIMSS[[#This Row],[SALARIO
DEL CICLO]]-(TabCuotasIMSS[[#This Row],[S.B.C./S.D.I.]]*TabCuotasIMSS[[#This Row],[INC]])))*PD,((TabCuotasIMSS[[#This Row],[SALARIO
DEL CICLO]]-(TabCuotasIMSS[[#This Row],[S.B.C./S.D.I.]]*TabCuotasIMSS[[#This Row],[INC]]))*PDP))</f>
        <v>83.795885249999998</v>
      </c>
      <c r="S31" s="55">
        <f>IF(TabCuotasIMSS[[#This Row],[S.B.C./S.D.I.]]&lt;=SMGI,0,((TabCuotasIMSS[[#This Row],[SALARIO
DEL CICLO]]-(TabCuotasIMSS[[#This Row],[S.B.C./S.D.I.]]*TabCuotasIMSS[[#This Row],[INC]]))*PDO))</f>
        <v>0</v>
      </c>
      <c r="T31" s="55">
        <f>TabCuotasIMSS[[#This Row],[PATRON2]]+TabCuotasIMSS[[#This Row],[OBRERO]]</f>
        <v>83.795885249999998</v>
      </c>
      <c r="U31" s="55">
        <f>IF(TabCuotasIMSS[[#This Row],[S.B.C./S.D.I.]]&lt;=SMGI,((TabCuotasIMSS[[#This Row],[SALARIO
DEL CICLO]]-(TabCuotasIMSS[[#This Row],[S.B.C./S.D.I.]]*TabCuotasIMSS[[#This Row],[INC]])))*GMP,((TabCuotasIMSS[[#This Row],[SALARIO
DEL CICLO]]-(TabCuotasIMSS[[#This Row],[S.B.C./S.D.I.]]*TabCuotasIMSS[[#This Row],[INC]])))*GMPP)</f>
        <v>125.69382787500001</v>
      </c>
      <c r="V31" s="55">
        <f>IF(TabCuotasIMSS[[#This Row],[S.B.C./S.D.I.]]&lt;=SMGI,0,((TabCuotasIMSS[[#This Row],[SALARIO
DEL CICLO]]-(TabCuotasIMSS[[#This Row],[S.B.C./S.D.I.]]*TabCuotasIMSS[[#This Row],[INC]])))*GMPO)</f>
        <v>0</v>
      </c>
      <c r="W31" s="55">
        <f>TabCuotasIMSS[[#This Row],[PATRON3]]+TabCuotasIMSS[[#This Row],[OBRERO4]]</f>
        <v>125.69382787500001</v>
      </c>
      <c r="X31" s="141">
        <f>((TabCuotasIMSS[[#This Row],[SALARIO
DEL CICLO]]-(TabCuotasIMSS[[#This Row],[S.B.C./S.D.I.]]*(TabCuotasIMSS[[#This Row],[INC]]+TabCuotasIMSS[[#This Row],[AUS]]))))*PRTP</f>
        <v>4410.3097500000003</v>
      </c>
      <c r="Y31" s="55">
        <f>IF(TabCuotasIMSS[[#This Row],[S.B.C./S.D.I.]]&lt;=SMGI,((TabCuotasIMSS[[#This Row],[SALARIO
DEL CICLO]]-(TabCuotasIMSS[[#This Row],[S.B.C./S.D.I.]]*(TabCuotasIMSS[[#This Row],[INC]]+TabCuotasIMSS[[#This Row],[AUS]]))))*IV,((TabCuotasIMSS[[#This Row],[SALARIO
DEL CICLO]]-(TabCuotasIMSS[[#This Row],[S.B.C./S.D.I.]]*(TabCuotasIMSS[[#This Row],[INC]]+TabCuotasIMSS[[#This Row],[AUS]]))))*IVP)</f>
        <v>209.48971312500001</v>
      </c>
      <c r="Z31" s="55">
        <f>IF(TabCuotasIMSS[[#This Row],[S.B.C./S.D.I.]]&lt;=SMGI,0,((TabCuotasIMSS[[#This Row],[SALARIO
DEL CICLO]]-(TabCuotasIMSS[[#This Row],[S.B.C./S.D.I.]]*(TabCuotasIMSS[[#This Row],[INC]]+TabCuotasIMSS[[#This Row],[AUS]]))))*IVO)</f>
        <v>0</v>
      </c>
      <c r="AA31" s="55">
        <f>TabCuotasIMSS[[#This Row],[PATRON6]]+TabCuotasIMSS[[#This Row],[OBRERO7]]</f>
        <v>209.48971312500001</v>
      </c>
      <c r="AB31" s="141">
        <f>((TabCuotasIMSS[[#This Row],[SALARIO
DEL CICLO]]-(TabCuotasIMSS[[#This Row],[S.B.C./S.D.I.]]*(TabCuotasIMSS[[#This Row],[INC]]+TabCuotasIMSS[[#This Row],[AUS]]))))*GPS</f>
        <v>88.206195000000008</v>
      </c>
      <c r="AC31" s="141">
        <f>TabCuotasIMSS[[#This Row],[SALARIO
DEL CICLO]]*0</f>
        <v>0</v>
      </c>
      <c r="AD31" s="141">
        <f>TabCuotasIMSS[[#This Row],[PATRON9]]+TabCuotasIMSS[[#This Row],[OBRERO10]]</f>
        <v>88.206195000000008</v>
      </c>
      <c r="AE31" s="233">
        <f>TabCuotasIMSS[[#This Row],[PATRON]]+TabCuotasIMSS[[#This Row],[EXCED.
PATRON]]+TabCuotasIMSS[[#This Row],[PATRON2]]+TabCuotasIMSS[[#This Row],[PATRON3]]+TabCuotasIMSS[[#This Row],[PATRON
0.50%]]+TabCuotasIMSS[[#This Row],[PATRON6]]+TabCuotasIMSS[[#This Row],[PATRON9]]</f>
        <v>6350.4036112500007</v>
      </c>
      <c r="AF31" s="233">
        <f>TabCuotasIMSS[[#This Row],[EXCED.
OBRERO]]+TabCuotasIMSS[[#This Row],[OBRERO]]+TabCuotasIMSS[[#This Row],[OBRERO4]]+TabCuotasIMSS[[#This Row],[OBRERO7]]+TabCuotasIMSS[[#This Row],[OBRERO10]]</f>
        <v>0</v>
      </c>
      <c r="AG31" s="233">
        <f>TabCuotasIMSS[[#This Row],[TOTAL
PATRONAL]]+TabCuotasIMSS[[#This Row],[TOTAL
OBRERO]]</f>
        <v>6350.4036112500007</v>
      </c>
      <c r="AH31" s="141">
        <f>((TabCuotasIMSS[[#This Row],[SALARIO
DEL CICLO]]-(TabCuotasIMSS[[#This Row],[S.B.C./S.D.I.]]*TabCuotasIMSS[[#This Row],[AUS]]))*R_)</f>
        <v>176.41239000000002</v>
      </c>
      <c r="AI31">
        <f>IF(TabCuotasIMSS[[#This Row],[S.B.C./S.D.I.]]&lt;=SMGI,((TabCuotasIMSS[[#This Row],[SALARIO
DEL CICLO]]-(TabCuotasIMSS[[#This Row],[S.B.C./S.D.I.]]*(TabCuotasIMSS[[#This Row],[INC]]+TabCuotasIMSS[[#This Row],[AUS]]))))*CV,((TabCuotasIMSS[[#This Row],[SALARIO
DEL CICLO]]-(TabCuotasIMSS[[#This Row],[S.B.C./S.D.I.]]*(TabCuotasIMSS[[#This Row],[INC]]+TabCuotasIMSS[[#This Row],[AUS]]))))*CVP)</f>
        <v>377.08148362500003</v>
      </c>
      <c r="AJ31">
        <f>IF(TabCuotasIMSS[[#This Row],[S.B.C./S.D.I.]]&lt;=SMGI,0,((TabCuotasIMSS[[#This Row],[SALARIO
DEL CICLO]]-(TabCuotasIMSS[[#This Row],[S.B.C./S.D.I.]]*(TabCuotasIMSS[[#This Row],[INC]]+TabCuotasIMSS[[#This Row],[AUS]]))))*CVO)</f>
        <v>0</v>
      </c>
      <c r="AK31">
        <f>SUM(TabCuotasIMSS[[#This Row],[2%]]:TabCuotasIMSS[[#This Row],[OBRERO14]])</f>
        <v>553.49387362500011</v>
      </c>
      <c r="AL31" s="141">
        <f>((TabCuotasIMSS[[#This Row],[SALARIO
DEL CICLO]]-(TabCuotasIMSS[[#This Row],[S.B.C./S.D.I.]]*(TabCuotasIMSS[[#This Row],[AUS]])))*I)</f>
        <v>441.03097500000007</v>
      </c>
      <c r="AM31" s="141">
        <f>TabCuotasIMSS[[#This Row],[TOTAL
O.P.11]]+TabCuotasIMSS[[#This Row],[2%]]+TabCuotasIMSS[[#This Row],[PATRON13]]+TabCuotasIMSS[[#This Row],[5%]]</f>
        <v>1082.7310436250002</v>
      </c>
      <c r="AN31" s="141">
        <f>TabCuotasIMSS[[#This Row],[TOTAL
OBRERO]]+TabCuotasIMSS[[#This Row],[OBRERO14]]</f>
        <v>0</v>
      </c>
    </row>
    <row r="32" spans="1:40" x14ac:dyDescent="0.25">
      <c r="A32" s="2">
        <v>24</v>
      </c>
      <c r="B32" s="1" cm="1">
        <f t="array" ref="B32">VLOOKUP(TabCuotasIMSS[[#This Row],[ID]],TabEmpleados[],COLUMN(TabEmpleados[Fecha de alta NSS]),FALSE)</f>
        <v>44509</v>
      </c>
      <c r="C32" t="str" cm="1">
        <f t="array" ref="C32">VLOOKUP(TabCuotasIMSS[[#This Row],[ID]],TabEmpleados[],COLUMN(TabEmpleados[Nombre]),FALSE)</f>
        <v xml:space="preserve">LOPEZ VELASCO  EDWIN URIEL </v>
      </c>
      <c r="D32" cm="1">
        <f t="array" ref="D32">IF(VLOOKUP(TabCuotasIMSS[[#This Row],[ID]],TabEmpleados[],COLUMN(TabEmpleados[Fecha de alta NSS]),FALSE)&lt;&gt;"",VLOOKUP(TabCuotasIMSS[[#This Row],[ID]],TabAsistencias[],COLUMN(TabAsistencias[''Total de dias laborados]),FALSE),0)</f>
        <v>73</v>
      </c>
      <c r="E32" cm="1">
        <f t="array" ref="E32">IF(VLOOKUP(TabCuotasIMSS[[#This Row],[ID]],TabEmpleados[],COLUMN(TabEmpleados[Fecha de alta NSS]),FALSE)&lt;&gt;"",IF(DATEDIF((VLOOKUP(TabCuotasIMSS[[#This Row],[ID]],TabEmpleados[],COLUMN(TabEmpleados[Fecha de alta NSS]),FALSE)),'Tablas de informacion'!N$8,"Y")=0,1,DATEDIF((VLOOKUP(TabCuotasIMSS[[#This Row],[ID]],TabEmpleados[],COLUMN(TabEmpleados[Fecha de alta NSS]),FALSE)),'Tablas de informacion'!N$8,"Y")),0)</f>
        <v>1</v>
      </c>
      <c r="F32" s="55" cm="1">
        <f t="array" ref="F32">VLOOKUP(TabCuotasIMSS[[#This Row],[ID]],TabEmpleados[],COLUMN(TabEmpleados[SD Fiscal]),FALSE)</f>
        <v>0</v>
      </c>
      <c r="G32" s="55" cm="1">
        <f t="array" ref="G32">IFERROR((VLOOKUP((VLOOKUP(TabCuotasIMSS[[#This Row],[ID]],TabEmpleados[],COLUMN(TabEmpleados[Puesto]),FALSE)),TabPuestos[],COLUMN(TabPuestos[N° ALIMENTOS]),FALSE))*TabCuotasIMSS[[#This Row],[Salario Diario]]*(VLOOKUP(TabCuotasIMSS[[#This Row],[Años]],TabFactorIntegracion[],COLUMN(TabFactorIntegracion[% por alimento]))),0)</f>
        <v>0</v>
      </c>
      <c r="H32" s="55" cm="1">
        <f t="array" ref="H32">IFERROR((VLOOKUP((VLOOKUP(TabCuotasIMSS[[#This Row],[ID]],TabEmpleados[],COLUMN(TabEmpleados[Puesto]),FALSE)),TabPuestos[],COLUMN(TabPuestos[PRIMA DOMINICAL]),FALSE))*TabCuotasIMSS[[#This Row],[Salario Diario]]*(VLOOKUP(TabCuotasIMSS[[#This Row],[Años]],TabFactorIntegracion[],COLUMN(TabFactorIntegracion[PRIMA
DOMINICAL]))),0)</f>
        <v>0</v>
      </c>
      <c r="I32" s="55" cm="1">
        <f t="array" ref="I32">IFERROR(TabCuotasIMSS[[#This Row],[Salario Diario]]*(VLOOKUP(TabCuotasIMSS[[#This Row],[Años]],TabFactorIntegracion[],COLUMN(TabFactorIntegracion[FACTOR DE
INTEGRACIÓN]))),0)</f>
        <v>0</v>
      </c>
      <c r="J32" s="174">
        <f>IFERROR(TabCuotasIMSS[[#This Row],[Salario Diario]]+TabCuotasIMSS[[#This Row],[Alimentos]]+TabCuotasIMSS[[#This Row],[Prima Dominical]]+TabCuotasIMSS[[#This Row],[Factor de Integracion]],0)</f>
        <v>0</v>
      </c>
      <c r="K32" cm="1">
        <f t="array" ref="K32">VLOOKUP(TabCuotasIMSS[[#This Row],[ID]],TabAsistencias[],COLUMN(TabAsistencias[''I]),FALSE)+VLOOKUP(TabCuotasIMSS[[#This Row],[ID]],TabAsistencias[],COLUMN(TabAsistencias[''IG]),FALSE)</f>
        <v>0</v>
      </c>
      <c r="L32" cm="1">
        <f t="array" ref="L32">VLOOKUP(TabCuotasIMSS[[#This Row],[ID]],TabAsistencias[],COLUMN(TabAsistencias[''F]),FALSE)</f>
        <v>0</v>
      </c>
      <c r="M32" s="141">
        <f>TabCuotasIMSS[[#This Row],[S.B.C./S.D.I.]]*TabCuotasIMSS[[#This Row],[DÍAS
LAB.]]</f>
        <v>0</v>
      </c>
      <c r="N32" s="141">
        <f>(SMDF*CF*(TabCuotasIMSS[[#This Row],[DÍAS
LAB.]]-TabCuotasIMSS[[#This Row],[INC]]))</f>
        <v>1432.90824</v>
      </c>
      <c r="O32" s="55">
        <f>IF(TabCuotasIMSS[[#This Row],[S.B.C./S.D.I.]]&gt;SMDF3,((TabCuotasIMSS[[#This Row],[S.B.C./S.D.I.]]-SMDF3)*CFP*(TabCuotasIMSS[[#This Row],[DÍAS
LAB.]]-TabCuotasIMSS[[#This Row],[INC]])),0)</f>
        <v>0</v>
      </c>
      <c r="P32" s="55">
        <f>IF(TabCuotasIMSS[[#This Row],[S.B.C./S.D.I.]]&gt;SMDF3,((TabCuotasIMSS[[#This Row],[S.B.C./S.D.I.]]-SMDF3)*CFO*(TabCuotasIMSS[[#This Row],[DÍAS
LAB.]]-TabCuotasIMSS[[#This Row],[INC]])),0)</f>
        <v>0</v>
      </c>
      <c r="Q32" s="55">
        <f>TabCuotasIMSS[[#This Row],[EXCED.
PATRON]]+TabCuotasIMSS[[#This Row],[EXCED.
OBRERO]]</f>
        <v>0</v>
      </c>
      <c r="R32" s="55">
        <f>IF(TabCuotasIMSS[[#This Row],[S.B.C./S.D.I.]]&lt;=SMGI,((TabCuotasIMSS[[#This Row],[SALARIO
DEL CICLO]]-(TabCuotasIMSS[[#This Row],[S.B.C./S.D.I.]]*TabCuotasIMSS[[#This Row],[INC]])))*PD,((TabCuotasIMSS[[#This Row],[SALARIO
DEL CICLO]]-(TabCuotasIMSS[[#This Row],[S.B.C./S.D.I.]]*TabCuotasIMSS[[#This Row],[INC]]))*PDP))</f>
        <v>0</v>
      </c>
      <c r="S32" s="55">
        <f>IF(TabCuotasIMSS[[#This Row],[S.B.C./S.D.I.]]&lt;=SMGI,0,((TabCuotasIMSS[[#This Row],[SALARIO
DEL CICLO]]-(TabCuotasIMSS[[#This Row],[S.B.C./S.D.I.]]*TabCuotasIMSS[[#This Row],[INC]]))*PDO))</f>
        <v>0</v>
      </c>
      <c r="T32" s="55">
        <f>TabCuotasIMSS[[#This Row],[PATRON2]]+TabCuotasIMSS[[#This Row],[OBRERO]]</f>
        <v>0</v>
      </c>
      <c r="U32" s="55">
        <f>IF(TabCuotasIMSS[[#This Row],[S.B.C./S.D.I.]]&lt;=SMGI,((TabCuotasIMSS[[#This Row],[SALARIO
DEL CICLO]]-(TabCuotasIMSS[[#This Row],[S.B.C./S.D.I.]]*TabCuotasIMSS[[#This Row],[INC]])))*GMP,((TabCuotasIMSS[[#This Row],[SALARIO
DEL CICLO]]-(TabCuotasIMSS[[#This Row],[S.B.C./S.D.I.]]*TabCuotasIMSS[[#This Row],[INC]])))*GMPP)</f>
        <v>0</v>
      </c>
      <c r="V32" s="55">
        <f>IF(TabCuotasIMSS[[#This Row],[S.B.C./S.D.I.]]&lt;=SMGI,0,((TabCuotasIMSS[[#This Row],[SALARIO
DEL CICLO]]-(TabCuotasIMSS[[#This Row],[S.B.C./S.D.I.]]*TabCuotasIMSS[[#This Row],[INC]])))*GMPO)</f>
        <v>0</v>
      </c>
      <c r="W32" s="55">
        <f>TabCuotasIMSS[[#This Row],[PATRON3]]+TabCuotasIMSS[[#This Row],[OBRERO4]]</f>
        <v>0</v>
      </c>
      <c r="X32" s="141">
        <f>((TabCuotasIMSS[[#This Row],[SALARIO
DEL CICLO]]-(TabCuotasIMSS[[#This Row],[S.B.C./S.D.I.]]*(TabCuotasIMSS[[#This Row],[INC]]+TabCuotasIMSS[[#This Row],[AUS]]))))*PRTP</f>
        <v>0</v>
      </c>
      <c r="Y32" s="55">
        <f>IF(TabCuotasIMSS[[#This Row],[S.B.C./S.D.I.]]&lt;=SMGI,((TabCuotasIMSS[[#This Row],[SALARIO
DEL CICLO]]-(TabCuotasIMSS[[#This Row],[S.B.C./S.D.I.]]*(TabCuotasIMSS[[#This Row],[INC]]+TabCuotasIMSS[[#This Row],[AUS]]))))*IV,((TabCuotasIMSS[[#This Row],[SALARIO
DEL CICLO]]-(TabCuotasIMSS[[#This Row],[S.B.C./S.D.I.]]*(TabCuotasIMSS[[#This Row],[INC]]+TabCuotasIMSS[[#This Row],[AUS]]))))*IVP)</f>
        <v>0</v>
      </c>
      <c r="Z32" s="55">
        <f>IF(TabCuotasIMSS[[#This Row],[S.B.C./S.D.I.]]&lt;=SMGI,0,((TabCuotasIMSS[[#This Row],[SALARIO
DEL CICLO]]-(TabCuotasIMSS[[#This Row],[S.B.C./S.D.I.]]*(TabCuotasIMSS[[#This Row],[INC]]+TabCuotasIMSS[[#This Row],[AUS]]))))*IVO)</f>
        <v>0</v>
      </c>
      <c r="AA32" s="55">
        <f>TabCuotasIMSS[[#This Row],[PATRON6]]+TabCuotasIMSS[[#This Row],[OBRERO7]]</f>
        <v>0</v>
      </c>
      <c r="AB32" s="141">
        <f>((TabCuotasIMSS[[#This Row],[SALARIO
DEL CICLO]]-(TabCuotasIMSS[[#This Row],[S.B.C./S.D.I.]]*(TabCuotasIMSS[[#This Row],[INC]]+TabCuotasIMSS[[#This Row],[AUS]]))))*GPS</f>
        <v>0</v>
      </c>
      <c r="AC32" s="141">
        <f>TabCuotasIMSS[[#This Row],[SALARIO
DEL CICLO]]*0</f>
        <v>0</v>
      </c>
      <c r="AD32" s="141">
        <f>TabCuotasIMSS[[#This Row],[PATRON9]]+TabCuotasIMSS[[#This Row],[OBRERO10]]</f>
        <v>0</v>
      </c>
      <c r="AE32" s="233">
        <f>TabCuotasIMSS[[#This Row],[PATRON]]+TabCuotasIMSS[[#This Row],[EXCED.
PATRON]]+TabCuotasIMSS[[#This Row],[PATRON2]]+TabCuotasIMSS[[#This Row],[PATRON3]]+TabCuotasIMSS[[#This Row],[PATRON
0.50%]]+TabCuotasIMSS[[#This Row],[PATRON6]]+TabCuotasIMSS[[#This Row],[PATRON9]]</f>
        <v>1432.90824</v>
      </c>
      <c r="AF32" s="233">
        <f>TabCuotasIMSS[[#This Row],[EXCED.
OBRERO]]+TabCuotasIMSS[[#This Row],[OBRERO]]+TabCuotasIMSS[[#This Row],[OBRERO4]]+TabCuotasIMSS[[#This Row],[OBRERO7]]+TabCuotasIMSS[[#This Row],[OBRERO10]]</f>
        <v>0</v>
      </c>
      <c r="AG32" s="233">
        <f>TabCuotasIMSS[[#This Row],[TOTAL
PATRONAL]]+TabCuotasIMSS[[#This Row],[TOTAL
OBRERO]]</f>
        <v>1432.90824</v>
      </c>
      <c r="AH32" s="141">
        <f>((TabCuotasIMSS[[#This Row],[SALARIO
DEL CICLO]]-(TabCuotasIMSS[[#This Row],[S.B.C./S.D.I.]]*TabCuotasIMSS[[#This Row],[AUS]]))*R_)</f>
        <v>0</v>
      </c>
      <c r="AI32">
        <f>IF(TabCuotasIMSS[[#This Row],[S.B.C./S.D.I.]]&lt;=SMGI,((TabCuotasIMSS[[#This Row],[SALARIO
DEL CICLO]]-(TabCuotasIMSS[[#This Row],[S.B.C./S.D.I.]]*(TabCuotasIMSS[[#This Row],[INC]]+TabCuotasIMSS[[#This Row],[AUS]]))))*CV,((TabCuotasIMSS[[#This Row],[SALARIO
DEL CICLO]]-(TabCuotasIMSS[[#This Row],[S.B.C./S.D.I.]]*(TabCuotasIMSS[[#This Row],[INC]]+TabCuotasIMSS[[#This Row],[AUS]]))))*CVP)</f>
        <v>0</v>
      </c>
      <c r="AJ32">
        <f>IF(TabCuotasIMSS[[#This Row],[S.B.C./S.D.I.]]&lt;=SMGI,0,((TabCuotasIMSS[[#This Row],[SALARIO
DEL CICLO]]-(TabCuotasIMSS[[#This Row],[S.B.C./S.D.I.]]*(TabCuotasIMSS[[#This Row],[INC]]+TabCuotasIMSS[[#This Row],[AUS]]))))*CVO)</f>
        <v>0</v>
      </c>
      <c r="AK32">
        <f>SUM(TabCuotasIMSS[[#This Row],[2%]]:TabCuotasIMSS[[#This Row],[OBRERO14]])</f>
        <v>0</v>
      </c>
      <c r="AL32" s="141">
        <f>((TabCuotasIMSS[[#This Row],[SALARIO
DEL CICLO]]-(TabCuotasIMSS[[#This Row],[S.B.C./S.D.I.]]*(TabCuotasIMSS[[#This Row],[AUS]])))*I)</f>
        <v>0</v>
      </c>
      <c r="AM32" s="141">
        <f>TabCuotasIMSS[[#This Row],[TOTAL
O.P.11]]+TabCuotasIMSS[[#This Row],[2%]]+TabCuotasIMSS[[#This Row],[PATRON13]]+TabCuotasIMSS[[#This Row],[5%]]</f>
        <v>0</v>
      </c>
      <c r="AN32" s="141">
        <f>TabCuotasIMSS[[#This Row],[TOTAL
OBRERO]]+TabCuotasIMSS[[#This Row],[OBRERO14]]</f>
        <v>0</v>
      </c>
    </row>
    <row r="33" spans="1:40" x14ac:dyDescent="0.25">
      <c r="A33" s="2">
        <v>25</v>
      </c>
      <c r="B33" s="1" cm="1">
        <f t="array" ref="B33">VLOOKUP(TabCuotasIMSS[[#This Row],[ID]],TabEmpleados[],COLUMN(TabEmpleados[Fecha de alta NSS]),FALSE)</f>
        <v>44509</v>
      </c>
      <c r="C33" t="str" cm="1">
        <f t="array" ref="C33">VLOOKUP(TabCuotasIMSS[[#This Row],[ID]],TabEmpleados[],COLUMN(TabEmpleados[Nombre]),FALSE)</f>
        <v>DE LA CRUZ BARTOLO JOSE LUIS</v>
      </c>
      <c r="D33" cm="1">
        <f t="array" ref="D33">IF(VLOOKUP(TabCuotasIMSS[[#This Row],[ID]],TabEmpleados[],COLUMN(TabEmpleados[Fecha de alta NSS]),FALSE)&lt;&gt;"",VLOOKUP(TabCuotasIMSS[[#This Row],[ID]],TabAsistencias[],COLUMN(TabAsistencias[''Total de dias laborados]),FALSE),0)</f>
        <v>73</v>
      </c>
      <c r="E33" cm="1">
        <f t="array" ref="E33">IF(VLOOKUP(TabCuotasIMSS[[#This Row],[ID]],TabEmpleados[],COLUMN(TabEmpleados[Fecha de alta NSS]),FALSE)&lt;&gt;"",IF(DATEDIF((VLOOKUP(TabCuotasIMSS[[#This Row],[ID]],TabEmpleados[],COLUMN(TabEmpleados[Fecha de alta NSS]),FALSE)),'Tablas de informacion'!N$8,"Y")=0,1,DATEDIF((VLOOKUP(TabCuotasIMSS[[#This Row],[ID]],TabEmpleados[],COLUMN(TabEmpleados[Fecha de alta NSS]),FALSE)),'Tablas de informacion'!N$8,"Y")),0)</f>
        <v>1</v>
      </c>
      <c r="F33" s="55" cm="1">
        <f t="array" ref="F33">VLOOKUP(TabCuotasIMSS[[#This Row],[ID]],TabEmpleados[],COLUMN(TabEmpleados[SD Fiscal]),FALSE)</f>
        <v>105</v>
      </c>
      <c r="G33" s="55" cm="1">
        <f t="array" ref="G33">IFERROR((VLOOKUP((VLOOKUP(TabCuotasIMSS[[#This Row],[ID]],TabEmpleados[],COLUMN(TabEmpleados[Puesto]),FALSE)),TabPuestos[],COLUMN(TabPuestos[N° ALIMENTOS]),FALSE))*TabCuotasIMSS[[#This Row],[Salario Diario]]*(VLOOKUP(TabCuotasIMSS[[#This Row],[Años]],TabFactorIntegracion[],COLUMN(TabFactorIntegracion[% por alimento]))),0)</f>
        <v>8.7464999999999993</v>
      </c>
      <c r="H33" s="55" cm="1">
        <f t="array" ref="H33">IFERROR((VLOOKUP((VLOOKUP(TabCuotasIMSS[[#This Row],[ID]],TabEmpleados[],COLUMN(TabEmpleados[Puesto]),FALSE)),TabPuestos[],COLUMN(TabPuestos[PRIMA DOMINICAL]),FALSE))*TabCuotasIMSS[[#This Row],[Salario Diario]]*(VLOOKUP(TabCuotasIMSS[[#This Row],[Años]],TabFactorIntegracion[],COLUMN(TabFactorIntegracion[PRIMA
DOMINICAL]))),0)</f>
        <v>1.905821917808219</v>
      </c>
      <c r="I33" s="55" cm="1">
        <f t="array" ref="I33">IFERROR(TabCuotasIMSS[[#This Row],[Salario Diario]]*(VLOOKUP(TabCuotasIMSS[[#This Row],[Años]],TabFactorIntegracion[],COLUMN(TabFactorIntegracion[FACTOR DE
INTEGRACIÓN]))),0)</f>
        <v>5.1780821917808222</v>
      </c>
      <c r="J33" s="174">
        <f>IFERROR(TabCuotasIMSS[[#This Row],[Salario Diario]]+TabCuotasIMSS[[#This Row],[Alimentos]]+TabCuotasIMSS[[#This Row],[Prima Dominical]]+TabCuotasIMSS[[#This Row],[Factor de Integracion]],0)</f>
        <v>120.83040410958904</v>
      </c>
      <c r="K33" cm="1">
        <f t="array" ref="K33">VLOOKUP(TabCuotasIMSS[[#This Row],[ID]],TabAsistencias[],COLUMN(TabAsistencias[''I]),FALSE)+VLOOKUP(TabCuotasIMSS[[#This Row],[ID]],TabAsistencias[],COLUMN(TabAsistencias[''IG]),FALSE)</f>
        <v>0</v>
      </c>
      <c r="L33" cm="1">
        <f t="array" ref="L33">VLOOKUP(TabCuotasIMSS[[#This Row],[ID]],TabAsistencias[],COLUMN(TabAsistencias[''F]),FALSE)</f>
        <v>0</v>
      </c>
      <c r="M33" s="141">
        <f>TabCuotasIMSS[[#This Row],[S.B.C./S.D.I.]]*TabCuotasIMSS[[#This Row],[DÍAS
LAB.]]</f>
        <v>8820.6195000000007</v>
      </c>
      <c r="N33" s="141">
        <f>(SMDF*CF*(TabCuotasIMSS[[#This Row],[DÍAS
LAB.]]-TabCuotasIMSS[[#This Row],[INC]]))</f>
        <v>1432.90824</v>
      </c>
      <c r="O33" s="55">
        <f>IF(TabCuotasIMSS[[#This Row],[S.B.C./S.D.I.]]&gt;SMDF3,((TabCuotasIMSS[[#This Row],[S.B.C./S.D.I.]]-SMDF3)*CFP*(TabCuotasIMSS[[#This Row],[DÍAS
LAB.]]-TabCuotasIMSS[[#This Row],[INC]])),0)</f>
        <v>0</v>
      </c>
      <c r="P33" s="55">
        <f>IF(TabCuotasIMSS[[#This Row],[S.B.C./S.D.I.]]&gt;SMDF3,((TabCuotasIMSS[[#This Row],[S.B.C./S.D.I.]]-SMDF3)*CFO*(TabCuotasIMSS[[#This Row],[DÍAS
LAB.]]-TabCuotasIMSS[[#This Row],[INC]])),0)</f>
        <v>0</v>
      </c>
      <c r="Q33" s="55">
        <f>TabCuotasIMSS[[#This Row],[EXCED.
PATRON]]+TabCuotasIMSS[[#This Row],[EXCED.
OBRERO]]</f>
        <v>0</v>
      </c>
      <c r="R33" s="55">
        <f>IF(TabCuotasIMSS[[#This Row],[S.B.C./S.D.I.]]&lt;=SMGI,((TabCuotasIMSS[[#This Row],[SALARIO
DEL CICLO]]-(TabCuotasIMSS[[#This Row],[S.B.C./S.D.I.]]*TabCuotasIMSS[[#This Row],[INC]])))*PD,((TabCuotasIMSS[[#This Row],[SALARIO
DEL CICLO]]-(TabCuotasIMSS[[#This Row],[S.B.C./S.D.I.]]*TabCuotasIMSS[[#This Row],[INC]]))*PDP))</f>
        <v>83.795885249999998</v>
      </c>
      <c r="S33" s="55">
        <f>IF(TabCuotasIMSS[[#This Row],[S.B.C./S.D.I.]]&lt;=SMGI,0,((TabCuotasIMSS[[#This Row],[SALARIO
DEL CICLO]]-(TabCuotasIMSS[[#This Row],[S.B.C./S.D.I.]]*TabCuotasIMSS[[#This Row],[INC]]))*PDO))</f>
        <v>0</v>
      </c>
      <c r="T33" s="55">
        <f>TabCuotasIMSS[[#This Row],[PATRON2]]+TabCuotasIMSS[[#This Row],[OBRERO]]</f>
        <v>83.795885249999998</v>
      </c>
      <c r="U33" s="55">
        <f>IF(TabCuotasIMSS[[#This Row],[S.B.C./S.D.I.]]&lt;=SMGI,((TabCuotasIMSS[[#This Row],[SALARIO
DEL CICLO]]-(TabCuotasIMSS[[#This Row],[S.B.C./S.D.I.]]*TabCuotasIMSS[[#This Row],[INC]])))*GMP,((TabCuotasIMSS[[#This Row],[SALARIO
DEL CICLO]]-(TabCuotasIMSS[[#This Row],[S.B.C./S.D.I.]]*TabCuotasIMSS[[#This Row],[INC]])))*GMPP)</f>
        <v>125.69382787500001</v>
      </c>
      <c r="V33" s="55">
        <f>IF(TabCuotasIMSS[[#This Row],[S.B.C./S.D.I.]]&lt;=SMGI,0,((TabCuotasIMSS[[#This Row],[SALARIO
DEL CICLO]]-(TabCuotasIMSS[[#This Row],[S.B.C./S.D.I.]]*TabCuotasIMSS[[#This Row],[INC]])))*GMPO)</f>
        <v>0</v>
      </c>
      <c r="W33" s="55">
        <f>TabCuotasIMSS[[#This Row],[PATRON3]]+TabCuotasIMSS[[#This Row],[OBRERO4]]</f>
        <v>125.69382787500001</v>
      </c>
      <c r="X33" s="141">
        <f>((TabCuotasIMSS[[#This Row],[SALARIO
DEL CICLO]]-(TabCuotasIMSS[[#This Row],[S.B.C./S.D.I.]]*(TabCuotasIMSS[[#This Row],[INC]]+TabCuotasIMSS[[#This Row],[AUS]]))))*PRTP</f>
        <v>4410.3097500000003</v>
      </c>
      <c r="Y33" s="55">
        <f>IF(TabCuotasIMSS[[#This Row],[S.B.C./S.D.I.]]&lt;=SMGI,((TabCuotasIMSS[[#This Row],[SALARIO
DEL CICLO]]-(TabCuotasIMSS[[#This Row],[S.B.C./S.D.I.]]*(TabCuotasIMSS[[#This Row],[INC]]+TabCuotasIMSS[[#This Row],[AUS]]))))*IV,((TabCuotasIMSS[[#This Row],[SALARIO
DEL CICLO]]-(TabCuotasIMSS[[#This Row],[S.B.C./S.D.I.]]*(TabCuotasIMSS[[#This Row],[INC]]+TabCuotasIMSS[[#This Row],[AUS]]))))*IVP)</f>
        <v>209.48971312500001</v>
      </c>
      <c r="Z33" s="55">
        <f>IF(TabCuotasIMSS[[#This Row],[S.B.C./S.D.I.]]&lt;=SMGI,0,((TabCuotasIMSS[[#This Row],[SALARIO
DEL CICLO]]-(TabCuotasIMSS[[#This Row],[S.B.C./S.D.I.]]*(TabCuotasIMSS[[#This Row],[INC]]+TabCuotasIMSS[[#This Row],[AUS]]))))*IVO)</f>
        <v>0</v>
      </c>
      <c r="AA33" s="55">
        <f>TabCuotasIMSS[[#This Row],[PATRON6]]+TabCuotasIMSS[[#This Row],[OBRERO7]]</f>
        <v>209.48971312500001</v>
      </c>
      <c r="AB33" s="141">
        <f>((TabCuotasIMSS[[#This Row],[SALARIO
DEL CICLO]]-(TabCuotasIMSS[[#This Row],[S.B.C./S.D.I.]]*(TabCuotasIMSS[[#This Row],[INC]]+TabCuotasIMSS[[#This Row],[AUS]]))))*GPS</f>
        <v>88.206195000000008</v>
      </c>
      <c r="AC33" s="141">
        <f>TabCuotasIMSS[[#This Row],[SALARIO
DEL CICLO]]*0</f>
        <v>0</v>
      </c>
      <c r="AD33" s="141">
        <f>TabCuotasIMSS[[#This Row],[PATRON9]]+TabCuotasIMSS[[#This Row],[OBRERO10]]</f>
        <v>88.206195000000008</v>
      </c>
      <c r="AE33" s="233">
        <f>TabCuotasIMSS[[#This Row],[PATRON]]+TabCuotasIMSS[[#This Row],[EXCED.
PATRON]]+TabCuotasIMSS[[#This Row],[PATRON2]]+TabCuotasIMSS[[#This Row],[PATRON3]]+TabCuotasIMSS[[#This Row],[PATRON
0.50%]]+TabCuotasIMSS[[#This Row],[PATRON6]]+TabCuotasIMSS[[#This Row],[PATRON9]]</f>
        <v>6350.4036112500007</v>
      </c>
      <c r="AF33" s="233">
        <f>TabCuotasIMSS[[#This Row],[EXCED.
OBRERO]]+TabCuotasIMSS[[#This Row],[OBRERO]]+TabCuotasIMSS[[#This Row],[OBRERO4]]+TabCuotasIMSS[[#This Row],[OBRERO7]]+TabCuotasIMSS[[#This Row],[OBRERO10]]</f>
        <v>0</v>
      </c>
      <c r="AG33" s="233">
        <f>TabCuotasIMSS[[#This Row],[TOTAL
PATRONAL]]+TabCuotasIMSS[[#This Row],[TOTAL
OBRERO]]</f>
        <v>6350.4036112500007</v>
      </c>
      <c r="AH33" s="141">
        <f>((TabCuotasIMSS[[#This Row],[SALARIO
DEL CICLO]]-(TabCuotasIMSS[[#This Row],[S.B.C./S.D.I.]]*TabCuotasIMSS[[#This Row],[AUS]]))*R_)</f>
        <v>176.41239000000002</v>
      </c>
      <c r="AI33">
        <f>IF(TabCuotasIMSS[[#This Row],[S.B.C./S.D.I.]]&lt;=SMGI,((TabCuotasIMSS[[#This Row],[SALARIO
DEL CICLO]]-(TabCuotasIMSS[[#This Row],[S.B.C./S.D.I.]]*(TabCuotasIMSS[[#This Row],[INC]]+TabCuotasIMSS[[#This Row],[AUS]]))))*CV,((TabCuotasIMSS[[#This Row],[SALARIO
DEL CICLO]]-(TabCuotasIMSS[[#This Row],[S.B.C./S.D.I.]]*(TabCuotasIMSS[[#This Row],[INC]]+TabCuotasIMSS[[#This Row],[AUS]]))))*CVP)</f>
        <v>377.08148362500003</v>
      </c>
      <c r="AJ33">
        <f>IF(TabCuotasIMSS[[#This Row],[S.B.C./S.D.I.]]&lt;=SMGI,0,((TabCuotasIMSS[[#This Row],[SALARIO
DEL CICLO]]-(TabCuotasIMSS[[#This Row],[S.B.C./S.D.I.]]*(TabCuotasIMSS[[#This Row],[INC]]+TabCuotasIMSS[[#This Row],[AUS]]))))*CVO)</f>
        <v>0</v>
      </c>
      <c r="AK33">
        <f>SUM(TabCuotasIMSS[[#This Row],[2%]]:TabCuotasIMSS[[#This Row],[OBRERO14]])</f>
        <v>553.49387362500011</v>
      </c>
      <c r="AL33" s="141">
        <f>((TabCuotasIMSS[[#This Row],[SALARIO
DEL CICLO]]-(TabCuotasIMSS[[#This Row],[S.B.C./S.D.I.]]*(TabCuotasIMSS[[#This Row],[AUS]])))*I)</f>
        <v>441.03097500000007</v>
      </c>
      <c r="AM33" s="141">
        <f>TabCuotasIMSS[[#This Row],[TOTAL
O.P.11]]+TabCuotasIMSS[[#This Row],[2%]]+TabCuotasIMSS[[#This Row],[PATRON13]]+TabCuotasIMSS[[#This Row],[5%]]</f>
        <v>1082.7310436250002</v>
      </c>
      <c r="AN33" s="141">
        <f>TabCuotasIMSS[[#This Row],[TOTAL
OBRERO]]+TabCuotasIMSS[[#This Row],[OBRERO14]]</f>
        <v>0</v>
      </c>
    </row>
    <row r="34" spans="1:40" x14ac:dyDescent="0.25">
      <c r="A34" s="2">
        <v>26</v>
      </c>
      <c r="B34" s="1" cm="1">
        <f t="array" ref="B34">VLOOKUP(TabCuotasIMSS[[#This Row],[ID]],TabEmpleados[],COLUMN(TabEmpleados[Fecha de alta NSS]),FALSE)</f>
        <v>44509</v>
      </c>
      <c r="C34" t="str" cm="1">
        <f t="array" ref="C34">VLOOKUP(TabCuotasIMSS[[#This Row],[ID]],TabEmpleados[],COLUMN(TabEmpleados[Nombre]),FALSE)</f>
        <v>GARCIA MARTINEZ URIEL ALEJANDRO</v>
      </c>
      <c r="D34" cm="1">
        <f t="array" ref="D34">IF(VLOOKUP(TabCuotasIMSS[[#This Row],[ID]],TabEmpleados[],COLUMN(TabEmpleados[Fecha de alta NSS]),FALSE)&lt;&gt;"",VLOOKUP(TabCuotasIMSS[[#This Row],[ID]],TabAsistencias[],COLUMN(TabAsistencias[''Total de dias laborados]),FALSE),0)</f>
        <v>73</v>
      </c>
      <c r="E34" cm="1">
        <f t="array" ref="E34">IF(VLOOKUP(TabCuotasIMSS[[#This Row],[ID]],TabEmpleados[],COLUMN(TabEmpleados[Fecha de alta NSS]),FALSE)&lt;&gt;"",IF(DATEDIF((VLOOKUP(TabCuotasIMSS[[#This Row],[ID]],TabEmpleados[],COLUMN(TabEmpleados[Fecha de alta NSS]),FALSE)),'Tablas de informacion'!N$8,"Y")=0,1,DATEDIF((VLOOKUP(TabCuotasIMSS[[#This Row],[ID]],TabEmpleados[],COLUMN(TabEmpleados[Fecha de alta NSS]),FALSE)),'Tablas de informacion'!N$8,"Y")),0)</f>
        <v>1</v>
      </c>
      <c r="F34" s="55" cm="1">
        <f t="array" ref="F34">VLOOKUP(TabCuotasIMSS[[#This Row],[ID]],TabEmpleados[],COLUMN(TabEmpleados[SD Fiscal]),FALSE)</f>
        <v>105</v>
      </c>
      <c r="G34" s="55" cm="1">
        <f t="array" ref="G34">IFERROR((VLOOKUP((VLOOKUP(TabCuotasIMSS[[#This Row],[ID]],TabEmpleados[],COLUMN(TabEmpleados[Puesto]),FALSE)),TabPuestos[],COLUMN(TabPuestos[N° ALIMENTOS]),FALSE))*TabCuotasIMSS[[#This Row],[Salario Diario]]*(VLOOKUP(TabCuotasIMSS[[#This Row],[Años]],TabFactorIntegracion[],COLUMN(TabFactorIntegracion[% por alimento]))),0)</f>
        <v>8.7464999999999993</v>
      </c>
      <c r="H34" s="55" cm="1">
        <f t="array" ref="H34">IFERROR((VLOOKUP((VLOOKUP(TabCuotasIMSS[[#This Row],[ID]],TabEmpleados[],COLUMN(TabEmpleados[Puesto]),FALSE)),TabPuestos[],COLUMN(TabPuestos[PRIMA DOMINICAL]),FALSE))*TabCuotasIMSS[[#This Row],[Salario Diario]]*(VLOOKUP(TabCuotasIMSS[[#This Row],[Años]],TabFactorIntegracion[],COLUMN(TabFactorIntegracion[PRIMA
DOMINICAL]))),0)</f>
        <v>1.905821917808219</v>
      </c>
      <c r="I34" s="55" cm="1">
        <f t="array" ref="I34">IFERROR(TabCuotasIMSS[[#This Row],[Salario Diario]]*(VLOOKUP(TabCuotasIMSS[[#This Row],[Años]],TabFactorIntegracion[],COLUMN(TabFactorIntegracion[FACTOR DE
INTEGRACIÓN]))),0)</f>
        <v>5.1780821917808222</v>
      </c>
      <c r="J34" s="174">
        <f>IFERROR(TabCuotasIMSS[[#This Row],[Salario Diario]]+TabCuotasIMSS[[#This Row],[Alimentos]]+TabCuotasIMSS[[#This Row],[Prima Dominical]]+TabCuotasIMSS[[#This Row],[Factor de Integracion]],0)</f>
        <v>120.83040410958904</v>
      </c>
      <c r="K34" cm="1">
        <f t="array" ref="K34">VLOOKUP(TabCuotasIMSS[[#This Row],[ID]],TabAsistencias[],COLUMN(TabAsistencias[''I]),FALSE)+VLOOKUP(TabCuotasIMSS[[#This Row],[ID]],TabAsistencias[],COLUMN(TabAsistencias[''IG]),FALSE)</f>
        <v>0</v>
      </c>
      <c r="L34" cm="1">
        <f t="array" ref="L34">VLOOKUP(TabCuotasIMSS[[#This Row],[ID]],TabAsistencias[],COLUMN(TabAsistencias[''F]),FALSE)</f>
        <v>0</v>
      </c>
      <c r="M34" s="141">
        <f>TabCuotasIMSS[[#This Row],[S.B.C./S.D.I.]]*TabCuotasIMSS[[#This Row],[DÍAS
LAB.]]</f>
        <v>8820.6195000000007</v>
      </c>
      <c r="N34" s="141">
        <f>(SMDF*CF*(TabCuotasIMSS[[#This Row],[DÍAS
LAB.]]-TabCuotasIMSS[[#This Row],[INC]]))</f>
        <v>1432.90824</v>
      </c>
      <c r="O34" s="55">
        <f>IF(TabCuotasIMSS[[#This Row],[S.B.C./S.D.I.]]&gt;SMDF3,((TabCuotasIMSS[[#This Row],[S.B.C./S.D.I.]]-SMDF3)*CFP*(TabCuotasIMSS[[#This Row],[DÍAS
LAB.]]-TabCuotasIMSS[[#This Row],[INC]])),0)</f>
        <v>0</v>
      </c>
      <c r="P34" s="55">
        <f>IF(TabCuotasIMSS[[#This Row],[S.B.C./S.D.I.]]&gt;SMDF3,((TabCuotasIMSS[[#This Row],[S.B.C./S.D.I.]]-SMDF3)*CFO*(TabCuotasIMSS[[#This Row],[DÍAS
LAB.]]-TabCuotasIMSS[[#This Row],[INC]])),0)</f>
        <v>0</v>
      </c>
      <c r="Q34" s="55">
        <f>TabCuotasIMSS[[#This Row],[EXCED.
PATRON]]+TabCuotasIMSS[[#This Row],[EXCED.
OBRERO]]</f>
        <v>0</v>
      </c>
      <c r="R34" s="55">
        <f>IF(TabCuotasIMSS[[#This Row],[S.B.C./S.D.I.]]&lt;=SMGI,((TabCuotasIMSS[[#This Row],[SALARIO
DEL CICLO]]-(TabCuotasIMSS[[#This Row],[S.B.C./S.D.I.]]*TabCuotasIMSS[[#This Row],[INC]])))*PD,((TabCuotasIMSS[[#This Row],[SALARIO
DEL CICLO]]-(TabCuotasIMSS[[#This Row],[S.B.C./S.D.I.]]*TabCuotasIMSS[[#This Row],[INC]]))*PDP))</f>
        <v>83.795885249999998</v>
      </c>
      <c r="S34" s="55">
        <f>IF(TabCuotasIMSS[[#This Row],[S.B.C./S.D.I.]]&lt;=SMGI,0,((TabCuotasIMSS[[#This Row],[SALARIO
DEL CICLO]]-(TabCuotasIMSS[[#This Row],[S.B.C./S.D.I.]]*TabCuotasIMSS[[#This Row],[INC]]))*PDO))</f>
        <v>0</v>
      </c>
      <c r="T34" s="55">
        <f>TabCuotasIMSS[[#This Row],[PATRON2]]+TabCuotasIMSS[[#This Row],[OBRERO]]</f>
        <v>83.795885249999998</v>
      </c>
      <c r="U34" s="55">
        <f>IF(TabCuotasIMSS[[#This Row],[S.B.C./S.D.I.]]&lt;=SMGI,((TabCuotasIMSS[[#This Row],[SALARIO
DEL CICLO]]-(TabCuotasIMSS[[#This Row],[S.B.C./S.D.I.]]*TabCuotasIMSS[[#This Row],[INC]])))*GMP,((TabCuotasIMSS[[#This Row],[SALARIO
DEL CICLO]]-(TabCuotasIMSS[[#This Row],[S.B.C./S.D.I.]]*TabCuotasIMSS[[#This Row],[INC]])))*GMPP)</f>
        <v>125.69382787500001</v>
      </c>
      <c r="V34" s="55">
        <f>IF(TabCuotasIMSS[[#This Row],[S.B.C./S.D.I.]]&lt;=SMGI,0,((TabCuotasIMSS[[#This Row],[SALARIO
DEL CICLO]]-(TabCuotasIMSS[[#This Row],[S.B.C./S.D.I.]]*TabCuotasIMSS[[#This Row],[INC]])))*GMPO)</f>
        <v>0</v>
      </c>
      <c r="W34" s="55">
        <f>TabCuotasIMSS[[#This Row],[PATRON3]]+TabCuotasIMSS[[#This Row],[OBRERO4]]</f>
        <v>125.69382787500001</v>
      </c>
      <c r="X34" s="141">
        <f>((TabCuotasIMSS[[#This Row],[SALARIO
DEL CICLO]]-(TabCuotasIMSS[[#This Row],[S.B.C./S.D.I.]]*(TabCuotasIMSS[[#This Row],[INC]]+TabCuotasIMSS[[#This Row],[AUS]]))))*PRTP</f>
        <v>4410.3097500000003</v>
      </c>
      <c r="Y34" s="55">
        <f>IF(TabCuotasIMSS[[#This Row],[S.B.C./S.D.I.]]&lt;=SMGI,((TabCuotasIMSS[[#This Row],[SALARIO
DEL CICLO]]-(TabCuotasIMSS[[#This Row],[S.B.C./S.D.I.]]*(TabCuotasIMSS[[#This Row],[INC]]+TabCuotasIMSS[[#This Row],[AUS]]))))*IV,((TabCuotasIMSS[[#This Row],[SALARIO
DEL CICLO]]-(TabCuotasIMSS[[#This Row],[S.B.C./S.D.I.]]*(TabCuotasIMSS[[#This Row],[INC]]+TabCuotasIMSS[[#This Row],[AUS]]))))*IVP)</f>
        <v>209.48971312500001</v>
      </c>
      <c r="Z34" s="55">
        <f>IF(TabCuotasIMSS[[#This Row],[S.B.C./S.D.I.]]&lt;=SMGI,0,((TabCuotasIMSS[[#This Row],[SALARIO
DEL CICLO]]-(TabCuotasIMSS[[#This Row],[S.B.C./S.D.I.]]*(TabCuotasIMSS[[#This Row],[INC]]+TabCuotasIMSS[[#This Row],[AUS]]))))*IVO)</f>
        <v>0</v>
      </c>
      <c r="AA34" s="55">
        <f>TabCuotasIMSS[[#This Row],[PATRON6]]+TabCuotasIMSS[[#This Row],[OBRERO7]]</f>
        <v>209.48971312500001</v>
      </c>
      <c r="AB34" s="141">
        <f>((TabCuotasIMSS[[#This Row],[SALARIO
DEL CICLO]]-(TabCuotasIMSS[[#This Row],[S.B.C./S.D.I.]]*(TabCuotasIMSS[[#This Row],[INC]]+TabCuotasIMSS[[#This Row],[AUS]]))))*GPS</f>
        <v>88.206195000000008</v>
      </c>
      <c r="AC34" s="141">
        <f>TabCuotasIMSS[[#This Row],[SALARIO
DEL CICLO]]*0</f>
        <v>0</v>
      </c>
      <c r="AD34" s="141">
        <f>TabCuotasIMSS[[#This Row],[PATRON9]]+TabCuotasIMSS[[#This Row],[OBRERO10]]</f>
        <v>88.206195000000008</v>
      </c>
      <c r="AE34" s="233">
        <f>TabCuotasIMSS[[#This Row],[PATRON]]+TabCuotasIMSS[[#This Row],[EXCED.
PATRON]]+TabCuotasIMSS[[#This Row],[PATRON2]]+TabCuotasIMSS[[#This Row],[PATRON3]]+TabCuotasIMSS[[#This Row],[PATRON
0.50%]]+TabCuotasIMSS[[#This Row],[PATRON6]]+TabCuotasIMSS[[#This Row],[PATRON9]]</f>
        <v>6350.4036112500007</v>
      </c>
      <c r="AF34" s="233">
        <f>TabCuotasIMSS[[#This Row],[EXCED.
OBRERO]]+TabCuotasIMSS[[#This Row],[OBRERO]]+TabCuotasIMSS[[#This Row],[OBRERO4]]+TabCuotasIMSS[[#This Row],[OBRERO7]]+TabCuotasIMSS[[#This Row],[OBRERO10]]</f>
        <v>0</v>
      </c>
      <c r="AG34" s="233">
        <f>TabCuotasIMSS[[#This Row],[TOTAL
PATRONAL]]+TabCuotasIMSS[[#This Row],[TOTAL
OBRERO]]</f>
        <v>6350.4036112500007</v>
      </c>
      <c r="AH34" s="141">
        <f>((TabCuotasIMSS[[#This Row],[SALARIO
DEL CICLO]]-(TabCuotasIMSS[[#This Row],[S.B.C./S.D.I.]]*TabCuotasIMSS[[#This Row],[AUS]]))*R_)</f>
        <v>176.41239000000002</v>
      </c>
      <c r="AI34">
        <f>IF(TabCuotasIMSS[[#This Row],[S.B.C./S.D.I.]]&lt;=SMGI,((TabCuotasIMSS[[#This Row],[SALARIO
DEL CICLO]]-(TabCuotasIMSS[[#This Row],[S.B.C./S.D.I.]]*(TabCuotasIMSS[[#This Row],[INC]]+TabCuotasIMSS[[#This Row],[AUS]]))))*CV,((TabCuotasIMSS[[#This Row],[SALARIO
DEL CICLO]]-(TabCuotasIMSS[[#This Row],[S.B.C./S.D.I.]]*(TabCuotasIMSS[[#This Row],[INC]]+TabCuotasIMSS[[#This Row],[AUS]]))))*CVP)</f>
        <v>377.08148362500003</v>
      </c>
      <c r="AJ34">
        <f>IF(TabCuotasIMSS[[#This Row],[S.B.C./S.D.I.]]&lt;=SMGI,0,((TabCuotasIMSS[[#This Row],[SALARIO
DEL CICLO]]-(TabCuotasIMSS[[#This Row],[S.B.C./S.D.I.]]*(TabCuotasIMSS[[#This Row],[INC]]+TabCuotasIMSS[[#This Row],[AUS]]))))*CVO)</f>
        <v>0</v>
      </c>
      <c r="AK34">
        <f>SUM(TabCuotasIMSS[[#This Row],[2%]]:TabCuotasIMSS[[#This Row],[OBRERO14]])</f>
        <v>553.49387362500011</v>
      </c>
      <c r="AL34" s="141">
        <f>((TabCuotasIMSS[[#This Row],[SALARIO
DEL CICLO]]-(TabCuotasIMSS[[#This Row],[S.B.C./S.D.I.]]*(TabCuotasIMSS[[#This Row],[AUS]])))*I)</f>
        <v>441.03097500000007</v>
      </c>
      <c r="AM34" s="141">
        <f>TabCuotasIMSS[[#This Row],[TOTAL
O.P.11]]+TabCuotasIMSS[[#This Row],[2%]]+TabCuotasIMSS[[#This Row],[PATRON13]]+TabCuotasIMSS[[#This Row],[5%]]</f>
        <v>1082.7310436250002</v>
      </c>
      <c r="AN34" s="141">
        <f>TabCuotasIMSS[[#This Row],[TOTAL
OBRERO]]+TabCuotasIMSS[[#This Row],[OBRERO14]]</f>
        <v>0</v>
      </c>
    </row>
    <row r="35" spans="1:40" x14ac:dyDescent="0.25">
      <c r="A35" s="2">
        <v>27</v>
      </c>
      <c r="B35" s="1" cm="1">
        <f t="array" ref="B35">VLOOKUP(TabCuotasIMSS[[#This Row],[ID]],TabEmpleados[],COLUMN(TabEmpleados[Fecha de alta NSS]),FALSE)</f>
        <v>44509</v>
      </c>
      <c r="C35" t="str" cm="1">
        <f t="array" ref="C35">VLOOKUP(TabCuotasIMSS[[#This Row],[ID]],TabEmpleados[],COLUMN(TabEmpleados[Nombre]),FALSE)</f>
        <v>GUTIERREZ LAZARO PABLO GABRIEL</v>
      </c>
      <c r="D35" cm="1">
        <f t="array" ref="D35">IF(VLOOKUP(TabCuotasIMSS[[#This Row],[ID]],TabEmpleados[],COLUMN(TabEmpleados[Fecha de alta NSS]),FALSE)&lt;&gt;"",VLOOKUP(TabCuotasIMSS[[#This Row],[ID]],TabAsistencias[],COLUMN(TabAsistencias[''Total de dias laborados]),FALSE),0)</f>
        <v>73</v>
      </c>
      <c r="E35" cm="1">
        <f t="array" ref="E35">IF(VLOOKUP(TabCuotasIMSS[[#This Row],[ID]],TabEmpleados[],COLUMN(TabEmpleados[Fecha de alta NSS]),FALSE)&lt;&gt;"",IF(DATEDIF((VLOOKUP(TabCuotasIMSS[[#This Row],[ID]],TabEmpleados[],COLUMN(TabEmpleados[Fecha de alta NSS]),FALSE)),'Tablas de informacion'!N$8,"Y")=0,1,DATEDIF((VLOOKUP(TabCuotasIMSS[[#This Row],[ID]],TabEmpleados[],COLUMN(TabEmpleados[Fecha de alta NSS]),FALSE)),'Tablas de informacion'!N$8,"Y")),0)</f>
        <v>1</v>
      </c>
      <c r="F35" s="55" cm="1">
        <f t="array" ref="F35">VLOOKUP(TabCuotasIMSS[[#This Row],[ID]],TabEmpleados[],COLUMN(TabEmpleados[SD Fiscal]),FALSE)</f>
        <v>90</v>
      </c>
      <c r="G35" s="55" cm="1">
        <f t="array" ref="G35">IFERROR((VLOOKUP((VLOOKUP(TabCuotasIMSS[[#This Row],[ID]],TabEmpleados[],COLUMN(TabEmpleados[Puesto]),FALSE)),TabPuestos[],COLUMN(TabPuestos[N° ALIMENTOS]),FALSE))*TabCuotasIMSS[[#This Row],[Salario Diario]]*(VLOOKUP(TabCuotasIMSS[[#This Row],[Años]],TabFactorIntegracion[],COLUMN(TabFactorIntegracion[% por alimento]))),0)</f>
        <v>7.4969999999999999</v>
      </c>
      <c r="H35" s="55" cm="1">
        <f t="array" ref="H35">IFERROR((VLOOKUP((VLOOKUP(TabCuotasIMSS[[#This Row],[ID]],TabEmpleados[],COLUMN(TabEmpleados[Puesto]),FALSE)),TabPuestos[],COLUMN(TabPuestos[PRIMA DOMINICAL]),FALSE))*TabCuotasIMSS[[#This Row],[Salario Diario]]*(VLOOKUP(TabCuotasIMSS[[#This Row],[Años]],TabFactorIntegracion[],COLUMN(TabFactorIntegracion[PRIMA
DOMINICAL]))),0)</f>
        <v>1.6335616438356162</v>
      </c>
      <c r="I35" s="55" cm="1">
        <f t="array" ref="I35">IFERROR(TabCuotasIMSS[[#This Row],[Salario Diario]]*(VLOOKUP(TabCuotasIMSS[[#This Row],[Años]],TabFactorIntegracion[],COLUMN(TabFactorIntegracion[FACTOR DE
INTEGRACIÓN]))),0)</f>
        <v>4.4383561643835616</v>
      </c>
      <c r="J35" s="174">
        <f>IFERROR(TabCuotasIMSS[[#This Row],[Salario Diario]]+TabCuotasIMSS[[#This Row],[Alimentos]]+TabCuotasIMSS[[#This Row],[Prima Dominical]]+TabCuotasIMSS[[#This Row],[Factor de Integracion]],0)</f>
        <v>103.56891780821918</v>
      </c>
      <c r="K35" cm="1">
        <f t="array" ref="K35">VLOOKUP(TabCuotasIMSS[[#This Row],[ID]],TabAsistencias[],COLUMN(TabAsistencias[''I]),FALSE)+VLOOKUP(TabCuotasIMSS[[#This Row],[ID]],TabAsistencias[],COLUMN(TabAsistencias[''IG]),FALSE)</f>
        <v>0</v>
      </c>
      <c r="L35" cm="1">
        <f t="array" ref="L35">VLOOKUP(TabCuotasIMSS[[#This Row],[ID]],TabAsistencias[],COLUMN(TabAsistencias[''F]),FALSE)</f>
        <v>0</v>
      </c>
      <c r="M35" s="141">
        <f>TabCuotasIMSS[[#This Row],[S.B.C./S.D.I.]]*TabCuotasIMSS[[#This Row],[DÍAS
LAB.]]</f>
        <v>7560.5309999999999</v>
      </c>
      <c r="N35" s="141">
        <f>(SMDF*CF*(TabCuotasIMSS[[#This Row],[DÍAS
LAB.]]-TabCuotasIMSS[[#This Row],[INC]]))</f>
        <v>1432.90824</v>
      </c>
      <c r="O35" s="55">
        <f>IF(TabCuotasIMSS[[#This Row],[S.B.C./S.D.I.]]&gt;SMDF3,((TabCuotasIMSS[[#This Row],[S.B.C./S.D.I.]]-SMDF3)*CFP*(TabCuotasIMSS[[#This Row],[DÍAS
LAB.]]-TabCuotasIMSS[[#This Row],[INC]])),0)</f>
        <v>0</v>
      </c>
      <c r="P35" s="55">
        <f>IF(TabCuotasIMSS[[#This Row],[S.B.C./S.D.I.]]&gt;SMDF3,((TabCuotasIMSS[[#This Row],[S.B.C./S.D.I.]]-SMDF3)*CFO*(TabCuotasIMSS[[#This Row],[DÍAS
LAB.]]-TabCuotasIMSS[[#This Row],[INC]])),0)</f>
        <v>0</v>
      </c>
      <c r="Q35" s="55">
        <f>TabCuotasIMSS[[#This Row],[EXCED.
PATRON]]+TabCuotasIMSS[[#This Row],[EXCED.
OBRERO]]</f>
        <v>0</v>
      </c>
      <c r="R35" s="55">
        <f>IF(TabCuotasIMSS[[#This Row],[S.B.C./S.D.I.]]&lt;=SMGI,((TabCuotasIMSS[[#This Row],[SALARIO
DEL CICLO]]-(TabCuotasIMSS[[#This Row],[S.B.C./S.D.I.]]*TabCuotasIMSS[[#This Row],[INC]])))*PD,((TabCuotasIMSS[[#This Row],[SALARIO
DEL CICLO]]-(TabCuotasIMSS[[#This Row],[S.B.C./S.D.I.]]*TabCuotasIMSS[[#This Row],[INC]]))*PDP))</f>
        <v>71.825044500000004</v>
      </c>
      <c r="S35" s="55">
        <f>IF(TabCuotasIMSS[[#This Row],[S.B.C./S.D.I.]]&lt;=SMGI,0,((TabCuotasIMSS[[#This Row],[SALARIO
DEL CICLO]]-(TabCuotasIMSS[[#This Row],[S.B.C./S.D.I.]]*TabCuotasIMSS[[#This Row],[INC]]))*PDO))</f>
        <v>0</v>
      </c>
      <c r="T35" s="55">
        <f>TabCuotasIMSS[[#This Row],[PATRON2]]+TabCuotasIMSS[[#This Row],[OBRERO]]</f>
        <v>71.825044500000004</v>
      </c>
      <c r="U35" s="55">
        <f>IF(TabCuotasIMSS[[#This Row],[S.B.C./S.D.I.]]&lt;=SMGI,((TabCuotasIMSS[[#This Row],[SALARIO
DEL CICLO]]-(TabCuotasIMSS[[#This Row],[S.B.C./S.D.I.]]*TabCuotasIMSS[[#This Row],[INC]])))*GMP,((TabCuotasIMSS[[#This Row],[SALARIO
DEL CICLO]]-(TabCuotasIMSS[[#This Row],[S.B.C./S.D.I.]]*TabCuotasIMSS[[#This Row],[INC]])))*GMPP)</f>
        <v>107.73756675</v>
      </c>
      <c r="V35" s="55">
        <f>IF(TabCuotasIMSS[[#This Row],[S.B.C./S.D.I.]]&lt;=SMGI,0,((TabCuotasIMSS[[#This Row],[SALARIO
DEL CICLO]]-(TabCuotasIMSS[[#This Row],[S.B.C./S.D.I.]]*TabCuotasIMSS[[#This Row],[INC]])))*GMPO)</f>
        <v>0</v>
      </c>
      <c r="W35" s="55">
        <f>TabCuotasIMSS[[#This Row],[PATRON3]]+TabCuotasIMSS[[#This Row],[OBRERO4]]</f>
        <v>107.73756675</v>
      </c>
      <c r="X35" s="141">
        <f>((TabCuotasIMSS[[#This Row],[SALARIO
DEL CICLO]]-(TabCuotasIMSS[[#This Row],[S.B.C./S.D.I.]]*(TabCuotasIMSS[[#This Row],[INC]]+TabCuotasIMSS[[#This Row],[AUS]]))))*PRTP</f>
        <v>3780.2655</v>
      </c>
      <c r="Y35" s="55">
        <f>IF(TabCuotasIMSS[[#This Row],[S.B.C./S.D.I.]]&lt;=SMGI,((TabCuotasIMSS[[#This Row],[SALARIO
DEL CICLO]]-(TabCuotasIMSS[[#This Row],[S.B.C./S.D.I.]]*(TabCuotasIMSS[[#This Row],[INC]]+TabCuotasIMSS[[#This Row],[AUS]]))))*IV,((TabCuotasIMSS[[#This Row],[SALARIO
DEL CICLO]]-(TabCuotasIMSS[[#This Row],[S.B.C./S.D.I.]]*(TabCuotasIMSS[[#This Row],[INC]]+TabCuotasIMSS[[#This Row],[AUS]]))))*IVP)</f>
        <v>179.56261125</v>
      </c>
      <c r="Z35" s="55">
        <f>IF(TabCuotasIMSS[[#This Row],[S.B.C./S.D.I.]]&lt;=SMGI,0,((TabCuotasIMSS[[#This Row],[SALARIO
DEL CICLO]]-(TabCuotasIMSS[[#This Row],[S.B.C./S.D.I.]]*(TabCuotasIMSS[[#This Row],[INC]]+TabCuotasIMSS[[#This Row],[AUS]]))))*IVO)</f>
        <v>0</v>
      </c>
      <c r="AA35" s="55">
        <f>TabCuotasIMSS[[#This Row],[PATRON6]]+TabCuotasIMSS[[#This Row],[OBRERO7]]</f>
        <v>179.56261125</v>
      </c>
      <c r="AB35" s="141">
        <f>((TabCuotasIMSS[[#This Row],[SALARIO
DEL CICLO]]-(TabCuotasIMSS[[#This Row],[S.B.C./S.D.I.]]*(TabCuotasIMSS[[#This Row],[INC]]+TabCuotasIMSS[[#This Row],[AUS]]))))*GPS</f>
        <v>75.605310000000003</v>
      </c>
      <c r="AC35" s="141">
        <f>TabCuotasIMSS[[#This Row],[SALARIO
DEL CICLO]]*0</f>
        <v>0</v>
      </c>
      <c r="AD35" s="141">
        <f>TabCuotasIMSS[[#This Row],[PATRON9]]+TabCuotasIMSS[[#This Row],[OBRERO10]]</f>
        <v>75.605310000000003</v>
      </c>
      <c r="AE35" s="233">
        <f>TabCuotasIMSS[[#This Row],[PATRON]]+TabCuotasIMSS[[#This Row],[EXCED.
PATRON]]+TabCuotasIMSS[[#This Row],[PATRON2]]+TabCuotasIMSS[[#This Row],[PATRON3]]+TabCuotasIMSS[[#This Row],[PATRON
0.50%]]+TabCuotasIMSS[[#This Row],[PATRON6]]+TabCuotasIMSS[[#This Row],[PATRON9]]</f>
        <v>5647.9042724999999</v>
      </c>
      <c r="AF35" s="233">
        <f>TabCuotasIMSS[[#This Row],[EXCED.
OBRERO]]+TabCuotasIMSS[[#This Row],[OBRERO]]+TabCuotasIMSS[[#This Row],[OBRERO4]]+TabCuotasIMSS[[#This Row],[OBRERO7]]+TabCuotasIMSS[[#This Row],[OBRERO10]]</f>
        <v>0</v>
      </c>
      <c r="AG35" s="233">
        <f>TabCuotasIMSS[[#This Row],[TOTAL
PATRONAL]]+TabCuotasIMSS[[#This Row],[TOTAL
OBRERO]]</f>
        <v>5647.9042724999999</v>
      </c>
      <c r="AH35" s="141">
        <f>((TabCuotasIMSS[[#This Row],[SALARIO
DEL CICLO]]-(TabCuotasIMSS[[#This Row],[S.B.C./S.D.I.]]*TabCuotasIMSS[[#This Row],[AUS]]))*R_)</f>
        <v>151.21062000000001</v>
      </c>
      <c r="AI35">
        <f>IF(TabCuotasIMSS[[#This Row],[S.B.C./S.D.I.]]&lt;=SMGI,((TabCuotasIMSS[[#This Row],[SALARIO
DEL CICLO]]-(TabCuotasIMSS[[#This Row],[S.B.C./S.D.I.]]*(TabCuotasIMSS[[#This Row],[INC]]+TabCuotasIMSS[[#This Row],[AUS]]))))*CV,((TabCuotasIMSS[[#This Row],[SALARIO
DEL CICLO]]-(TabCuotasIMSS[[#This Row],[S.B.C./S.D.I.]]*(TabCuotasIMSS[[#This Row],[INC]]+TabCuotasIMSS[[#This Row],[AUS]]))))*CVP)</f>
        <v>323.21270025000001</v>
      </c>
      <c r="AJ35">
        <f>IF(TabCuotasIMSS[[#This Row],[S.B.C./S.D.I.]]&lt;=SMGI,0,((TabCuotasIMSS[[#This Row],[SALARIO
DEL CICLO]]-(TabCuotasIMSS[[#This Row],[S.B.C./S.D.I.]]*(TabCuotasIMSS[[#This Row],[INC]]+TabCuotasIMSS[[#This Row],[AUS]]))))*CVO)</f>
        <v>0</v>
      </c>
      <c r="AK35">
        <f>SUM(TabCuotasIMSS[[#This Row],[2%]]:TabCuotasIMSS[[#This Row],[OBRERO14]])</f>
        <v>474.42332025000002</v>
      </c>
      <c r="AL35" s="141">
        <f>((TabCuotasIMSS[[#This Row],[SALARIO
DEL CICLO]]-(TabCuotasIMSS[[#This Row],[S.B.C./S.D.I.]]*(TabCuotasIMSS[[#This Row],[AUS]])))*I)</f>
        <v>378.02655000000004</v>
      </c>
      <c r="AM35" s="141">
        <f>TabCuotasIMSS[[#This Row],[TOTAL
O.P.11]]+TabCuotasIMSS[[#This Row],[2%]]+TabCuotasIMSS[[#This Row],[PATRON13]]+TabCuotasIMSS[[#This Row],[5%]]</f>
        <v>928.05518025000003</v>
      </c>
      <c r="AN35" s="141">
        <f>TabCuotasIMSS[[#This Row],[TOTAL
OBRERO]]+TabCuotasIMSS[[#This Row],[OBRERO14]]</f>
        <v>0</v>
      </c>
    </row>
    <row r="36" spans="1:40" x14ac:dyDescent="0.25">
      <c r="A36" s="2">
        <v>28</v>
      </c>
      <c r="B36" s="1" cm="1">
        <f t="array" ref="B36">VLOOKUP(TabCuotasIMSS[[#This Row],[ID]],TabEmpleados[],COLUMN(TabEmpleados[Fecha de alta NSS]),FALSE)</f>
        <v>44509</v>
      </c>
      <c r="C36" t="str" cm="1">
        <f t="array" ref="C36">VLOOKUP(TabCuotasIMSS[[#This Row],[ID]],TabEmpleados[],COLUMN(TabEmpleados[Nombre]),FALSE)</f>
        <v>AGUILAR ROJAS OSCAR</v>
      </c>
      <c r="D36" cm="1">
        <f t="array" ref="D36">IF(VLOOKUP(TabCuotasIMSS[[#This Row],[ID]],TabEmpleados[],COLUMN(TabEmpleados[Fecha de alta NSS]),FALSE)&lt;&gt;"",VLOOKUP(TabCuotasIMSS[[#This Row],[ID]],TabAsistencias[],COLUMN(TabAsistencias[''Total de dias laborados]),FALSE),0)</f>
        <v>73</v>
      </c>
      <c r="E36" cm="1">
        <f t="array" ref="E36">IF(VLOOKUP(TabCuotasIMSS[[#This Row],[ID]],TabEmpleados[],COLUMN(TabEmpleados[Fecha de alta NSS]),FALSE)&lt;&gt;"",IF(DATEDIF((VLOOKUP(TabCuotasIMSS[[#This Row],[ID]],TabEmpleados[],COLUMN(TabEmpleados[Fecha de alta NSS]),FALSE)),'Tablas de informacion'!N$8,"Y")=0,1,DATEDIF((VLOOKUP(TabCuotasIMSS[[#This Row],[ID]],TabEmpleados[],COLUMN(TabEmpleados[Fecha de alta NSS]),FALSE)),'Tablas de informacion'!N$8,"Y")),0)</f>
        <v>1</v>
      </c>
      <c r="F36" s="55" cm="1">
        <f t="array" ref="F36">VLOOKUP(TabCuotasIMSS[[#This Row],[ID]],TabEmpleados[],COLUMN(TabEmpleados[SD Fiscal]),FALSE)</f>
        <v>90</v>
      </c>
      <c r="G36" s="55" cm="1">
        <f t="array" ref="G36">IFERROR((VLOOKUP((VLOOKUP(TabCuotasIMSS[[#This Row],[ID]],TabEmpleados[],COLUMN(TabEmpleados[Puesto]),FALSE)),TabPuestos[],COLUMN(TabPuestos[N° ALIMENTOS]),FALSE))*TabCuotasIMSS[[#This Row],[Salario Diario]]*(VLOOKUP(TabCuotasIMSS[[#This Row],[Años]],TabFactorIntegracion[],COLUMN(TabFactorIntegracion[% por alimento]))),0)</f>
        <v>7.4969999999999999</v>
      </c>
      <c r="H36" s="55" cm="1">
        <f t="array" ref="H36">IFERROR((VLOOKUP((VLOOKUP(TabCuotasIMSS[[#This Row],[ID]],TabEmpleados[],COLUMN(TabEmpleados[Puesto]),FALSE)),TabPuestos[],COLUMN(TabPuestos[PRIMA DOMINICAL]),FALSE))*TabCuotasIMSS[[#This Row],[Salario Diario]]*(VLOOKUP(TabCuotasIMSS[[#This Row],[Años]],TabFactorIntegracion[],COLUMN(TabFactorIntegracion[PRIMA
DOMINICAL]))),0)</f>
        <v>1.6335616438356162</v>
      </c>
      <c r="I36" s="55" cm="1">
        <f t="array" ref="I36">IFERROR(TabCuotasIMSS[[#This Row],[Salario Diario]]*(VLOOKUP(TabCuotasIMSS[[#This Row],[Años]],TabFactorIntegracion[],COLUMN(TabFactorIntegracion[FACTOR DE
INTEGRACIÓN]))),0)</f>
        <v>4.4383561643835616</v>
      </c>
      <c r="J36" s="174">
        <f>IFERROR(TabCuotasIMSS[[#This Row],[Salario Diario]]+TabCuotasIMSS[[#This Row],[Alimentos]]+TabCuotasIMSS[[#This Row],[Prima Dominical]]+TabCuotasIMSS[[#This Row],[Factor de Integracion]],0)</f>
        <v>103.56891780821918</v>
      </c>
      <c r="K36" cm="1">
        <f t="array" ref="K36">VLOOKUP(TabCuotasIMSS[[#This Row],[ID]],TabAsistencias[],COLUMN(TabAsistencias[''I]),FALSE)+VLOOKUP(TabCuotasIMSS[[#This Row],[ID]],TabAsistencias[],COLUMN(TabAsistencias[''IG]),FALSE)</f>
        <v>0</v>
      </c>
      <c r="L36" cm="1">
        <f t="array" ref="L36">VLOOKUP(TabCuotasIMSS[[#This Row],[ID]],TabAsistencias[],COLUMN(TabAsistencias[''F]),FALSE)</f>
        <v>0</v>
      </c>
      <c r="M36" s="141">
        <f>TabCuotasIMSS[[#This Row],[S.B.C./S.D.I.]]*TabCuotasIMSS[[#This Row],[DÍAS
LAB.]]</f>
        <v>7560.5309999999999</v>
      </c>
      <c r="N36" s="141">
        <f>(SMDF*CF*(TabCuotasIMSS[[#This Row],[DÍAS
LAB.]]-TabCuotasIMSS[[#This Row],[INC]]))</f>
        <v>1432.90824</v>
      </c>
      <c r="O36" s="55">
        <f>IF(TabCuotasIMSS[[#This Row],[S.B.C./S.D.I.]]&gt;SMDF3,((TabCuotasIMSS[[#This Row],[S.B.C./S.D.I.]]-SMDF3)*CFP*(TabCuotasIMSS[[#This Row],[DÍAS
LAB.]]-TabCuotasIMSS[[#This Row],[INC]])),0)</f>
        <v>0</v>
      </c>
      <c r="P36" s="55">
        <f>IF(TabCuotasIMSS[[#This Row],[S.B.C./S.D.I.]]&gt;SMDF3,((TabCuotasIMSS[[#This Row],[S.B.C./S.D.I.]]-SMDF3)*CFO*(TabCuotasIMSS[[#This Row],[DÍAS
LAB.]]-TabCuotasIMSS[[#This Row],[INC]])),0)</f>
        <v>0</v>
      </c>
      <c r="Q36" s="55">
        <f>TabCuotasIMSS[[#This Row],[EXCED.
PATRON]]+TabCuotasIMSS[[#This Row],[EXCED.
OBRERO]]</f>
        <v>0</v>
      </c>
      <c r="R36" s="55">
        <f>IF(TabCuotasIMSS[[#This Row],[S.B.C./S.D.I.]]&lt;=SMGI,((TabCuotasIMSS[[#This Row],[SALARIO
DEL CICLO]]-(TabCuotasIMSS[[#This Row],[S.B.C./S.D.I.]]*TabCuotasIMSS[[#This Row],[INC]])))*PD,((TabCuotasIMSS[[#This Row],[SALARIO
DEL CICLO]]-(TabCuotasIMSS[[#This Row],[S.B.C./S.D.I.]]*TabCuotasIMSS[[#This Row],[INC]]))*PDP))</f>
        <v>71.825044500000004</v>
      </c>
      <c r="S36" s="55">
        <f>IF(TabCuotasIMSS[[#This Row],[S.B.C./S.D.I.]]&lt;=SMGI,0,((TabCuotasIMSS[[#This Row],[SALARIO
DEL CICLO]]-(TabCuotasIMSS[[#This Row],[S.B.C./S.D.I.]]*TabCuotasIMSS[[#This Row],[INC]]))*PDO))</f>
        <v>0</v>
      </c>
      <c r="T36" s="55">
        <f>TabCuotasIMSS[[#This Row],[PATRON2]]+TabCuotasIMSS[[#This Row],[OBRERO]]</f>
        <v>71.825044500000004</v>
      </c>
      <c r="U36" s="55">
        <f>IF(TabCuotasIMSS[[#This Row],[S.B.C./S.D.I.]]&lt;=SMGI,((TabCuotasIMSS[[#This Row],[SALARIO
DEL CICLO]]-(TabCuotasIMSS[[#This Row],[S.B.C./S.D.I.]]*TabCuotasIMSS[[#This Row],[INC]])))*GMP,((TabCuotasIMSS[[#This Row],[SALARIO
DEL CICLO]]-(TabCuotasIMSS[[#This Row],[S.B.C./S.D.I.]]*TabCuotasIMSS[[#This Row],[INC]])))*GMPP)</f>
        <v>107.73756675</v>
      </c>
      <c r="V36" s="55">
        <f>IF(TabCuotasIMSS[[#This Row],[S.B.C./S.D.I.]]&lt;=SMGI,0,((TabCuotasIMSS[[#This Row],[SALARIO
DEL CICLO]]-(TabCuotasIMSS[[#This Row],[S.B.C./S.D.I.]]*TabCuotasIMSS[[#This Row],[INC]])))*GMPO)</f>
        <v>0</v>
      </c>
      <c r="W36" s="55">
        <f>TabCuotasIMSS[[#This Row],[PATRON3]]+TabCuotasIMSS[[#This Row],[OBRERO4]]</f>
        <v>107.73756675</v>
      </c>
      <c r="X36" s="141">
        <f>((TabCuotasIMSS[[#This Row],[SALARIO
DEL CICLO]]-(TabCuotasIMSS[[#This Row],[S.B.C./S.D.I.]]*(TabCuotasIMSS[[#This Row],[INC]]+TabCuotasIMSS[[#This Row],[AUS]]))))*PRTP</f>
        <v>3780.2655</v>
      </c>
      <c r="Y36" s="55">
        <f>IF(TabCuotasIMSS[[#This Row],[S.B.C./S.D.I.]]&lt;=SMGI,((TabCuotasIMSS[[#This Row],[SALARIO
DEL CICLO]]-(TabCuotasIMSS[[#This Row],[S.B.C./S.D.I.]]*(TabCuotasIMSS[[#This Row],[INC]]+TabCuotasIMSS[[#This Row],[AUS]]))))*IV,((TabCuotasIMSS[[#This Row],[SALARIO
DEL CICLO]]-(TabCuotasIMSS[[#This Row],[S.B.C./S.D.I.]]*(TabCuotasIMSS[[#This Row],[INC]]+TabCuotasIMSS[[#This Row],[AUS]]))))*IVP)</f>
        <v>179.56261125</v>
      </c>
      <c r="Z36" s="55">
        <f>IF(TabCuotasIMSS[[#This Row],[S.B.C./S.D.I.]]&lt;=SMGI,0,((TabCuotasIMSS[[#This Row],[SALARIO
DEL CICLO]]-(TabCuotasIMSS[[#This Row],[S.B.C./S.D.I.]]*(TabCuotasIMSS[[#This Row],[INC]]+TabCuotasIMSS[[#This Row],[AUS]]))))*IVO)</f>
        <v>0</v>
      </c>
      <c r="AA36" s="55">
        <f>TabCuotasIMSS[[#This Row],[PATRON6]]+TabCuotasIMSS[[#This Row],[OBRERO7]]</f>
        <v>179.56261125</v>
      </c>
      <c r="AB36" s="141">
        <f>((TabCuotasIMSS[[#This Row],[SALARIO
DEL CICLO]]-(TabCuotasIMSS[[#This Row],[S.B.C./S.D.I.]]*(TabCuotasIMSS[[#This Row],[INC]]+TabCuotasIMSS[[#This Row],[AUS]]))))*GPS</f>
        <v>75.605310000000003</v>
      </c>
      <c r="AC36" s="141">
        <f>TabCuotasIMSS[[#This Row],[SALARIO
DEL CICLO]]*0</f>
        <v>0</v>
      </c>
      <c r="AD36" s="141">
        <f>TabCuotasIMSS[[#This Row],[PATRON9]]+TabCuotasIMSS[[#This Row],[OBRERO10]]</f>
        <v>75.605310000000003</v>
      </c>
      <c r="AE36" s="233">
        <f>TabCuotasIMSS[[#This Row],[PATRON]]+TabCuotasIMSS[[#This Row],[EXCED.
PATRON]]+TabCuotasIMSS[[#This Row],[PATRON2]]+TabCuotasIMSS[[#This Row],[PATRON3]]+TabCuotasIMSS[[#This Row],[PATRON
0.50%]]+TabCuotasIMSS[[#This Row],[PATRON6]]+TabCuotasIMSS[[#This Row],[PATRON9]]</f>
        <v>5647.9042724999999</v>
      </c>
      <c r="AF36" s="233">
        <f>TabCuotasIMSS[[#This Row],[EXCED.
OBRERO]]+TabCuotasIMSS[[#This Row],[OBRERO]]+TabCuotasIMSS[[#This Row],[OBRERO4]]+TabCuotasIMSS[[#This Row],[OBRERO7]]+TabCuotasIMSS[[#This Row],[OBRERO10]]</f>
        <v>0</v>
      </c>
      <c r="AG36" s="233">
        <f>TabCuotasIMSS[[#This Row],[TOTAL
PATRONAL]]+TabCuotasIMSS[[#This Row],[TOTAL
OBRERO]]</f>
        <v>5647.9042724999999</v>
      </c>
      <c r="AH36" s="141">
        <f>((TabCuotasIMSS[[#This Row],[SALARIO
DEL CICLO]]-(TabCuotasIMSS[[#This Row],[S.B.C./S.D.I.]]*TabCuotasIMSS[[#This Row],[AUS]]))*R_)</f>
        <v>151.21062000000001</v>
      </c>
      <c r="AI36">
        <f>IF(TabCuotasIMSS[[#This Row],[S.B.C./S.D.I.]]&lt;=SMGI,((TabCuotasIMSS[[#This Row],[SALARIO
DEL CICLO]]-(TabCuotasIMSS[[#This Row],[S.B.C./S.D.I.]]*(TabCuotasIMSS[[#This Row],[INC]]+TabCuotasIMSS[[#This Row],[AUS]]))))*CV,((TabCuotasIMSS[[#This Row],[SALARIO
DEL CICLO]]-(TabCuotasIMSS[[#This Row],[S.B.C./S.D.I.]]*(TabCuotasIMSS[[#This Row],[INC]]+TabCuotasIMSS[[#This Row],[AUS]]))))*CVP)</f>
        <v>323.21270025000001</v>
      </c>
      <c r="AJ36">
        <f>IF(TabCuotasIMSS[[#This Row],[S.B.C./S.D.I.]]&lt;=SMGI,0,((TabCuotasIMSS[[#This Row],[SALARIO
DEL CICLO]]-(TabCuotasIMSS[[#This Row],[S.B.C./S.D.I.]]*(TabCuotasIMSS[[#This Row],[INC]]+TabCuotasIMSS[[#This Row],[AUS]]))))*CVO)</f>
        <v>0</v>
      </c>
      <c r="AK36">
        <f>SUM(TabCuotasIMSS[[#This Row],[2%]]:TabCuotasIMSS[[#This Row],[OBRERO14]])</f>
        <v>474.42332025000002</v>
      </c>
      <c r="AL36" s="141">
        <f>((TabCuotasIMSS[[#This Row],[SALARIO
DEL CICLO]]-(TabCuotasIMSS[[#This Row],[S.B.C./S.D.I.]]*(TabCuotasIMSS[[#This Row],[AUS]])))*I)</f>
        <v>378.02655000000004</v>
      </c>
      <c r="AM36" s="141">
        <f>TabCuotasIMSS[[#This Row],[TOTAL
O.P.11]]+TabCuotasIMSS[[#This Row],[2%]]+TabCuotasIMSS[[#This Row],[PATRON13]]+TabCuotasIMSS[[#This Row],[5%]]</f>
        <v>928.05518025000003</v>
      </c>
      <c r="AN36" s="141">
        <f>TabCuotasIMSS[[#This Row],[TOTAL
OBRERO]]+TabCuotasIMSS[[#This Row],[OBRERO14]]</f>
        <v>0</v>
      </c>
    </row>
    <row r="37" spans="1:40" x14ac:dyDescent="0.25">
      <c r="A37" s="2">
        <v>29</v>
      </c>
      <c r="B37" s="1" cm="1">
        <f t="array" ref="B37">VLOOKUP(TabCuotasIMSS[[#This Row],[ID]],TabEmpleados[],COLUMN(TabEmpleados[Fecha de alta NSS]),FALSE)</f>
        <v>44509</v>
      </c>
      <c r="C37" t="str" cm="1">
        <f t="array" ref="C37">VLOOKUP(TabCuotasIMSS[[#This Row],[ID]],TabEmpleados[],COLUMN(TabEmpleados[Nombre]),FALSE)</f>
        <v>TOLENTINO MEJIA CYNTHIA NINET</v>
      </c>
      <c r="D37" cm="1">
        <f t="array" ref="D37">IF(VLOOKUP(TabCuotasIMSS[[#This Row],[ID]],TabEmpleados[],COLUMN(TabEmpleados[Fecha de alta NSS]),FALSE)&lt;&gt;"",VLOOKUP(TabCuotasIMSS[[#This Row],[ID]],TabAsistencias[],COLUMN(TabAsistencias[''Total de dias laborados]),FALSE),0)</f>
        <v>73</v>
      </c>
      <c r="E37" cm="1">
        <f t="array" ref="E37">IF(VLOOKUP(TabCuotasIMSS[[#This Row],[ID]],TabEmpleados[],COLUMN(TabEmpleados[Fecha de alta NSS]),FALSE)&lt;&gt;"",IF(DATEDIF((VLOOKUP(TabCuotasIMSS[[#This Row],[ID]],TabEmpleados[],COLUMN(TabEmpleados[Fecha de alta NSS]),FALSE)),'Tablas de informacion'!N$8,"Y")=0,1,DATEDIF((VLOOKUP(TabCuotasIMSS[[#This Row],[ID]],TabEmpleados[],COLUMN(TabEmpleados[Fecha de alta NSS]),FALSE)),'Tablas de informacion'!N$8,"Y")),0)</f>
        <v>1</v>
      </c>
      <c r="F37" s="55" cm="1">
        <f t="array" ref="F37">VLOOKUP(TabCuotasIMSS[[#This Row],[ID]],TabEmpleados[],COLUMN(TabEmpleados[SD Fiscal]),FALSE)</f>
        <v>96</v>
      </c>
      <c r="G37" s="55" cm="1">
        <f t="array" ref="G37">IFERROR((VLOOKUP((VLOOKUP(TabCuotasIMSS[[#This Row],[ID]],TabEmpleados[],COLUMN(TabEmpleados[Puesto]),FALSE)),TabPuestos[],COLUMN(TabPuestos[N° ALIMENTOS]),FALSE))*TabCuotasIMSS[[#This Row],[Salario Diario]]*(VLOOKUP(TabCuotasIMSS[[#This Row],[Años]],TabFactorIntegracion[],COLUMN(TabFactorIntegracion[% por alimento]))),0)</f>
        <v>7.9968000000000004</v>
      </c>
      <c r="H37" s="55" cm="1">
        <f t="array" ref="H37">IFERROR((VLOOKUP((VLOOKUP(TabCuotasIMSS[[#This Row],[ID]],TabEmpleados[],COLUMN(TabEmpleados[Puesto]),FALSE)),TabPuestos[],COLUMN(TabPuestos[PRIMA DOMINICAL]),FALSE))*TabCuotasIMSS[[#This Row],[Salario Diario]]*(VLOOKUP(TabCuotasIMSS[[#This Row],[Años]],TabFactorIntegracion[],COLUMN(TabFactorIntegracion[PRIMA
DOMINICAL]))),0)</f>
        <v>1.7424657534246575</v>
      </c>
      <c r="I37" s="55" cm="1">
        <f t="array" ref="I37">IFERROR(TabCuotasIMSS[[#This Row],[Salario Diario]]*(VLOOKUP(TabCuotasIMSS[[#This Row],[Años]],TabFactorIntegracion[],COLUMN(TabFactorIntegracion[FACTOR DE
INTEGRACIÓN]))),0)</f>
        <v>4.7342465753424658</v>
      </c>
      <c r="J37" s="174">
        <f>IFERROR(TabCuotasIMSS[[#This Row],[Salario Diario]]+TabCuotasIMSS[[#This Row],[Alimentos]]+TabCuotasIMSS[[#This Row],[Prima Dominical]]+TabCuotasIMSS[[#This Row],[Factor de Integracion]],0)</f>
        <v>110.47351232876713</v>
      </c>
      <c r="K37" cm="1">
        <f t="array" ref="K37">VLOOKUP(TabCuotasIMSS[[#This Row],[ID]],TabAsistencias[],COLUMN(TabAsistencias[''I]),FALSE)+VLOOKUP(TabCuotasIMSS[[#This Row],[ID]],TabAsistencias[],COLUMN(TabAsistencias[''IG]),FALSE)</f>
        <v>0</v>
      </c>
      <c r="L37" cm="1">
        <f t="array" ref="L37">VLOOKUP(TabCuotasIMSS[[#This Row],[ID]],TabAsistencias[],COLUMN(TabAsistencias[''F]),FALSE)</f>
        <v>0</v>
      </c>
      <c r="M37" s="141">
        <f>TabCuotasIMSS[[#This Row],[S.B.C./S.D.I.]]*TabCuotasIMSS[[#This Row],[DÍAS
LAB.]]</f>
        <v>8064.5664000000006</v>
      </c>
      <c r="N37" s="141">
        <f>(SMDF*CF*(TabCuotasIMSS[[#This Row],[DÍAS
LAB.]]-TabCuotasIMSS[[#This Row],[INC]]))</f>
        <v>1432.90824</v>
      </c>
      <c r="O37" s="55">
        <f>IF(TabCuotasIMSS[[#This Row],[S.B.C./S.D.I.]]&gt;SMDF3,((TabCuotasIMSS[[#This Row],[S.B.C./S.D.I.]]-SMDF3)*CFP*(TabCuotasIMSS[[#This Row],[DÍAS
LAB.]]-TabCuotasIMSS[[#This Row],[INC]])),0)</f>
        <v>0</v>
      </c>
      <c r="P37" s="55">
        <f>IF(TabCuotasIMSS[[#This Row],[S.B.C./S.D.I.]]&gt;SMDF3,((TabCuotasIMSS[[#This Row],[S.B.C./S.D.I.]]-SMDF3)*CFO*(TabCuotasIMSS[[#This Row],[DÍAS
LAB.]]-TabCuotasIMSS[[#This Row],[INC]])),0)</f>
        <v>0</v>
      </c>
      <c r="Q37" s="55">
        <f>TabCuotasIMSS[[#This Row],[EXCED.
PATRON]]+TabCuotasIMSS[[#This Row],[EXCED.
OBRERO]]</f>
        <v>0</v>
      </c>
      <c r="R37" s="55">
        <f>IF(TabCuotasIMSS[[#This Row],[S.B.C./S.D.I.]]&lt;=SMGI,((TabCuotasIMSS[[#This Row],[SALARIO
DEL CICLO]]-(TabCuotasIMSS[[#This Row],[S.B.C./S.D.I.]]*TabCuotasIMSS[[#This Row],[INC]])))*PD,((TabCuotasIMSS[[#This Row],[SALARIO
DEL CICLO]]-(TabCuotasIMSS[[#This Row],[S.B.C./S.D.I.]]*TabCuotasIMSS[[#This Row],[INC]]))*PDP))</f>
        <v>76.613380800000002</v>
      </c>
      <c r="S37" s="55">
        <f>IF(TabCuotasIMSS[[#This Row],[S.B.C./S.D.I.]]&lt;=SMGI,0,((TabCuotasIMSS[[#This Row],[SALARIO
DEL CICLO]]-(TabCuotasIMSS[[#This Row],[S.B.C./S.D.I.]]*TabCuotasIMSS[[#This Row],[INC]]))*PDO))</f>
        <v>0</v>
      </c>
      <c r="T37" s="55">
        <f>TabCuotasIMSS[[#This Row],[PATRON2]]+TabCuotasIMSS[[#This Row],[OBRERO]]</f>
        <v>76.613380800000002</v>
      </c>
      <c r="U37" s="55">
        <f>IF(TabCuotasIMSS[[#This Row],[S.B.C./S.D.I.]]&lt;=SMGI,((TabCuotasIMSS[[#This Row],[SALARIO
DEL CICLO]]-(TabCuotasIMSS[[#This Row],[S.B.C./S.D.I.]]*TabCuotasIMSS[[#This Row],[INC]])))*GMP,((TabCuotasIMSS[[#This Row],[SALARIO
DEL CICLO]]-(TabCuotasIMSS[[#This Row],[S.B.C./S.D.I.]]*TabCuotasIMSS[[#This Row],[INC]])))*GMPP)</f>
        <v>114.92007120000001</v>
      </c>
      <c r="V37" s="55">
        <f>IF(TabCuotasIMSS[[#This Row],[S.B.C./S.D.I.]]&lt;=SMGI,0,((TabCuotasIMSS[[#This Row],[SALARIO
DEL CICLO]]-(TabCuotasIMSS[[#This Row],[S.B.C./S.D.I.]]*TabCuotasIMSS[[#This Row],[INC]])))*GMPO)</f>
        <v>0</v>
      </c>
      <c r="W37" s="55">
        <f>TabCuotasIMSS[[#This Row],[PATRON3]]+TabCuotasIMSS[[#This Row],[OBRERO4]]</f>
        <v>114.92007120000001</v>
      </c>
      <c r="X37" s="141">
        <f>((TabCuotasIMSS[[#This Row],[SALARIO
DEL CICLO]]-(TabCuotasIMSS[[#This Row],[S.B.C./S.D.I.]]*(TabCuotasIMSS[[#This Row],[INC]]+TabCuotasIMSS[[#This Row],[AUS]]))))*PRTP</f>
        <v>4032.2832000000003</v>
      </c>
      <c r="Y37" s="55">
        <f>IF(TabCuotasIMSS[[#This Row],[S.B.C./S.D.I.]]&lt;=SMGI,((TabCuotasIMSS[[#This Row],[SALARIO
DEL CICLO]]-(TabCuotasIMSS[[#This Row],[S.B.C./S.D.I.]]*(TabCuotasIMSS[[#This Row],[INC]]+TabCuotasIMSS[[#This Row],[AUS]]))))*IV,((TabCuotasIMSS[[#This Row],[SALARIO
DEL CICLO]]-(TabCuotasIMSS[[#This Row],[S.B.C./S.D.I.]]*(TabCuotasIMSS[[#This Row],[INC]]+TabCuotasIMSS[[#This Row],[AUS]]))))*IVP)</f>
        <v>191.53345200000001</v>
      </c>
      <c r="Z37" s="55">
        <f>IF(TabCuotasIMSS[[#This Row],[S.B.C./S.D.I.]]&lt;=SMGI,0,((TabCuotasIMSS[[#This Row],[SALARIO
DEL CICLO]]-(TabCuotasIMSS[[#This Row],[S.B.C./S.D.I.]]*(TabCuotasIMSS[[#This Row],[INC]]+TabCuotasIMSS[[#This Row],[AUS]]))))*IVO)</f>
        <v>0</v>
      </c>
      <c r="AA37" s="55">
        <f>TabCuotasIMSS[[#This Row],[PATRON6]]+TabCuotasIMSS[[#This Row],[OBRERO7]]</f>
        <v>191.53345200000001</v>
      </c>
      <c r="AB37" s="141">
        <f>((TabCuotasIMSS[[#This Row],[SALARIO
DEL CICLO]]-(TabCuotasIMSS[[#This Row],[S.B.C./S.D.I.]]*(TabCuotasIMSS[[#This Row],[INC]]+TabCuotasIMSS[[#This Row],[AUS]]))))*GPS</f>
        <v>80.645664000000011</v>
      </c>
      <c r="AC37" s="141">
        <f>TabCuotasIMSS[[#This Row],[SALARIO
DEL CICLO]]*0</f>
        <v>0</v>
      </c>
      <c r="AD37" s="141">
        <f>TabCuotasIMSS[[#This Row],[PATRON9]]+TabCuotasIMSS[[#This Row],[OBRERO10]]</f>
        <v>80.645664000000011</v>
      </c>
      <c r="AE37" s="233">
        <f>TabCuotasIMSS[[#This Row],[PATRON]]+TabCuotasIMSS[[#This Row],[EXCED.
PATRON]]+TabCuotasIMSS[[#This Row],[PATRON2]]+TabCuotasIMSS[[#This Row],[PATRON3]]+TabCuotasIMSS[[#This Row],[PATRON
0.50%]]+TabCuotasIMSS[[#This Row],[PATRON6]]+TabCuotasIMSS[[#This Row],[PATRON9]]</f>
        <v>5928.9040079999995</v>
      </c>
      <c r="AF37" s="233">
        <f>TabCuotasIMSS[[#This Row],[EXCED.
OBRERO]]+TabCuotasIMSS[[#This Row],[OBRERO]]+TabCuotasIMSS[[#This Row],[OBRERO4]]+TabCuotasIMSS[[#This Row],[OBRERO7]]+TabCuotasIMSS[[#This Row],[OBRERO10]]</f>
        <v>0</v>
      </c>
      <c r="AG37" s="233">
        <f>TabCuotasIMSS[[#This Row],[TOTAL
PATRONAL]]+TabCuotasIMSS[[#This Row],[TOTAL
OBRERO]]</f>
        <v>5928.9040079999995</v>
      </c>
      <c r="AH37" s="141">
        <f>((TabCuotasIMSS[[#This Row],[SALARIO
DEL CICLO]]-(TabCuotasIMSS[[#This Row],[S.B.C./S.D.I.]]*TabCuotasIMSS[[#This Row],[AUS]]))*R_)</f>
        <v>161.29132800000002</v>
      </c>
      <c r="AI37">
        <f>IF(TabCuotasIMSS[[#This Row],[S.B.C./S.D.I.]]&lt;=SMGI,((TabCuotasIMSS[[#This Row],[SALARIO
DEL CICLO]]-(TabCuotasIMSS[[#This Row],[S.B.C./S.D.I.]]*(TabCuotasIMSS[[#This Row],[INC]]+TabCuotasIMSS[[#This Row],[AUS]]))))*CV,((TabCuotasIMSS[[#This Row],[SALARIO
DEL CICLO]]-(TabCuotasIMSS[[#This Row],[S.B.C./S.D.I.]]*(TabCuotasIMSS[[#This Row],[INC]]+TabCuotasIMSS[[#This Row],[AUS]]))))*CVP)</f>
        <v>344.76021360000004</v>
      </c>
      <c r="AJ37">
        <f>IF(TabCuotasIMSS[[#This Row],[S.B.C./S.D.I.]]&lt;=SMGI,0,((TabCuotasIMSS[[#This Row],[SALARIO
DEL CICLO]]-(TabCuotasIMSS[[#This Row],[S.B.C./S.D.I.]]*(TabCuotasIMSS[[#This Row],[INC]]+TabCuotasIMSS[[#This Row],[AUS]]))))*CVO)</f>
        <v>0</v>
      </c>
      <c r="AK37">
        <f>SUM(TabCuotasIMSS[[#This Row],[2%]]:TabCuotasIMSS[[#This Row],[OBRERO14]])</f>
        <v>506.05154160000006</v>
      </c>
      <c r="AL37" s="141">
        <f>((TabCuotasIMSS[[#This Row],[SALARIO
DEL CICLO]]-(TabCuotasIMSS[[#This Row],[S.B.C./S.D.I.]]*(TabCuotasIMSS[[#This Row],[AUS]])))*I)</f>
        <v>403.22832000000005</v>
      </c>
      <c r="AM37" s="141">
        <f>TabCuotasIMSS[[#This Row],[TOTAL
O.P.11]]+TabCuotasIMSS[[#This Row],[2%]]+TabCuotasIMSS[[#This Row],[PATRON13]]+TabCuotasIMSS[[#This Row],[5%]]</f>
        <v>989.92552560000013</v>
      </c>
      <c r="AN37" s="141">
        <f>TabCuotasIMSS[[#This Row],[TOTAL
OBRERO]]+TabCuotasIMSS[[#This Row],[OBRERO14]]</f>
        <v>0</v>
      </c>
    </row>
    <row r="38" spans="1:40" x14ac:dyDescent="0.25">
      <c r="A38" s="2">
        <v>30</v>
      </c>
      <c r="B38" s="1" cm="1">
        <f t="array" ref="B38">VLOOKUP(TabCuotasIMSS[[#This Row],[ID]],TabEmpleados[],COLUMN(TabEmpleados[Fecha de alta NSS]),FALSE)</f>
        <v>44509</v>
      </c>
      <c r="C38" t="str" cm="1">
        <f t="array" ref="C38">VLOOKUP(TabCuotasIMSS[[#This Row],[ID]],TabEmpleados[],COLUMN(TabEmpleados[Nombre]),FALSE)</f>
        <v xml:space="preserve">RUIZ RAMOS ANGEL </v>
      </c>
      <c r="D38" cm="1">
        <f t="array" ref="D38">IF(VLOOKUP(TabCuotasIMSS[[#This Row],[ID]],TabEmpleados[],COLUMN(TabEmpleados[Fecha de alta NSS]),FALSE)&lt;&gt;"",VLOOKUP(TabCuotasIMSS[[#This Row],[ID]],TabAsistencias[],COLUMN(TabAsistencias[''Total de dias laborados]),FALSE),0)</f>
        <v>73</v>
      </c>
      <c r="E38" cm="1">
        <f t="array" ref="E38">IF(VLOOKUP(TabCuotasIMSS[[#This Row],[ID]],TabEmpleados[],COLUMN(TabEmpleados[Fecha de alta NSS]),FALSE)&lt;&gt;"",IF(DATEDIF((VLOOKUP(TabCuotasIMSS[[#This Row],[ID]],TabEmpleados[],COLUMN(TabEmpleados[Fecha de alta NSS]),FALSE)),'Tablas de informacion'!N$8,"Y")=0,1,DATEDIF((VLOOKUP(TabCuotasIMSS[[#This Row],[ID]],TabEmpleados[],COLUMN(TabEmpleados[Fecha de alta NSS]),FALSE)),'Tablas de informacion'!N$8,"Y")),0)</f>
        <v>1</v>
      </c>
      <c r="F38" s="55" cm="1">
        <f t="array" ref="F38">VLOOKUP(TabCuotasIMSS[[#This Row],[ID]],TabEmpleados[],COLUMN(TabEmpleados[SD Fiscal]),FALSE)</f>
        <v>90</v>
      </c>
      <c r="G38" s="55" cm="1">
        <f t="array" ref="G38">IFERROR((VLOOKUP((VLOOKUP(TabCuotasIMSS[[#This Row],[ID]],TabEmpleados[],COLUMN(TabEmpleados[Puesto]),FALSE)),TabPuestos[],COLUMN(TabPuestos[N° ALIMENTOS]),FALSE))*TabCuotasIMSS[[#This Row],[Salario Diario]]*(VLOOKUP(TabCuotasIMSS[[#This Row],[Años]],TabFactorIntegracion[],COLUMN(TabFactorIntegracion[% por alimento]))),0)</f>
        <v>7.4969999999999999</v>
      </c>
      <c r="H38" s="55" cm="1">
        <f t="array" ref="H38">IFERROR((VLOOKUP((VLOOKUP(TabCuotasIMSS[[#This Row],[ID]],TabEmpleados[],COLUMN(TabEmpleados[Puesto]),FALSE)),TabPuestos[],COLUMN(TabPuestos[PRIMA DOMINICAL]),FALSE))*TabCuotasIMSS[[#This Row],[Salario Diario]]*(VLOOKUP(TabCuotasIMSS[[#This Row],[Años]],TabFactorIntegracion[],COLUMN(TabFactorIntegracion[PRIMA
DOMINICAL]))),0)</f>
        <v>1.6335616438356162</v>
      </c>
      <c r="I38" s="55" cm="1">
        <f t="array" ref="I38">IFERROR(TabCuotasIMSS[[#This Row],[Salario Diario]]*(VLOOKUP(TabCuotasIMSS[[#This Row],[Años]],TabFactorIntegracion[],COLUMN(TabFactorIntegracion[FACTOR DE
INTEGRACIÓN]))),0)</f>
        <v>4.4383561643835616</v>
      </c>
      <c r="J38" s="174">
        <f>IFERROR(TabCuotasIMSS[[#This Row],[Salario Diario]]+TabCuotasIMSS[[#This Row],[Alimentos]]+TabCuotasIMSS[[#This Row],[Prima Dominical]]+TabCuotasIMSS[[#This Row],[Factor de Integracion]],0)</f>
        <v>103.56891780821918</v>
      </c>
      <c r="K38" cm="1">
        <f t="array" ref="K38">VLOOKUP(TabCuotasIMSS[[#This Row],[ID]],TabAsistencias[],COLUMN(TabAsistencias[''I]),FALSE)+VLOOKUP(TabCuotasIMSS[[#This Row],[ID]],TabAsistencias[],COLUMN(TabAsistencias[''IG]),FALSE)</f>
        <v>0</v>
      </c>
      <c r="L38" cm="1">
        <f t="array" ref="L38">VLOOKUP(TabCuotasIMSS[[#This Row],[ID]],TabAsistencias[],COLUMN(TabAsistencias[''F]),FALSE)</f>
        <v>0</v>
      </c>
      <c r="M38" s="141">
        <f>TabCuotasIMSS[[#This Row],[S.B.C./S.D.I.]]*TabCuotasIMSS[[#This Row],[DÍAS
LAB.]]</f>
        <v>7560.5309999999999</v>
      </c>
      <c r="N38" s="141">
        <f>(SMDF*CF*(TabCuotasIMSS[[#This Row],[DÍAS
LAB.]]-TabCuotasIMSS[[#This Row],[INC]]))</f>
        <v>1432.90824</v>
      </c>
      <c r="O38" s="55">
        <f>IF(TabCuotasIMSS[[#This Row],[S.B.C./S.D.I.]]&gt;SMDF3,((TabCuotasIMSS[[#This Row],[S.B.C./S.D.I.]]-SMDF3)*CFP*(TabCuotasIMSS[[#This Row],[DÍAS
LAB.]]-TabCuotasIMSS[[#This Row],[INC]])),0)</f>
        <v>0</v>
      </c>
      <c r="P38" s="55">
        <f>IF(TabCuotasIMSS[[#This Row],[S.B.C./S.D.I.]]&gt;SMDF3,((TabCuotasIMSS[[#This Row],[S.B.C./S.D.I.]]-SMDF3)*CFO*(TabCuotasIMSS[[#This Row],[DÍAS
LAB.]]-TabCuotasIMSS[[#This Row],[INC]])),0)</f>
        <v>0</v>
      </c>
      <c r="Q38" s="55">
        <f>TabCuotasIMSS[[#This Row],[EXCED.
PATRON]]+TabCuotasIMSS[[#This Row],[EXCED.
OBRERO]]</f>
        <v>0</v>
      </c>
      <c r="R38" s="55">
        <f>IF(TabCuotasIMSS[[#This Row],[S.B.C./S.D.I.]]&lt;=SMGI,((TabCuotasIMSS[[#This Row],[SALARIO
DEL CICLO]]-(TabCuotasIMSS[[#This Row],[S.B.C./S.D.I.]]*TabCuotasIMSS[[#This Row],[INC]])))*PD,((TabCuotasIMSS[[#This Row],[SALARIO
DEL CICLO]]-(TabCuotasIMSS[[#This Row],[S.B.C./S.D.I.]]*TabCuotasIMSS[[#This Row],[INC]]))*PDP))</f>
        <v>71.825044500000004</v>
      </c>
      <c r="S38" s="55">
        <f>IF(TabCuotasIMSS[[#This Row],[S.B.C./S.D.I.]]&lt;=SMGI,0,((TabCuotasIMSS[[#This Row],[SALARIO
DEL CICLO]]-(TabCuotasIMSS[[#This Row],[S.B.C./S.D.I.]]*TabCuotasIMSS[[#This Row],[INC]]))*PDO))</f>
        <v>0</v>
      </c>
      <c r="T38" s="55">
        <f>TabCuotasIMSS[[#This Row],[PATRON2]]+TabCuotasIMSS[[#This Row],[OBRERO]]</f>
        <v>71.825044500000004</v>
      </c>
      <c r="U38" s="55">
        <f>IF(TabCuotasIMSS[[#This Row],[S.B.C./S.D.I.]]&lt;=SMGI,((TabCuotasIMSS[[#This Row],[SALARIO
DEL CICLO]]-(TabCuotasIMSS[[#This Row],[S.B.C./S.D.I.]]*TabCuotasIMSS[[#This Row],[INC]])))*GMP,((TabCuotasIMSS[[#This Row],[SALARIO
DEL CICLO]]-(TabCuotasIMSS[[#This Row],[S.B.C./S.D.I.]]*TabCuotasIMSS[[#This Row],[INC]])))*GMPP)</f>
        <v>107.73756675</v>
      </c>
      <c r="V38" s="55">
        <f>IF(TabCuotasIMSS[[#This Row],[S.B.C./S.D.I.]]&lt;=SMGI,0,((TabCuotasIMSS[[#This Row],[SALARIO
DEL CICLO]]-(TabCuotasIMSS[[#This Row],[S.B.C./S.D.I.]]*TabCuotasIMSS[[#This Row],[INC]])))*GMPO)</f>
        <v>0</v>
      </c>
      <c r="W38" s="55">
        <f>TabCuotasIMSS[[#This Row],[PATRON3]]+TabCuotasIMSS[[#This Row],[OBRERO4]]</f>
        <v>107.73756675</v>
      </c>
      <c r="X38" s="141">
        <f>((TabCuotasIMSS[[#This Row],[SALARIO
DEL CICLO]]-(TabCuotasIMSS[[#This Row],[S.B.C./S.D.I.]]*(TabCuotasIMSS[[#This Row],[INC]]+TabCuotasIMSS[[#This Row],[AUS]]))))*PRTP</f>
        <v>3780.2655</v>
      </c>
      <c r="Y38" s="55">
        <f>IF(TabCuotasIMSS[[#This Row],[S.B.C./S.D.I.]]&lt;=SMGI,((TabCuotasIMSS[[#This Row],[SALARIO
DEL CICLO]]-(TabCuotasIMSS[[#This Row],[S.B.C./S.D.I.]]*(TabCuotasIMSS[[#This Row],[INC]]+TabCuotasIMSS[[#This Row],[AUS]]))))*IV,((TabCuotasIMSS[[#This Row],[SALARIO
DEL CICLO]]-(TabCuotasIMSS[[#This Row],[S.B.C./S.D.I.]]*(TabCuotasIMSS[[#This Row],[INC]]+TabCuotasIMSS[[#This Row],[AUS]]))))*IVP)</f>
        <v>179.56261125</v>
      </c>
      <c r="Z38" s="55">
        <f>IF(TabCuotasIMSS[[#This Row],[S.B.C./S.D.I.]]&lt;=SMGI,0,((TabCuotasIMSS[[#This Row],[SALARIO
DEL CICLO]]-(TabCuotasIMSS[[#This Row],[S.B.C./S.D.I.]]*(TabCuotasIMSS[[#This Row],[INC]]+TabCuotasIMSS[[#This Row],[AUS]]))))*IVO)</f>
        <v>0</v>
      </c>
      <c r="AA38" s="55">
        <f>TabCuotasIMSS[[#This Row],[PATRON6]]+TabCuotasIMSS[[#This Row],[OBRERO7]]</f>
        <v>179.56261125</v>
      </c>
      <c r="AB38" s="141">
        <f>((TabCuotasIMSS[[#This Row],[SALARIO
DEL CICLO]]-(TabCuotasIMSS[[#This Row],[S.B.C./S.D.I.]]*(TabCuotasIMSS[[#This Row],[INC]]+TabCuotasIMSS[[#This Row],[AUS]]))))*GPS</f>
        <v>75.605310000000003</v>
      </c>
      <c r="AC38" s="141">
        <f>TabCuotasIMSS[[#This Row],[SALARIO
DEL CICLO]]*0</f>
        <v>0</v>
      </c>
      <c r="AD38" s="141">
        <f>TabCuotasIMSS[[#This Row],[PATRON9]]+TabCuotasIMSS[[#This Row],[OBRERO10]]</f>
        <v>75.605310000000003</v>
      </c>
      <c r="AE38" s="233">
        <f>TabCuotasIMSS[[#This Row],[PATRON]]+TabCuotasIMSS[[#This Row],[EXCED.
PATRON]]+TabCuotasIMSS[[#This Row],[PATRON2]]+TabCuotasIMSS[[#This Row],[PATRON3]]+TabCuotasIMSS[[#This Row],[PATRON
0.50%]]+TabCuotasIMSS[[#This Row],[PATRON6]]+TabCuotasIMSS[[#This Row],[PATRON9]]</f>
        <v>5647.9042724999999</v>
      </c>
      <c r="AF38" s="233">
        <f>TabCuotasIMSS[[#This Row],[EXCED.
OBRERO]]+TabCuotasIMSS[[#This Row],[OBRERO]]+TabCuotasIMSS[[#This Row],[OBRERO4]]+TabCuotasIMSS[[#This Row],[OBRERO7]]+TabCuotasIMSS[[#This Row],[OBRERO10]]</f>
        <v>0</v>
      </c>
      <c r="AG38" s="233">
        <f>TabCuotasIMSS[[#This Row],[TOTAL
PATRONAL]]+TabCuotasIMSS[[#This Row],[TOTAL
OBRERO]]</f>
        <v>5647.9042724999999</v>
      </c>
      <c r="AH38" s="141">
        <f>((TabCuotasIMSS[[#This Row],[SALARIO
DEL CICLO]]-(TabCuotasIMSS[[#This Row],[S.B.C./S.D.I.]]*TabCuotasIMSS[[#This Row],[AUS]]))*R_)</f>
        <v>151.21062000000001</v>
      </c>
      <c r="AI38">
        <f>IF(TabCuotasIMSS[[#This Row],[S.B.C./S.D.I.]]&lt;=SMGI,((TabCuotasIMSS[[#This Row],[SALARIO
DEL CICLO]]-(TabCuotasIMSS[[#This Row],[S.B.C./S.D.I.]]*(TabCuotasIMSS[[#This Row],[INC]]+TabCuotasIMSS[[#This Row],[AUS]]))))*CV,((TabCuotasIMSS[[#This Row],[SALARIO
DEL CICLO]]-(TabCuotasIMSS[[#This Row],[S.B.C./S.D.I.]]*(TabCuotasIMSS[[#This Row],[INC]]+TabCuotasIMSS[[#This Row],[AUS]]))))*CVP)</f>
        <v>323.21270025000001</v>
      </c>
      <c r="AJ38">
        <f>IF(TabCuotasIMSS[[#This Row],[S.B.C./S.D.I.]]&lt;=SMGI,0,((TabCuotasIMSS[[#This Row],[SALARIO
DEL CICLO]]-(TabCuotasIMSS[[#This Row],[S.B.C./S.D.I.]]*(TabCuotasIMSS[[#This Row],[INC]]+TabCuotasIMSS[[#This Row],[AUS]]))))*CVO)</f>
        <v>0</v>
      </c>
      <c r="AK38">
        <f>SUM(TabCuotasIMSS[[#This Row],[2%]]:TabCuotasIMSS[[#This Row],[OBRERO14]])</f>
        <v>474.42332025000002</v>
      </c>
      <c r="AL38" s="141">
        <f>((TabCuotasIMSS[[#This Row],[SALARIO
DEL CICLO]]-(TabCuotasIMSS[[#This Row],[S.B.C./S.D.I.]]*(TabCuotasIMSS[[#This Row],[AUS]])))*I)</f>
        <v>378.02655000000004</v>
      </c>
      <c r="AM38" s="141">
        <f>TabCuotasIMSS[[#This Row],[TOTAL
O.P.11]]+TabCuotasIMSS[[#This Row],[2%]]+TabCuotasIMSS[[#This Row],[PATRON13]]+TabCuotasIMSS[[#This Row],[5%]]</f>
        <v>928.05518025000003</v>
      </c>
      <c r="AN38" s="141">
        <f>TabCuotasIMSS[[#This Row],[TOTAL
OBRERO]]+TabCuotasIMSS[[#This Row],[OBRERO14]]</f>
        <v>0</v>
      </c>
    </row>
    <row r="39" spans="1:40" x14ac:dyDescent="0.25">
      <c r="A39" s="2">
        <v>31</v>
      </c>
      <c r="B39" s="1" cm="1">
        <f t="array" ref="B39">VLOOKUP(TabCuotasIMSS[[#This Row],[ID]],TabEmpleados[],COLUMN(TabEmpleados[Fecha de alta NSS]),FALSE)</f>
        <v>39037</v>
      </c>
      <c r="C39" t="str" cm="1">
        <f t="array" ref="C39">VLOOKUP(TabCuotasIMSS[[#This Row],[ID]],TabEmpleados[],COLUMN(TabEmpleados[Nombre]),FALSE)</f>
        <v>RIOS LUIS OSVALDO</v>
      </c>
      <c r="D39" cm="1">
        <f t="array" ref="D39">IF(VLOOKUP(TabCuotasIMSS[[#This Row],[ID]],TabEmpleados[],COLUMN(TabEmpleados[Fecha de alta NSS]),FALSE)&lt;&gt;"",VLOOKUP(TabCuotasIMSS[[#This Row],[ID]],TabAsistencias[],COLUMN(TabAsistencias[''Total de dias laborados]),FALSE),0)</f>
        <v>73</v>
      </c>
      <c r="E39" cm="1">
        <f t="array" ref="E39">IF(VLOOKUP(TabCuotasIMSS[[#This Row],[ID]],TabEmpleados[],COLUMN(TabEmpleados[Fecha de alta NSS]),FALSE)&lt;&gt;"",IF(DATEDIF((VLOOKUP(TabCuotasIMSS[[#This Row],[ID]],TabEmpleados[],COLUMN(TabEmpleados[Fecha de alta NSS]),FALSE)),'Tablas de informacion'!N$8,"Y")=0,1,DATEDIF((VLOOKUP(TabCuotasIMSS[[#This Row],[ID]],TabEmpleados[],COLUMN(TabEmpleados[Fecha de alta NSS]),FALSE)),'Tablas de informacion'!N$8,"Y")),0)</f>
        <v>16</v>
      </c>
      <c r="F39" s="55" cm="1">
        <f t="array" ref="F39">VLOOKUP(TabCuotasIMSS[[#This Row],[ID]],TabEmpleados[],COLUMN(TabEmpleados[SD Fiscal]),FALSE)</f>
        <v>173</v>
      </c>
      <c r="G39" s="55" cm="1">
        <f t="array" ref="G39">IFERROR((VLOOKUP((VLOOKUP(TabCuotasIMSS[[#This Row],[ID]],TabEmpleados[],COLUMN(TabEmpleados[Puesto]),FALSE)),TabPuestos[],COLUMN(TabPuestos[N° ALIMENTOS]),FALSE))*TabCuotasIMSS[[#This Row],[Salario Diario]]*(VLOOKUP(TabCuotasIMSS[[#This Row],[Años]],TabFactorIntegracion[],COLUMN(TabFactorIntegracion[% por alimento]))),0)</f>
        <v>14.4109</v>
      </c>
      <c r="H39" s="55" cm="1">
        <f t="array" ref="H39">IFERROR((VLOOKUP((VLOOKUP(TabCuotasIMSS[[#This Row],[ID]],TabEmpleados[],COLUMN(TabEmpleados[Puesto]),FALSE)),TabPuestos[],COLUMN(TabPuestos[PRIMA DOMINICAL]),FALSE))*TabCuotasIMSS[[#This Row],[Salario Diario]]*(VLOOKUP(TabCuotasIMSS[[#This Row],[Años]],TabFactorIntegracion[],COLUMN(TabFactorIntegracion[PRIMA
DOMINICAL]))),0)</f>
        <v>3.1400684931506846</v>
      </c>
      <c r="I39" s="55" cm="1">
        <f t="array" ref="I39">IFERROR(TabCuotasIMSS[[#This Row],[Salario Diario]]*(VLOOKUP(TabCuotasIMSS[[#This Row],[Años]],TabFactorIntegracion[],COLUMN(TabFactorIntegracion[FACTOR DE
INTEGRACIÓN]))),0)</f>
        <v>10.19041095890411</v>
      </c>
      <c r="J39" s="174">
        <f>IFERROR(TabCuotasIMSS[[#This Row],[Salario Diario]]+TabCuotasIMSS[[#This Row],[Alimentos]]+TabCuotasIMSS[[#This Row],[Prima Dominical]]+TabCuotasIMSS[[#This Row],[Factor de Integracion]],0)</f>
        <v>200.74137945205479</v>
      </c>
      <c r="K39" cm="1">
        <f t="array" ref="K39">VLOOKUP(TabCuotasIMSS[[#This Row],[ID]],TabAsistencias[],COLUMN(TabAsistencias[''I]),FALSE)+VLOOKUP(TabCuotasIMSS[[#This Row],[ID]],TabAsistencias[],COLUMN(TabAsistencias[''IG]),FALSE)</f>
        <v>0</v>
      </c>
      <c r="L39" cm="1">
        <f t="array" ref="L39">VLOOKUP(TabCuotasIMSS[[#This Row],[ID]],TabAsistencias[],COLUMN(TabAsistencias[''F]),FALSE)</f>
        <v>0</v>
      </c>
      <c r="M39" s="141">
        <f>TabCuotasIMSS[[#This Row],[S.B.C./S.D.I.]]*TabCuotasIMSS[[#This Row],[DÍAS
LAB.]]</f>
        <v>14654.120699999999</v>
      </c>
      <c r="N39" s="141">
        <f>(SMDF*CF*(TabCuotasIMSS[[#This Row],[DÍAS
LAB.]]-TabCuotasIMSS[[#This Row],[INC]]))</f>
        <v>1432.90824</v>
      </c>
      <c r="O39" s="55">
        <f>IF(TabCuotasIMSS[[#This Row],[S.B.C./S.D.I.]]&gt;SMDF3,((TabCuotasIMSS[[#This Row],[S.B.C./S.D.I.]]-SMDF3)*CFP*(TabCuotasIMSS[[#This Row],[DÍAS
LAB.]]-TabCuotasIMSS[[#This Row],[INC]])),0)</f>
        <v>0</v>
      </c>
      <c r="P39" s="55">
        <f>IF(TabCuotasIMSS[[#This Row],[S.B.C./S.D.I.]]&gt;SMDF3,((TabCuotasIMSS[[#This Row],[S.B.C./S.D.I.]]-SMDF3)*CFO*(TabCuotasIMSS[[#This Row],[DÍAS
LAB.]]-TabCuotasIMSS[[#This Row],[INC]])),0)</f>
        <v>0</v>
      </c>
      <c r="Q39" s="55">
        <f>TabCuotasIMSS[[#This Row],[EXCED.
PATRON]]+TabCuotasIMSS[[#This Row],[EXCED.
OBRERO]]</f>
        <v>0</v>
      </c>
      <c r="R39" s="55">
        <f>IF(TabCuotasIMSS[[#This Row],[S.B.C./S.D.I.]]&lt;=SMGI,((TabCuotasIMSS[[#This Row],[SALARIO
DEL CICLO]]-(TabCuotasIMSS[[#This Row],[S.B.C./S.D.I.]]*TabCuotasIMSS[[#This Row],[INC]])))*PD,((TabCuotasIMSS[[#This Row],[SALARIO
DEL CICLO]]-(TabCuotasIMSS[[#This Row],[S.B.C./S.D.I.]]*TabCuotasIMSS[[#This Row],[INC]]))*PDP))</f>
        <v>102.57884489999999</v>
      </c>
      <c r="S39" s="55">
        <f>IF(TabCuotasIMSS[[#This Row],[S.B.C./S.D.I.]]&lt;=SMGI,0,((TabCuotasIMSS[[#This Row],[SALARIO
DEL CICLO]]-(TabCuotasIMSS[[#This Row],[S.B.C./S.D.I.]]*TabCuotasIMSS[[#This Row],[INC]]))*PDO))</f>
        <v>36.635301749999996</v>
      </c>
      <c r="T39" s="55">
        <f>TabCuotasIMSS[[#This Row],[PATRON2]]+TabCuotasIMSS[[#This Row],[OBRERO]]</f>
        <v>139.21414664999998</v>
      </c>
      <c r="U39" s="55">
        <f>IF(TabCuotasIMSS[[#This Row],[S.B.C./S.D.I.]]&lt;=SMGI,((TabCuotasIMSS[[#This Row],[SALARIO
DEL CICLO]]-(TabCuotasIMSS[[#This Row],[S.B.C./S.D.I.]]*TabCuotasIMSS[[#This Row],[INC]])))*GMP,((TabCuotasIMSS[[#This Row],[SALARIO
DEL CICLO]]-(TabCuotasIMSS[[#This Row],[S.B.C./S.D.I.]]*TabCuotasIMSS[[#This Row],[INC]])))*GMPP)</f>
        <v>153.86826735</v>
      </c>
      <c r="V39" s="55">
        <f>IF(TabCuotasIMSS[[#This Row],[S.B.C./S.D.I.]]&lt;=SMGI,0,((TabCuotasIMSS[[#This Row],[SALARIO
DEL CICLO]]-(TabCuotasIMSS[[#This Row],[S.B.C./S.D.I.]]*TabCuotasIMSS[[#This Row],[INC]])))*GMPO)</f>
        <v>54.952952624999995</v>
      </c>
      <c r="W39" s="55">
        <f>TabCuotasIMSS[[#This Row],[PATRON3]]+TabCuotasIMSS[[#This Row],[OBRERO4]]</f>
        <v>208.82121997499999</v>
      </c>
      <c r="X39" s="141">
        <f>((TabCuotasIMSS[[#This Row],[SALARIO
DEL CICLO]]-(TabCuotasIMSS[[#This Row],[S.B.C./S.D.I.]]*(TabCuotasIMSS[[#This Row],[INC]]+TabCuotasIMSS[[#This Row],[AUS]]))))*PRTP</f>
        <v>7327.0603499999997</v>
      </c>
      <c r="Y39" s="55">
        <f>IF(TabCuotasIMSS[[#This Row],[S.B.C./S.D.I.]]&lt;=SMGI,((TabCuotasIMSS[[#This Row],[SALARIO
DEL CICLO]]-(TabCuotasIMSS[[#This Row],[S.B.C./S.D.I.]]*(TabCuotasIMSS[[#This Row],[INC]]+TabCuotasIMSS[[#This Row],[AUS]]))))*IV,((TabCuotasIMSS[[#This Row],[SALARIO
DEL CICLO]]-(TabCuotasIMSS[[#This Row],[S.B.C./S.D.I.]]*(TabCuotasIMSS[[#This Row],[INC]]+TabCuotasIMSS[[#This Row],[AUS]]))))*IVP)</f>
        <v>256.44711225000003</v>
      </c>
      <c r="Z39" s="55">
        <f>IF(TabCuotasIMSS[[#This Row],[S.B.C./S.D.I.]]&lt;=SMGI,0,((TabCuotasIMSS[[#This Row],[SALARIO
DEL CICLO]]-(TabCuotasIMSS[[#This Row],[S.B.C./S.D.I.]]*(TabCuotasIMSS[[#This Row],[INC]]+TabCuotasIMSS[[#This Row],[AUS]]))))*IVO)</f>
        <v>91.588254375000005</v>
      </c>
      <c r="AA39" s="55">
        <f>TabCuotasIMSS[[#This Row],[PATRON6]]+TabCuotasIMSS[[#This Row],[OBRERO7]]</f>
        <v>348.03536662500005</v>
      </c>
      <c r="AB39" s="141">
        <f>((TabCuotasIMSS[[#This Row],[SALARIO
DEL CICLO]]-(TabCuotasIMSS[[#This Row],[S.B.C./S.D.I.]]*(TabCuotasIMSS[[#This Row],[INC]]+TabCuotasIMSS[[#This Row],[AUS]]))))*GPS</f>
        <v>146.54120699999999</v>
      </c>
      <c r="AC39" s="141">
        <f>TabCuotasIMSS[[#This Row],[SALARIO
DEL CICLO]]*0</f>
        <v>0</v>
      </c>
      <c r="AD39" s="141">
        <f>TabCuotasIMSS[[#This Row],[PATRON9]]+TabCuotasIMSS[[#This Row],[OBRERO10]]</f>
        <v>146.54120699999999</v>
      </c>
      <c r="AE39" s="233">
        <f>TabCuotasIMSS[[#This Row],[PATRON]]+TabCuotasIMSS[[#This Row],[EXCED.
PATRON]]+TabCuotasIMSS[[#This Row],[PATRON2]]+TabCuotasIMSS[[#This Row],[PATRON3]]+TabCuotasIMSS[[#This Row],[PATRON
0.50%]]+TabCuotasIMSS[[#This Row],[PATRON6]]+TabCuotasIMSS[[#This Row],[PATRON9]]</f>
        <v>9419.4040215000005</v>
      </c>
      <c r="AF39" s="233">
        <f>TabCuotasIMSS[[#This Row],[EXCED.
OBRERO]]+TabCuotasIMSS[[#This Row],[OBRERO]]+TabCuotasIMSS[[#This Row],[OBRERO4]]+TabCuotasIMSS[[#This Row],[OBRERO7]]+TabCuotasIMSS[[#This Row],[OBRERO10]]</f>
        <v>183.17650874999998</v>
      </c>
      <c r="AG39" s="233">
        <f>TabCuotasIMSS[[#This Row],[TOTAL
PATRONAL]]+TabCuotasIMSS[[#This Row],[TOTAL
OBRERO]]</f>
        <v>9602.5805302500012</v>
      </c>
      <c r="AH39" s="141">
        <f>((TabCuotasIMSS[[#This Row],[SALARIO
DEL CICLO]]-(TabCuotasIMSS[[#This Row],[S.B.C./S.D.I.]]*TabCuotasIMSS[[#This Row],[AUS]]))*R_)</f>
        <v>293.08241399999997</v>
      </c>
      <c r="AI39">
        <f>IF(TabCuotasIMSS[[#This Row],[S.B.C./S.D.I.]]&lt;=SMGI,((TabCuotasIMSS[[#This Row],[SALARIO
DEL CICLO]]-(TabCuotasIMSS[[#This Row],[S.B.C./S.D.I.]]*(TabCuotasIMSS[[#This Row],[INC]]+TabCuotasIMSS[[#This Row],[AUS]]))))*CV,((TabCuotasIMSS[[#This Row],[SALARIO
DEL CICLO]]-(TabCuotasIMSS[[#This Row],[S.B.C./S.D.I.]]*(TabCuotasIMSS[[#This Row],[INC]]+TabCuotasIMSS[[#This Row],[AUS]]))))*CVP)</f>
        <v>461.60480204999999</v>
      </c>
      <c r="AJ39">
        <f>IF(TabCuotasIMSS[[#This Row],[S.B.C./S.D.I.]]&lt;=SMGI,0,((TabCuotasIMSS[[#This Row],[SALARIO
DEL CICLO]]-(TabCuotasIMSS[[#This Row],[S.B.C./S.D.I.]]*(TabCuotasIMSS[[#This Row],[INC]]+TabCuotasIMSS[[#This Row],[AUS]]))))*CVO)</f>
        <v>164.85885787499998</v>
      </c>
      <c r="AK39">
        <f>SUM(TabCuotasIMSS[[#This Row],[2%]]:TabCuotasIMSS[[#This Row],[OBRERO14]])</f>
        <v>919.54607392499997</v>
      </c>
      <c r="AL39" s="141">
        <f>((TabCuotasIMSS[[#This Row],[SALARIO
DEL CICLO]]-(TabCuotasIMSS[[#This Row],[S.B.C./S.D.I.]]*(TabCuotasIMSS[[#This Row],[AUS]])))*I)</f>
        <v>732.70603500000004</v>
      </c>
      <c r="AM39" s="141">
        <f>TabCuotasIMSS[[#This Row],[TOTAL
O.P.11]]+TabCuotasIMSS[[#This Row],[2%]]+TabCuotasIMSS[[#This Row],[PATRON13]]+TabCuotasIMSS[[#This Row],[5%]]</f>
        <v>1633.9344580500001</v>
      </c>
      <c r="AN39" s="141">
        <f>TabCuotasIMSS[[#This Row],[TOTAL
OBRERO]]+TabCuotasIMSS[[#This Row],[OBRERO14]]</f>
        <v>348.03536662499994</v>
      </c>
    </row>
    <row r="40" spans="1:40" x14ac:dyDescent="0.25">
      <c r="A40" s="2">
        <v>32</v>
      </c>
      <c r="B40" s="1" cm="1">
        <f t="array" ref="B40">VLOOKUP(TabCuotasIMSS[[#This Row],[ID]],TabEmpleados[],COLUMN(TabEmpleados[Fecha de alta NSS]),FALSE)</f>
        <v>44509</v>
      </c>
      <c r="C40" t="str" cm="1">
        <f t="array" ref="C40">VLOOKUP(TabCuotasIMSS[[#This Row],[ID]],TabEmpleados[],COLUMN(TabEmpleados[Nombre]),FALSE)</f>
        <v>PEREZ RUIZ NADIA LIZBETH</v>
      </c>
      <c r="D40" cm="1">
        <f t="array" ref="D40">IF(VLOOKUP(TabCuotasIMSS[[#This Row],[ID]],TabEmpleados[],COLUMN(TabEmpleados[Fecha de alta NSS]),FALSE)&lt;&gt;"",VLOOKUP(TabCuotasIMSS[[#This Row],[ID]],TabAsistencias[],COLUMN(TabAsistencias[''Total de dias laborados]),FALSE),0)</f>
        <v>73</v>
      </c>
      <c r="E40" cm="1">
        <f t="array" ref="E40">IF(VLOOKUP(TabCuotasIMSS[[#This Row],[ID]],TabEmpleados[],COLUMN(TabEmpleados[Fecha de alta NSS]),FALSE)&lt;&gt;"",IF(DATEDIF((VLOOKUP(TabCuotasIMSS[[#This Row],[ID]],TabEmpleados[],COLUMN(TabEmpleados[Fecha de alta NSS]),FALSE)),'Tablas de informacion'!N$8,"Y")=0,1,DATEDIF((VLOOKUP(TabCuotasIMSS[[#This Row],[ID]],TabEmpleados[],COLUMN(TabEmpleados[Fecha de alta NSS]),FALSE)),'Tablas de informacion'!N$8,"Y")),0)</f>
        <v>1</v>
      </c>
      <c r="F40" s="55" cm="1">
        <f t="array" ref="F40">VLOOKUP(TabCuotasIMSS[[#This Row],[ID]],TabEmpleados[],COLUMN(TabEmpleados[SD Fiscal]),FALSE)</f>
        <v>84</v>
      </c>
      <c r="G40" s="55" cm="1">
        <f t="array" ref="G40">IFERROR((VLOOKUP((VLOOKUP(TabCuotasIMSS[[#This Row],[ID]],TabEmpleados[],COLUMN(TabEmpleados[Puesto]),FALSE)),TabPuestos[],COLUMN(TabPuestos[N° ALIMENTOS]),FALSE))*TabCuotasIMSS[[#This Row],[Salario Diario]]*(VLOOKUP(TabCuotasIMSS[[#This Row],[Años]],TabFactorIntegracion[],COLUMN(TabFactorIntegracion[% por alimento]))),0)</f>
        <v>6.9972000000000003</v>
      </c>
      <c r="H40" s="55" cm="1">
        <f t="array" ref="H40">IFERROR((VLOOKUP((VLOOKUP(TabCuotasIMSS[[#This Row],[ID]],TabEmpleados[],COLUMN(TabEmpleados[Puesto]),FALSE)),TabPuestos[],COLUMN(TabPuestos[PRIMA DOMINICAL]),FALSE))*TabCuotasIMSS[[#This Row],[Salario Diario]]*(VLOOKUP(TabCuotasIMSS[[#This Row],[Años]],TabFactorIntegracion[],COLUMN(TabFactorIntegracion[PRIMA
DOMINICAL]))),0)</f>
        <v>1.5246575342465751</v>
      </c>
      <c r="I40" s="55" cm="1">
        <f t="array" ref="I40">IFERROR(TabCuotasIMSS[[#This Row],[Salario Diario]]*(VLOOKUP(TabCuotasIMSS[[#This Row],[Años]],TabFactorIntegracion[],COLUMN(TabFactorIntegracion[FACTOR DE
INTEGRACIÓN]))),0)</f>
        <v>4.1424657534246574</v>
      </c>
      <c r="J40" s="174">
        <f>IFERROR(TabCuotasIMSS[[#This Row],[Salario Diario]]+TabCuotasIMSS[[#This Row],[Alimentos]]+TabCuotasIMSS[[#This Row],[Prima Dominical]]+TabCuotasIMSS[[#This Row],[Factor de Integracion]],0)</f>
        <v>96.664323287671237</v>
      </c>
      <c r="K40" cm="1">
        <f t="array" ref="K40">VLOOKUP(TabCuotasIMSS[[#This Row],[ID]],TabAsistencias[],COLUMN(TabAsistencias[''I]),FALSE)+VLOOKUP(TabCuotasIMSS[[#This Row],[ID]],TabAsistencias[],COLUMN(TabAsistencias[''IG]),FALSE)</f>
        <v>0</v>
      </c>
      <c r="L40" cm="1">
        <f t="array" ref="L40">VLOOKUP(TabCuotasIMSS[[#This Row],[ID]],TabAsistencias[],COLUMN(TabAsistencias[''F]),FALSE)</f>
        <v>0</v>
      </c>
      <c r="M40" s="141">
        <f>TabCuotasIMSS[[#This Row],[S.B.C./S.D.I.]]*TabCuotasIMSS[[#This Row],[DÍAS
LAB.]]</f>
        <v>7056.4956000000002</v>
      </c>
      <c r="N40" s="141">
        <f>(SMDF*CF*(TabCuotasIMSS[[#This Row],[DÍAS
LAB.]]-TabCuotasIMSS[[#This Row],[INC]]))</f>
        <v>1432.90824</v>
      </c>
      <c r="O40" s="55">
        <f>IF(TabCuotasIMSS[[#This Row],[S.B.C./S.D.I.]]&gt;SMDF3,((TabCuotasIMSS[[#This Row],[S.B.C./S.D.I.]]-SMDF3)*CFP*(TabCuotasIMSS[[#This Row],[DÍAS
LAB.]]-TabCuotasIMSS[[#This Row],[INC]])),0)</f>
        <v>0</v>
      </c>
      <c r="P40" s="55">
        <f>IF(TabCuotasIMSS[[#This Row],[S.B.C./S.D.I.]]&gt;SMDF3,((TabCuotasIMSS[[#This Row],[S.B.C./S.D.I.]]-SMDF3)*CFO*(TabCuotasIMSS[[#This Row],[DÍAS
LAB.]]-TabCuotasIMSS[[#This Row],[INC]])),0)</f>
        <v>0</v>
      </c>
      <c r="Q40" s="55">
        <f>TabCuotasIMSS[[#This Row],[EXCED.
PATRON]]+TabCuotasIMSS[[#This Row],[EXCED.
OBRERO]]</f>
        <v>0</v>
      </c>
      <c r="R40" s="55">
        <f>IF(TabCuotasIMSS[[#This Row],[S.B.C./S.D.I.]]&lt;=SMGI,((TabCuotasIMSS[[#This Row],[SALARIO
DEL CICLO]]-(TabCuotasIMSS[[#This Row],[S.B.C./S.D.I.]]*TabCuotasIMSS[[#This Row],[INC]])))*PD,((TabCuotasIMSS[[#This Row],[SALARIO
DEL CICLO]]-(TabCuotasIMSS[[#This Row],[S.B.C./S.D.I.]]*TabCuotasIMSS[[#This Row],[INC]]))*PDP))</f>
        <v>67.036708200000007</v>
      </c>
      <c r="S40" s="55">
        <f>IF(TabCuotasIMSS[[#This Row],[S.B.C./S.D.I.]]&lt;=SMGI,0,((TabCuotasIMSS[[#This Row],[SALARIO
DEL CICLO]]-(TabCuotasIMSS[[#This Row],[S.B.C./S.D.I.]]*TabCuotasIMSS[[#This Row],[INC]]))*PDO))</f>
        <v>0</v>
      </c>
      <c r="T40" s="55">
        <f>TabCuotasIMSS[[#This Row],[PATRON2]]+TabCuotasIMSS[[#This Row],[OBRERO]]</f>
        <v>67.036708200000007</v>
      </c>
      <c r="U40" s="55">
        <f>IF(TabCuotasIMSS[[#This Row],[S.B.C./S.D.I.]]&lt;=SMGI,((TabCuotasIMSS[[#This Row],[SALARIO
DEL CICLO]]-(TabCuotasIMSS[[#This Row],[S.B.C./S.D.I.]]*TabCuotasIMSS[[#This Row],[INC]])))*GMP,((TabCuotasIMSS[[#This Row],[SALARIO
DEL CICLO]]-(TabCuotasIMSS[[#This Row],[S.B.C./S.D.I.]]*TabCuotasIMSS[[#This Row],[INC]])))*GMPP)</f>
        <v>100.5550623</v>
      </c>
      <c r="V40" s="55">
        <f>IF(TabCuotasIMSS[[#This Row],[S.B.C./S.D.I.]]&lt;=SMGI,0,((TabCuotasIMSS[[#This Row],[SALARIO
DEL CICLO]]-(TabCuotasIMSS[[#This Row],[S.B.C./S.D.I.]]*TabCuotasIMSS[[#This Row],[INC]])))*GMPO)</f>
        <v>0</v>
      </c>
      <c r="W40" s="55">
        <f>TabCuotasIMSS[[#This Row],[PATRON3]]+TabCuotasIMSS[[#This Row],[OBRERO4]]</f>
        <v>100.5550623</v>
      </c>
      <c r="X40" s="141">
        <f>((TabCuotasIMSS[[#This Row],[SALARIO
DEL CICLO]]-(TabCuotasIMSS[[#This Row],[S.B.C./S.D.I.]]*(TabCuotasIMSS[[#This Row],[INC]]+TabCuotasIMSS[[#This Row],[AUS]]))))*PRTP</f>
        <v>3528.2478000000001</v>
      </c>
      <c r="Y40" s="55">
        <f>IF(TabCuotasIMSS[[#This Row],[S.B.C./S.D.I.]]&lt;=SMGI,((TabCuotasIMSS[[#This Row],[SALARIO
DEL CICLO]]-(TabCuotasIMSS[[#This Row],[S.B.C./S.D.I.]]*(TabCuotasIMSS[[#This Row],[INC]]+TabCuotasIMSS[[#This Row],[AUS]]))))*IV,((TabCuotasIMSS[[#This Row],[SALARIO
DEL CICLO]]-(TabCuotasIMSS[[#This Row],[S.B.C./S.D.I.]]*(TabCuotasIMSS[[#This Row],[INC]]+TabCuotasIMSS[[#This Row],[AUS]]))))*IVP)</f>
        <v>167.5917705</v>
      </c>
      <c r="Z40" s="55">
        <f>IF(TabCuotasIMSS[[#This Row],[S.B.C./S.D.I.]]&lt;=SMGI,0,((TabCuotasIMSS[[#This Row],[SALARIO
DEL CICLO]]-(TabCuotasIMSS[[#This Row],[S.B.C./S.D.I.]]*(TabCuotasIMSS[[#This Row],[INC]]+TabCuotasIMSS[[#This Row],[AUS]]))))*IVO)</f>
        <v>0</v>
      </c>
      <c r="AA40" s="55">
        <f>TabCuotasIMSS[[#This Row],[PATRON6]]+TabCuotasIMSS[[#This Row],[OBRERO7]]</f>
        <v>167.5917705</v>
      </c>
      <c r="AB40" s="141">
        <f>((TabCuotasIMSS[[#This Row],[SALARIO
DEL CICLO]]-(TabCuotasIMSS[[#This Row],[S.B.C./S.D.I.]]*(TabCuotasIMSS[[#This Row],[INC]]+TabCuotasIMSS[[#This Row],[AUS]]))))*GPS</f>
        <v>70.564956000000009</v>
      </c>
      <c r="AC40" s="141">
        <f>TabCuotasIMSS[[#This Row],[SALARIO
DEL CICLO]]*0</f>
        <v>0</v>
      </c>
      <c r="AD40" s="141">
        <f>TabCuotasIMSS[[#This Row],[PATRON9]]+TabCuotasIMSS[[#This Row],[OBRERO10]]</f>
        <v>70.564956000000009</v>
      </c>
      <c r="AE40" s="233">
        <f>TabCuotasIMSS[[#This Row],[PATRON]]+TabCuotasIMSS[[#This Row],[EXCED.
PATRON]]+TabCuotasIMSS[[#This Row],[PATRON2]]+TabCuotasIMSS[[#This Row],[PATRON3]]+TabCuotasIMSS[[#This Row],[PATRON
0.50%]]+TabCuotasIMSS[[#This Row],[PATRON6]]+TabCuotasIMSS[[#This Row],[PATRON9]]</f>
        <v>5366.9045370000003</v>
      </c>
      <c r="AF40" s="233">
        <f>TabCuotasIMSS[[#This Row],[EXCED.
OBRERO]]+TabCuotasIMSS[[#This Row],[OBRERO]]+TabCuotasIMSS[[#This Row],[OBRERO4]]+TabCuotasIMSS[[#This Row],[OBRERO7]]+TabCuotasIMSS[[#This Row],[OBRERO10]]</f>
        <v>0</v>
      </c>
      <c r="AG40" s="233">
        <f>TabCuotasIMSS[[#This Row],[TOTAL
PATRONAL]]+TabCuotasIMSS[[#This Row],[TOTAL
OBRERO]]</f>
        <v>5366.9045370000003</v>
      </c>
      <c r="AH40" s="141">
        <f>((TabCuotasIMSS[[#This Row],[SALARIO
DEL CICLO]]-(TabCuotasIMSS[[#This Row],[S.B.C./S.D.I.]]*TabCuotasIMSS[[#This Row],[AUS]]))*R_)</f>
        <v>141.12991200000002</v>
      </c>
      <c r="AI40">
        <f>IF(TabCuotasIMSS[[#This Row],[S.B.C./S.D.I.]]&lt;=SMGI,((TabCuotasIMSS[[#This Row],[SALARIO
DEL CICLO]]-(TabCuotasIMSS[[#This Row],[S.B.C./S.D.I.]]*(TabCuotasIMSS[[#This Row],[INC]]+TabCuotasIMSS[[#This Row],[AUS]]))))*CV,((TabCuotasIMSS[[#This Row],[SALARIO
DEL CICLO]]-(TabCuotasIMSS[[#This Row],[S.B.C./S.D.I.]]*(TabCuotasIMSS[[#This Row],[INC]]+TabCuotasIMSS[[#This Row],[AUS]]))))*CVP)</f>
        <v>301.66518690000004</v>
      </c>
      <c r="AJ40">
        <f>IF(TabCuotasIMSS[[#This Row],[S.B.C./S.D.I.]]&lt;=SMGI,0,((TabCuotasIMSS[[#This Row],[SALARIO
DEL CICLO]]-(TabCuotasIMSS[[#This Row],[S.B.C./S.D.I.]]*(TabCuotasIMSS[[#This Row],[INC]]+TabCuotasIMSS[[#This Row],[AUS]]))))*CVO)</f>
        <v>0</v>
      </c>
      <c r="AK40">
        <f>SUM(TabCuotasIMSS[[#This Row],[2%]]:TabCuotasIMSS[[#This Row],[OBRERO14]])</f>
        <v>442.79509890000008</v>
      </c>
      <c r="AL40" s="141">
        <f>((TabCuotasIMSS[[#This Row],[SALARIO
DEL CICLO]]-(TabCuotasIMSS[[#This Row],[S.B.C./S.D.I.]]*(TabCuotasIMSS[[#This Row],[AUS]])))*I)</f>
        <v>352.82478000000003</v>
      </c>
      <c r="AM40" s="141">
        <f>TabCuotasIMSS[[#This Row],[TOTAL
O.P.11]]+TabCuotasIMSS[[#This Row],[2%]]+TabCuotasIMSS[[#This Row],[PATRON13]]+TabCuotasIMSS[[#This Row],[5%]]</f>
        <v>866.18483490000006</v>
      </c>
      <c r="AN40" s="141">
        <f>TabCuotasIMSS[[#This Row],[TOTAL
OBRERO]]+TabCuotasIMSS[[#This Row],[OBRERO14]]</f>
        <v>0</v>
      </c>
    </row>
    <row r="41" spans="1:40" x14ac:dyDescent="0.25">
      <c r="A41" s="2">
        <v>33</v>
      </c>
      <c r="B41" s="1" cm="1">
        <f t="array" ref="B41">VLOOKUP(TabCuotasIMSS[[#This Row],[ID]],TabEmpleados[],COLUMN(TabEmpleados[Fecha de alta NSS]),FALSE)</f>
        <v>44509</v>
      </c>
      <c r="C41" t="str" cm="1">
        <f t="array" ref="C41">VLOOKUP(TabCuotasIMSS[[#This Row],[ID]],TabEmpleados[],COLUMN(TabEmpleados[Nombre]),FALSE)</f>
        <v>ESPINOZA REYNOSO RAUL</v>
      </c>
      <c r="D41" cm="1">
        <f t="array" ref="D41">IF(VLOOKUP(TabCuotasIMSS[[#This Row],[ID]],TabEmpleados[],COLUMN(TabEmpleados[Fecha de alta NSS]),FALSE)&lt;&gt;"",VLOOKUP(TabCuotasIMSS[[#This Row],[ID]],TabAsistencias[],COLUMN(TabAsistencias[''Total de dias laborados]),FALSE),0)</f>
        <v>73</v>
      </c>
      <c r="E41" cm="1">
        <f t="array" ref="E41">IF(VLOOKUP(TabCuotasIMSS[[#This Row],[ID]],TabEmpleados[],COLUMN(TabEmpleados[Fecha de alta NSS]),FALSE)&lt;&gt;"",IF(DATEDIF((VLOOKUP(TabCuotasIMSS[[#This Row],[ID]],TabEmpleados[],COLUMN(TabEmpleados[Fecha de alta NSS]),FALSE)),'Tablas de informacion'!N$8,"Y")=0,1,DATEDIF((VLOOKUP(TabCuotasIMSS[[#This Row],[ID]],TabEmpleados[],COLUMN(TabEmpleados[Fecha de alta NSS]),FALSE)),'Tablas de informacion'!N$8,"Y")),0)</f>
        <v>1</v>
      </c>
      <c r="F41" s="55" cm="1">
        <f t="array" ref="F41">VLOOKUP(TabCuotasIMSS[[#This Row],[ID]],TabEmpleados[],COLUMN(TabEmpleados[SD Fiscal]),FALSE)</f>
        <v>84</v>
      </c>
      <c r="G41" s="55" cm="1">
        <f t="array" ref="G41">IFERROR((VLOOKUP((VLOOKUP(TabCuotasIMSS[[#This Row],[ID]],TabEmpleados[],COLUMN(TabEmpleados[Puesto]),FALSE)),TabPuestos[],COLUMN(TabPuestos[N° ALIMENTOS]),FALSE))*TabCuotasIMSS[[#This Row],[Salario Diario]]*(VLOOKUP(TabCuotasIMSS[[#This Row],[Años]],TabFactorIntegracion[],COLUMN(TabFactorIntegracion[% por alimento]))),0)</f>
        <v>6.9972000000000003</v>
      </c>
      <c r="H41" s="55" cm="1">
        <f t="array" ref="H41">IFERROR((VLOOKUP((VLOOKUP(TabCuotasIMSS[[#This Row],[ID]],TabEmpleados[],COLUMN(TabEmpleados[Puesto]),FALSE)),TabPuestos[],COLUMN(TabPuestos[PRIMA DOMINICAL]),FALSE))*TabCuotasIMSS[[#This Row],[Salario Diario]]*(VLOOKUP(TabCuotasIMSS[[#This Row],[Años]],TabFactorIntegracion[],COLUMN(TabFactorIntegracion[PRIMA
DOMINICAL]))),0)</f>
        <v>1.5246575342465751</v>
      </c>
      <c r="I41" s="55" cm="1">
        <f t="array" ref="I41">IFERROR(TabCuotasIMSS[[#This Row],[Salario Diario]]*(VLOOKUP(TabCuotasIMSS[[#This Row],[Años]],TabFactorIntegracion[],COLUMN(TabFactorIntegracion[FACTOR DE
INTEGRACIÓN]))),0)</f>
        <v>4.1424657534246574</v>
      </c>
      <c r="J41" s="174">
        <f>IFERROR(TabCuotasIMSS[[#This Row],[Salario Diario]]+TabCuotasIMSS[[#This Row],[Alimentos]]+TabCuotasIMSS[[#This Row],[Prima Dominical]]+TabCuotasIMSS[[#This Row],[Factor de Integracion]],0)</f>
        <v>96.664323287671237</v>
      </c>
      <c r="K41" cm="1">
        <f t="array" ref="K41">VLOOKUP(TabCuotasIMSS[[#This Row],[ID]],TabAsistencias[],COLUMN(TabAsistencias[''I]),FALSE)+VLOOKUP(TabCuotasIMSS[[#This Row],[ID]],TabAsistencias[],COLUMN(TabAsistencias[''IG]),FALSE)</f>
        <v>0</v>
      </c>
      <c r="L41" cm="1">
        <f t="array" ref="L41">VLOOKUP(TabCuotasIMSS[[#This Row],[ID]],TabAsistencias[],COLUMN(TabAsistencias[''F]),FALSE)</f>
        <v>0</v>
      </c>
      <c r="M41" s="141">
        <f>TabCuotasIMSS[[#This Row],[S.B.C./S.D.I.]]*TabCuotasIMSS[[#This Row],[DÍAS
LAB.]]</f>
        <v>7056.4956000000002</v>
      </c>
      <c r="N41" s="141">
        <f>(SMDF*CF*(TabCuotasIMSS[[#This Row],[DÍAS
LAB.]]-TabCuotasIMSS[[#This Row],[INC]]))</f>
        <v>1432.90824</v>
      </c>
      <c r="O41" s="55">
        <f>IF(TabCuotasIMSS[[#This Row],[S.B.C./S.D.I.]]&gt;SMDF3,((TabCuotasIMSS[[#This Row],[S.B.C./S.D.I.]]-SMDF3)*CFP*(TabCuotasIMSS[[#This Row],[DÍAS
LAB.]]-TabCuotasIMSS[[#This Row],[INC]])),0)</f>
        <v>0</v>
      </c>
      <c r="P41" s="55">
        <f>IF(TabCuotasIMSS[[#This Row],[S.B.C./S.D.I.]]&gt;SMDF3,((TabCuotasIMSS[[#This Row],[S.B.C./S.D.I.]]-SMDF3)*CFO*(TabCuotasIMSS[[#This Row],[DÍAS
LAB.]]-TabCuotasIMSS[[#This Row],[INC]])),0)</f>
        <v>0</v>
      </c>
      <c r="Q41" s="55">
        <f>TabCuotasIMSS[[#This Row],[EXCED.
PATRON]]+TabCuotasIMSS[[#This Row],[EXCED.
OBRERO]]</f>
        <v>0</v>
      </c>
      <c r="R41" s="55">
        <f>IF(TabCuotasIMSS[[#This Row],[S.B.C./S.D.I.]]&lt;=SMGI,((TabCuotasIMSS[[#This Row],[SALARIO
DEL CICLO]]-(TabCuotasIMSS[[#This Row],[S.B.C./S.D.I.]]*TabCuotasIMSS[[#This Row],[INC]])))*PD,((TabCuotasIMSS[[#This Row],[SALARIO
DEL CICLO]]-(TabCuotasIMSS[[#This Row],[S.B.C./S.D.I.]]*TabCuotasIMSS[[#This Row],[INC]]))*PDP))</f>
        <v>67.036708200000007</v>
      </c>
      <c r="S41" s="55">
        <f>IF(TabCuotasIMSS[[#This Row],[S.B.C./S.D.I.]]&lt;=SMGI,0,((TabCuotasIMSS[[#This Row],[SALARIO
DEL CICLO]]-(TabCuotasIMSS[[#This Row],[S.B.C./S.D.I.]]*TabCuotasIMSS[[#This Row],[INC]]))*PDO))</f>
        <v>0</v>
      </c>
      <c r="T41" s="55">
        <f>TabCuotasIMSS[[#This Row],[PATRON2]]+TabCuotasIMSS[[#This Row],[OBRERO]]</f>
        <v>67.036708200000007</v>
      </c>
      <c r="U41" s="55">
        <f>IF(TabCuotasIMSS[[#This Row],[S.B.C./S.D.I.]]&lt;=SMGI,((TabCuotasIMSS[[#This Row],[SALARIO
DEL CICLO]]-(TabCuotasIMSS[[#This Row],[S.B.C./S.D.I.]]*TabCuotasIMSS[[#This Row],[INC]])))*GMP,((TabCuotasIMSS[[#This Row],[SALARIO
DEL CICLO]]-(TabCuotasIMSS[[#This Row],[S.B.C./S.D.I.]]*TabCuotasIMSS[[#This Row],[INC]])))*GMPP)</f>
        <v>100.5550623</v>
      </c>
      <c r="V41" s="55">
        <f>IF(TabCuotasIMSS[[#This Row],[S.B.C./S.D.I.]]&lt;=SMGI,0,((TabCuotasIMSS[[#This Row],[SALARIO
DEL CICLO]]-(TabCuotasIMSS[[#This Row],[S.B.C./S.D.I.]]*TabCuotasIMSS[[#This Row],[INC]])))*GMPO)</f>
        <v>0</v>
      </c>
      <c r="W41" s="55">
        <f>TabCuotasIMSS[[#This Row],[PATRON3]]+TabCuotasIMSS[[#This Row],[OBRERO4]]</f>
        <v>100.5550623</v>
      </c>
      <c r="X41" s="141">
        <f>((TabCuotasIMSS[[#This Row],[SALARIO
DEL CICLO]]-(TabCuotasIMSS[[#This Row],[S.B.C./S.D.I.]]*(TabCuotasIMSS[[#This Row],[INC]]+TabCuotasIMSS[[#This Row],[AUS]]))))*PRTP</f>
        <v>3528.2478000000001</v>
      </c>
      <c r="Y41" s="55">
        <f>IF(TabCuotasIMSS[[#This Row],[S.B.C./S.D.I.]]&lt;=SMGI,((TabCuotasIMSS[[#This Row],[SALARIO
DEL CICLO]]-(TabCuotasIMSS[[#This Row],[S.B.C./S.D.I.]]*(TabCuotasIMSS[[#This Row],[INC]]+TabCuotasIMSS[[#This Row],[AUS]]))))*IV,((TabCuotasIMSS[[#This Row],[SALARIO
DEL CICLO]]-(TabCuotasIMSS[[#This Row],[S.B.C./S.D.I.]]*(TabCuotasIMSS[[#This Row],[INC]]+TabCuotasIMSS[[#This Row],[AUS]]))))*IVP)</f>
        <v>167.5917705</v>
      </c>
      <c r="Z41" s="55">
        <f>IF(TabCuotasIMSS[[#This Row],[S.B.C./S.D.I.]]&lt;=SMGI,0,((TabCuotasIMSS[[#This Row],[SALARIO
DEL CICLO]]-(TabCuotasIMSS[[#This Row],[S.B.C./S.D.I.]]*(TabCuotasIMSS[[#This Row],[INC]]+TabCuotasIMSS[[#This Row],[AUS]]))))*IVO)</f>
        <v>0</v>
      </c>
      <c r="AA41" s="55">
        <f>TabCuotasIMSS[[#This Row],[PATRON6]]+TabCuotasIMSS[[#This Row],[OBRERO7]]</f>
        <v>167.5917705</v>
      </c>
      <c r="AB41" s="141">
        <f>((TabCuotasIMSS[[#This Row],[SALARIO
DEL CICLO]]-(TabCuotasIMSS[[#This Row],[S.B.C./S.D.I.]]*(TabCuotasIMSS[[#This Row],[INC]]+TabCuotasIMSS[[#This Row],[AUS]]))))*GPS</f>
        <v>70.564956000000009</v>
      </c>
      <c r="AC41" s="141">
        <f>TabCuotasIMSS[[#This Row],[SALARIO
DEL CICLO]]*0</f>
        <v>0</v>
      </c>
      <c r="AD41" s="141">
        <f>TabCuotasIMSS[[#This Row],[PATRON9]]+TabCuotasIMSS[[#This Row],[OBRERO10]]</f>
        <v>70.564956000000009</v>
      </c>
      <c r="AE41" s="233">
        <f>TabCuotasIMSS[[#This Row],[PATRON]]+TabCuotasIMSS[[#This Row],[EXCED.
PATRON]]+TabCuotasIMSS[[#This Row],[PATRON2]]+TabCuotasIMSS[[#This Row],[PATRON3]]+TabCuotasIMSS[[#This Row],[PATRON
0.50%]]+TabCuotasIMSS[[#This Row],[PATRON6]]+TabCuotasIMSS[[#This Row],[PATRON9]]</f>
        <v>5366.9045370000003</v>
      </c>
      <c r="AF41" s="233">
        <f>TabCuotasIMSS[[#This Row],[EXCED.
OBRERO]]+TabCuotasIMSS[[#This Row],[OBRERO]]+TabCuotasIMSS[[#This Row],[OBRERO4]]+TabCuotasIMSS[[#This Row],[OBRERO7]]+TabCuotasIMSS[[#This Row],[OBRERO10]]</f>
        <v>0</v>
      </c>
      <c r="AG41" s="233">
        <f>TabCuotasIMSS[[#This Row],[TOTAL
PATRONAL]]+TabCuotasIMSS[[#This Row],[TOTAL
OBRERO]]</f>
        <v>5366.9045370000003</v>
      </c>
      <c r="AH41" s="141">
        <f>((TabCuotasIMSS[[#This Row],[SALARIO
DEL CICLO]]-(TabCuotasIMSS[[#This Row],[S.B.C./S.D.I.]]*TabCuotasIMSS[[#This Row],[AUS]]))*R_)</f>
        <v>141.12991200000002</v>
      </c>
      <c r="AI41">
        <f>IF(TabCuotasIMSS[[#This Row],[S.B.C./S.D.I.]]&lt;=SMGI,((TabCuotasIMSS[[#This Row],[SALARIO
DEL CICLO]]-(TabCuotasIMSS[[#This Row],[S.B.C./S.D.I.]]*(TabCuotasIMSS[[#This Row],[INC]]+TabCuotasIMSS[[#This Row],[AUS]]))))*CV,((TabCuotasIMSS[[#This Row],[SALARIO
DEL CICLO]]-(TabCuotasIMSS[[#This Row],[S.B.C./S.D.I.]]*(TabCuotasIMSS[[#This Row],[INC]]+TabCuotasIMSS[[#This Row],[AUS]]))))*CVP)</f>
        <v>301.66518690000004</v>
      </c>
      <c r="AJ41">
        <f>IF(TabCuotasIMSS[[#This Row],[S.B.C./S.D.I.]]&lt;=SMGI,0,((TabCuotasIMSS[[#This Row],[SALARIO
DEL CICLO]]-(TabCuotasIMSS[[#This Row],[S.B.C./S.D.I.]]*(TabCuotasIMSS[[#This Row],[INC]]+TabCuotasIMSS[[#This Row],[AUS]]))))*CVO)</f>
        <v>0</v>
      </c>
      <c r="AK41">
        <f>SUM(TabCuotasIMSS[[#This Row],[2%]]:TabCuotasIMSS[[#This Row],[OBRERO14]])</f>
        <v>442.79509890000008</v>
      </c>
      <c r="AL41" s="141">
        <f>((TabCuotasIMSS[[#This Row],[SALARIO
DEL CICLO]]-(TabCuotasIMSS[[#This Row],[S.B.C./S.D.I.]]*(TabCuotasIMSS[[#This Row],[AUS]])))*I)</f>
        <v>352.82478000000003</v>
      </c>
      <c r="AM41" s="141">
        <f>TabCuotasIMSS[[#This Row],[TOTAL
O.P.11]]+TabCuotasIMSS[[#This Row],[2%]]+TabCuotasIMSS[[#This Row],[PATRON13]]+TabCuotasIMSS[[#This Row],[5%]]</f>
        <v>866.18483490000006</v>
      </c>
      <c r="AN41" s="141">
        <f>TabCuotasIMSS[[#This Row],[TOTAL
OBRERO]]+TabCuotasIMSS[[#This Row],[OBRERO14]]</f>
        <v>0</v>
      </c>
    </row>
    <row r="42" spans="1:40" x14ac:dyDescent="0.25">
      <c r="A42" s="2">
        <v>34</v>
      </c>
      <c r="B42" s="1" cm="1">
        <f t="array" ref="B42">VLOOKUP(TabCuotasIMSS[[#This Row],[ID]],TabEmpleados[],COLUMN(TabEmpleados[Fecha de alta NSS]),FALSE)</f>
        <v>44509</v>
      </c>
      <c r="C42" t="str" cm="1">
        <f t="array" ref="C42">VLOOKUP(TabCuotasIMSS[[#This Row],[ID]],TabEmpleados[],COLUMN(TabEmpleados[Nombre]),FALSE)</f>
        <v>ESPINOSA RUBIÑOS CARLOS RAMON</v>
      </c>
      <c r="D42" cm="1">
        <f t="array" ref="D42">IF(VLOOKUP(TabCuotasIMSS[[#This Row],[ID]],TabEmpleados[],COLUMN(TabEmpleados[Fecha de alta NSS]),FALSE)&lt;&gt;"",VLOOKUP(TabCuotasIMSS[[#This Row],[ID]],TabAsistencias[],COLUMN(TabAsistencias[''Total de dias laborados]),FALSE),0)</f>
        <v>73</v>
      </c>
      <c r="E42" cm="1">
        <f t="array" ref="E42">IF(VLOOKUP(TabCuotasIMSS[[#This Row],[ID]],TabEmpleados[],COLUMN(TabEmpleados[Fecha de alta NSS]),FALSE)&lt;&gt;"",IF(DATEDIF((VLOOKUP(TabCuotasIMSS[[#This Row],[ID]],TabEmpleados[],COLUMN(TabEmpleados[Fecha de alta NSS]),FALSE)),'Tablas de informacion'!N$8,"Y")=0,1,DATEDIF((VLOOKUP(TabCuotasIMSS[[#This Row],[ID]],TabEmpleados[],COLUMN(TabEmpleados[Fecha de alta NSS]),FALSE)),'Tablas de informacion'!N$8,"Y")),0)</f>
        <v>1</v>
      </c>
      <c r="F42" s="55" cm="1">
        <f t="array" ref="F42">VLOOKUP(TabCuotasIMSS[[#This Row],[ID]],TabEmpleados[],COLUMN(TabEmpleados[SD Fiscal]),FALSE)</f>
        <v>75</v>
      </c>
      <c r="G42" s="55" cm="1">
        <f t="array" ref="G42">IFERROR((VLOOKUP((VLOOKUP(TabCuotasIMSS[[#This Row],[ID]],TabEmpleados[],COLUMN(TabEmpleados[Puesto]),FALSE)),TabPuestos[],COLUMN(TabPuestos[N° ALIMENTOS]),FALSE))*TabCuotasIMSS[[#This Row],[Salario Diario]]*(VLOOKUP(TabCuotasIMSS[[#This Row],[Años]],TabFactorIntegracion[],COLUMN(TabFactorIntegracion[% por alimento]))),0)</f>
        <v>6.2474999999999996</v>
      </c>
      <c r="H42" s="55" cm="1">
        <f t="array" ref="H42">IFERROR((VLOOKUP((VLOOKUP(TabCuotasIMSS[[#This Row],[ID]],TabEmpleados[],COLUMN(TabEmpleados[Puesto]),FALSE)),TabPuestos[],COLUMN(TabPuestos[PRIMA DOMINICAL]),FALSE))*TabCuotasIMSS[[#This Row],[Salario Diario]]*(VLOOKUP(TabCuotasIMSS[[#This Row],[Años]],TabFactorIntegracion[],COLUMN(TabFactorIntegracion[PRIMA
DOMINICAL]))),0)</f>
        <v>1.3613013698630136</v>
      </c>
      <c r="I42" s="55" cm="1">
        <f t="array" ref="I42">IFERROR(TabCuotasIMSS[[#This Row],[Salario Diario]]*(VLOOKUP(TabCuotasIMSS[[#This Row],[Años]],TabFactorIntegracion[],COLUMN(TabFactorIntegracion[FACTOR DE
INTEGRACIÓN]))),0)</f>
        <v>3.6986301369863011</v>
      </c>
      <c r="J42" s="174">
        <f>IFERROR(TabCuotasIMSS[[#This Row],[Salario Diario]]+TabCuotasIMSS[[#This Row],[Alimentos]]+TabCuotasIMSS[[#This Row],[Prima Dominical]]+TabCuotasIMSS[[#This Row],[Factor de Integracion]],0)</f>
        <v>86.307431506849312</v>
      </c>
      <c r="K42" cm="1">
        <f t="array" ref="K42">VLOOKUP(TabCuotasIMSS[[#This Row],[ID]],TabAsistencias[],COLUMN(TabAsistencias[''I]),FALSE)+VLOOKUP(TabCuotasIMSS[[#This Row],[ID]],TabAsistencias[],COLUMN(TabAsistencias[''IG]),FALSE)</f>
        <v>0</v>
      </c>
      <c r="L42" cm="1">
        <f t="array" ref="L42">VLOOKUP(TabCuotasIMSS[[#This Row],[ID]],TabAsistencias[],COLUMN(TabAsistencias[''F]),FALSE)</f>
        <v>0</v>
      </c>
      <c r="M42" s="141">
        <f>TabCuotasIMSS[[#This Row],[S.B.C./S.D.I.]]*TabCuotasIMSS[[#This Row],[DÍAS
LAB.]]</f>
        <v>6300.4425000000001</v>
      </c>
      <c r="N42" s="141">
        <f>(SMDF*CF*(TabCuotasIMSS[[#This Row],[DÍAS
LAB.]]-TabCuotasIMSS[[#This Row],[INC]]))</f>
        <v>1432.90824</v>
      </c>
      <c r="O42" s="55">
        <f>IF(TabCuotasIMSS[[#This Row],[S.B.C./S.D.I.]]&gt;SMDF3,((TabCuotasIMSS[[#This Row],[S.B.C./S.D.I.]]-SMDF3)*CFP*(TabCuotasIMSS[[#This Row],[DÍAS
LAB.]]-TabCuotasIMSS[[#This Row],[INC]])),0)</f>
        <v>0</v>
      </c>
      <c r="P42" s="55">
        <f>IF(TabCuotasIMSS[[#This Row],[S.B.C./S.D.I.]]&gt;SMDF3,((TabCuotasIMSS[[#This Row],[S.B.C./S.D.I.]]-SMDF3)*CFO*(TabCuotasIMSS[[#This Row],[DÍAS
LAB.]]-TabCuotasIMSS[[#This Row],[INC]])),0)</f>
        <v>0</v>
      </c>
      <c r="Q42" s="55">
        <f>TabCuotasIMSS[[#This Row],[EXCED.
PATRON]]+TabCuotasIMSS[[#This Row],[EXCED.
OBRERO]]</f>
        <v>0</v>
      </c>
      <c r="R42" s="55">
        <f>IF(TabCuotasIMSS[[#This Row],[S.B.C./S.D.I.]]&lt;=SMGI,((TabCuotasIMSS[[#This Row],[SALARIO
DEL CICLO]]-(TabCuotasIMSS[[#This Row],[S.B.C./S.D.I.]]*TabCuotasIMSS[[#This Row],[INC]])))*PD,((TabCuotasIMSS[[#This Row],[SALARIO
DEL CICLO]]-(TabCuotasIMSS[[#This Row],[S.B.C./S.D.I.]]*TabCuotasIMSS[[#This Row],[INC]]))*PDP))</f>
        <v>59.854203749999996</v>
      </c>
      <c r="S42" s="55">
        <f>IF(TabCuotasIMSS[[#This Row],[S.B.C./S.D.I.]]&lt;=SMGI,0,((TabCuotasIMSS[[#This Row],[SALARIO
DEL CICLO]]-(TabCuotasIMSS[[#This Row],[S.B.C./S.D.I.]]*TabCuotasIMSS[[#This Row],[INC]]))*PDO))</f>
        <v>0</v>
      </c>
      <c r="T42" s="55">
        <f>TabCuotasIMSS[[#This Row],[PATRON2]]+TabCuotasIMSS[[#This Row],[OBRERO]]</f>
        <v>59.854203749999996</v>
      </c>
      <c r="U42" s="55">
        <f>IF(TabCuotasIMSS[[#This Row],[S.B.C./S.D.I.]]&lt;=SMGI,((TabCuotasIMSS[[#This Row],[SALARIO
DEL CICLO]]-(TabCuotasIMSS[[#This Row],[S.B.C./S.D.I.]]*TabCuotasIMSS[[#This Row],[INC]])))*GMP,((TabCuotasIMSS[[#This Row],[SALARIO
DEL CICLO]]-(TabCuotasIMSS[[#This Row],[S.B.C./S.D.I.]]*TabCuotasIMSS[[#This Row],[INC]])))*GMPP)</f>
        <v>89.781305625000002</v>
      </c>
      <c r="V42" s="55">
        <f>IF(TabCuotasIMSS[[#This Row],[S.B.C./S.D.I.]]&lt;=SMGI,0,((TabCuotasIMSS[[#This Row],[SALARIO
DEL CICLO]]-(TabCuotasIMSS[[#This Row],[S.B.C./S.D.I.]]*TabCuotasIMSS[[#This Row],[INC]])))*GMPO)</f>
        <v>0</v>
      </c>
      <c r="W42" s="55">
        <f>TabCuotasIMSS[[#This Row],[PATRON3]]+TabCuotasIMSS[[#This Row],[OBRERO4]]</f>
        <v>89.781305625000002</v>
      </c>
      <c r="X42" s="141">
        <f>((TabCuotasIMSS[[#This Row],[SALARIO
DEL CICLO]]-(TabCuotasIMSS[[#This Row],[S.B.C./S.D.I.]]*(TabCuotasIMSS[[#This Row],[INC]]+TabCuotasIMSS[[#This Row],[AUS]]))))*PRTP</f>
        <v>3150.2212500000001</v>
      </c>
      <c r="Y42" s="55">
        <f>IF(TabCuotasIMSS[[#This Row],[S.B.C./S.D.I.]]&lt;=SMGI,((TabCuotasIMSS[[#This Row],[SALARIO
DEL CICLO]]-(TabCuotasIMSS[[#This Row],[S.B.C./S.D.I.]]*(TabCuotasIMSS[[#This Row],[INC]]+TabCuotasIMSS[[#This Row],[AUS]]))))*IV,((TabCuotasIMSS[[#This Row],[SALARIO
DEL CICLO]]-(TabCuotasIMSS[[#This Row],[S.B.C./S.D.I.]]*(TabCuotasIMSS[[#This Row],[INC]]+TabCuotasIMSS[[#This Row],[AUS]]))))*IVP)</f>
        <v>149.635509375</v>
      </c>
      <c r="Z42" s="55">
        <f>IF(TabCuotasIMSS[[#This Row],[S.B.C./S.D.I.]]&lt;=SMGI,0,((TabCuotasIMSS[[#This Row],[SALARIO
DEL CICLO]]-(TabCuotasIMSS[[#This Row],[S.B.C./S.D.I.]]*(TabCuotasIMSS[[#This Row],[INC]]+TabCuotasIMSS[[#This Row],[AUS]]))))*IVO)</f>
        <v>0</v>
      </c>
      <c r="AA42" s="55">
        <f>TabCuotasIMSS[[#This Row],[PATRON6]]+TabCuotasIMSS[[#This Row],[OBRERO7]]</f>
        <v>149.635509375</v>
      </c>
      <c r="AB42" s="141">
        <f>((TabCuotasIMSS[[#This Row],[SALARIO
DEL CICLO]]-(TabCuotasIMSS[[#This Row],[S.B.C./S.D.I.]]*(TabCuotasIMSS[[#This Row],[INC]]+TabCuotasIMSS[[#This Row],[AUS]]))))*GPS</f>
        <v>63.004425000000005</v>
      </c>
      <c r="AC42" s="141">
        <f>TabCuotasIMSS[[#This Row],[SALARIO
DEL CICLO]]*0</f>
        <v>0</v>
      </c>
      <c r="AD42" s="141">
        <f>TabCuotasIMSS[[#This Row],[PATRON9]]+TabCuotasIMSS[[#This Row],[OBRERO10]]</f>
        <v>63.004425000000005</v>
      </c>
      <c r="AE42" s="233">
        <f>TabCuotasIMSS[[#This Row],[PATRON]]+TabCuotasIMSS[[#This Row],[EXCED.
PATRON]]+TabCuotasIMSS[[#This Row],[PATRON2]]+TabCuotasIMSS[[#This Row],[PATRON3]]+TabCuotasIMSS[[#This Row],[PATRON
0.50%]]+TabCuotasIMSS[[#This Row],[PATRON6]]+TabCuotasIMSS[[#This Row],[PATRON9]]</f>
        <v>4945.4049337500001</v>
      </c>
      <c r="AF42" s="233">
        <f>TabCuotasIMSS[[#This Row],[EXCED.
OBRERO]]+TabCuotasIMSS[[#This Row],[OBRERO]]+TabCuotasIMSS[[#This Row],[OBRERO4]]+TabCuotasIMSS[[#This Row],[OBRERO7]]+TabCuotasIMSS[[#This Row],[OBRERO10]]</f>
        <v>0</v>
      </c>
      <c r="AG42" s="233">
        <f>TabCuotasIMSS[[#This Row],[TOTAL
PATRONAL]]+TabCuotasIMSS[[#This Row],[TOTAL
OBRERO]]</f>
        <v>4945.4049337500001</v>
      </c>
      <c r="AH42" s="141">
        <f>((TabCuotasIMSS[[#This Row],[SALARIO
DEL CICLO]]-(TabCuotasIMSS[[#This Row],[S.B.C./S.D.I.]]*TabCuotasIMSS[[#This Row],[AUS]]))*R_)</f>
        <v>126.00885000000001</v>
      </c>
      <c r="AI42">
        <f>IF(TabCuotasIMSS[[#This Row],[S.B.C./S.D.I.]]&lt;=SMGI,((TabCuotasIMSS[[#This Row],[SALARIO
DEL CICLO]]-(TabCuotasIMSS[[#This Row],[S.B.C./S.D.I.]]*(TabCuotasIMSS[[#This Row],[INC]]+TabCuotasIMSS[[#This Row],[AUS]]))))*CV,((TabCuotasIMSS[[#This Row],[SALARIO
DEL CICLO]]-(TabCuotasIMSS[[#This Row],[S.B.C./S.D.I.]]*(TabCuotasIMSS[[#This Row],[INC]]+TabCuotasIMSS[[#This Row],[AUS]]))))*CVP)</f>
        <v>269.34391687500005</v>
      </c>
      <c r="AJ42">
        <f>IF(TabCuotasIMSS[[#This Row],[S.B.C./S.D.I.]]&lt;=SMGI,0,((TabCuotasIMSS[[#This Row],[SALARIO
DEL CICLO]]-(TabCuotasIMSS[[#This Row],[S.B.C./S.D.I.]]*(TabCuotasIMSS[[#This Row],[INC]]+TabCuotasIMSS[[#This Row],[AUS]]))))*CVO)</f>
        <v>0</v>
      </c>
      <c r="AK42">
        <f>SUM(TabCuotasIMSS[[#This Row],[2%]]:TabCuotasIMSS[[#This Row],[OBRERO14]])</f>
        <v>395.35276687500004</v>
      </c>
      <c r="AL42" s="141">
        <f>((TabCuotasIMSS[[#This Row],[SALARIO
DEL CICLO]]-(TabCuotasIMSS[[#This Row],[S.B.C./S.D.I.]]*(TabCuotasIMSS[[#This Row],[AUS]])))*I)</f>
        <v>315.02212500000002</v>
      </c>
      <c r="AM42" s="141">
        <f>TabCuotasIMSS[[#This Row],[TOTAL
O.P.11]]+TabCuotasIMSS[[#This Row],[2%]]+TabCuotasIMSS[[#This Row],[PATRON13]]+TabCuotasIMSS[[#This Row],[5%]]</f>
        <v>773.37931687500009</v>
      </c>
      <c r="AN42" s="141">
        <f>TabCuotasIMSS[[#This Row],[TOTAL
OBRERO]]+TabCuotasIMSS[[#This Row],[OBRERO14]]</f>
        <v>0</v>
      </c>
    </row>
    <row r="43" spans="1:40" x14ac:dyDescent="0.25">
      <c r="A43" s="2">
        <v>35</v>
      </c>
      <c r="B43" s="1" cm="1">
        <f t="array" ref="B43">VLOOKUP(TabCuotasIMSS[[#This Row],[ID]],TabEmpleados[],COLUMN(TabEmpleados[Fecha de alta NSS]),FALSE)</f>
        <v>44509</v>
      </c>
      <c r="C43" t="str" cm="1">
        <f t="array" ref="C43">VLOOKUP(TabCuotasIMSS[[#This Row],[ID]],TabEmpleados[],COLUMN(TabEmpleados[Nombre]),FALSE)</f>
        <v>MARTINEZ VICENTE RENE SAID</v>
      </c>
      <c r="D43" cm="1">
        <f t="array" ref="D43">IF(VLOOKUP(TabCuotasIMSS[[#This Row],[ID]],TabEmpleados[],COLUMN(TabEmpleados[Fecha de alta NSS]),FALSE)&lt;&gt;"",VLOOKUP(TabCuotasIMSS[[#This Row],[ID]],TabAsistencias[],COLUMN(TabAsistencias[''Total de dias laborados]),FALSE),0)</f>
        <v>73</v>
      </c>
      <c r="E43" cm="1">
        <f t="array" ref="E43">IF(VLOOKUP(TabCuotasIMSS[[#This Row],[ID]],TabEmpleados[],COLUMN(TabEmpleados[Fecha de alta NSS]),FALSE)&lt;&gt;"",IF(DATEDIF((VLOOKUP(TabCuotasIMSS[[#This Row],[ID]],TabEmpleados[],COLUMN(TabEmpleados[Fecha de alta NSS]),FALSE)),'Tablas de informacion'!N$8,"Y")=0,1,DATEDIF((VLOOKUP(TabCuotasIMSS[[#This Row],[ID]],TabEmpleados[],COLUMN(TabEmpleados[Fecha de alta NSS]),FALSE)),'Tablas de informacion'!N$8,"Y")),0)</f>
        <v>1</v>
      </c>
      <c r="F43" s="55" cm="1">
        <f t="array" ref="F43">VLOOKUP(TabCuotasIMSS[[#This Row],[ID]],TabEmpleados[],COLUMN(TabEmpleados[SD Fiscal]),FALSE)</f>
        <v>84</v>
      </c>
      <c r="G43" s="55" cm="1">
        <f t="array" ref="G43">IFERROR((VLOOKUP((VLOOKUP(TabCuotasIMSS[[#This Row],[ID]],TabEmpleados[],COLUMN(TabEmpleados[Puesto]),FALSE)),TabPuestos[],COLUMN(TabPuestos[N° ALIMENTOS]),FALSE))*TabCuotasIMSS[[#This Row],[Salario Diario]]*(VLOOKUP(TabCuotasIMSS[[#This Row],[Años]],TabFactorIntegracion[],COLUMN(TabFactorIntegracion[% por alimento]))),0)</f>
        <v>6.9972000000000003</v>
      </c>
      <c r="H43" s="55" cm="1">
        <f t="array" ref="H43">IFERROR((VLOOKUP((VLOOKUP(TabCuotasIMSS[[#This Row],[ID]],TabEmpleados[],COLUMN(TabEmpleados[Puesto]),FALSE)),TabPuestos[],COLUMN(TabPuestos[PRIMA DOMINICAL]),FALSE))*TabCuotasIMSS[[#This Row],[Salario Diario]]*(VLOOKUP(TabCuotasIMSS[[#This Row],[Años]],TabFactorIntegracion[],COLUMN(TabFactorIntegracion[PRIMA
DOMINICAL]))),0)</f>
        <v>1.5246575342465751</v>
      </c>
      <c r="I43" s="55" cm="1">
        <f t="array" ref="I43">IFERROR(TabCuotasIMSS[[#This Row],[Salario Diario]]*(VLOOKUP(TabCuotasIMSS[[#This Row],[Años]],TabFactorIntegracion[],COLUMN(TabFactorIntegracion[FACTOR DE
INTEGRACIÓN]))),0)</f>
        <v>4.1424657534246574</v>
      </c>
      <c r="J43" s="174">
        <f>IFERROR(TabCuotasIMSS[[#This Row],[Salario Diario]]+TabCuotasIMSS[[#This Row],[Alimentos]]+TabCuotasIMSS[[#This Row],[Prima Dominical]]+TabCuotasIMSS[[#This Row],[Factor de Integracion]],0)</f>
        <v>96.664323287671237</v>
      </c>
      <c r="K43" cm="1">
        <f t="array" ref="K43">VLOOKUP(TabCuotasIMSS[[#This Row],[ID]],TabAsistencias[],COLUMN(TabAsistencias[''I]),FALSE)+VLOOKUP(TabCuotasIMSS[[#This Row],[ID]],TabAsistencias[],COLUMN(TabAsistencias[''IG]),FALSE)</f>
        <v>0</v>
      </c>
      <c r="L43" cm="1">
        <f t="array" ref="L43">VLOOKUP(TabCuotasIMSS[[#This Row],[ID]],TabAsistencias[],COLUMN(TabAsistencias[''F]),FALSE)</f>
        <v>0</v>
      </c>
      <c r="M43" s="141">
        <f>TabCuotasIMSS[[#This Row],[S.B.C./S.D.I.]]*TabCuotasIMSS[[#This Row],[DÍAS
LAB.]]</f>
        <v>7056.4956000000002</v>
      </c>
      <c r="N43" s="141">
        <f>(SMDF*CF*(TabCuotasIMSS[[#This Row],[DÍAS
LAB.]]-TabCuotasIMSS[[#This Row],[INC]]))</f>
        <v>1432.90824</v>
      </c>
      <c r="O43" s="55">
        <f>IF(TabCuotasIMSS[[#This Row],[S.B.C./S.D.I.]]&gt;SMDF3,((TabCuotasIMSS[[#This Row],[S.B.C./S.D.I.]]-SMDF3)*CFP*(TabCuotasIMSS[[#This Row],[DÍAS
LAB.]]-TabCuotasIMSS[[#This Row],[INC]])),0)</f>
        <v>0</v>
      </c>
      <c r="P43" s="55">
        <f>IF(TabCuotasIMSS[[#This Row],[S.B.C./S.D.I.]]&gt;SMDF3,((TabCuotasIMSS[[#This Row],[S.B.C./S.D.I.]]-SMDF3)*CFO*(TabCuotasIMSS[[#This Row],[DÍAS
LAB.]]-TabCuotasIMSS[[#This Row],[INC]])),0)</f>
        <v>0</v>
      </c>
      <c r="Q43" s="55">
        <f>TabCuotasIMSS[[#This Row],[EXCED.
PATRON]]+TabCuotasIMSS[[#This Row],[EXCED.
OBRERO]]</f>
        <v>0</v>
      </c>
      <c r="R43" s="55">
        <f>IF(TabCuotasIMSS[[#This Row],[S.B.C./S.D.I.]]&lt;=SMGI,((TabCuotasIMSS[[#This Row],[SALARIO
DEL CICLO]]-(TabCuotasIMSS[[#This Row],[S.B.C./S.D.I.]]*TabCuotasIMSS[[#This Row],[INC]])))*PD,((TabCuotasIMSS[[#This Row],[SALARIO
DEL CICLO]]-(TabCuotasIMSS[[#This Row],[S.B.C./S.D.I.]]*TabCuotasIMSS[[#This Row],[INC]]))*PDP))</f>
        <v>67.036708200000007</v>
      </c>
      <c r="S43" s="55">
        <f>IF(TabCuotasIMSS[[#This Row],[S.B.C./S.D.I.]]&lt;=SMGI,0,((TabCuotasIMSS[[#This Row],[SALARIO
DEL CICLO]]-(TabCuotasIMSS[[#This Row],[S.B.C./S.D.I.]]*TabCuotasIMSS[[#This Row],[INC]]))*PDO))</f>
        <v>0</v>
      </c>
      <c r="T43" s="55">
        <f>TabCuotasIMSS[[#This Row],[PATRON2]]+TabCuotasIMSS[[#This Row],[OBRERO]]</f>
        <v>67.036708200000007</v>
      </c>
      <c r="U43" s="55">
        <f>IF(TabCuotasIMSS[[#This Row],[S.B.C./S.D.I.]]&lt;=SMGI,((TabCuotasIMSS[[#This Row],[SALARIO
DEL CICLO]]-(TabCuotasIMSS[[#This Row],[S.B.C./S.D.I.]]*TabCuotasIMSS[[#This Row],[INC]])))*GMP,((TabCuotasIMSS[[#This Row],[SALARIO
DEL CICLO]]-(TabCuotasIMSS[[#This Row],[S.B.C./S.D.I.]]*TabCuotasIMSS[[#This Row],[INC]])))*GMPP)</f>
        <v>100.5550623</v>
      </c>
      <c r="V43" s="55">
        <f>IF(TabCuotasIMSS[[#This Row],[S.B.C./S.D.I.]]&lt;=SMGI,0,((TabCuotasIMSS[[#This Row],[SALARIO
DEL CICLO]]-(TabCuotasIMSS[[#This Row],[S.B.C./S.D.I.]]*TabCuotasIMSS[[#This Row],[INC]])))*GMPO)</f>
        <v>0</v>
      </c>
      <c r="W43" s="55">
        <f>TabCuotasIMSS[[#This Row],[PATRON3]]+TabCuotasIMSS[[#This Row],[OBRERO4]]</f>
        <v>100.5550623</v>
      </c>
      <c r="X43" s="141">
        <f>((TabCuotasIMSS[[#This Row],[SALARIO
DEL CICLO]]-(TabCuotasIMSS[[#This Row],[S.B.C./S.D.I.]]*(TabCuotasIMSS[[#This Row],[INC]]+TabCuotasIMSS[[#This Row],[AUS]]))))*PRTP</f>
        <v>3528.2478000000001</v>
      </c>
      <c r="Y43" s="55">
        <f>IF(TabCuotasIMSS[[#This Row],[S.B.C./S.D.I.]]&lt;=SMGI,((TabCuotasIMSS[[#This Row],[SALARIO
DEL CICLO]]-(TabCuotasIMSS[[#This Row],[S.B.C./S.D.I.]]*(TabCuotasIMSS[[#This Row],[INC]]+TabCuotasIMSS[[#This Row],[AUS]]))))*IV,((TabCuotasIMSS[[#This Row],[SALARIO
DEL CICLO]]-(TabCuotasIMSS[[#This Row],[S.B.C./S.D.I.]]*(TabCuotasIMSS[[#This Row],[INC]]+TabCuotasIMSS[[#This Row],[AUS]]))))*IVP)</f>
        <v>167.5917705</v>
      </c>
      <c r="Z43" s="55">
        <f>IF(TabCuotasIMSS[[#This Row],[S.B.C./S.D.I.]]&lt;=SMGI,0,((TabCuotasIMSS[[#This Row],[SALARIO
DEL CICLO]]-(TabCuotasIMSS[[#This Row],[S.B.C./S.D.I.]]*(TabCuotasIMSS[[#This Row],[INC]]+TabCuotasIMSS[[#This Row],[AUS]]))))*IVO)</f>
        <v>0</v>
      </c>
      <c r="AA43" s="55">
        <f>TabCuotasIMSS[[#This Row],[PATRON6]]+TabCuotasIMSS[[#This Row],[OBRERO7]]</f>
        <v>167.5917705</v>
      </c>
      <c r="AB43" s="141">
        <f>((TabCuotasIMSS[[#This Row],[SALARIO
DEL CICLO]]-(TabCuotasIMSS[[#This Row],[S.B.C./S.D.I.]]*(TabCuotasIMSS[[#This Row],[INC]]+TabCuotasIMSS[[#This Row],[AUS]]))))*GPS</f>
        <v>70.564956000000009</v>
      </c>
      <c r="AC43" s="141">
        <f>TabCuotasIMSS[[#This Row],[SALARIO
DEL CICLO]]*0</f>
        <v>0</v>
      </c>
      <c r="AD43" s="141">
        <f>TabCuotasIMSS[[#This Row],[PATRON9]]+TabCuotasIMSS[[#This Row],[OBRERO10]]</f>
        <v>70.564956000000009</v>
      </c>
      <c r="AE43" s="233">
        <f>TabCuotasIMSS[[#This Row],[PATRON]]+TabCuotasIMSS[[#This Row],[EXCED.
PATRON]]+TabCuotasIMSS[[#This Row],[PATRON2]]+TabCuotasIMSS[[#This Row],[PATRON3]]+TabCuotasIMSS[[#This Row],[PATRON
0.50%]]+TabCuotasIMSS[[#This Row],[PATRON6]]+TabCuotasIMSS[[#This Row],[PATRON9]]</f>
        <v>5366.9045370000003</v>
      </c>
      <c r="AF43" s="233">
        <f>TabCuotasIMSS[[#This Row],[EXCED.
OBRERO]]+TabCuotasIMSS[[#This Row],[OBRERO]]+TabCuotasIMSS[[#This Row],[OBRERO4]]+TabCuotasIMSS[[#This Row],[OBRERO7]]+TabCuotasIMSS[[#This Row],[OBRERO10]]</f>
        <v>0</v>
      </c>
      <c r="AG43" s="233">
        <f>TabCuotasIMSS[[#This Row],[TOTAL
PATRONAL]]+TabCuotasIMSS[[#This Row],[TOTAL
OBRERO]]</f>
        <v>5366.9045370000003</v>
      </c>
      <c r="AH43" s="141">
        <f>((TabCuotasIMSS[[#This Row],[SALARIO
DEL CICLO]]-(TabCuotasIMSS[[#This Row],[S.B.C./S.D.I.]]*TabCuotasIMSS[[#This Row],[AUS]]))*R_)</f>
        <v>141.12991200000002</v>
      </c>
      <c r="AI43">
        <f>IF(TabCuotasIMSS[[#This Row],[S.B.C./S.D.I.]]&lt;=SMGI,((TabCuotasIMSS[[#This Row],[SALARIO
DEL CICLO]]-(TabCuotasIMSS[[#This Row],[S.B.C./S.D.I.]]*(TabCuotasIMSS[[#This Row],[INC]]+TabCuotasIMSS[[#This Row],[AUS]]))))*CV,((TabCuotasIMSS[[#This Row],[SALARIO
DEL CICLO]]-(TabCuotasIMSS[[#This Row],[S.B.C./S.D.I.]]*(TabCuotasIMSS[[#This Row],[INC]]+TabCuotasIMSS[[#This Row],[AUS]]))))*CVP)</f>
        <v>301.66518690000004</v>
      </c>
      <c r="AJ43">
        <f>IF(TabCuotasIMSS[[#This Row],[S.B.C./S.D.I.]]&lt;=SMGI,0,((TabCuotasIMSS[[#This Row],[SALARIO
DEL CICLO]]-(TabCuotasIMSS[[#This Row],[S.B.C./S.D.I.]]*(TabCuotasIMSS[[#This Row],[INC]]+TabCuotasIMSS[[#This Row],[AUS]]))))*CVO)</f>
        <v>0</v>
      </c>
      <c r="AK43">
        <f>SUM(TabCuotasIMSS[[#This Row],[2%]]:TabCuotasIMSS[[#This Row],[OBRERO14]])</f>
        <v>442.79509890000008</v>
      </c>
      <c r="AL43" s="141">
        <f>((TabCuotasIMSS[[#This Row],[SALARIO
DEL CICLO]]-(TabCuotasIMSS[[#This Row],[S.B.C./S.D.I.]]*(TabCuotasIMSS[[#This Row],[AUS]])))*I)</f>
        <v>352.82478000000003</v>
      </c>
      <c r="AM43" s="141">
        <f>TabCuotasIMSS[[#This Row],[TOTAL
O.P.11]]+TabCuotasIMSS[[#This Row],[2%]]+TabCuotasIMSS[[#This Row],[PATRON13]]+TabCuotasIMSS[[#This Row],[5%]]</f>
        <v>866.18483490000006</v>
      </c>
      <c r="AN43" s="141">
        <f>TabCuotasIMSS[[#This Row],[TOTAL
OBRERO]]+TabCuotasIMSS[[#This Row],[OBRERO14]]</f>
        <v>0</v>
      </c>
    </row>
    <row r="44" spans="1:40" x14ac:dyDescent="0.25">
      <c r="A44" s="2">
        <v>36</v>
      </c>
      <c r="B44" s="1" cm="1">
        <f t="array" ref="B44">VLOOKUP(TabCuotasIMSS[[#This Row],[ID]],TabEmpleados[],COLUMN(TabEmpleados[Fecha de alta NSS]),FALSE)</f>
        <v>44509</v>
      </c>
      <c r="C44" t="str" cm="1">
        <f t="array" ref="C44">VLOOKUP(TabCuotasIMSS[[#This Row],[ID]],TabEmpleados[],COLUMN(TabEmpleados[Nombre]),FALSE)</f>
        <v>LORENZANA DIAZ IGNACIO DEMETRIO</v>
      </c>
      <c r="D44" cm="1">
        <f t="array" ref="D44">IF(VLOOKUP(TabCuotasIMSS[[#This Row],[ID]],TabEmpleados[],COLUMN(TabEmpleados[Fecha de alta NSS]),FALSE)&lt;&gt;"",VLOOKUP(TabCuotasIMSS[[#This Row],[ID]],TabAsistencias[],COLUMN(TabAsistencias[''Total de dias laborados]),FALSE),0)</f>
        <v>73</v>
      </c>
      <c r="E44" cm="1">
        <f t="array" ref="E44">IF(VLOOKUP(TabCuotasIMSS[[#This Row],[ID]],TabEmpleados[],COLUMN(TabEmpleados[Fecha de alta NSS]),FALSE)&lt;&gt;"",IF(DATEDIF((VLOOKUP(TabCuotasIMSS[[#This Row],[ID]],TabEmpleados[],COLUMN(TabEmpleados[Fecha de alta NSS]),FALSE)),'Tablas de informacion'!N$8,"Y")=0,1,DATEDIF((VLOOKUP(TabCuotasIMSS[[#This Row],[ID]],TabEmpleados[],COLUMN(TabEmpleados[Fecha de alta NSS]),FALSE)),'Tablas de informacion'!N$8,"Y")),0)</f>
        <v>1</v>
      </c>
      <c r="F44" s="55" cm="1">
        <f t="array" ref="F44">VLOOKUP(TabCuotasIMSS[[#This Row],[ID]],TabEmpleados[],COLUMN(TabEmpleados[SD Fiscal]),FALSE)</f>
        <v>75</v>
      </c>
      <c r="G44" s="55" cm="1">
        <f t="array" ref="G44">IFERROR((VLOOKUP((VLOOKUP(TabCuotasIMSS[[#This Row],[ID]],TabEmpleados[],COLUMN(TabEmpleados[Puesto]),FALSE)),TabPuestos[],COLUMN(TabPuestos[N° ALIMENTOS]),FALSE))*TabCuotasIMSS[[#This Row],[Salario Diario]]*(VLOOKUP(TabCuotasIMSS[[#This Row],[Años]],TabFactorIntegracion[],COLUMN(TabFactorIntegracion[% por alimento]))),0)</f>
        <v>6.2474999999999996</v>
      </c>
      <c r="H44" s="55" cm="1">
        <f t="array" ref="H44">IFERROR((VLOOKUP((VLOOKUP(TabCuotasIMSS[[#This Row],[ID]],TabEmpleados[],COLUMN(TabEmpleados[Puesto]),FALSE)),TabPuestos[],COLUMN(TabPuestos[PRIMA DOMINICAL]),FALSE))*TabCuotasIMSS[[#This Row],[Salario Diario]]*(VLOOKUP(TabCuotasIMSS[[#This Row],[Años]],TabFactorIntegracion[],COLUMN(TabFactorIntegracion[PRIMA
DOMINICAL]))),0)</f>
        <v>1.3613013698630136</v>
      </c>
      <c r="I44" s="55" cm="1">
        <f t="array" ref="I44">IFERROR(TabCuotasIMSS[[#This Row],[Salario Diario]]*(VLOOKUP(TabCuotasIMSS[[#This Row],[Años]],TabFactorIntegracion[],COLUMN(TabFactorIntegracion[FACTOR DE
INTEGRACIÓN]))),0)</f>
        <v>3.6986301369863011</v>
      </c>
      <c r="J44" s="174">
        <f>IFERROR(TabCuotasIMSS[[#This Row],[Salario Diario]]+TabCuotasIMSS[[#This Row],[Alimentos]]+TabCuotasIMSS[[#This Row],[Prima Dominical]]+TabCuotasIMSS[[#This Row],[Factor de Integracion]],0)</f>
        <v>86.307431506849312</v>
      </c>
      <c r="K44" cm="1">
        <f t="array" ref="K44">VLOOKUP(TabCuotasIMSS[[#This Row],[ID]],TabAsistencias[],COLUMN(TabAsistencias[''I]),FALSE)+VLOOKUP(TabCuotasIMSS[[#This Row],[ID]],TabAsistencias[],COLUMN(TabAsistencias[''IG]),FALSE)</f>
        <v>0</v>
      </c>
      <c r="L44" cm="1">
        <f t="array" ref="L44">VLOOKUP(TabCuotasIMSS[[#This Row],[ID]],TabAsistencias[],COLUMN(TabAsistencias[''F]),FALSE)</f>
        <v>0</v>
      </c>
      <c r="M44" s="141">
        <f>TabCuotasIMSS[[#This Row],[S.B.C./S.D.I.]]*TabCuotasIMSS[[#This Row],[DÍAS
LAB.]]</f>
        <v>6300.4425000000001</v>
      </c>
      <c r="N44" s="141">
        <f>(SMDF*CF*(TabCuotasIMSS[[#This Row],[DÍAS
LAB.]]-TabCuotasIMSS[[#This Row],[INC]]))</f>
        <v>1432.90824</v>
      </c>
      <c r="O44" s="55">
        <f>IF(TabCuotasIMSS[[#This Row],[S.B.C./S.D.I.]]&gt;SMDF3,((TabCuotasIMSS[[#This Row],[S.B.C./S.D.I.]]-SMDF3)*CFP*(TabCuotasIMSS[[#This Row],[DÍAS
LAB.]]-TabCuotasIMSS[[#This Row],[INC]])),0)</f>
        <v>0</v>
      </c>
      <c r="P44" s="55">
        <f>IF(TabCuotasIMSS[[#This Row],[S.B.C./S.D.I.]]&gt;SMDF3,((TabCuotasIMSS[[#This Row],[S.B.C./S.D.I.]]-SMDF3)*CFO*(TabCuotasIMSS[[#This Row],[DÍAS
LAB.]]-TabCuotasIMSS[[#This Row],[INC]])),0)</f>
        <v>0</v>
      </c>
      <c r="Q44" s="55">
        <f>TabCuotasIMSS[[#This Row],[EXCED.
PATRON]]+TabCuotasIMSS[[#This Row],[EXCED.
OBRERO]]</f>
        <v>0</v>
      </c>
      <c r="R44" s="55">
        <f>IF(TabCuotasIMSS[[#This Row],[S.B.C./S.D.I.]]&lt;=SMGI,((TabCuotasIMSS[[#This Row],[SALARIO
DEL CICLO]]-(TabCuotasIMSS[[#This Row],[S.B.C./S.D.I.]]*TabCuotasIMSS[[#This Row],[INC]])))*PD,((TabCuotasIMSS[[#This Row],[SALARIO
DEL CICLO]]-(TabCuotasIMSS[[#This Row],[S.B.C./S.D.I.]]*TabCuotasIMSS[[#This Row],[INC]]))*PDP))</f>
        <v>59.854203749999996</v>
      </c>
      <c r="S44" s="55">
        <f>IF(TabCuotasIMSS[[#This Row],[S.B.C./S.D.I.]]&lt;=SMGI,0,((TabCuotasIMSS[[#This Row],[SALARIO
DEL CICLO]]-(TabCuotasIMSS[[#This Row],[S.B.C./S.D.I.]]*TabCuotasIMSS[[#This Row],[INC]]))*PDO))</f>
        <v>0</v>
      </c>
      <c r="T44" s="55">
        <f>TabCuotasIMSS[[#This Row],[PATRON2]]+TabCuotasIMSS[[#This Row],[OBRERO]]</f>
        <v>59.854203749999996</v>
      </c>
      <c r="U44" s="55">
        <f>IF(TabCuotasIMSS[[#This Row],[S.B.C./S.D.I.]]&lt;=SMGI,((TabCuotasIMSS[[#This Row],[SALARIO
DEL CICLO]]-(TabCuotasIMSS[[#This Row],[S.B.C./S.D.I.]]*TabCuotasIMSS[[#This Row],[INC]])))*GMP,((TabCuotasIMSS[[#This Row],[SALARIO
DEL CICLO]]-(TabCuotasIMSS[[#This Row],[S.B.C./S.D.I.]]*TabCuotasIMSS[[#This Row],[INC]])))*GMPP)</f>
        <v>89.781305625000002</v>
      </c>
      <c r="V44" s="55">
        <f>IF(TabCuotasIMSS[[#This Row],[S.B.C./S.D.I.]]&lt;=SMGI,0,((TabCuotasIMSS[[#This Row],[SALARIO
DEL CICLO]]-(TabCuotasIMSS[[#This Row],[S.B.C./S.D.I.]]*TabCuotasIMSS[[#This Row],[INC]])))*GMPO)</f>
        <v>0</v>
      </c>
      <c r="W44" s="55">
        <f>TabCuotasIMSS[[#This Row],[PATRON3]]+TabCuotasIMSS[[#This Row],[OBRERO4]]</f>
        <v>89.781305625000002</v>
      </c>
      <c r="X44" s="141">
        <f>((TabCuotasIMSS[[#This Row],[SALARIO
DEL CICLO]]-(TabCuotasIMSS[[#This Row],[S.B.C./S.D.I.]]*(TabCuotasIMSS[[#This Row],[INC]]+TabCuotasIMSS[[#This Row],[AUS]]))))*PRTP</f>
        <v>3150.2212500000001</v>
      </c>
      <c r="Y44" s="55">
        <f>IF(TabCuotasIMSS[[#This Row],[S.B.C./S.D.I.]]&lt;=SMGI,((TabCuotasIMSS[[#This Row],[SALARIO
DEL CICLO]]-(TabCuotasIMSS[[#This Row],[S.B.C./S.D.I.]]*(TabCuotasIMSS[[#This Row],[INC]]+TabCuotasIMSS[[#This Row],[AUS]]))))*IV,((TabCuotasIMSS[[#This Row],[SALARIO
DEL CICLO]]-(TabCuotasIMSS[[#This Row],[S.B.C./S.D.I.]]*(TabCuotasIMSS[[#This Row],[INC]]+TabCuotasIMSS[[#This Row],[AUS]]))))*IVP)</f>
        <v>149.635509375</v>
      </c>
      <c r="Z44" s="55">
        <f>IF(TabCuotasIMSS[[#This Row],[S.B.C./S.D.I.]]&lt;=SMGI,0,((TabCuotasIMSS[[#This Row],[SALARIO
DEL CICLO]]-(TabCuotasIMSS[[#This Row],[S.B.C./S.D.I.]]*(TabCuotasIMSS[[#This Row],[INC]]+TabCuotasIMSS[[#This Row],[AUS]]))))*IVO)</f>
        <v>0</v>
      </c>
      <c r="AA44" s="55">
        <f>TabCuotasIMSS[[#This Row],[PATRON6]]+TabCuotasIMSS[[#This Row],[OBRERO7]]</f>
        <v>149.635509375</v>
      </c>
      <c r="AB44" s="141">
        <f>((TabCuotasIMSS[[#This Row],[SALARIO
DEL CICLO]]-(TabCuotasIMSS[[#This Row],[S.B.C./S.D.I.]]*(TabCuotasIMSS[[#This Row],[INC]]+TabCuotasIMSS[[#This Row],[AUS]]))))*GPS</f>
        <v>63.004425000000005</v>
      </c>
      <c r="AC44" s="141">
        <f>TabCuotasIMSS[[#This Row],[SALARIO
DEL CICLO]]*0</f>
        <v>0</v>
      </c>
      <c r="AD44" s="141">
        <f>TabCuotasIMSS[[#This Row],[PATRON9]]+TabCuotasIMSS[[#This Row],[OBRERO10]]</f>
        <v>63.004425000000005</v>
      </c>
      <c r="AE44" s="233">
        <f>TabCuotasIMSS[[#This Row],[PATRON]]+TabCuotasIMSS[[#This Row],[EXCED.
PATRON]]+TabCuotasIMSS[[#This Row],[PATRON2]]+TabCuotasIMSS[[#This Row],[PATRON3]]+TabCuotasIMSS[[#This Row],[PATRON
0.50%]]+TabCuotasIMSS[[#This Row],[PATRON6]]+TabCuotasIMSS[[#This Row],[PATRON9]]</f>
        <v>4945.4049337500001</v>
      </c>
      <c r="AF44" s="233">
        <f>TabCuotasIMSS[[#This Row],[EXCED.
OBRERO]]+TabCuotasIMSS[[#This Row],[OBRERO]]+TabCuotasIMSS[[#This Row],[OBRERO4]]+TabCuotasIMSS[[#This Row],[OBRERO7]]+TabCuotasIMSS[[#This Row],[OBRERO10]]</f>
        <v>0</v>
      </c>
      <c r="AG44" s="233">
        <f>TabCuotasIMSS[[#This Row],[TOTAL
PATRONAL]]+TabCuotasIMSS[[#This Row],[TOTAL
OBRERO]]</f>
        <v>4945.4049337500001</v>
      </c>
      <c r="AH44" s="141">
        <f>((TabCuotasIMSS[[#This Row],[SALARIO
DEL CICLO]]-(TabCuotasIMSS[[#This Row],[S.B.C./S.D.I.]]*TabCuotasIMSS[[#This Row],[AUS]]))*R_)</f>
        <v>126.00885000000001</v>
      </c>
      <c r="AI44">
        <f>IF(TabCuotasIMSS[[#This Row],[S.B.C./S.D.I.]]&lt;=SMGI,((TabCuotasIMSS[[#This Row],[SALARIO
DEL CICLO]]-(TabCuotasIMSS[[#This Row],[S.B.C./S.D.I.]]*(TabCuotasIMSS[[#This Row],[INC]]+TabCuotasIMSS[[#This Row],[AUS]]))))*CV,((TabCuotasIMSS[[#This Row],[SALARIO
DEL CICLO]]-(TabCuotasIMSS[[#This Row],[S.B.C./S.D.I.]]*(TabCuotasIMSS[[#This Row],[INC]]+TabCuotasIMSS[[#This Row],[AUS]]))))*CVP)</f>
        <v>269.34391687500005</v>
      </c>
      <c r="AJ44">
        <f>IF(TabCuotasIMSS[[#This Row],[S.B.C./S.D.I.]]&lt;=SMGI,0,((TabCuotasIMSS[[#This Row],[SALARIO
DEL CICLO]]-(TabCuotasIMSS[[#This Row],[S.B.C./S.D.I.]]*(TabCuotasIMSS[[#This Row],[INC]]+TabCuotasIMSS[[#This Row],[AUS]]))))*CVO)</f>
        <v>0</v>
      </c>
      <c r="AK44">
        <f>SUM(TabCuotasIMSS[[#This Row],[2%]]:TabCuotasIMSS[[#This Row],[OBRERO14]])</f>
        <v>395.35276687500004</v>
      </c>
      <c r="AL44" s="141">
        <f>((TabCuotasIMSS[[#This Row],[SALARIO
DEL CICLO]]-(TabCuotasIMSS[[#This Row],[S.B.C./S.D.I.]]*(TabCuotasIMSS[[#This Row],[AUS]])))*I)</f>
        <v>315.02212500000002</v>
      </c>
      <c r="AM44" s="141">
        <f>TabCuotasIMSS[[#This Row],[TOTAL
O.P.11]]+TabCuotasIMSS[[#This Row],[2%]]+TabCuotasIMSS[[#This Row],[PATRON13]]+TabCuotasIMSS[[#This Row],[5%]]</f>
        <v>773.37931687500009</v>
      </c>
      <c r="AN44" s="141">
        <f>TabCuotasIMSS[[#This Row],[TOTAL
OBRERO]]+TabCuotasIMSS[[#This Row],[OBRERO14]]</f>
        <v>0</v>
      </c>
    </row>
    <row r="45" spans="1:40" x14ac:dyDescent="0.25">
      <c r="A45" s="2">
        <v>37</v>
      </c>
      <c r="B45" s="1" cm="1">
        <f t="array" ref="B45">VLOOKUP(TabCuotasIMSS[[#This Row],[ID]],TabEmpleados[],COLUMN(TabEmpleados[Fecha de alta NSS]),FALSE)</f>
        <v>44509</v>
      </c>
      <c r="C45" t="str" cm="1">
        <f t="array" ref="C45">VLOOKUP(TabCuotasIMSS[[#This Row],[ID]],TabEmpleados[],COLUMN(TabEmpleados[Nombre]),FALSE)</f>
        <v>JIMENEZ VASQUEZ HISAI</v>
      </c>
      <c r="D45" cm="1">
        <f t="array" ref="D45">IF(VLOOKUP(TabCuotasIMSS[[#This Row],[ID]],TabEmpleados[],COLUMN(TabEmpleados[Fecha de alta NSS]),FALSE)&lt;&gt;"",VLOOKUP(TabCuotasIMSS[[#This Row],[ID]],TabAsistencias[],COLUMN(TabAsistencias[''Total de dias laborados]),FALSE),0)</f>
        <v>73</v>
      </c>
      <c r="E45" cm="1">
        <f t="array" ref="E45">IF(VLOOKUP(TabCuotasIMSS[[#This Row],[ID]],TabEmpleados[],COLUMN(TabEmpleados[Fecha de alta NSS]),FALSE)&lt;&gt;"",IF(DATEDIF((VLOOKUP(TabCuotasIMSS[[#This Row],[ID]],TabEmpleados[],COLUMN(TabEmpleados[Fecha de alta NSS]),FALSE)),'Tablas de informacion'!N$8,"Y")=0,1,DATEDIF((VLOOKUP(TabCuotasIMSS[[#This Row],[ID]],TabEmpleados[],COLUMN(TabEmpleados[Fecha de alta NSS]),FALSE)),'Tablas de informacion'!N$8,"Y")),0)</f>
        <v>1</v>
      </c>
      <c r="F45" s="55" cm="1">
        <f t="array" ref="F45">VLOOKUP(TabCuotasIMSS[[#This Row],[ID]],TabEmpleados[],COLUMN(TabEmpleados[SD Fiscal]),FALSE)</f>
        <v>75</v>
      </c>
      <c r="G45" s="55" cm="1">
        <f t="array" ref="G45">IFERROR((VLOOKUP((VLOOKUP(TabCuotasIMSS[[#This Row],[ID]],TabEmpleados[],COLUMN(TabEmpleados[Puesto]),FALSE)),TabPuestos[],COLUMN(TabPuestos[N° ALIMENTOS]),FALSE))*TabCuotasIMSS[[#This Row],[Salario Diario]]*(VLOOKUP(TabCuotasIMSS[[#This Row],[Años]],TabFactorIntegracion[],COLUMN(TabFactorIntegracion[% por alimento]))),0)</f>
        <v>6.2474999999999996</v>
      </c>
      <c r="H45" s="55" cm="1">
        <f t="array" ref="H45">IFERROR((VLOOKUP((VLOOKUP(TabCuotasIMSS[[#This Row],[ID]],TabEmpleados[],COLUMN(TabEmpleados[Puesto]),FALSE)),TabPuestos[],COLUMN(TabPuestos[PRIMA DOMINICAL]),FALSE))*TabCuotasIMSS[[#This Row],[Salario Diario]]*(VLOOKUP(TabCuotasIMSS[[#This Row],[Años]],TabFactorIntegracion[],COLUMN(TabFactorIntegracion[PRIMA
DOMINICAL]))),0)</f>
        <v>1.3613013698630136</v>
      </c>
      <c r="I45" s="55" cm="1">
        <f t="array" ref="I45">IFERROR(TabCuotasIMSS[[#This Row],[Salario Diario]]*(VLOOKUP(TabCuotasIMSS[[#This Row],[Años]],TabFactorIntegracion[],COLUMN(TabFactorIntegracion[FACTOR DE
INTEGRACIÓN]))),0)</f>
        <v>3.6986301369863011</v>
      </c>
      <c r="J45" s="174">
        <f>IFERROR(TabCuotasIMSS[[#This Row],[Salario Diario]]+TabCuotasIMSS[[#This Row],[Alimentos]]+TabCuotasIMSS[[#This Row],[Prima Dominical]]+TabCuotasIMSS[[#This Row],[Factor de Integracion]],0)</f>
        <v>86.307431506849312</v>
      </c>
      <c r="K45" cm="1">
        <f t="array" ref="K45">VLOOKUP(TabCuotasIMSS[[#This Row],[ID]],TabAsistencias[],COLUMN(TabAsistencias[''I]),FALSE)+VLOOKUP(TabCuotasIMSS[[#This Row],[ID]],TabAsistencias[],COLUMN(TabAsistencias[''IG]),FALSE)</f>
        <v>0</v>
      </c>
      <c r="L45" cm="1">
        <f t="array" ref="L45">VLOOKUP(TabCuotasIMSS[[#This Row],[ID]],TabAsistencias[],COLUMN(TabAsistencias[''F]),FALSE)</f>
        <v>0</v>
      </c>
      <c r="M45" s="141">
        <f>TabCuotasIMSS[[#This Row],[S.B.C./S.D.I.]]*TabCuotasIMSS[[#This Row],[DÍAS
LAB.]]</f>
        <v>6300.4425000000001</v>
      </c>
      <c r="N45" s="141">
        <f>(SMDF*CF*(TabCuotasIMSS[[#This Row],[DÍAS
LAB.]]-TabCuotasIMSS[[#This Row],[INC]]))</f>
        <v>1432.90824</v>
      </c>
      <c r="O45" s="55">
        <f>IF(TabCuotasIMSS[[#This Row],[S.B.C./S.D.I.]]&gt;SMDF3,((TabCuotasIMSS[[#This Row],[S.B.C./S.D.I.]]-SMDF3)*CFP*(TabCuotasIMSS[[#This Row],[DÍAS
LAB.]]-TabCuotasIMSS[[#This Row],[INC]])),0)</f>
        <v>0</v>
      </c>
      <c r="P45" s="55">
        <f>IF(TabCuotasIMSS[[#This Row],[S.B.C./S.D.I.]]&gt;SMDF3,((TabCuotasIMSS[[#This Row],[S.B.C./S.D.I.]]-SMDF3)*CFO*(TabCuotasIMSS[[#This Row],[DÍAS
LAB.]]-TabCuotasIMSS[[#This Row],[INC]])),0)</f>
        <v>0</v>
      </c>
      <c r="Q45" s="55">
        <f>TabCuotasIMSS[[#This Row],[EXCED.
PATRON]]+TabCuotasIMSS[[#This Row],[EXCED.
OBRERO]]</f>
        <v>0</v>
      </c>
      <c r="R45" s="55">
        <f>IF(TabCuotasIMSS[[#This Row],[S.B.C./S.D.I.]]&lt;=SMGI,((TabCuotasIMSS[[#This Row],[SALARIO
DEL CICLO]]-(TabCuotasIMSS[[#This Row],[S.B.C./S.D.I.]]*TabCuotasIMSS[[#This Row],[INC]])))*PD,((TabCuotasIMSS[[#This Row],[SALARIO
DEL CICLO]]-(TabCuotasIMSS[[#This Row],[S.B.C./S.D.I.]]*TabCuotasIMSS[[#This Row],[INC]]))*PDP))</f>
        <v>59.854203749999996</v>
      </c>
      <c r="S45" s="55">
        <f>IF(TabCuotasIMSS[[#This Row],[S.B.C./S.D.I.]]&lt;=SMGI,0,((TabCuotasIMSS[[#This Row],[SALARIO
DEL CICLO]]-(TabCuotasIMSS[[#This Row],[S.B.C./S.D.I.]]*TabCuotasIMSS[[#This Row],[INC]]))*PDO))</f>
        <v>0</v>
      </c>
      <c r="T45" s="55">
        <f>TabCuotasIMSS[[#This Row],[PATRON2]]+TabCuotasIMSS[[#This Row],[OBRERO]]</f>
        <v>59.854203749999996</v>
      </c>
      <c r="U45" s="55">
        <f>IF(TabCuotasIMSS[[#This Row],[S.B.C./S.D.I.]]&lt;=SMGI,((TabCuotasIMSS[[#This Row],[SALARIO
DEL CICLO]]-(TabCuotasIMSS[[#This Row],[S.B.C./S.D.I.]]*TabCuotasIMSS[[#This Row],[INC]])))*GMP,((TabCuotasIMSS[[#This Row],[SALARIO
DEL CICLO]]-(TabCuotasIMSS[[#This Row],[S.B.C./S.D.I.]]*TabCuotasIMSS[[#This Row],[INC]])))*GMPP)</f>
        <v>89.781305625000002</v>
      </c>
      <c r="V45" s="55">
        <f>IF(TabCuotasIMSS[[#This Row],[S.B.C./S.D.I.]]&lt;=SMGI,0,((TabCuotasIMSS[[#This Row],[SALARIO
DEL CICLO]]-(TabCuotasIMSS[[#This Row],[S.B.C./S.D.I.]]*TabCuotasIMSS[[#This Row],[INC]])))*GMPO)</f>
        <v>0</v>
      </c>
      <c r="W45" s="55">
        <f>TabCuotasIMSS[[#This Row],[PATRON3]]+TabCuotasIMSS[[#This Row],[OBRERO4]]</f>
        <v>89.781305625000002</v>
      </c>
      <c r="X45" s="141">
        <f>((TabCuotasIMSS[[#This Row],[SALARIO
DEL CICLO]]-(TabCuotasIMSS[[#This Row],[S.B.C./S.D.I.]]*(TabCuotasIMSS[[#This Row],[INC]]+TabCuotasIMSS[[#This Row],[AUS]]))))*PRTP</f>
        <v>3150.2212500000001</v>
      </c>
      <c r="Y45" s="55">
        <f>IF(TabCuotasIMSS[[#This Row],[S.B.C./S.D.I.]]&lt;=SMGI,((TabCuotasIMSS[[#This Row],[SALARIO
DEL CICLO]]-(TabCuotasIMSS[[#This Row],[S.B.C./S.D.I.]]*(TabCuotasIMSS[[#This Row],[INC]]+TabCuotasIMSS[[#This Row],[AUS]]))))*IV,((TabCuotasIMSS[[#This Row],[SALARIO
DEL CICLO]]-(TabCuotasIMSS[[#This Row],[S.B.C./S.D.I.]]*(TabCuotasIMSS[[#This Row],[INC]]+TabCuotasIMSS[[#This Row],[AUS]]))))*IVP)</f>
        <v>149.635509375</v>
      </c>
      <c r="Z45" s="55">
        <f>IF(TabCuotasIMSS[[#This Row],[S.B.C./S.D.I.]]&lt;=SMGI,0,((TabCuotasIMSS[[#This Row],[SALARIO
DEL CICLO]]-(TabCuotasIMSS[[#This Row],[S.B.C./S.D.I.]]*(TabCuotasIMSS[[#This Row],[INC]]+TabCuotasIMSS[[#This Row],[AUS]]))))*IVO)</f>
        <v>0</v>
      </c>
      <c r="AA45" s="55">
        <f>TabCuotasIMSS[[#This Row],[PATRON6]]+TabCuotasIMSS[[#This Row],[OBRERO7]]</f>
        <v>149.635509375</v>
      </c>
      <c r="AB45" s="141">
        <f>((TabCuotasIMSS[[#This Row],[SALARIO
DEL CICLO]]-(TabCuotasIMSS[[#This Row],[S.B.C./S.D.I.]]*(TabCuotasIMSS[[#This Row],[INC]]+TabCuotasIMSS[[#This Row],[AUS]]))))*GPS</f>
        <v>63.004425000000005</v>
      </c>
      <c r="AC45" s="141">
        <f>TabCuotasIMSS[[#This Row],[SALARIO
DEL CICLO]]*0</f>
        <v>0</v>
      </c>
      <c r="AD45" s="141">
        <f>TabCuotasIMSS[[#This Row],[PATRON9]]+TabCuotasIMSS[[#This Row],[OBRERO10]]</f>
        <v>63.004425000000005</v>
      </c>
      <c r="AE45" s="233">
        <f>TabCuotasIMSS[[#This Row],[PATRON]]+TabCuotasIMSS[[#This Row],[EXCED.
PATRON]]+TabCuotasIMSS[[#This Row],[PATRON2]]+TabCuotasIMSS[[#This Row],[PATRON3]]+TabCuotasIMSS[[#This Row],[PATRON
0.50%]]+TabCuotasIMSS[[#This Row],[PATRON6]]+TabCuotasIMSS[[#This Row],[PATRON9]]</f>
        <v>4945.4049337500001</v>
      </c>
      <c r="AF45" s="233">
        <f>TabCuotasIMSS[[#This Row],[EXCED.
OBRERO]]+TabCuotasIMSS[[#This Row],[OBRERO]]+TabCuotasIMSS[[#This Row],[OBRERO4]]+TabCuotasIMSS[[#This Row],[OBRERO7]]+TabCuotasIMSS[[#This Row],[OBRERO10]]</f>
        <v>0</v>
      </c>
      <c r="AG45" s="233">
        <f>TabCuotasIMSS[[#This Row],[TOTAL
PATRONAL]]+TabCuotasIMSS[[#This Row],[TOTAL
OBRERO]]</f>
        <v>4945.4049337500001</v>
      </c>
      <c r="AH45" s="141">
        <f>((TabCuotasIMSS[[#This Row],[SALARIO
DEL CICLO]]-(TabCuotasIMSS[[#This Row],[S.B.C./S.D.I.]]*TabCuotasIMSS[[#This Row],[AUS]]))*R_)</f>
        <v>126.00885000000001</v>
      </c>
      <c r="AI45">
        <f>IF(TabCuotasIMSS[[#This Row],[S.B.C./S.D.I.]]&lt;=SMGI,((TabCuotasIMSS[[#This Row],[SALARIO
DEL CICLO]]-(TabCuotasIMSS[[#This Row],[S.B.C./S.D.I.]]*(TabCuotasIMSS[[#This Row],[INC]]+TabCuotasIMSS[[#This Row],[AUS]]))))*CV,((TabCuotasIMSS[[#This Row],[SALARIO
DEL CICLO]]-(TabCuotasIMSS[[#This Row],[S.B.C./S.D.I.]]*(TabCuotasIMSS[[#This Row],[INC]]+TabCuotasIMSS[[#This Row],[AUS]]))))*CVP)</f>
        <v>269.34391687500005</v>
      </c>
      <c r="AJ45">
        <f>IF(TabCuotasIMSS[[#This Row],[S.B.C./S.D.I.]]&lt;=SMGI,0,((TabCuotasIMSS[[#This Row],[SALARIO
DEL CICLO]]-(TabCuotasIMSS[[#This Row],[S.B.C./S.D.I.]]*(TabCuotasIMSS[[#This Row],[INC]]+TabCuotasIMSS[[#This Row],[AUS]]))))*CVO)</f>
        <v>0</v>
      </c>
      <c r="AK45">
        <f>SUM(TabCuotasIMSS[[#This Row],[2%]]:TabCuotasIMSS[[#This Row],[OBRERO14]])</f>
        <v>395.35276687500004</v>
      </c>
      <c r="AL45" s="141">
        <f>((TabCuotasIMSS[[#This Row],[SALARIO
DEL CICLO]]-(TabCuotasIMSS[[#This Row],[S.B.C./S.D.I.]]*(TabCuotasIMSS[[#This Row],[AUS]])))*I)</f>
        <v>315.02212500000002</v>
      </c>
      <c r="AM45" s="141">
        <f>TabCuotasIMSS[[#This Row],[TOTAL
O.P.11]]+TabCuotasIMSS[[#This Row],[2%]]+TabCuotasIMSS[[#This Row],[PATRON13]]+TabCuotasIMSS[[#This Row],[5%]]</f>
        <v>773.37931687500009</v>
      </c>
      <c r="AN45" s="141">
        <f>TabCuotasIMSS[[#This Row],[TOTAL
OBRERO]]+TabCuotasIMSS[[#This Row],[OBRERO14]]</f>
        <v>0</v>
      </c>
    </row>
    <row r="46" spans="1:40" x14ac:dyDescent="0.25">
      <c r="A46" s="2">
        <v>38</v>
      </c>
      <c r="B46" s="1" cm="1">
        <f t="array" ref="B46">VLOOKUP(TabCuotasIMSS[[#This Row],[ID]],TabEmpleados[],COLUMN(TabEmpleados[Fecha de alta NSS]),FALSE)</f>
        <v>44509</v>
      </c>
      <c r="C46" t="str" cm="1">
        <f t="array" ref="C46">VLOOKUP(TabCuotasIMSS[[#This Row],[ID]],TabEmpleados[],COLUMN(TabEmpleados[Nombre]),FALSE)</f>
        <v>DIAZ LOPEZ JUAN FELIPE</v>
      </c>
      <c r="D46" cm="1">
        <f t="array" ref="D46">IF(VLOOKUP(TabCuotasIMSS[[#This Row],[ID]],TabEmpleados[],COLUMN(TabEmpleados[Fecha de alta NSS]),FALSE)&lt;&gt;"",VLOOKUP(TabCuotasIMSS[[#This Row],[ID]],TabAsistencias[],COLUMN(TabAsistencias[''Total de dias laborados]),FALSE),0)</f>
        <v>73</v>
      </c>
      <c r="E46" cm="1">
        <f t="array" ref="E46">IF(VLOOKUP(TabCuotasIMSS[[#This Row],[ID]],TabEmpleados[],COLUMN(TabEmpleados[Fecha de alta NSS]),FALSE)&lt;&gt;"",IF(DATEDIF((VLOOKUP(TabCuotasIMSS[[#This Row],[ID]],TabEmpleados[],COLUMN(TabEmpleados[Fecha de alta NSS]),FALSE)),'Tablas de informacion'!N$8,"Y")=0,1,DATEDIF((VLOOKUP(TabCuotasIMSS[[#This Row],[ID]],TabEmpleados[],COLUMN(TabEmpleados[Fecha de alta NSS]),FALSE)),'Tablas de informacion'!N$8,"Y")),0)</f>
        <v>1</v>
      </c>
      <c r="F46" s="55" cm="1">
        <f t="array" ref="F46">VLOOKUP(TabCuotasIMSS[[#This Row],[ID]],TabEmpleados[],COLUMN(TabEmpleados[SD Fiscal]),FALSE)</f>
        <v>90</v>
      </c>
      <c r="G46" s="55" cm="1">
        <f t="array" ref="G46">IFERROR((VLOOKUP((VLOOKUP(TabCuotasIMSS[[#This Row],[ID]],TabEmpleados[],COLUMN(TabEmpleados[Puesto]),FALSE)),TabPuestos[],COLUMN(TabPuestos[N° ALIMENTOS]),FALSE))*TabCuotasIMSS[[#This Row],[Salario Diario]]*(VLOOKUP(TabCuotasIMSS[[#This Row],[Años]],TabFactorIntegracion[],COLUMN(TabFactorIntegracion[% por alimento]))),0)</f>
        <v>7.4969999999999999</v>
      </c>
      <c r="H46" s="55" cm="1">
        <f t="array" ref="H46">IFERROR((VLOOKUP((VLOOKUP(TabCuotasIMSS[[#This Row],[ID]],TabEmpleados[],COLUMN(TabEmpleados[Puesto]),FALSE)),TabPuestos[],COLUMN(TabPuestos[PRIMA DOMINICAL]),FALSE))*TabCuotasIMSS[[#This Row],[Salario Diario]]*(VLOOKUP(TabCuotasIMSS[[#This Row],[Años]],TabFactorIntegracion[],COLUMN(TabFactorIntegracion[PRIMA
DOMINICAL]))),0)</f>
        <v>1.6335616438356162</v>
      </c>
      <c r="I46" s="55" cm="1">
        <f t="array" ref="I46">IFERROR(TabCuotasIMSS[[#This Row],[Salario Diario]]*(VLOOKUP(TabCuotasIMSS[[#This Row],[Años]],TabFactorIntegracion[],COLUMN(TabFactorIntegracion[FACTOR DE
INTEGRACIÓN]))),0)</f>
        <v>4.4383561643835616</v>
      </c>
      <c r="J46" s="174">
        <f>IFERROR(TabCuotasIMSS[[#This Row],[Salario Diario]]+TabCuotasIMSS[[#This Row],[Alimentos]]+TabCuotasIMSS[[#This Row],[Prima Dominical]]+TabCuotasIMSS[[#This Row],[Factor de Integracion]],0)</f>
        <v>103.56891780821918</v>
      </c>
      <c r="K46" cm="1">
        <f t="array" ref="K46">VLOOKUP(TabCuotasIMSS[[#This Row],[ID]],TabAsistencias[],COLUMN(TabAsistencias[''I]),FALSE)+VLOOKUP(TabCuotasIMSS[[#This Row],[ID]],TabAsistencias[],COLUMN(TabAsistencias[''IG]),FALSE)</f>
        <v>0</v>
      </c>
      <c r="L46" cm="1">
        <f t="array" ref="L46">VLOOKUP(TabCuotasIMSS[[#This Row],[ID]],TabAsistencias[],COLUMN(TabAsistencias[''F]),FALSE)</f>
        <v>0</v>
      </c>
      <c r="M46" s="141">
        <f>TabCuotasIMSS[[#This Row],[S.B.C./S.D.I.]]*TabCuotasIMSS[[#This Row],[DÍAS
LAB.]]</f>
        <v>7560.5309999999999</v>
      </c>
      <c r="N46" s="141">
        <f>(SMDF*CF*(TabCuotasIMSS[[#This Row],[DÍAS
LAB.]]-TabCuotasIMSS[[#This Row],[INC]]))</f>
        <v>1432.90824</v>
      </c>
      <c r="O46" s="55">
        <f>IF(TabCuotasIMSS[[#This Row],[S.B.C./S.D.I.]]&gt;SMDF3,((TabCuotasIMSS[[#This Row],[S.B.C./S.D.I.]]-SMDF3)*CFP*(TabCuotasIMSS[[#This Row],[DÍAS
LAB.]]-TabCuotasIMSS[[#This Row],[INC]])),0)</f>
        <v>0</v>
      </c>
      <c r="P46" s="55">
        <f>IF(TabCuotasIMSS[[#This Row],[S.B.C./S.D.I.]]&gt;SMDF3,((TabCuotasIMSS[[#This Row],[S.B.C./S.D.I.]]-SMDF3)*CFO*(TabCuotasIMSS[[#This Row],[DÍAS
LAB.]]-TabCuotasIMSS[[#This Row],[INC]])),0)</f>
        <v>0</v>
      </c>
      <c r="Q46" s="55">
        <f>TabCuotasIMSS[[#This Row],[EXCED.
PATRON]]+TabCuotasIMSS[[#This Row],[EXCED.
OBRERO]]</f>
        <v>0</v>
      </c>
      <c r="R46" s="55">
        <f>IF(TabCuotasIMSS[[#This Row],[S.B.C./S.D.I.]]&lt;=SMGI,((TabCuotasIMSS[[#This Row],[SALARIO
DEL CICLO]]-(TabCuotasIMSS[[#This Row],[S.B.C./S.D.I.]]*TabCuotasIMSS[[#This Row],[INC]])))*PD,((TabCuotasIMSS[[#This Row],[SALARIO
DEL CICLO]]-(TabCuotasIMSS[[#This Row],[S.B.C./S.D.I.]]*TabCuotasIMSS[[#This Row],[INC]]))*PDP))</f>
        <v>71.825044500000004</v>
      </c>
      <c r="S46" s="55">
        <f>IF(TabCuotasIMSS[[#This Row],[S.B.C./S.D.I.]]&lt;=SMGI,0,((TabCuotasIMSS[[#This Row],[SALARIO
DEL CICLO]]-(TabCuotasIMSS[[#This Row],[S.B.C./S.D.I.]]*TabCuotasIMSS[[#This Row],[INC]]))*PDO))</f>
        <v>0</v>
      </c>
      <c r="T46" s="55">
        <f>TabCuotasIMSS[[#This Row],[PATRON2]]+TabCuotasIMSS[[#This Row],[OBRERO]]</f>
        <v>71.825044500000004</v>
      </c>
      <c r="U46" s="55">
        <f>IF(TabCuotasIMSS[[#This Row],[S.B.C./S.D.I.]]&lt;=SMGI,((TabCuotasIMSS[[#This Row],[SALARIO
DEL CICLO]]-(TabCuotasIMSS[[#This Row],[S.B.C./S.D.I.]]*TabCuotasIMSS[[#This Row],[INC]])))*GMP,((TabCuotasIMSS[[#This Row],[SALARIO
DEL CICLO]]-(TabCuotasIMSS[[#This Row],[S.B.C./S.D.I.]]*TabCuotasIMSS[[#This Row],[INC]])))*GMPP)</f>
        <v>107.73756675</v>
      </c>
      <c r="V46" s="55">
        <f>IF(TabCuotasIMSS[[#This Row],[S.B.C./S.D.I.]]&lt;=SMGI,0,((TabCuotasIMSS[[#This Row],[SALARIO
DEL CICLO]]-(TabCuotasIMSS[[#This Row],[S.B.C./S.D.I.]]*TabCuotasIMSS[[#This Row],[INC]])))*GMPO)</f>
        <v>0</v>
      </c>
      <c r="W46" s="55">
        <f>TabCuotasIMSS[[#This Row],[PATRON3]]+TabCuotasIMSS[[#This Row],[OBRERO4]]</f>
        <v>107.73756675</v>
      </c>
      <c r="X46" s="141">
        <f>((TabCuotasIMSS[[#This Row],[SALARIO
DEL CICLO]]-(TabCuotasIMSS[[#This Row],[S.B.C./S.D.I.]]*(TabCuotasIMSS[[#This Row],[INC]]+TabCuotasIMSS[[#This Row],[AUS]]))))*PRTP</f>
        <v>3780.2655</v>
      </c>
      <c r="Y46" s="55">
        <f>IF(TabCuotasIMSS[[#This Row],[S.B.C./S.D.I.]]&lt;=SMGI,((TabCuotasIMSS[[#This Row],[SALARIO
DEL CICLO]]-(TabCuotasIMSS[[#This Row],[S.B.C./S.D.I.]]*(TabCuotasIMSS[[#This Row],[INC]]+TabCuotasIMSS[[#This Row],[AUS]]))))*IV,((TabCuotasIMSS[[#This Row],[SALARIO
DEL CICLO]]-(TabCuotasIMSS[[#This Row],[S.B.C./S.D.I.]]*(TabCuotasIMSS[[#This Row],[INC]]+TabCuotasIMSS[[#This Row],[AUS]]))))*IVP)</f>
        <v>179.56261125</v>
      </c>
      <c r="Z46" s="55">
        <f>IF(TabCuotasIMSS[[#This Row],[S.B.C./S.D.I.]]&lt;=SMGI,0,((TabCuotasIMSS[[#This Row],[SALARIO
DEL CICLO]]-(TabCuotasIMSS[[#This Row],[S.B.C./S.D.I.]]*(TabCuotasIMSS[[#This Row],[INC]]+TabCuotasIMSS[[#This Row],[AUS]]))))*IVO)</f>
        <v>0</v>
      </c>
      <c r="AA46" s="55">
        <f>TabCuotasIMSS[[#This Row],[PATRON6]]+TabCuotasIMSS[[#This Row],[OBRERO7]]</f>
        <v>179.56261125</v>
      </c>
      <c r="AB46" s="141">
        <f>((TabCuotasIMSS[[#This Row],[SALARIO
DEL CICLO]]-(TabCuotasIMSS[[#This Row],[S.B.C./S.D.I.]]*(TabCuotasIMSS[[#This Row],[INC]]+TabCuotasIMSS[[#This Row],[AUS]]))))*GPS</f>
        <v>75.605310000000003</v>
      </c>
      <c r="AC46" s="141">
        <f>TabCuotasIMSS[[#This Row],[SALARIO
DEL CICLO]]*0</f>
        <v>0</v>
      </c>
      <c r="AD46" s="141">
        <f>TabCuotasIMSS[[#This Row],[PATRON9]]+TabCuotasIMSS[[#This Row],[OBRERO10]]</f>
        <v>75.605310000000003</v>
      </c>
      <c r="AE46" s="233">
        <f>TabCuotasIMSS[[#This Row],[PATRON]]+TabCuotasIMSS[[#This Row],[EXCED.
PATRON]]+TabCuotasIMSS[[#This Row],[PATRON2]]+TabCuotasIMSS[[#This Row],[PATRON3]]+TabCuotasIMSS[[#This Row],[PATRON
0.50%]]+TabCuotasIMSS[[#This Row],[PATRON6]]+TabCuotasIMSS[[#This Row],[PATRON9]]</f>
        <v>5647.9042724999999</v>
      </c>
      <c r="AF46" s="233">
        <f>TabCuotasIMSS[[#This Row],[EXCED.
OBRERO]]+TabCuotasIMSS[[#This Row],[OBRERO]]+TabCuotasIMSS[[#This Row],[OBRERO4]]+TabCuotasIMSS[[#This Row],[OBRERO7]]+TabCuotasIMSS[[#This Row],[OBRERO10]]</f>
        <v>0</v>
      </c>
      <c r="AG46" s="233">
        <f>TabCuotasIMSS[[#This Row],[TOTAL
PATRONAL]]+TabCuotasIMSS[[#This Row],[TOTAL
OBRERO]]</f>
        <v>5647.9042724999999</v>
      </c>
      <c r="AH46" s="141">
        <f>((TabCuotasIMSS[[#This Row],[SALARIO
DEL CICLO]]-(TabCuotasIMSS[[#This Row],[S.B.C./S.D.I.]]*TabCuotasIMSS[[#This Row],[AUS]]))*R_)</f>
        <v>151.21062000000001</v>
      </c>
      <c r="AI46">
        <f>IF(TabCuotasIMSS[[#This Row],[S.B.C./S.D.I.]]&lt;=SMGI,((TabCuotasIMSS[[#This Row],[SALARIO
DEL CICLO]]-(TabCuotasIMSS[[#This Row],[S.B.C./S.D.I.]]*(TabCuotasIMSS[[#This Row],[INC]]+TabCuotasIMSS[[#This Row],[AUS]]))))*CV,((TabCuotasIMSS[[#This Row],[SALARIO
DEL CICLO]]-(TabCuotasIMSS[[#This Row],[S.B.C./S.D.I.]]*(TabCuotasIMSS[[#This Row],[INC]]+TabCuotasIMSS[[#This Row],[AUS]]))))*CVP)</f>
        <v>323.21270025000001</v>
      </c>
      <c r="AJ46">
        <f>IF(TabCuotasIMSS[[#This Row],[S.B.C./S.D.I.]]&lt;=SMGI,0,((TabCuotasIMSS[[#This Row],[SALARIO
DEL CICLO]]-(TabCuotasIMSS[[#This Row],[S.B.C./S.D.I.]]*(TabCuotasIMSS[[#This Row],[INC]]+TabCuotasIMSS[[#This Row],[AUS]]))))*CVO)</f>
        <v>0</v>
      </c>
      <c r="AK46">
        <f>SUM(TabCuotasIMSS[[#This Row],[2%]]:TabCuotasIMSS[[#This Row],[OBRERO14]])</f>
        <v>474.42332025000002</v>
      </c>
      <c r="AL46" s="141">
        <f>((TabCuotasIMSS[[#This Row],[SALARIO
DEL CICLO]]-(TabCuotasIMSS[[#This Row],[S.B.C./S.D.I.]]*(TabCuotasIMSS[[#This Row],[AUS]])))*I)</f>
        <v>378.02655000000004</v>
      </c>
      <c r="AM46" s="141">
        <f>TabCuotasIMSS[[#This Row],[TOTAL
O.P.11]]+TabCuotasIMSS[[#This Row],[2%]]+TabCuotasIMSS[[#This Row],[PATRON13]]+TabCuotasIMSS[[#This Row],[5%]]</f>
        <v>928.05518025000003</v>
      </c>
      <c r="AN46" s="141">
        <f>TabCuotasIMSS[[#This Row],[TOTAL
OBRERO]]+TabCuotasIMSS[[#This Row],[OBRERO14]]</f>
        <v>0</v>
      </c>
    </row>
    <row r="47" spans="1:40" x14ac:dyDescent="0.25">
      <c r="A47" s="2">
        <v>39</v>
      </c>
      <c r="B47" s="1" cm="1">
        <f t="array" ref="B47">VLOOKUP(TabCuotasIMSS[[#This Row],[ID]],TabEmpleados[],COLUMN(TabEmpleados[Fecha de alta NSS]),FALSE)</f>
        <v>44509</v>
      </c>
      <c r="C47" t="str" cm="1">
        <f t="array" ref="C47">VLOOKUP(TabCuotasIMSS[[#This Row],[ID]],TabEmpleados[],COLUMN(TabEmpleados[Nombre]),FALSE)</f>
        <v>RAMIREZ SANTIAGO EDGAR ISAAC</v>
      </c>
      <c r="D47" cm="1">
        <f t="array" ref="D47">IF(VLOOKUP(TabCuotasIMSS[[#This Row],[ID]],TabEmpleados[],COLUMN(TabEmpleados[Fecha de alta NSS]),FALSE)&lt;&gt;"",VLOOKUP(TabCuotasIMSS[[#This Row],[ID]],TabAsistencias[],COLUMN(TabAsistencias[''Total de dias laborados]),FALSE),0)</f>
        <v>73</v>
      </c>
      <c r="E47" cm="1">
        <f t="array" ref="E47">IF(VLOOKUP(TabCuotasIMSS[[#This Row],[ID]],TabEmpleados[],COLUMN(TabEmpleados[Fecha de alta NSS]),FALSE)&lt;&gt;"",IF(DATEDIF((VLOOKUP(TabCuotasIMSS[[#This Row],[ID]],TabEmpleados[],COLUMN(TabEmpleados[Fecha de alta NSS]),FALSE)),'Tablas de informacion'!N$8,"Y")=0,1,DATEDIF((VLOOKUP(TabCuotasIMSS[[#This Row],[ID]],TabEmpleados[],COLUMN(TabEmpleados[Fecha de alta NSS]),FALSE)),'Tablas de informacion'!N$8,"Y")),0)</f>
        <v>1</v>
      </c>
      <c r="F47" s="55" cm="1">
        <f t="array" ref="F47">VLOOKUP(TabCuotasIMSS[[#This Row],[ID]],TabEmpleados[],COLUMN(TabEmpleados[SD Fiscal]),FALSE)</f>
        <v>75</v>
      </c>
      <c r="G47" s="55" cm="1">
        <f t="array" ref="G47">IFERROR((VLOOKUP((VLOOKUP(TabCuotasIMSS[[#This Row],[ID]],TabEmpleados[],COLUMN(TabEmpleados[Puesto]),FALSE)),TabPuestos[],COLUMN(TabPuestos[N° ALIMENTOS]),FALSE))*TabCuotasIMSS[[#This Row],[Salario Diario]]*(VLOOKUP(TabCuotasIMSS[[#This Row],[Años]],TabFactorIntegracion[],COLUMN(TabFactorIntegracion[% por alimento]))),0)</f>
        <v>6.2474999999999996</v>
      </c>
      <c r="H47" s="55" cm="1">
        <f t="array" ref="H47">IFERROR((VLOOKUP((VLOOKUP(TabCuotasIMSS[[#This Row],[ID]],TabEmpleados[],COLUMN(TabEmpleados[Puesto]),FALSE)),TabPuestos[],COLUMN(TabPuestos[PRIMA DOMINICAL]),FALSE))*TabCuotasIMSS[[#This Row],[Salario Diario]]*(VLOOKUP(TabCuotasIMSS[[#This Row],[Años]],TabFactorIntegracion[],COLUMN(TabFactorIntegracion[PRIMA
DOMINICAL]))),0)</f>
        <v>1.3613013698630136</v>
      </c>
      <c r="I47" s="55" cm="1">
        <f t="array" ref="I47">IFERROR(TabCuotasIMSS[[#This Row],[Salario Diario]]*(VLOOKUP(TabCuotasIMSS[[#This Row],[Años]],TabFactorIntegracion[],COLUMN(TabFactorIntegracion[FACTOR DE
INTEGRACIÓN]))),0)</f>
        <v>3.6986301369863011</v>
      </c>
      <c r="J47" s="174">
        <f>IFERROR(TabCuotasIMSS[[#This Row],[Salario Diario]]+TabCuotasIMSS[[#This Row],[Alimentos]]+TabCuotasIMSS[[#This Row],[Prima Dominical]]+TabCuotasIMSS[[#This Row],[Factor de Integracion]],0)</f>
        <v>86.307431506849312</v>
      </c>
      <c r="K47" cm="1">
        <f t="array" ref="K47">VLOOKUP(TabCuotasIMSS[[#This Row],[ID]],TabAsistencias[],COLUMN(TabAsistencias[''I]),FALSE)+VLOOKUP(TabCuotasIMSS[[#This Row],[ID]],TabAsistencias[],COLUMN(TabAsistencias[''IG]),FALSE)</f>
        <v>0</v>
      </c>
      <c r="L47" cm="1">
        <f t="array" ref="L47">VLOOKUP(TabCuotasIMSS[[#This Row],[ID]],TabAsistencias[],COLUMN(TabAsistencias[''F]),FALSE)</f>
        <v>0</v>
      </c>
      <c r="M47" s="141">
        <f>TabCuotasIMSS[[#This Row],[S.B.C./S.D.I.]]*TabCuotasIMSS[[#This Row],[DÍAS
LAB.]]</f>
        <v>6300.4425000000001</v>
      </c>
      <c r="N47" s="141">
        <f>(SMDF*CF*(TabCuotasIMSS[[#This Row],[DÍAS
LAB.]]-TabCuotasIMSS[[#This Row],[INC]]))</f>
        <v>1432.90824</v>
      </c>
      <c r="O47" s="55">
        <f>IF(TabCuotasIMSS[[#This Row],[S.B.C./S.D.I.]]&gt;SMDF3,((TabCuotasIMSS[[#This Row],[S.B.C./S.D.I.]]-SMDF3)*CFP*(TabCuotasIMSS[[#This Row],[DÍAS
LAB.]]-TabCuotasIMSS[[#This Row],[INC]])),0)</f>
        <v>0</v>
      </c>
      <c r="P47" s="55">
        <f>IF(TabCuotasIMSS[[#This Row],[S.B.C./S.D.I.]]&gt;SMDF3,((TabCuotasIMSS[[#This Row],[S.B.C./S.D.I.]]-SMDF3)*CFO*(TabCuotasIMSS[[#This Row],[DÍAS
LAB.]]-TabCuotasIMSS[[#This Row],[INC]])),0)</f>
        <v>0</v>
      </c>
      <c r="Q47" s="55">
        <f>TabCuotasIMSS[[#This Row],[EXCED.
PATRON]]+TabCuotasIMSS[[#This Row],[EXCED.
OBRERO]]</f>
        <v>0</v>
      </c>
      <c r="R47" s="55">
        <f>IF(TabCuotasIMSS[[#This Row],[S.B.C./S.D.I.]]&lt;=SMGI,((TabCuotasIMSS[[#This Row],[SALARIO
DEL CICLO]]-(TabCuotasIMSS[[#This Row],[S.B.C./S.D.I.]]*TabCuotasIMSS[[#This Row],[INC]])))*PD,((TabCuotasIMSS[[#This Row],[SALARIO
DEL CICLO]]-(TabCuotasIMSS[[#This Row],[S.B.C./S.D.I.]]*TabCuotasIMSS[[#This Row],[INC]]))*PDP))</f>
        <v>59.854203749999996</v>
      </c>
      <c r="S47" s="55">
        <f>IF(TabCuotasIMSS[[#This Row],[S.B.C./S.D.I.]]&lt;=SMGI,0,((TabCuotasIMSS[[#This Row],[SALARIO
DEL CICLO]]-(TabCuotasIMSS[[#This Row],[S.B.C./S.D.I.]]*TabCuotasIMSS[[#This Row],[INC]]))*PDO))</f>
        <v>0</v>
      </c>
      <c r="T47" s="55">
        <f>TabCuotasIMSS[[#This Row],[PATRON2]]+TabCuotasIMSS[[#This Row],[OBRERO]]</f>
        <v>59.854203749999996</v>
      </c>
      <c r="U47" s="55">
        <f>IF(TabCuotasIMSS[[#This Row],[S.B.C./S.D.I.]]&lt;=SMGI,((TabCuotasIMSS[[#This Row],[SALARIO
DEL CICLO]]-(TabCuotasIMSS[[#This Row],[S.B.C./S.D.I.]]*TabCuotasIMSS[[#This Row],[INC]])))*GMP,((TabCuotasIMSS[[#This Row],[SALARIO
DEL CICLO]]-(TabCuotasIMSS[[#This Row],[S.B.C./S.D.I.]]*TabCuotasIMSS[[#This Row],[INC]])))*GMPP)</f>
        <v>89.781305625000002</v>
      </c>
      <c r="V47" s="55">
        <f>IF(TabCuotasIMSS[[#This Row],[S.B.C./S.D.I.]]&lt;=SMGI,0,((TabCuotasIMSS[[#This Row],[SALARIO
DEL CICLO]]-(TabCuotasIMSS[[#This Row],[S.B.C./S.D.I.]]*TabCuotasIMSS[[#This Row],[INC]])))*GMPO)</f>
        <v>0</v>
      </c>
      <c r="W47" s="55">
        <f>TabCuotasIMSS[[#This Row],[PATRON3]]+TabCuotasIMSS[[#This Row],[OBRERO4]]</f>
        <v>89.781305625000002</v>
      </c>
      <c r="X47" s="141">
        <f>((TabCuotasIMSS[[#This Row],[SALARIO
DEL CICLO]]-(TabCuotasIMSS[[#This Row],[S.B.C./S.D.I.]]*(TabCuotasIMSS[[#This Row],[INC]]+TabCuotasIMSS[[#This Row],[AUS]]))))*PRTP</f>
        <v>3150.2212500000001</v>
      </c>
      <c r="Y47" s="55">
        <f>IF(TabCuotasIMSS[[#This Row],[S.B.C./S.D.I.]]&lt;=SMGI,((TabCuotasIMSS[[#This Row],[SALARIO
DEL CICLO]]-(TabCuotasIMSS[[#This Row],[S.B.C./S.D.I.]]*(TabCuotasIMSS[[#This Row],[INC]]+TabCuotasIMSS[[#This Row],[AUS]]))))*IV,((TabCuotasIMSS[[#This Row],[SALARIO
DEL CICLO]]-(TabCuotasIMSS[[#This Row],[S.B.C./S.D.I.]]*(TabCuotasIMSS[[#This Row],[INC]]+TabCuotasIMSS[[#This Row],[AUS]]))))*IVP)</f>
        <v>149.635509375</v>
      </c>
      <c r="Z47" s="55">
        <f>IF(TabCuotasIMSS[[#This Row],[S.B.C./S.D.I.]]&lt;=SMGI,0,((TabCuotasIMSS[[#This Row],[SALARIO
DEL CICLO]]-(TabCuotasIMSS[[#This Row],[S.B.C./S.D.I.]]*(TabCuotasIMSS[[#This Row],[INC]]+TabCuotasIMSS[[#This Row],[AUS]]))))*IVO)</f>
        <v>0</v>
      </c>
      <c r="AA47" s="55">
        <f>TabCuotasIMSS[[#This Row],[PATRON6]]+TabCuotasIMSS[[#This Row],[OBRERO7]]</f>
        <v>149.635509375</v>
      </c>
      <c r="AB47" s="141">
        <f>((TabCuotasIMSS[[#This Row],[SALARIO
DEL CICLO]]-(TabCuotasIMSS[[#This Row],[S.B.C./S.D.I.]]*(TabCuotasIMSS[[#This Row],[INC]]+TabCuotasIMSS[[#This Row],[AUS]]))))*GPS</f>
        <v>63.004425000000005</v>
      </c>
      <c r="AC47" s="141">
        <f>TabCuotasIMSS[[#This Row],[SALARIO
DEL CICLO]]*0</f>
        <v>0</v>
      </c>
      <c r="AD47" s="141">
        <f>TabCuotasIMSS[[#This Row],[PATRON9]]+TabCuotasIMSS[[#This Row],[OBRERO10]]</f>
        <v>63.004425000000005</v>
      </c>
      <c r="AE47" s="233">
        <f>TabCuotasIMSS[[#This Row],[PATRON]]+TabCuotasIMSS[[#This Row],[EXCED.
PATRON]]+TabCuotasIMSS[[#This Row],[PATRON2]]+TabCuotasIMSS[[#This Row],[PATRON3]]+TabCuotasIMSS[[#This Row],[PATRON
0.50%]]+TabCuotasIMSS[[#This Row],[PATRON6]]+TabCuotasIMSS[[#This Row],[PATRON9]]</f>
        <v>4945.4049337500001</v>
      </c>
      <c r="AF47" s="233">
        <f>TabCuotasIMSS[[#This Row],[EXCED.
OBRERO]]+TabCuotasIMSS[[#This Row],[OBRERO]]+TabCuotasIMSS[[#This Row],[OBRERO4]]+TabCuotasIMSS[[#This Row],[OBRERO7]]+TabCuotasIMSS[[#This Row],[OBRERO10]]</f>
        <v>0</v>
      </c>
      <c r="AG47" s="233">
        <f>TabCuotasIMSS[[#This Row],[TOTAL
PATRONAL]]+TabCuotasIMSS[[#This Row],[TOTAL
OBRERO]]</f>
        <v>4945.4049337500001</v>
      </c>
      <c r="AH47" s="141">
        <f>((TabCuotasIMSS[[#This Row],[SALARIO
DEL CICLO]]-(TabCuotasIMSS[[#This Row],[S.B.C./S.D.I.]]*TabCuotasIMSS[[#This Row],[AUS]]))*R_)</f>
        <v>126.00885000000001</v>
      </c>
      <c r="AI47">
        <f>IF(TabCuotasIMSS[[#This Row],[S.B.C./S.D.I.]]&lt;=SMGI,((TabCuotasIMSS[[#This Row],[SALARIO
DEL CICLO]]-(TabCuotasIMSS[[#This Row],[S.B.C./S.D.I.]]*(TabCuotasIMSS[[#This Row],[INC]]+TabCuotasIMSS[[#This Row],[AUS]]))))*CV,((TabCuotasIMSS[[#This Row],[SALARIO
DEL CICLO]]-(TabCuotasIMSS[[#This Row],[S.B.C./S.D.I.]]*(TabCuotasIMSS[[#This Row],[INC]]+TabCuotasIMSS[[#This Row],[AUS]]))))*CVP)</f>
        <v>269.34391687500005</v>
      </c>
      <c r="AJ47">
        <f>IF(TabCuotasIMSS[[#This Row],[S.B.C./S.D.I.]]&lt;=SMGI,0,((TabCuotasIMSS[[#This Row],[SALARIO
DEL CICLO]]-(TabCuotasIMSS[[#This Row],[S.B.C./S.D.I.]]*(TabCuotasIMSS[[#This Row],[INC]]+TabCuotasIMSS[[#This Row],[AUS]]))))*CVO)</f>
        <v>0</v>
      </c>
      <c r="AK47">
        <f>SUM(TabCuotasIMSS[[#This Row],[2%]]:TabCuotasIMSS[[#This Row],[OBRERO14]])</f>
        <v>395.35276687500004</v>
      </c>
      <c r="AL47" s="141">
        <f>((TabCuotasIMSS[[#This Row],[SALARIO
DEL CICLO]]-(TabCuotasIMSS[[#This Row],[S.B.C./S.D.I.]]*(TabCuotasIMSS[[#This Row],[AUS]])))*I)</f>
        <v>315.02212500000002</v>
      </c>
      <c r="AM47" s="141">
        <f>TabCuotasIMSS[[#This Row],[TOTAL
O.P.11]]+TabCuotasIMSS[[#This Row],[2%]]+TabCuotasIMSS[[#This Row],[PATRON13]]+TabCuotasIMSS[[#This Row],[5%]]</f>
        <v>773.37931687500009</v>
      </c>
      <c r="AN47" s="141">
        <f>TabCuotasIMSS[[#This Row],[TOTAL
OBRERO]]+TabCuotasIMSS[[#This Row],[OBRERO14]]</f>
        <v>0</v>
      </c>
    </row>
    <row r="48" spans="1:40" x14ac:dyDescent="0.25">
      <c r="A48" s="2">
        <v>40</v>
      </c>
      <c r="B48" s="1" cm="1">
        <f t="array" ref="B48">VLOOKUP(TabCuotasIMSS[[#This Row],[ID]],TabEmpleados[],COLUMN(TabEmpleados[Fecha de alta NSS]),FALSE)</f>
        <v>44509</v>
      </c>
      <c r="C48" t="str" cm="1">
        <f t="array" ref="C48">VLOOKUP(TabCuotasIMSS[[#This Row],[ID]],TabEmpleados[],COLUMN(TabEmpleados[Nombre]),FALSE)</f>
        <v>FLORES SANTIAGO PEDRO</v>
      </c>
      <c r="D48" cm="1">
        <f t="array" ref="D48">IF(VLOOKUP(TabCuotasIMSS[[#This Row],[ID]],TabEmpleados[],COLUMN(TabEmpleados[Fecha de alta NSS]),FALSE)&lt;&gt;"",VLOOKUP(TabCuotasIMSS[[#This Row],[ID]],TabAsistencias[],COLUMN(TabAsistencias[''Total de dias laborados]),FALSE),0)</f>
        <v>73</v>
      </c>
      <c r="E48" cm="1">
        <f t="array" ref="E48">IF(VLOOKUP(TabCuotasIMSS[[#This Row],[ID]],TabEmpleados[],COLUMN(TabEmpleados[Fecha de alta NSS]),FALSE)&lt;&gt;"",IF(DATEDIF((VLOOKUP(TabCuotasIMSS[[#This Row],[ID]],TabEmpleados[],COLUMN(TabEmpleados[Fecha de alta NSS]),FALSE)),'Tablas de informacion'!N$8,"Y")=0,1,DATEDIF((VLOOKUP(TabCuotasIMSS[[#This Row],[ID]],TabEmpleados[],COLUMN(TabEmpleados[Fecha de alta NSS]),FALSE)),'Tablas de informacion'!N$8,"Y")),0)</f>
        <v>1</v>
      </c>
      <c r="F48" s="55" cm="1">
        <f t="array" ref="F48">VLOOKUP(TabCuotasIMSS[[#This Row],[ID]],TabEmpleados[],COLUMN(TabEmpleados[SD Fiscal]),FALSE)</f>
        <v>75</v>
      </c>
      <c r="G48" s="55" cm="1">
        <f t="array" ref="G48">IFERROR((VLOOKUP((VLOOKUP(TabCuotasIMSS[[#This Row],[ID]],TabEmpleados[],COLUMN(TabEmpleados[Puesto]),FALSE)),TabPuestos[],COLUMN(TabPuestos[N° ALIMENTOS]),FALSE))*TabCuotasIMSS[[#This Row],[Salario Diario]]*(VLOOKUP(TabCuotasIMSS[[#This Row],[Años]],TabFactorIntegracion[],COLUMN(TabFactorIntegracion[% por alimento]))),0)</f>
        <v>6.2474999999999996</v>
      </c>
      <c r="H48" s="55" cm="1">
        <f t="array" ref="H48">IFERROR((VLOOKUP((VLOOKUP(TabCuotasIMSS[[#This Row],[ID]],TabEmpleados[],COLUMN(TabEmpleados[Puesto]),FALSE)),TabPuestos[],COLUMN(TabPuestos[PRIMA DOMINICAL]),FALSE))*TabCuotasIMSS[[#This Row],[Salario Diario]]*(VLOOKUP(TabCuotasIMSS[[#This Row],[Años]],TabFactorIntegracion[],COLUMN(TabFactorIntegracion[PRIMA
DOMINICAL]))),0)</f>
        <v>1.3613013698630136</v>
      </c>
      <c r="I48" s="55" cm="1">
        <f t="array" ref="I48">IFERROR(TabCuotasIMSS[[#This Row],[Salario Diario]]*(VLOOKUP(TabCuotasIMSS[[#This Row],[Años]],TabFactorIntegracion[],COLUMN(TabFactorIntegracion[FACTOR DE
INTEGRACIÓN]))),0)</f>
        <v>3.6986301369863011</v>
      </c>
      <c r="J48" s="174">
        <f>IFERROR(TabCuotasIMSS[[#This Row],[Salario Diario]]+TabCuotasIMSS[[#This Row],[Alimentos]]+TabCuotasIMSS[[#This Row],[Prima Dominical]]+TabCuotasIMSS[[#This Row],[Factor de Integracion]],0)</f>
        <v>86.307431506849312</v>
      </c>
      <c r="K48" cm="1">
        <f t="array" ref="K48">VLOOKUP(TabCuotasIMSS[[#This Row],[ID]],TabAsistencias[],COLUMN(TabAsistencias[''I]),FALSE)+VLOOKUP(TabCuotasIMSS[[#This Row],[ID]],TabAsistencias[],COLUMN(TabAsistencias[''IG]),FALSE)</f>
        <v>0</v>
      </c>
      <c r="L48" cm="1">
        <f t="array" ref="L48">VLOOKUP(TabCuotasIMSS[[#This Row],[ID]],TabAsistencias[],COLUMN(TabAsistencias[''F]),FALSE)</f>
        <v>0</v>
      </c>
      <c r="M48" s="141">
        <f>TabCuotasIMSS[[#This Row],[S.B.C./S.D.I.]]*TabCuotasIMSS[[#This Row],[DÍAS
LAB.]]</f>
        <v>6300.4425000000001</v>
      </c>
      <c r="N48" s="141">
        <f>(SMDF*CF*(TabCuotasIMSS[[#This Row],[DÍAS
LAB.]]-TabCuotasIMSS[[#This Row],[INC]]))</f>
        <v>1432.90824</v>
      </c>
      <c r="O48" s="55">
        <f>IF(TabCuotasIMSS[[#This Row],[S.B.C./S.D.I.]]&gt;SMDF3,((TabCuotasIMSS[[#This Row],[S.B.C./S.D.I.]]-SMDF3)*CFP*(TabCuotasIMSS[[#This Row],[DÍAS
LAB.]]-TabCuotasIMSS[[#This Row],[INC]])),0)</f>
        <v>0</v>
      </c>
      <c r="P48" s="55">
        <f>IF(TabCuotasIMSS[[#This Row],[S.B.C./S.D.I.]]&gt;SMDF3,((TabCuotasIMSS[[#This Row],[S.B.C./S.D.I.]]-SMDF3)*CFO*(TabCuotasIMSS[[#This Row],[DÍAS
LAB.]]-TabCuotasIMSS[[#This Row],[INC]])),0)</f>
        <v>0</v>
      </c>
      <c r="Q48" s="55">
        <f>TabCuotasIMSS[[#This Row],[EXCED.
PATRON]]+TabCuotasIMSS[[#This Row],[EXCED.
OBRERO]]</f>
        <v>0</v>
      </c>
      <c r="R48" s="55">
        <f>IF(TabCuotasIMSS[[#This Row],[S.B.C./S.D.I.]]&lt;=SMGI,((TabCuotasIMSS[[#This Row],[SALARIO
DEL CICLO]]-(TabCuotasIMSS[[#This Row],[S.B.C./S.D.I.]]*TabCuotasIMSS[[#This Row],[INC]])))*PD,((TabCuotasIMSS[[#This Row],[SALARIO
DEL CICLO]]-(TabCuotasIMSS[[#This Row],[S.B.C./S.D.I.]]*TabCuotasIMSS[[#This Row],[INC]]))*PDP))</f>
        <v>59.854203749999996</v>
      </c>
      <c r="S48" s="55">
        <f>IF(TabCuotasIMSS[[#This Row],[S.B.C./S.D.I.]]&lt;=SMGI,0,((TabCuotasIMSS[[#This Row],[SALARIO
DEL CICLO]]-(TabCuotasIMSS[[#This Row],[S.B.C./S.D.I.]]*TabCuotasIMSS[[#This Row],[INC]]))*PDO))</f>
        <v>0</v>
      </c>
      <c r="T48" s="55">
        <f>TabCuotasIMSS[[#This Row],[PATRON2]]+TabCuotasIMSS[[#This Row],[OBRERO]]</f>
        <v>59.854203749999996</v>
      </c>
      <c r="U48" s="55">
        <f>IF(TabCuotasIMSS[[#This Row],[S.B.C./S.D.I.]]&lt;=SMGI,((TabCuotasIMSS[[#This Row],[SALARIO
DEL CICLO]]-(TabCuotasIMSS[[#This Row],[S.B.C./S.D.I.]]*TabCuotasIMSS[[#This Row],[INC]])))*GMP,((TabCuotasIMSS[[#This Row],[SALARIO
DEL CICLO]]-(TabCuotasIMSS[[#This Row],[S.B.C./S.D.I.]]*TabCuotasIMSS[[#This Row],[INC]])))*GMPP)</f>
        <v>89.781305625000002</v>
      </c>
      <c r="V48" s="55">
        <f>IF(TabCuotasIMSS[[#This Row],[S.B.C./S.D.I.]]&lt;=SMGI,0,((TabCuotasIMSS[[#This Row],[SALARIO
DEL CICLO]]-(TabCuotasIMSS[[#This Row],[S.B.C./S.D.I.]]*TabCuotasIMSS[[#This Row],[INC]])))*GMPO)</f>
        <v>0</v>
      </c>
      <c r="W48" s="55">
        <f>TabCuotasIMSS[[#This Row],[PATRON3]]+TabCuotasIMSS[[#This Row],[OBRERO4]]</f>
        <v>89.781305625000002</v>
      </c>
      <c r="X48" s="141">
        <f>((TabCuotasIMSS[[#This Row],[SALARIO
DEL CICLO]]-(TabCuotasIMSS[[#This Row],[S.B.C./S.D.I.]]*(TabCuotasIMSS[[#This Row],[INC]]+TabCuotasIMSS[[#This Row],[AUS]]))))*PRTP</f>
        <v>3150.2212500000001</v>
      </c>
      <c r="Y48" s="55">
        <f>IF(TabCuotasIMSS[[#This Row],[S.B.C./S.D.I.]]&lt;=SMGI,((TabCuotasIMSS[[#This Row],[SALARIO
DEL CICLO]]-(TabCuotasIMSS[[#This Row],[S.B.C./S.D.I.]]*(TabCuotasIMSS[[#This Row],[INC]]+TabCuotasIMSS[[#This Row],[AUS]]))))*IV,((TabCuotasIMSS[[#This Row],[SALARIO
DEL CICLO]]-(TabCuotasIMSS[[#This Row],[S.B.C./S.D.I.]]*(TabCuotasIMSS[[#This Row],[INC]]+TabCuotasIMSS[[#This Row],[AUS]]))))*IVP)</f>
        <v>149.635509375</v>
      </c>
      <c r="Z48" s="55">
        <f>IF(TabCuotasIMSS[[#This Row],[S.B.C./S.D.I.]]&lt;=SMGI,0,((TabCuotasIMSS[[#This Row],[SALARIO
DEL CICLO]]-(TabCuotasIMSS[[#This Row],[S.B.C./S.D.I.]]*(TabCuotasIMSS[[#This Row],[INC]]+TabCuotasIMSS[[#This Row],[AUS]]))))*IVO)</f>
        <v>0</v>
      </c>
      <c r="AA48" s="55">
        <f>TabCuotasIMSS[[#This Row],[PATRON6]]+TabCuotasIMSS[[#This Row],[OBRERO7]]</f>
        <v>149.635509375</v>
      </c>
      <c r="AB48" s="141">
        <f>((TabCuotasIMSS[[#This Row],[SALARIO
DEL CICLO]]-(TabCuotasIMSS[[#This Row],[S.B.C./S.D.I.]]*(TabCuotasIMSS[[#This Row],[INC]]+TabCuotasIMSS[[#This Row],[AUS]]))))*GPS</f>
        <v>63.004425000000005</v>
      </c>
      <c r="AC48" s="141">
        <f>TabCuotasIMSS[[#This Row],[SALARIO
DEL CICLO]]*0</f>
        <v>0</v>
      </c>
      <c r="AD48" s="141">
        <f>TabCuotasIMSS[[#This Row],[PATRON9]]+TabCuotasIMSS[[#This Row],[OBRERO10]]</f>
        <v>63.004425000000005</v>
      </c>
      <c r="AE48" s="233">
        <f>TabCuotasIMSS[[#This Row],[PATRON]]+TabCuotasIMSS[[#This Row],[EXCED.
PATRON]]+TabCuotasIMSS[[#This Row],[PATRON2]]+TabCuotasIMSS[[#This Row],[PATRON3]]+TabCuotasIMSS[[#This Row],[PATRON
0.50%]]+TabCuotasIMSS[[#This Row],[PATRON6]]+TabCuotasIMSS[[#This Row],[PATRON9]]</f>
        <v>4945.4049337500001</v>
      </c>
      <c r="AF48" s="233">
        <f>TabCuotasIMSS[[#This Row],[EXCED.
OBRERO]]+TabCuotasIMSS[[#This Row],[OBRERO]]+TabCuotasIMSS[[#This Row],[OBRERO4]]+TabCuotasIMSS[[#This Row],[OBRERO7]]+TabCuotasIMSS[[#This Row],[OBRERO10]]</f>
        <v>0</v>
      </c>
      <c r="AG48" s="233">
        <f>TabCuotasIMSS[[#This Row],[TOTAL
PATRONAL]]+TabCuotasIMSS[[#This Row],[TOTAL
OBRERO]]</f>
        <v>4945.4049337500001</v>
      </c>
      <c r="AH48" s="141">
        <f>((TabCuotasIMSS[[#This Row],[SALARIO
DEL CICLO]]-(TabCuotasIMSS[[#This Row],[S.B.C./S.D.I.]]*TabCuotasIMSS[[#This Row],[AUS]]))*R_)</f>
        <v>126.00885000000001</v>
      </c>
      <c r="AI48">
        <f>IF(TabCuotasIMSS[[#This Row],[S.B.C./S.D.I.]]&lt;=SMGI,((TabCuotasIMSS[[#This Row],[SALARIO
DEL CICLO]]-(TabCuotasIMSS[[#This Row],[S.B.C./S.D.I.]]*(TabCuotasIMSS[[#This Row],[INC]]+TabCuotasIMSS[[#This Row],[AUS]]))))*CV,((TabCuotasIMSS[[#This Row],[SALARIO
DEL CICLO]]-(TabCuotasIMSS[[#This Row],[S.B.C./S.D.I.]]*(TabCuotasIMSS[[#This Row],[INC]]+TabCuotasIMSS[[#This Row],[AUS]]))))*CVP)</f>
        <v>269.34391687500005</v>
      </c>
      <c r="AJ48">
        <f>IF(TabCuotasIMSS[[#This Row],[S.B.C./S.D.I.]]&lt;=SMGI,0,((TabCuotasIMSS[[#This Row],[SALARIO
DEL CICLO]]-(TabCuotasIMSS[[#This Row],[S.B.C./S.D.I.]]*(TabCuotasIMSS[[#This Row],[INC]]+TabCuotasIMSS[[#This Row],[AUS]]))))*CVO)</f>
        <v>0</v>
      </c>
      <c r="AK48">
        <f>SUM(TabCuotasIMSS[[#This Row],[2%]]:TabCuotasIMSS[[#This Row],[OBRERO14]])</f>
        <v>395.35276687500004</v>
      </c>
      <c r="AL48" s="141">
        <f>((TabCuotasIMSS[[#This Row],[SALARIO
DEL CICLO]]-(TabCuotasIMSS[[#This Row],[S.B.C./S.D.I.]]*(TabCuotasIMSS[[#This Row],[AUS]])))*I)</f>
        <v>315.02212500000002</v>
      </c>
      <c r="AM48" s="141">
        <f>TabCuotasIMSS[[#This Row],[TOTAL
O.P.11]]+TabCuotasIMSS[[#This Row],[2%]]+TabCuotasIMSS[[#This Row],[PATRON13]]+TabCuotasIMSS[[#This Row],[5%]]</f>
        <v>773.37931687500009</v>
      </c>
      <c r="AN48" s="141">
        <f>TabCuotasIMSS[[#This Row],[TOTAL
OBRERO]]+TabCuotasIMSS[[#This Row],[OBRERO14]]</f>
        <v>0</v>
      </c>
    </row>
    <row r="49" spans="1:40" x14ac:dyDescent="0.25">
      <c r="A49" s="2">
        <v>41</v>
      </c>
      <c r="B49" s="1" cm="1">
        <f t="array" ref="B49">VLOOKUP(TabCuotasIMSS[[#This Row],[ID]],TabEmpleados[],COLUMN(TabEmpleados[Fecha de alta NSS]),FALSE)</f>
        <v>44509</v>
      </c>
      <c r="C49" t="str" cm="1">
        <f t="array" ref="C49">VLOOKUP(TabCuotasIMSS[[#This Row],[ID]],TabEmpleados[],COLUMN(TabEmpleados[Nombre]),FALSE)</f>
        <v>LOPEZ TORRES ROSENDO EDUARDO</v>
      </c>
      <c r="D49" cm="1">
        <f t="array" ref="D49">IF(VLOOKUP(TabCuotasIMSS[[#This Row],[ID]],TabEmpleados[],COLUMN(TabEmpleados[Fecha de alta NSS]),FALSE)&lt;&gt;"",VLOOKUP(TabCuotasIMSS[[#This Row],[ID]],TabAsistencias[],COLUMN(TabAsistencias[''Total de dias laborados]),FALSE),0)</f>
        <v>73</v>
      </c>
      <c r="E49" cm="1">
        <f t="array" ref="E49">IF(VLOOKUP(TabCuotasIMSS[[#This Row],[ID]],TabEmpleados[],COLUMN(TabEmpleados[Fecha de alta NSS]),FALSE)&lt;&gt;"",IF(DATEDIF((VLOOKUP(TabCuotasIMSS[[#This Row],[ID]],TabEmpleados[],COLUMN(TabEmpleados[Fecha de alta NSS]),FALSE)),'Tablas de informacion'!N$8,"Y")=0,1,DATEDIF((VLOOKUP(TabCuotasIMSS[[#This Row],[ID]],TabEmpleados[],COLUMN(TabEmpleados[Fecha de alta NSS]),FALSE)),'Tablas de informacion'!N$8,"Y")),0)</f>
        <v>1</v>
      </c>
      <c r="F49" s="55" cm="1">
        <f t="array" ref="F49">VLOOKUP(TabCuotasIMSS[[#This Row],[ID]],TabEmpleados[],COLUMN(TabEmpleados[SD Fiscal]),FALSE)</f>
        <v>105</v>
      </c>
      <c r="G49" s="55" cm="1">
        <f t="array" ref="G49">IFERROR((VLOOKUP((VLOOKUP(TabCuotasIMSS[[#This Row],[ID]],TabEmpleados[],COLUMN(TabEmpleados[Puesto]),FALSE)),TabPuestos[],COLUMN(TabPuestos[N° ALIMENTOS]),FALSE))*TabCuotasIMSS[[#This Row],[Salario Diario]]*(VLOOKUP(TabCuotasIMSS[[#This Row],[Años]],TabFactorIntegracion[],COLUMN(TabFactorIntegracion[% por alimento]))),0)</f>
        <v>8.7464999999999993</v>
      </c>
      <c r="H49" s="55" cm="1">
        <f t="array" ref="H49">IFERROR((VLOOKUP((VLOOKUP(TabCuotasIMSS[[#This Row],[ID]],TabEmpleados[],COLUMN(TabEmpleados[Puesto]),FALSE)),TabPuestos[],COLUMN(TabPuestos[PRIMA DOMINICAL]),FALSE))*TabCuotasIMSS[[#This Row],[Salario Diario]]*(VLOOKUP(TabCuotasIMSS[[#This Row],[Años]],TabFactorIntegracion[],COLUMN(TabFactorIntegracion[PRIMA
DOMINICAL]))),0)</f>
        <v>1.905821917808219</v>
      </c>
      <c r="I49" s="55" cm="1">
        <f t="array" ref="I49">IFERROR(TabCuotasIMSS[[#This Row],[Salario Diario]]*(VLOOKUP(TabCuotasIMSS[[#This Row],[Años]],TabFactorIntegracion[],COLUMN(TabFactorIntegracion[FACTOR DE
INTEGRACIÓN]))),0)</f>
        <v>5.1780821917808222</v>
      </c>
      <c r="J49" s="174">
        <f>IFERROR(TabCuotasIMSS[[#This Row],[Salario Diario]]+TabCuotasIMSS[[#This Row],[Alimentos]]+TabCuotasIMSS[[#This Row],[Prima Dominical]]+TabCuotasIMSS[[#This Row],[Factor de Integracion]],0)</f>
        <v>120.83040410958904</v>
      </c>
      <c r="K49" cm="1">
        <f t="array" ref="K49">VLOOKUP(TabCuotasIMSS[[#This Row],[ID]],TabAsistencias[],COLUMN(TabAsistencias[''I]),FALSE)+VLOOKUP(TabCuotasIMSS[[#This Row],[ID]],TabAsistencias[],COLUMN(TabAsistencias[''IG]),FALSE)</f>
        <v>0</v>
      </c>
      <c r="L49" cm="1">
        <f t="array" ref="L49">VLOOKUP(TabCuotasIMSS[[#This Row],[ID]],TabAsistencias[],COLUMN(TabAsistencias[''F]),FALSE)</f>
        <v>0</v>
      </c>
      <c r="M49" s="141">
        <f>TabCuotasIMSS[[#This Row],[S.B.C./S.D.I.]]*TabCuotasIMSS[[#This Row],[DÍAS
LAB.]]</f>
        <v>8820.6195000000007</v>
      </c>
      <c r="N49" s="141">
        <f>(SMDF*CF*(TabCuotasIMSS[[#This Row],[DÍAS
LAB.]]-TabCuotasIMSS[[#This Row],[INC]]))</f>
        <v>1432.90824</v>
      </c>
      <c r="O49" s="55">
        <f>IF(TabCuotasIMSS[[#This Row],[S.B.C./S.D.I.]]&gt;SMDF3,((TabCuotasIMSS[[#This Row],[S.B.C./S.D.I.]]-SMDF3)*CFP*(TabCuotasIMSS[[#This Row],[DÍAS
LAB.]]-TabCuotasIMSS[[#This Row],[INC]])),0)</f>
        <v>0</v>
      </c>
      <c r="P49" s="55">
        <f>IF(TabCuotasIMSS[[#This Row],[S.B.C./S.D.I.]]&gt;SMDF3,((TabCuotasIMSS[[#This Row],[S.B.C./S.D.I.]]-SMDF3)*CFO*(TabCuotasIMSS[[#This Row],[DÍAS
LAB.]]-TabCuotasIMSS[[#This Row],[INC]])),0)</f>
        <v>0</v>
      </c>
      <c r="Q49" s="55">
        <f>TabCuotasIMSS[[#This Row],[EXCED.
PATRON]]+TabCuotasIMSS[[#This Row],[EXCED.
OBRERO]]</f>
        <v>0</v>
      </c>
      <c r="R49" s="55">
        <f>IF(TabCuotasIMSS[[#This Row],[S.B.C./S.D.I.]]&lt;=SMGI,((TabCuotasIMSS[[#This Row],[SALARIO
DEL CICLO]]-(TabCuotasIMSS[[#This Row],[S.B.C./S.D.I.]]*TabCuotasIMSS[[#This Row],[INC]])))*PD,((TabCuotasIMSS[[#This Row],[SALARIO
DEL CICLO]]-(TabCuotasIMSS[[#This Row],[S.B.C./S.D.I.]]*TabCuotasIMSS[[#This Row],[INC]]))*PDP))</f>
        <v>83.795885249999998</v>
      </c>
      <c r="S49" s="55">
        <f>IF(TabCuotasIMSS[[#This Row],[S.B.C./S.D.I.]]&lt;=SMGI,0,((TabCuotasIMSS[[#This Row],[SALARIO
DEL CICLO]]-(TabCuotasIMSS[[#This Row],[S.B.C./S.D.I.]]*TabCuotasIMSS[[#This Row],[INC]]))*PDO))</f>
        <v>0</v>
      </c>
      <c r="T49" s="55">
        <f>TabCuotasIMSS[[#This Row],[PATRON2]]+TabCuotasIMSS[[#This Row],[OBRERO]]</f>
        <v>83.795885249999998</v>
      </c>
      <c r="U49" s="55">
        <f>IF(TabCuotasIMSS[[#This Row],[S.B.C./S.D.I.]]&lt;=SMGI,((TabCuotasIMSS[[#This Row],[SALARIO
DEL CICLO]]-(TabCuotasIMSS[[#This Row],[S.B.C./S.D.I.]]*TabCuotasIMSS[[#This Row],[INC]])))*GMP,((TabCuotasIMSS[[#This Row],[SALARIO
DEL CICLO]]-(TabCuotasIMSS[[#This Row],[S.B.C./S.D.I.]]*TabCuotasIMSS[[#This Row],[INC]])))*GMPP)</f>
        <v>125.69382787500001</v>
      </c>
      <c r="V49" s="55">
        <f>IF(TabCuotasIMSS[[#This Row],[S.B.C./S.D.I.]]&lt;=SMGI,0,((TabCuotasIMSS[[#This Row],[SALARIO
DEL CICLO]]-(TabCuotasIMSS[[#This Row],[S.B.C./S.D.I.]]*TabCuotasIMSS[[#This Row],[INC]])))*GMPO)</f>
        <v>0</v>
      </c>
      <c r="W49" s="55">
        <f>TabCuotasIMSS[[#This Row],[PATRON3]]+TabCuotasIMSS[[#This Row],[OBRERO4]]</f>
        <v>125.69382787500001</v>
      </c>
      <c r="X49" s="141">
        <f>((TabCuotasIMSS[[#This Row],[SALARIO
DEL CICLO]]-(TabCuotasIMSS[[#This Row],[S.B.C./S.D.I.]]*(TabCuotasIMSS[[#This Row],[INC]]+TabCuotasIMSS[[#This Row],[AUS]]))))*PRTP</f>
        <v>4410.3097500000003</v>
      </c>
      <c r="Y49" s="55">
        <f>IF(TabCuotasIMSS[[#This Row],[S.B.C./S.D.I.]]&lt;=SMGI,((TabCuotasIMSS[[#This Row],[SALARIO
DEL CICLO]]-(TabCuotasIMSS[[#This Row],[S.B.C./S.D.I.]]*(TabCuotasIMSS[[#This Row],[INC]]+TabCuotasIMSS[[#This Row],[AUS]]))))*IV,((TabCuotasIMSS[[#This Row],[SALARIO
DEL CICLO]]-(TabCuotasIMSS[[#This Row],[S.B.C./S.D.I.]]*(TabCuotasIMSS[[#This Row],[INC]]+TabCuotasIMSS[[#This Row],[AUS]]))))*IVP)</f>
        <v>209.48971312500001</v>
      </c>
      <c r="Z49" s="55">
        <f>IF(TabCuotasIMSS[[#This Row],[S.B.C./S.D.I.]]&lt;=SMGI,0,((TabCuotasIMSS[[#This Row],[SALARIO
DEL CICLO]]-(TabCuotasIMSS[[#This Row],[S.B.C./S.D.I.]]*(TabCuotasIMSS[[#This Row],[INC]]+TabCuotasIMSS[[#This Row],[AUS]]))))*IVO)</f>
        <v>0</v>
      </c>
      <c r="AA49" s="55">
        <f>TabCuotasIMSS[[#This Row],[PATRON6]]+TabCuotasIMSS[[#This Row],[OBRERO7]]</f>
        <v>209.48971312500001</v>
      </c>
      <c r="AB49" s="141">
        <f>((TabCuotasIMSS[[#This Row],[SALARIO
DEL CICLO]]-(TabCuotasIMSS[[#This Row],[S.B.C./S.D.I.]]*(TabCuotasIMSS[[#This Row],[INC]]+TabCuotasIMSS[[#This Row],[AUS]]))))*GPS</f>
        <v>88.206195000000008</v>
      </c>
      <c r="AC49" s="141">
        <f>TabCuotasIMSS[[#This Row],[SALARIO
DEL CICLO]]*0</f>
        <v>0</v>
      </c>
      <c r="AD49" s="141">
        <f>TabCuotasIMSS[[#This Row],[PATRON9]]+TabCuotasIMSS[[#This Row],[OBRERO10]]</f>
        <v>88.206195000000008</v>
      </c>
      <c r="AE49" s="233">
        <f>TabCuotasIMSS[[#This Row],[PATRON]]+TabCuotasIMSS[[#This Row],[EXCED.
PATRON]]+TabCuotasIMSS[[#This Row],[PATRON2]]+TabCuotasIMSS[[#This Row],[PATRON3]]+TabCuotasIMSS[[#This Row],[PATRON
0.50%]]+TabCuotasIMSS[[#This Row],[PATRON6]]+TabCuotasIMSS[[#This Row],[PATRON9]]</f>
        <v>6350.4036112500007</v>
      </c>
      <c r="AF49" s="233">
        <f>TabCuotasIMSS[[#This Row],[EXCED.
OBRERO]]+TabCuotasIMSS[[#This Row],[OBRERO]]+TabCuotasIMSS[[#This Row],[OBRERO4]]+TabCuotasIMSS[[#This Row],[OBRERO7]]+TabCuotasIMSS[[#This Row],[OBRERO10]]</f>
        <v>0</v>
      </c>
      <c r="AG49" s="233">
        <f>TabCuotasIMSS[[#This Row],[TOTAL
PATRONAL]]+TabCuotasIMSS[[#This Row],[TOTAL
OBRERO]]</f>
        <v>6350.4036112500007</v>
      </c>
      <c r="AH49" s="141">
        <f>((TabCuotasIMSS[[#This Row],[SALARIO
DEL CICLO]]-(TabCuotasIMSS[[#This Row],[S.B.C./S.D.I.]]*TabCuotasIMSS[[#This Row],[AUS]]))*R_)</f>
        <v>176.41239000000002</v>
      </c>
      <c r="AI49">
        <f>IF(TabCuotasIMSS[[#This Row],[S.B.C./S.D.I.]]&lt;=SMGI,((TabCuotasIMSS[[#This Row],[SALARIO
DEL CICLO]]-(TabCuotasIMSS[[#This Row],[S.B.C./S.D.I.]]*(TabCuotasIMSS[[#This Row],[INC]]+TabCuotasIMSS[[#This Row],[AUS]]))))*CV,((TabCuotasIMSS[[#This Row],[SALARIO
DEL CICLO]]-(TabCuotasIMSS[[#This Row],[S.B.C./S.D.I.]]*(TabCuotasIMSS[[#This Row],[INC]]+TabCuotasIMSS[[#This Row],[AUS]]))))*CVP)</f>
        <v>377.08148362500003</v>
      </c>
      <c r="AJ49">
        <f>IF(TabCuotasIMSS[[#This Row],[S.B.C./S.D.I.]]&lt;=SMGI,0,((TabCuotasIMSS[[#This Row],[SALARIO
DEL CICLO]]-(TabCuotasIMSS[[#This Row],[S.B.C./S.D.I.]]*(TabCuotasIMSS[[#This Row],[INC]]+TabCuotasIMSS[[#This Row],[AUS]]))))*CVO)</f>
        <v>0</v>
      </c>
      <c r="AK49">
        <f>SUM(TabCuotasIMSS[[#This Row],[2%]]:TabCuotasIMSS[[#This Row],[OBRERO14]])</f>
        <v>553.49387362500011</v>
      </c>
      <c r="AL49" s="141">
        <f>((TabCuotasIMSS[[#This Row],[SALARIO
DEL CICLO]]-(TabCuotasIMSS[[#This Row],[S.B.C./S.D.I.]]*(TabCuotasIMSS[[#This Row],[AUS]])))*I)</f>
        <v>441.03097500000007</v>
      </c>
      <c r="AM49" s="141">
        <f>TabCuotasIMSS[[#This Row],[TOTAL
O.P.11]]+TabCuotasIMSS[[#This Row],[2%]]+TabCuotasIMSS[[#This Row],[PATRON13]]+TabCuotasIMSS[[#This Row],[5%]]</f>
        <v>1082.7310436250002</v>
      </c>
      <c r="AN49" s="141">
        <f>TabCuotasIMSS[[#This Row],[TOTAL
OBRERO]]+TabCuotasIMSS[[#This Row],[OBRERO14]]</f>
        <v>0</v>
      </c>
    </row>
    <row r="50" spans="1:40" x14ac:dyDescent="0.25">
      <c r="A50" s="2">
        <v>42</v>
      </c>
      <c r="B50" s="1" cm="1">
        <f t="array" ref="B50">VLOOKUP(TabCuotasIMSS[[#This Row],[ID]],TabEmpleados[],COLUMN(TabEmpleados[Fecha de alta NSS]),FALSE)</f>
        <v>40452</v>
      </c>
      <c r="C50" t="str" cm="1">
        <f t="array" ref="C50">VLOOKUP(TabCuotasIMSS[[#This Row],[ID]],TabEmpleados[],COLUMN(TabEmpleados[Nombre]),FALSE)</f>
        <v>GAYTAN VASQUEZ ERICK</v>
      </c>
      <c r="D50" cm="1">
        <f t="array" ref="D50">IF(VLOOKUP(TabCuotasIMSS[[#This Row],[ID]],TabEmpleados[],COLUMN(TabEmpleados[Fecha de alta NSS]),FALSE)&lt;&gt;"",VLOOKUP(TabCuotasIMSS[[#This Row],[ID]],TabAsistencias[],COLUMN(TabAsistencias[''Total de dias laborados]),FALSE),0)</f>
        <v>73</v>
      </c>
      <c r="E50" cm="1">
        <f t="array" ref="E50">IF(VLOOKUP(TabCuotasIMSS[[#This Row],[ID]],TabEmpleados[],COLUMN(TabEmpleados[Fecha de alta NSS]),FALSE)&lt;&gt;"",IF(DATEDIF((VLOOKUP(TabCuotasIMSS[[#This Row],[ID]],TabEmpleados[],COLUMN(TabEmpleados[Fecha de alta NSS]),FALSE)),'Tablas de informacion'!N$8,"Y")=0,1,DATEDIF((VLOOKUP(TabCuotasIMSS[[#This Row],[ID]],TabEmpleados[],COLUMN(TabEmpleados[Fecha de alta NSS]),FALSE)),'Tablas de informacion'!N$8,"Y")),0)</f>
        <v>12</v>
      </c>
      <c r="F50" s="55" cm="1">
        <f t="array" ref="F50">VLOOKUP(TabCuotasIMSS[[#This Row],[ID]],TabEmpleados[],COLUMN(TabEmpleados[SD Fiscal]),FALSE)</f>
        <v>185</v>
      </c>
      <c r="G50" s="55" cm="1">
        <f t="array" ref="G50">IFERROR((VLOOKUP((VLOOKUP(TabCuotasIMSS[[#This Row],[ID]],TabEmpleados[],COLUMN(TabEmpleados[Puesto]),FALSE)),TabPuestos[],COLUMN(TabPuestos[N° ALIMENTOS]),FALSE))*TabCuotasIMSS[[#This Row],[Salario Diario]]*(VLOOKUP(TabCuotasIMSS[[#This Row],[Años]],TabFactorIntegracion[],COLUMN(TabFactorIntegracion[% por alimento]))),0)</f>
        <v>15.410499999999999</v>
      </c>
      <c r="H50" s="55" cm="1">
        <f t="array" ref="H50">IFERROR((VLOOKUP((VLOOKUP(TabCuotasIMSS[[#This Row],[ID]],TabEmpleados[],COLUMN(TabEmpleados[Puesto]),FALSE)),TabPuestos[],COLUMN(TabPuestos[PRIMA DOMINICAL]),FALSE))*TabCuotasIMSS[[#This Row],[Salario Diario]]*(VLOOKUP(TabCuotasIMSS[[#This Row],[Años]],TabFactorIntegracion[],COLUMN(TabFactorIntegracion[PRIMA
DOMINICAL]))),0)</f>
        <v>3.3578767123287667</v>
      </c>
      <c r="I50" s="55" cm="1">
        <f t="array" ref="I50">IFERROR(TabCuotasIMSS[[#This Row],[Salario Diario]]*(VLOOKUP(TabCuotasIMSS[[#This Row],[Años]],TabFactorIntegracion[],COLUMN(TabFactorIntegracion[FACTOR DE
INTEGRACIÓN]))),0)</f>
        <v>10.643835616438356</v>
      </c>
      <c r="J50" s="174">
        <f>IFERROR(TabCuotasIMSS[[#This Row],[Salario Diario]]+TabCuotasIMSS[[#This Row],[Alimentos]]+TabCuotasIMSS[[#This Row],[Prima Dominical]]+TabCuotasIMSS[[#This Row],[Factor de Integracion]],0)</f>
        <v>214.41221232876714</v>
      </c>
      <c r="K50" cm="1">
        <f t="array" ref="K50">VLOOKUP(TabCuotasIMSS[[#This Row],[ID]],TabAsistencias[],COLUMN(TabAsistencias[''I]),FALSE)+VLOOKUP(TabCuotasIMSS[[#This Row],[ID]],TabAsistencias[],COLUMN(TabAsistencias[''IG]),FALSE)</f>
        <v>0</v>
      </c>
      <c r="L50" cm="1">
        <f t="array" ref="L50">VLOOKUP(TabCuotasIMSS[[#This Row],[ID]],TabAsistencias[],COLUMN(TabAsistencias[''F]),FALSE)</f>
        <v>0</v>
      </c>
      <c r="M50" s="141">
        <f>TabCuotasIMSS[[#This Row],[S.B.C./S.D.I.]]*TabCuotasIMSS[[#This Row],[DÍAS
LAB.]]</f>
        <v>15652.0915</v>
      </c>
      <c r="N50" s="141">
        <f>(SMDF*CF*(TabCuotasIMSS[[#This Row],[DÍAS
LAB.]]-TabCuotasIMSS[[#This Row],[INC]]))</f>
        <v>1432.90824</v>
      </c>
      <c r="O50" s="55">
        <f>IF(TabCuotasIMSS[[#This Row],[S.B.C./S.D.I.]]&gt;SMDF3,((TabCuotasIMSS[[#This Row],[S.B.C./S.D.I.]]-SMDF3)*CFP*(TabCuotasIMSS[[#This Row],[DÍAS
LAB.]]-TabCuotasIMSS[[#This Row],[INC]])),0)</f>
        <v>0</v>
      </c>
      <c r="P50" s="55">
        <f>IF(TabCuotasIMSS[[#This Row],[S.B.C./S.D.I.]]&gt;SMDF3,((TabCuotasIMSS[[#This Row],[S.B.C./S.D.I.]]-SMDF3)*CFO*(TabCuotasIMSS[[#This Row],[DÍAS
LAB.]]-TabCuotasIMSS[[#This Row],[INC]])),0)</f>
        <v>0</v>
      </c>
      <c r="Q50" s="55">
        <f>TabCuotasIMSS[[#This Row],[EXCED.
PATRON]]+TabCuotasIMSS[[#This Row],[EXCED.
OBRERO]]</f>
        <v>0</v>
      </c>
      <c r="R50" s="55">
        <f>IF(TabCuotasIMSS[[#This Row],[S.B.C./S.D.I.]]&lt;=SMGI,((TabCuotasIMSS[[#This Row],[SALARIO
DEL CICLO]]-(TabCuotasIMSS[[#This Row],[S.B.C./S.D.I.]]*TabCuotasIMSS[[#This Row],[INC]])))*PD,((TabCuotasIMSS[[#This Row],[SALARIO
DEL CICLO]]-(TabCuotasIMSS[[#This Row],[S.B.C./S.D.I.]]*TabCuotasIMSS[[#This Row],[INC]]))*PDP))</f>
        <v>109.56464050000001</v>
      </c>
      <c r="S50" s="55">
        <f>IF(TabCuotasIMSS[[#This Row],[S.B.C./S.D.I.]]&lt;=SMGI,0,((TabCuotasIMSS[[#This Row],[SALARIO
DEL CICLO]]-(TabCuotasIMSS[[#This Row],[S.B.C./S.D.I.]]*TabCuotasIMSS[[#This Row],[INC]]))*PDO))</f>
        <v>39.130228750000001</v>
      </c>
      <c r="T50" s="55">
        <f>TabCuotasIMSS[[#This Row],[PATRON2]]+TabCuotasIMSS[[#This Row],[OBRERO]]</f>
        <v>148.69486925000001</v>
      </c>
      <c r="U50" s="55">
        <f>IF(TabCuotasIMSS[[#This Row],[S.B.C./S.D.I.]]&lt;=SMGI,((TabCuotasIMSS[[#This Row],[SALARIO
DEL CICLO]]-(TabCuotasIMSS[[#This Row],[S.B.C./S.D.I.]]*TabCuotasIMSS[[#This Row],[INC]])))*GMP,((TabCuotasIMSS[[#This Row],[SALARIO
DEL CICLO]]-(TabCuotasIMSS[[#This Row],[S.B.C./S.D.I.]]*TabCuotasIMSS[[#This Row],[INC]])))*GMPP)</f>
        <v>164.34696075000002</v>
      </c>
      <c r="V50" s="55">
        <f>IF(TabCuotasIMSS[[#This Row],[S.B.C./S.D.I.]]&lt;=SMGI,0,((TabCuotasIMSS[[#This Row],[SALARIO
DEL CICLO]]-(TabCuotasIMSS[[#This Row],[S.B.C./S.D.I.]]*TabCuotasIMSS[[#This Row],[INC]])))*GMPO)</f>
        <v>58.695343125000001</v>
      </c>
      <c r="W50" s="55">
        <f>TabCuotasIMSS[[#This Row],[PATRON3]]+TabCuotasIMSS[[#This Row],[OBRERO4]]</f>
        <v>223.04230387500002</v>
      </c>
      <c r="X50" s="141">
        <f>((TabCuotasIMSS[[#This Row],[SALARIO
DEL CICLO]]-(TabCuotasIMSS[[#This Row],[S.B.C./S.D.I.]]*(TabCuotasIMSS[[#This Row],[INC]]+TabCuotasIMSS[[#This Row],[AUS]]))))*PRTP</f>
        <v>7826.0457500000002</v>
      </c>
      <c r="Y50" s="55">
        <f>IF(TabCuotasIMSS[[#This Row],[S.B.C./S.D.I.]]&lt;=SMGI,((TabCuotasIMSS[[#This Row],[SALARIO
DEL CICLO]]-(TabCuotasIMSS[[#This Row],[S.B.C./S.D.I.]]*(TabCuotasIMSS[[#This Row],[INC]]+TabCuotasIMSS[[#This Row],[AUS]]))))*IV,((TabCuotasIMSS[[#This Row],[SALARIO
DEL CICLO]]-(TabCuotasIMSS[[#This Row],[S.B.C./S.D.I.]]*(TabCuotasIMSS[[#This Row],[INC]]+TabCuotasIMSS[[#This Row],[AUS]]))))*IVP)</f>
        <v>273.91160125000005</v>
      </c>
      <c r="Z50" s="55">
        <f>IF(TabCuotasIMSS[[#This Row],[S.B.C./S.D.I.]]&lt;=SMGI,0,((TabCuotasIMSS[[#This Row],[SALARIO
DEL CICLO]]-(TabCuotasIMSS[[#This Row],[S.B.C./S.D.I.]]*(TabCuotasIMSS[[#This Row],[INC]]+TabCuotasIMSS[[#This Row],[AUS]]))))*IVO)</f>
        <v>97.825571875000009</v>
      </c>
      <c r="AA50" s="55">
        <f>TabCuotasIMSS[[#This Row],[PATRON6]]+TabCuotasIMSS[[#This Row],[OBRERO7]]</f>
        <v>371.73717312500003</v>
      </c>
      <c r="AB50" s="141">
        <f>((TabCuotasIMSS[[#This Row],[SALARIO
DEL CICLO]]-(TabCuotasIMSS[[#This Row],[S.B.C./S.D.I.]]*(TabCuotasIMSS[[#This Row],[INC]]+TabCuotasIMSS[[#This Row],[AUS]]))))*GPS</f>
        <v>156.520915</v>
      </c>
      <c r="AC50" s="141">
        <f>TabCuotasIMSS[[#This Row],[SALARIO
DEL CICLO]]*0</f>
        <v>0</v>
      </c>
      <c r="AD50" s="141">
        <f>TabCuotasIMSS[[#This Row],[PATRON9]]+TabCuotasIMSS[[#This Row],[OBRERO10]]</f>
        <v>156.520915</v>
      </c>
      <c r="AE50" s="233">
        <f>TabCuotasIMSS[[#This Row],[PATRON]]+TabCuotasIMSS[[#This Row],[EXCED.
PATRON]]+TabCuotasIMSS[[#This Row],[PATRON2]]+TabCuotasIMSS[[#This Row],[PATRON3]]+TabCuotasIMSS[[#This Row],[PATRON
0.50%]]+TabCuotasIMSS[[#This Row],[PATRON6]]+TabCuotasIMSS[[#This Row],[PATRON9]]</f>
        <v>9963.2981074999989</v>
      </c>
      <c r="AF50" s="233">
        <f>TabCuotasIMSS[[#This Row],[EXCED.
OBRERO]]+TabCuotasIMSS[[#This Row],[OBRERO]]+TabCuotasIMSS[[#This Row],[OBRERO4]]+TabCuotasIMSS[[#This Row],[OBRERO7]]+TabCuotasIMSS[[#This Row],[OBRERO10]]</f>
        <v>195.65114375000002</v>
      </c>
      <c r="AG50" s="233">
        <f>TabCuotasIMSS[[#This Row],[TOTAL
PATRONAL]]+TabCuotasIMSS[[#This Row],[TOTAL
OBRERO]]</f>
        <v>10158.949251249998</v>
      </c>
      <c r="AH50" s="141">
        <f>((TabCuotasIMSS[[#This Row],[SALARIO
DEL CICLO]]-(TabCuotasIMSS[[#This Row],[S.B.C./S.D.I.]]*TabCuotasIMSS[[#This Row],[AUS]]))*R_)</f>
        <v>313.04183</v>
      </c>
      <c r="AI50">
        <f>IF(TabCuotasIMSS[[#This Row],[S.B.C./S.D.I.]]&lt;=SMGI,((TabCuotasIMSS[[#This Row],[SALARIO
DEL CICLO]]-(TabCuotasIMSS[[#This Row],[S.B.C./S.D.I.]]*(TabCuotasIMSS[[#This Row],[INC]]+TabCuotasIMSS[[#This Row],[AUS]]))))*CV,((TabCuotasIMSS[[#This Row],[SALARIO
DEL CICLO]]-(TabCuotasIMSS[[#This Row],[S.B.C./S.D.I.]]*(TabCuotasIMSS[[#This Row],[INC]]+TabCuotasIMSS[[#This Row],[AUS]]))))*CVP)</f>
        <v>493.04088225000004</v>
      </c>
      <c r="AJ50">
        <f>IF(TabCuotasIMSS[[#This Row],[S.B.C./S.D.I.]]&lt;=SMGI,0,((TabCuotasIMSS[[#This Row],[SALARIO
DEL CICLO]]-(TabCuotasIMSS[[#This Row],[S.B.C./S.D.I.]]*(TabCuotasIMSS[[#This Row],[INC]]+TabCuotasIMSS[[#This Row],[AUS]]))))*CVO)</f>
        <v>176.08602937500001</v>
      </c>
      <c r="AK50">
        <f>SUM(TabCuotasIMSS[[#This Row],[2%]]:TabCuotasIMSS[[#This Row],[OBRERO14]])</f>
        <v>982.16874162499994</v>
      </c>
      <c r="AL50" s="141">
        <f>((TabCuotasIMSS[[#This Row],[SALARIO
DEL CICLO]]-(TabCuotasIMSS[[#This Row],[S.B.C./S.D.I.]]*(TabCuotasIMSS[[#This Row],[AUS]])))*I)</f>
        <v>782.60457500000007</v>
      </c>
      <c r="AM50" s="141">
        <f>TabCuotasIMSS[[#This Row],[TOTAL
O.P.11]]+TabCuotasIMSS[[#This Row],[2%]]+TabCuotasIMSS[[#This Row],[PATRON13]]+TabCuotasIMSS[[#This Row],[5%]]</f>
        <v>1745.2082022500001</v>
      </c>
      <c r="AN50" s="141">
        <f>TabCuotasIMSS[[#This Row],[TOTAL
OBRERO]]+TabCuotasIMSS[[#This Row],[OBRERO14]]</f>
        <v>371.73717312500003</v>
      </c>
    </row>
    <row r="51" spans="1:40" x14ac:dyDescent="0.25">
      <c r="A51" s="2">
        <v>43</v>
      </c>
      <c r="B51" s="1" cm="1">
        <f t="array" ref="B51">VLOOKUP(TabCuotasIMSS[[#This Row],[ID]],TabEmpleados[],COLUMN(TabEmpleados[Fecha de alta NSS]),FALSE)</f>
        <v>44509</v>
      </c>
      <c r="C51" t="str" cm="1">
        <f t="array" ref="C51">VLOOKUP(TabCuotasIMSS[[#This Row],[ID]],TabEmpleados[],COLUMN(TabEmpleados[Nombre]),FALSE)</f>
        <v>SAMARIO MANZANO ABRAHAM  ROSALINO</v>
      </c>
      <c r="D51" cm="1">
        <f t="array" ref="D51">IF(VLOOKUP(TabCuotasIMSS[[#This Row],[ID]],TabEmpleados[],COLUMN(TabEmpleados[Fecha de alta NSS]),FALSE)&lt;&gt;"",VLOOKUP(TabCuotasIMSS[[#This Row],[ID]],TabAsistencias[],COLUMN(TabAsistencias[''Total de dias laborados]),FALSE),0)</f>
        <v>73</v>
      </c>
      <c r="E51" cm="1">
        <f t="array" ref="E51">IF(VLOOKUP(TabCuotasIMSS[[#This Row],[ID]],TabEmpleados[],COLUMN(TabEmpleados[Fecha de alta NSS]),FALSE)&lt;&gt;"",IF(DATEDIF((VLOOKUP(TabCuotasIMSS[[#This Row],[ID]],TabEmpleados[],COLUMN(TabEmpleados[Fecha de alta NSS]),FALSE)),'Tablas de informacion'!N$8,"Y")=0,1,DATEDIF((VLOOKUP(TabCuotasIMSS[[#This Row],[ID]],TabEmpleados[],COLUMN(TabEmpleados[Fecha de alta NSS]),FALSE)),'Tablas de informacion'!N$8,"Y")),0)</f>
        <v>1</v>
      </c>
      <c r="F51" s="55" cm="1">
        <f t="array" ref="F51">VLOOKUP(TabCuotasIMSS[[#This Row],[ID]],TabEmpleados[],COLUMN(TabEmpleados[SD Fiscal]),FALSE)</f>
        <v>135</v>
      </c>
      <c r="G51" s="55" cm="1">
        <f t="array" ref="G51">IFERROR((VLOOKUP((VLOOKUP(TabCuotasIMSS[[#This Row],[ID]],TabEmpleados[],COLUMN(TabEmpleados[Puesto]),FALSE)),TabPuestos[],COLUMN(TabPuestos[N° ALIMENTOS]),FALSE))*TabCuotasIMSS[[#This Row],[Salario Diario]]*(VLOOKUP(TabCuotasIMSS[[#This Row],[Años]],TabFactorIntegracion[],COLUMN(TabFactorIntegracion[% por alimento]))),0)</f>
        <v>0</v>
      </c>
      <c r="H51" s="55" cm="1">
        <f t="array" ref="H51">IFERROR((VLOOKUP((VLOOKUP(TabCuotasIMSS[[#This Row],[ID]],TabEmpleados[],COLUMN(TabEmpleados[Puesto]),FALSE)),TabPuestos[],COLUMN(TabPuestos[PRIMA DOMINICAL]),FALSE))*TabCuotasIMSS[[#This Row],[Salario Diario]]*(VLOOKUP(TabCuotasIMSS[[#This Row],[Años]],TabFactorIntegracion[],COLUMN(TabFactorIntegracion[PRIMA
DOMINICAL]))),0)</f>
        <v>0</v>
      </c>
      <c r="I51" s="55" cm="1">
        <f t="array" ref="I51">IFERROR(TabCuotasIMSS[[#This Row],[Salario Diario]]*(VLOOKUP(TabCuotasIMSS[[#This Row],[Años]],TabFactorIntegracion[],COLUMN(TabFactorIntegracion[FACTOR DE
INTEGRACIÓN]))),0)</f>
        <v>6.6575342465753424</v>
      </c>
      <c r="J51" s="174">
        <f>IFERROR(TabCuotasIMSS[[#This Row],[Salario Diario]]+TabCuotasIMSS[[#This Row],[Alimentos]]+TabCuotasIMSS[[#This Row],[Prima Dominical]]+TabCuotasIMSS[[#This Row],[Factor de Integracion]],0)</f>
        <v>141.65753424657535</v>
      </c>
      <c r="K51" cm="1">
        <f t="array" ref="K51">VLOOKUP(TabCuotasIMSS[[#This Row],[ID]],TabAsistencias[],COLUMN(TabAsistencias[''I]),FALSE)+VLOOKUP(TabCuotasIMSS[[#This Row],[ID]],TabAsistencias[],COLUMN(TabAsistencias[''IG]),FALSE)</f>
        <v>0</v>
      </c>
      <c r="L51" cm="1">
        <f t="array" ref="L51">VLOOKUP(TabCuotasIMSS[[#This Row],[ID]],TabAsistencias[],COLUMN(TabAsistencias[''F]),FALSE)</f>
        <v>0</v>
      </c>
      <c r="M51" s="141">
        <f>TabCuotasIMSS[[#This Row],[S.B.C./S.D.I.]]*TabCuotasIMSS[[#This Row],[DÍAS
LAB.]]</f>
        <v>10341</v>
      </c>
      <c r="N51" s="141">
        <f>(SMDF*CF*(TabCuotasIMSS[[#This Row],[DÍAS
LAB.]]-TabCuotasIMSS[[#This Row],[INC]]))</f>
        <v>1432.90824</v>
      </c>
      <c r="O51" s="55">
        <f>IF(TabCuotasIMSS[[#This Row],[S.B.C./S.D.I.]]&gt;SMDF3,((TabCuotasIMSS[[#This Row],[S.B.C./S.D.I.]]-SMDF3)*CFP*(TabCuotasIMSS[[#This Row],[DÍAS
LAB.]]-TabCuotasIMSS[[#This Row],[INC]])),0)</f>
        <v>0</v>
      </c>
      <c r="P51" s="55">
        <f>IF(TabCuotasIMSS[[#This Row],[S.B.C./S.D.I.]]&gt;SMDF3,((TabCuotasIMSS[[#This Row],[S.B.C./S.D.I.]]-SMDF3)*CFO*(TabCuotasIMSS[[#This Row],[DÍAS
LAB.]]-TabCuotasIMSS[[#This Row],[INC]])),0)</f>
        <v>0</v>
      </c>
      <c r="Q51" s="55">
        <f>TabCuotasIMSS[[#This Row],[EXCED.
PATRON]]+TabCuotasIMSS[[#This Row],[EXCED.
OBRERO]]</f>
        <v>0</v>
      </c>
      <c r="R51" s="55">
        <f>IF(TabCuotasIMSS[[#This Row],[S.B.C./S.D.I.]]&lt;=SMGI,((TabCuotasIMSS[[#This Row],[SALARIO
DEL CICLO]]-(TabCuotasIMSS[[#This Row],[S.B.C./S.D.I.]]*TabCuotasIMSS[[#This Row],[INC]])))*PD,((TabCuotasIMSS[[#This Row],[SALARIO
DEL CICLO]]-(TabCuotasIMSS[[#This Row],[S.B.C./S.D.I.]]*TabCuotasIMSS[[#This Row],[INC]]))*PDP))</f>
        <v>98.239499999999992</v>
      </c>
      <c r="S51" s="55">
        <f>IF(TabCuotasIMSS[[#This Row],[S.B.C./S.D.I.]]&lt;=SMGI,0,((TabCuotasIMSS[[#This Row],[SALARIO
DEL CICLO]]-(TabCuotasIMSS[[#This Row],[S.B.C./S.D.I.]]*TabCuotasIMSS[[#This Row],[INC]]))*PDO))</f>
        <v>0</v>
      </c>
      <c r="T51" s="55">
        <f>TabCuotasIMSS[[#This Row],[PATRON2]]+TabCuotasIMSS[[#This Row],[OBRERO]]</f>
        <v>98.239499999999992</v>
      </c>
      <c r="U51" s="55">
        <f>IF(TabCuotasIMSS[[#This Row],[S.B.C./S.D.I.]]&lt;=SMGI,((TabCuotasIMSS[[#This Row],[SALARIO
DEL CICLO]]-(TabCuotasIMSS[[#This Row],[S.B.C./S.D.I.]]*TabCuotasIMSS[[#This Row],[INC]])))*GMP,((TabCuotasIMSS[[#This Row],[SALARIO
DEL CICLO]]-(TabCuotasIMSS[[#This Row],[S.B.C./S.D.I.]]*TabCuotasIMSS[[#This Row],[INC]])))*GMPP)</f>
        <v>147.35925</v>
      </c>
      <c r="V51" s="55">
        <f>IF(TabCuotasIMSS[[#This Row],[S.B.C./S.D.I.]]&lt;=SMGI,0,((TabCuotasIMSS[[#This Row],[SALARIO
DEL CICLO]]-(TabCuotasIMSS[[#This Row],[S.B.C./S.D.I.]]*TabCuotasIMSS[[#This Row],[INC]])))*GMPO)</f>
        <v>0</v>
      </c>
      <c r="W51" s="55">
        <f>TabCuotasIMSS[[#This Row],[PATRON3]]+TabCuotasIMSS[[#This Row],[OBRERO4]]</f>
        <v>147.35925</v>
      </c>
      <c r="X51" s="141">
        <f>((TabCuotasIMSS[[#This Row],[SALARIO
DEL CICLO]]-(TabCuotasIMSS[[#This Row],[S.B.C./S.D.I.]]*(TabCuotasIMSS[[#This Row],[INC]]+TabCuotasIMSS[[#This Row],[AUS]]))))*PRTP</f>
        <v>5170.5</v>
      </c>
      <c r="Y51" s="55">
        <f>IF(TabCuotasIMSS[[#This Row],[S.B.C./S.D.I.]]&lt;=SMGI,((TabCuotasIMSS[[#This Row],[SALARIO
DEL CICLO]]-(TabCuotasIMSS[[#This Row],[S.B.C./S.D.I.]]*(TabCuotasIMSS[[#This Row],[INC]]+TabCuotasIMSS[[#This Row],[AUS]]))))*IV,((TabCuotasIMSS[[#This Row],[SALARIO
DEL CICLO]]-(TabCuotasIMSS[[#This Row],[S.B.C./S.D.I.]]*(TabCuotasIMSS[[#This Row],[INC]]+TabCuotasIMSS[[#This Row],[AUS]]))))*IVP)</f>
        <v>245.59875</v>
      </c>
      <c r="Z51" s="55">
        <f>IF(TabCuotasIMSS[[#This Row],[S.B.C./S.D.I.]]&lt;=SMGI,0,((TabCuotasIMSS[[#This Row],[SALARIO
DEL CICLO]]-(TabCuotasIMSS[[#This Row],[S.B.C./S.D.I.]]*(TabCuotasIMSS[[#This Row],[INC]]+TabCuotasIMSS[[#This Row],[AUS]]))))*IVO)</f>
        <v>0</v>
      </c>
      <c r="AA51" s="55">
        <f>TabCuotasIMSS[[#This Row],[PATRON6]]+TabCuotasIMSS[[#This Row],[OBRERO7]]</f>
        <v>245.59875</v>
      </c>
      <c r="AB51" s="141">
        <f>((TabCuotasIMSS[[#This Row],[SALARIO
DEL CICLO]]-(TabCuotasIMSS[[#This Row],[S.B.C./S.D.I.]]*(TabCuotasIMSS[[#This Row],[INC]]+TabCuotasIMSS[[#This Row],[AUS]]))))*GPS</f>
        <v>103.41</v>
      </c>
      <c r="AC51" s="141">
        <f>TabCuotasIMSS[[#This Row],[SALARIO
DEL CICLO]]*0</f>
        <v>0</v>
      </c>
      <c r="AD51" s="141">
        <f>TabCuotasIMSS[[#This Row],[PATRON9]]+TabCuotasIMSS[[#This Row],[OBRERO10]]</f>
        <v>103.41</v>
      </c>
      <c r="AE51" s="233">
        <f>TabCuotasIMSS[[#This Row],[PATRON]]+TabCuotasIMSS[[#This Row],[EXCED.
PATRON]]+TabCuotasIMSS[[#This Row],[PATRON2]]+TabCuotasIMSS[[#This Row],[PATRON3]]+TabCuotasIMSS[[#This Row],[PATRON
0.50%]]+TabCuotasIMSS[[#This Row],[PATRON6]]+TabCuotasIMSS[[#This Row],[PATRON9]]</f>
        <v>7198.0157399999998</v>
      </c>
      <c r="AF51" s="233">
        <f>TabCuotasIMSS[[#This Row],[EXCED.
OBRERO]]+TabCuotasIMSS[[#This Row],[OBRERO]]+TabCuotasIMSS[[#This Row],[OBRERO4]]+TabCuotasIMSS[[#This Row],[OBRERO7]]+TabCuotasIMSS[[#This Row],[OBRERO10]]</f>
        <v>0</v>
      </c>
      <c r="AG51" s="233">
        <f>TabCuotasIMSS[[#This Row],[TOTAL
PATRONAL]]+TabCuotasIMSS[[#This Row],[TOTAL
OBRERO]]</f>
        <v>7198.0157399999998</v>
      </c>
      <c r="AH51" s="141">
        <f>((TabCuotasIMSS[[#This Row],[SALARIO
DEL CICLO]]-(TabCuotasIMSS[[#This Row],[S.B.C./S.D.I.]]*TabCuotasIMSS[[#This Row],[AUS]]))*R_)</f>
        <v>206.82</v>
      </c>
      <c r="AI51">
        <f>IF(TabCuotasIMSS[[#This Row],[S.B.C./S.D.I.]]&lt;=SMGI,((TabCuotasIMSS[[#This Row],[SALARIO
DEL CICLO]]-(TabCuotasIMSS[[#This Row],[S.B.C./S.D.I.]]*(TabCuotasIMSS[[#This Row],[INC]]+TabCuotasIMSS[[#This Row],[AUS]]))))*CV,((TabCuotasIMSS[[#This Row],[SALARIO
DEL CICLO]]-(TabCuotasIMSS[[#This Row],[S.B.C./S.D.I.]]*(TabCuotasIMSS[[#This Row],[INC]]+TabCuotasIMSS[[#This Row],[AUS]]))))*CVP)</f>
        <v>442.07775000000004</v>
      </c>
      <c r="AJ51">
        <f>IF(TabCuotasIMSS[[#This Row],[S.B.C./S.D.I.]]&lt;=SMGI,0,((TabCuotasIMSS[[#This Row],[SALARIO
DEL CICLO]]-(TabCuotasIMSS[[#This Row],[S.B.C./S.D.I.]]*(TabCuotasIMSS[[#This Row],[INC]]+TabCuotasIMSS[[#This Row],[AUS]]))))*CVO)</f>
        <v>0</v>
      </c>
      <c r="AK51">
        <f>SUM(TabCuotasIMSS[[#This Row],[2%]]:TabCuotasIMSS[[#This Row],[OBRERO14]])</f>
        <v>648.89775000000009</v>
      </c>
      <c r="AL51" s="141">
        <f>((TabCuotasIMSS[[#This Row],[SALARIO
DEL CICLO]]-(TabCuotasIMSS[[#This Row],[S.B.C./S.D.I.]]*(TabCuotasIMSS[[#This Row],[AUS]])))*I)</f>
        <v>517.05000000000007</v>
      </c>
      <c r="AM51" s="141">
        <f>TabCuotasIMSS[[#This Row],[TOTAL
O.P.11]]+TabCuotasIMSS[[#This Row],[2%]]+TabCuotasIMSS[[#This Row],[PATRON13]]+TabCuotasIMSS[[#This Row],[5%]]</f>
        <v>1269.3577500000001</v>
      </c>
      <c r="AN51" s="141">
        <f>TabCuotasIMSS[[#This Row],[TOTAL
OBRERO]]+TabCuotasIMSS[[#This Row],[OBRERO14]]</f>
        <v>0</v>
      </c>
    </row>
    <row r="52" spans="1:40" x14ac:dyDescent="0.25">
      <c r="A52" s="2">
        <v>44</v>
      </c>
      <c r="B52" s="1" cm="1">
        <f t="array" ref="B52">VLOOKUP(TabCuotasIMSS[[#This Row],[ID]],TabEmpleados[],COLUMN(TabEmpleados[Fecha de alta NSS]),FALSE)</f>
        <v>44509</v>
      </c>
      <c r="C52" t="str" cm="1">
        <f t="array" ref="C52">VLOOKUP(TabCuotasIMSS[[#This Row],[ID]],TabEmpleados[],COLUMN(TabEmpleados[Nombre]),FALSE)</f>
        <v>LORENZO GREGORIO JESUS OCTAVIANO</v>
      </c>
      <c r="D52" cm="1">
        <f t="array" ref="D52">IF(VLOOKUP(TabCuotasIMSS[[#This Row],[ID]],TabEmpleados[],COLUMN(TabEmpleados[Fecha de alta NSS]),FALSE)&lt;&gt;"",VLOOKUP(TabCuotasIMSS[[#This Row],[ID]],TabAsistencias[],COLUMN(TabAsistencias[''Total de dias laborados]),FALSE),0)</f>
        <v>73</v>
      </c>
      <c r="E52" cm="1">
        <f t="array" ref="E52">IF(VLOOKUP(TabCuotasIMSS[[#This Row],[ID]],TabEmpleados[],COLUMN(TabEmpleados[Fecha de alta NSS]),FALSE)&lt;&gt;"",IF(DATEDIF((VLOOKUP(TabCuotasIMSS[[#This Row],[ID]],TabEmpleados[],COLUMN(TabEmpleados[Fecha de alta NSS]),FALSE)),'Tablas de informacion'!N$8,"Y")=0,1,DATEDIF((VLOOKUP(TabCuotasIMSS[[#This Row],[ID]],TabEmpleados[],COLUMN(TabEmpleados[Fecha de alta NSS]),FALSE)),'Tablas de informacion'!N$8,"Y")),0)</f>
        <v>1</v>
      </c>
      <c r="F52" s="55" cm="1">
        <f t="array" ref="F52">VLOOKUP(TabCuotasIMSS[[#This Row],[ID]],TabEmpleados[],COLUMN(TabEmpleados[SD Fiscal]),FALSE)</f>
        <v>105</v>
      </c>
      <c r="G52" s="55" cm="1">
        <f t="array" ref="G52">IFERROR((VLOOKUP((VLOOKUP(TabCuotasIMSS[[#This Row],[ID]],TabEmpleados[],COLUMN(TabEmpleados[Puesto]),FALSE)),TabPuestos[],COLUMN(TabPuestos[N° ALIMENTOS]),FALSE))*TabCuotasIMSS[[#This Row],[Salario Diario]]*(VLOOKUP(TabCuotasIMSS[[#This Row],[Años]],TabFactorIntegracion[],COLUMN(TabFactorIntegracion[% por alimento]))),0)</f>
        <v>8.7464999999999993</v>
      </c>
      <c r="H52" s="55" cm="1">
        <f t="array" ref="H52">IFERROR((VLOOKUP((VLOOKUP(TabCuotasIMSS[[#This Row],[ID]],TabEmpleados[],COLUMN(TabEmpleados[Puesto]),FALSE)),TabPuestos[],COLUMN(TabPuestos[PRIMA DOMINICAL]),FALSE))*TabCuotasIMSS[[#This Row],[Salario Diario]]*(VLOOKUP(TabCuotasIMSS[[#This Row],[Años]],TabFactorIntegracion[],COLUMN(TabFactorIntegracion[PRIMA
DOMINICAL]))),0)</f>
        <v>1.905821917808219</v>
      </c>
      <c r="I52" s="55" cm="1">
        <f t="array" ref="I52">IFERROR(TabCuotasIMSS[[#This Row],[Salario Diario]]*(VLOOKUP(TabCuotasIMSS[[#This Row],[Años]],TabFactorIntegracion[],COLUMN(TabFactorIntegracion[FACTOR DE
INTEGRACIÓN]))),0)</f>
        <v>5.1780821917808222</v>
      </c>
      <c r="J52" s="174">
        <f>IFERROR(TabCuotasIMSS[[#This Row],[Salario Diario]]+TabCuotasIMSS[[#This Row],[Alimentos]]+TabCuotasIMSS[[#This Row],[Prima Dominical]]+TabCuotasIMSS[[#This Row],[Factor de Integracion]],0)</f>
        <v>120.83040410958904</v>
      </c>
      <c r="K52" cm="1">
        <f t="array" ref="K52">VLOOKUP(TabCuotasIMSS[[#This Row],[ID]],TabAsistencias[],COLUMN(TabAsistencias[''I]),FALSE)+VLOOKUP(TabCuotasIMSS[[#This Row],[ID]],TabAsistencias[],COLUMN(TabAsistencias[''IG]),FALSE)</f>
        <v>0</v>
      </c>
      <c r="L52" cm="1">
        <f t="array" ref="L52">VLOOKUP(TabCuotasIMSS[[#This Row],[ID]],TabAsistencias[],COLUMN(TabAsistencias[''F]),FALSE)</f>
        <v>0</v>
      </c>
      <c r="M52" s="141">
        <f>TabCuotasIMSS[[#This Row],[S.B.C./S.D.I.]]*TabCuotasIMSS[[#This Row],[DÍAS
LAB.]]</f>
        <v>8820.6195000000007</v>
      </c>
      <c r="N52" s="141">
        <f>(SMDF*CF*(TabCuotasIMSS[[#This Row],[DÍAS
LAB.]]-TabCuotasIMSS[[#This Row],[INC]]))</f>
        <v>1432.90824</v>
      </c>
      <c r="O52" s="55">
        <f>IF(TabCuotasIMSS[[#This Row],[S.B.C./S.D.I.]]&gt;SMDF3,((TabCuotasIMSS[[#This Row],[S.B.C./S.D.I.]]-SMDF3)*CFP*(TabCuotasIMSS[[#This Row],[DÍAS
LAB.]]-TabCuotasIMSS[[#This Row],[INC]])),0)</f>
        <v>0</v>
      </c>
      <c r="P52" s="55">
        <f>IF(TabCuotasIMSS[[#This Row],[S.B.C./S.D.I.]]&gt;SMDF3,((TabCuotasIMSS[[#This Row],[S.B.C./S.D.I.]]-SMDF3)*CFO*(TabCuotasIMSS[[#This Row],[DÍAS
LAB.]]-TabCuotasIMSS[[#This Row],[INC]])),0)</f>
        <v>0</v>
      </c>
      <c r="Q52" s="55">
        <f>TabCuotasIMSS[[#This Row],[EXCED.
PATRON]]+TabCuotasIMSS[[#This Row],[EXCED.
OBRERO]]</f>
        <v>0</v>
      </c>
      <c r="R52" s="55">
        <f>IF(TabCuotasIMSS[[#This Row],[S.B.C./S.D.I.]]&lt;=SMGI,((TabCuotasIMSS[[#This Row],[SALARIO
DEL CICLO]]-(TabCuotasIMSS[[#This Row],[S.B.C./S.D.I.]]*TabCuotasIMSS[[#This Row],[INC]])))*PD,((TabCuotasIMSS[[#This Row],[SALARIO
DEL CICLO]]-(TabCuotasIMSS[[#This Row],[S.B.C./S.D.I.]]*TabCuotasIMSS[[#This Row],[INC]]))*PDP))</f>
        <v>83.795885249999998</v>
      </c>
      <c r="S52" s="55">
        <f>IF(TabCuotasIMSS[[#This Row],[S.B.C./S.D.I.]]&lt;=SMGI,0,((TabCuotasIMSS[[#This Row],[SALARIO
DEL CICLO]]-(TabCuotasIMSS[[#This Row],[S.B.C./S.D.I.]]*TabCuotasIMSS[[#This Row],[INC]]))*PDO))</f>
        <v>0</v>
      </c>
      <c r="T52" s="55">
        <f>TabCuotasIMSS[[#This Row],[PATRON2]]+TabCuotasIMSS[[#This Row],[OBRERO]]</f>
        <v>83.795885249999998</v>
      </c>
      <c r="U52" s="55">
        <f>IF(TabCuotasIMSS[[#This Row],[S.B.C./S.D.I.]]&lt;=SMGI,((TabCuotasIMSS[[#This Row],[SALARIO
DEL CICLO]]-(TabCuotasIMSS[[#This Row],[S.B.C./S.D.I.]]*TabCuotasIMSS[[#This Row],[INC]])))*GMP,((TabCuotasIMSS[[#This Row],[SALARIO
DEL CICLO]]-(TabCuotasIMSS[[#This Row],[S.B.C./S.D.I.]]*TabCuotasIMSS[[#This Row],[INC]])))*GMPP)</f>
        <v>125.69382787500001</v>
      </c>
      <c r="V52" s="55">
        <f>IF(TabCuotasIMSS[[#This Row],[S.B.C./S.D.I.]]&lt;=SMGI,0,((TabCuotasIMSS[[#This Row],[SALARIO
DEL CICLO]]-(TabCuotasIMSS[[#This Row],[S.B.C./S.D.I.]]*TabCuotasIMSS[[#This Row],[INC]])))*GMPO)</f>
        <v>0</v>
      </c>
      <c r="W52" s="55">
        <f>TabCuotasIMSS[[#This Row],[PATRON3]]+TabCuotasIMSS[[#This Row],[OBRERO4]]</f>
        <v>125.69382787500001</v>
      </c>
      <c r="X52" s="141">
        <f>((TabCuotasIMSS[[#This Row],[SALARIO
DEL CICLO]]-(TabCuotasIMSS[[#This Row],[S.B.C./S.D.I.]]*(TabCuotasIMSS[[#This Row],[INC]]+TabCuotasIMSS[[#This Row],[AUS]]))))*PRTP</f>
        <v>4410.3097500000003</v>
      </c>
      <c r="Y52" s="55">
        <f>IF(TabCuotasIMSS[[#This Row],[S.B.C./S.D.I.]]&lt;=SMGI,((TabCuotasIMSS[[#This Row],[SALARIO
DEL CICLO]]-(TabCuotasIMSS[[#This Row],[S.B.C./S.D.I.]]*(TabCuotasIMSS[[#This Row],[INC]]+TabCuotasIMSS[[#This Row],[AUS]]))))*IV,((TabCuotasIMSS[[#This Row],[SALARIO
DEL CICLO]]-(TabCuotasIMSS[[#This Row],[S.B.C./S.D.I.]]*(TabCuotasIMSS[[#This Row],[INC]]+TabCuotasIMSS[[#This Row],[AUS]]))))*IVP)</f>
        <v>209.48971312500001</v>
      </c>
      <c r="Z52" s="55">
        <f>IF(TabCuotasIMSS[[#This Row],[S.B.C./S.D.I.]]&lt;=SMGI,0,((TabCuotasIMSS[[#This Row],[SALARIO
DEL CICLO]]-(TabCuotasIMSS[[#This Row],[S.B.C./S.D.I.]]*(TabCuotasIMSS[[#This Row],[INC]]+TabCuotasIMSS[[#This Row],[AUS]]))))*IVO)</f>
        <v>0</v>
      </c>
      <c r="AA52" s="55">
        <f>TabCuotasIMSS[[#This Row],[PATRON6]]+TabCuotasIMSS[[#This Row],[OBRERO7]]</f>
        <v>209.48971312500001</v>
      </c>
      <c r="AB52" s="141">
        <f>((TabCuotasIMSS[[#This Row],[SALARIO
DEL CICLO]]-(TabCuotasIMSS[[#This Row],[S.B.C./S.D.I.]]*(TabCuotasIMSS[[#This Row],[INC]]+TabCuotasIMSS[[#This Row],[AUS]]))))*GPS</f>
        <v>88.206195000000008</v>
      </c>
      <c r="AC52" s="141">
        <f>TabCuotasIMSS[[#This Row],[SALARIO
DEL CICLO]]*0</f>
        <v>0</v>
      </c>
      <c r="AD52" s="141">
        <f>TabCuotasIMSS[[#This Row],[PATRON9]]+TabCuotasIMSS[[#This Row],[OBRERO10]]</f>
        <v>88.206195000000008</v>
      </c>
      <c r="AE52" s="233">
        <f>TabCuotasIMSS[[#This Row],[PATRON]]+TabCuotasIMSS[[#This Row],[EXCED.
PATRON]]+TabCuotasIMSS[[#This Row],[PATRON2]]+TabCuotasIMSS[[#This Row],[PATRON3]]+TabCuotasIMSS[[#This Row],[PATRON
0.50%]]+TabCuotasIMSS[[#This Row],[PATRON6]]+TabCuotasIMSS[[#This Row],[PATRON9]]</f>
        <v>6350.4036112500007</v>
      </c>
      <c r="AF52" s="233">
        <f>TabCuotasIMSS[[#This Row],[EXCED.
OBRERO]]+TabCuotasIMSS[[#This Row],[OBRERO]]+TabCuotasIMSS[[#This Row],[OBRERO4]]+TabCuotasIMSS[[#This Row],[OBRERO7]]+TabCuotasIMSS[[#This Row],[OBRERO10]]</f>
        <v>0</v>
      </c>
      <c r="AG52" s="233">
        <f>TabCuotasIMSS[[#This Row],[TOTAL
PATRONAL]]+TabCuotasIMSS[[#This Row],[TOTAL
OBRERO]]</f>
        <v>6350.4036112500007</v>
      </c>
      <c r="AH52" s="141">
        <f>((TabCuotasIMSS[[#This Row],[SALARIO
DEL CICLO]]-(TabCuotasIMSS[[#This Row],[S.B.C./S.D.I.]]*TabCuotasIMSS[[#This Row],[AUS]]))*R_)</f>
        <v>176.41239000000002</v>
      </c>
      <c r="AI52">
        <f>IF(TabCuotasIMSS[[#This Row],[S.B.C./S.D.I.]]&lt;=SMGI,((TabCuotasIMSS[[#This Row],[SALARIO
DEL CICLO]]-(TabCuotasIMSS[[#This Row],[S.B.C./S.D.I.]]*(TabCuotasIMSS[[#This Row],[INC]]+TabCuotasIMSS[[#This Row],[AUS]]))))*CV,((TabCuotasIMSS[[#This Row],[SALARIO
DEL CICLO]]-(TabCuotasIMSS[[#This Row],[S.B.C./S.D.I.]]*(TabCuotasIMSS[[#This Row],[INC]]+TabCuotasIMSS[[#This Row],[AUS]]))))*CVP)</f>
        <v>377.08148362500003</v>
      </c>
      <c r="AJ52">
        <f>IF(TabCuotasIMSS[[#This Row],[S.B.C./S.D.I.]]&lt;=SMGI,0,((TabCuotasIMSS[[#This Row],[SALARIO
DEL CICLO]]-(TabCuotasIMSS[[#This Row],[S.B.C./S.D.I.]]*(TabCuotasIMSS[[#This Row],[INC]]+TabCuotasIMSS[[#This Row],[AUS]]))))*CVO)</f>
        <v>0</v>
      </c>
      <c r="AK52">
        <f>SUM(TabCuotasIMSS[[#This Row],[2%]]:TabCuotasIMSS[[#This Row],[OBRERO14]])</f>
        <v>553.49387362500011</v>
      </c>
      <c r="AL52" s="141">
        <f>((TabCuotasIMSS[[#This Row],[SALARIO
DEL CICLO]]-(TabCuotasIMSS[[#This Row],[S.B.C./S.D.I.]]*(TabCuotasIMSS[[#This Row],[AUS]])))*I)</f>
        <v>441.03097500000007</v>
      </c>
      <c r="AM52" s="141">
        <f>TabCuotasIMSS[[#This Row],[TOTAL
O.P.11]]+TabCuotasIMSS[[#This Row],[2%]]+TabCuotasIMSS[[#This Row],[PATRON13]]+TabCuotasIMSS[[#This Row],[5%]]</f>
        <v>1082.7310436250002</v>
      </c>
      <c r="AN52" s="141">
        <f>TabCuotasIMSS[[#This Row],[TOTAL
OBRERO]]+TabCuotasIMSS[[#This Row],[OBRERO14]]</f>
        <v>0</v>
      </c>
    </row>
    <row r="53" spans="1:40" x14ac:dyDescent="0.25">
      <c r="A53" s="2">
        <v>45</v>
      </c>
      <c r="B53" s="1" cm="1">
        <f t="array" ref="B53">VLOOKUP(TabCuotasIMSS[[#This Row],[ID]],TabEmpleados[],COLUMN(TabEmpleados[Fecha de alta NSS]),FALSE)</f>
        <v>42339</v>
      </c>
      <c r="C53" t="str" cm="1">
        <f t="array" ref="C53">VLOOKUP(TabCuotasIMSS[[#This Row],[ID]],TabEmpleados[],COLUMN(TabEmpleados[Nombre]),FALSE)</f>
        <v>CABRERA HEREDIA EDGAR OMAR</v>
      </c>
      <c r="D53" cm="1">
        <f t="array" ref="D53">IF(VLOOKUP(TabCuotasIMSS[[#This Row],[ID]],TabEmpleados[],COLUMN(TabEmpleados[Fecha de alta NSS]),FALSE)&lt;&gt;"",VLOOKUP(TabCuotasIMSS[[#This Row],[ID]],TabAsistencias[],COLUMN(TabAsistencias[''Total de dias laborados]),FALSE),0)</f>
        <v>73</v>
      </c>
      <c r="E53" cm="1">
        <f t="array" ref="E53">IF(VLOOKUP(TabCuotasIMSS[[#This Row],[ID]],TabEmpleados[],COLUMN(TabEmpleados[Fecha de alta NSS]),FALSE)&lt;&gt;"",IF(DATEDIF((VLOOKUP(TabCuotasIMSS[[#This Row],[ID]],TabEmpleados[],COLUMN(TabEmpleados[Fecha de alta NSS]),FALSE)),'Tablas de informacion'!N$8,"Y")=0,1,DATEDIF((VLOOKUP(TabCuotasIMSS[[#This Row],[ID]],TabEmpleados[],COLUMN(TabEmpleados[Fecha de alta NSS]),FALSE)),'Tablas de informacion'!N$8,"Y")),0)</f>
        <v>7</v>
      </c>
      <c r="F53" s="55" cm="1">
        <f t="array" ref="F53">VLOOKUP(TabCuotasIMSS[[#This Row],[ID]],TabEmpleados[],COLUMN(TabEmpleados[SD Fiscal]),FALSE)</f>
        <v>188</v>
      </c>
      <c r="G53" s="55" cm="1">
        <f t="array" ref="G53">IFERROR((VLOOKUP((VLOOKUP(TabCuotasIMSS[[#This Row],[ID]],TabEmpleados[],COLUMN(TabEmpleados[Puesto]),FALSE)),TabPuestos[],COLUMN(TabPuestos[N° ALIMENTOS]),FALSE))*TabCuotasIMSS[[#This Row],[Salario Diario]]*(VLOOKUP(TabCuotasIMSS[[#This Row],[Años]],TabFactorIntegracion[],COLUMN(TabFactorIntegracion[% por alimento]))),0)</f>
        <v>15.660399999999999</v>
      </c>
      <c r="H53" s="55" cm="1">
        <f t="array" ref="H53">IFERROR((VLOOKUP((VLOOKUP(TabCuotasIMSS[[#This Row],[ID]],TabEmpleados[],COLUMN(TabEmpleados[Puesto]),FALSE)),TabPuestos[],COLUMN(TabPuestos[PRIMA DOMINICAL]),FALSE))*TabCuotasIMSS[[#This Row],[Salario Diario]]*(VLOOKUP(TabCuotasIMSS[[#This Row],[Años]],TabFactorIntegracion[],COLUMN(TabFactorIntegracion[PRIMA
DOMINICAL]))),0)</f>
        <v>3.4123287671232871</v>
      </c>
      <c r="I53" s="55" cm="1">
        <f t="array" ref="I53">IFERROR(TabCuotasIMSS[[#This Row],[Salario Diario]]*(VLOOKUP(TabCuotasIMSS[[#This Row],[Años]],TabFactorIntegracion[],COLUMN(TabFactorIntegracion[FACTOR DE
INTEGRACIÓN]))),0)</f>
        <v>10.301369863013697</v>
      </c>
      <c r="J53" s="174">
        <f>IFERROR(TabCuotasIMSS[[#This Row],[Salario Diario]]+TabCuotasIMSS[[#This Row],[Alimentos]]+TabCuotasIMSS[[#This Row],[Prima Dominical]]+TabCuotasIMSS[[#This Row],[Factor de Integracion]],0)</f>
        <v>217.37409863013698</v>
      </c>
      <c r="K53" cm="1">
        <f t="array" ref="K53">VLOOKUP(TabCuotasIMSS[[#This Row],[ID]],TabAsistencias[],COLUMN(TabAsistencias[''I]),FALSE)+VLOOKUP(TabCuotasIMSS[[#This Row],[ID]],TabAsistencias[],COLUMN(TabAsistencias[''IG]),FALSE)</f>
        <v>0</v>
      </c>
      <c r="L53" cm="1">
        <f t="array" ref="L53">VLOOKUP(TabCuotasIMSS[[#This Row],[ID]],TabAsistencias[],COLUMN(TabAsistencias[''F]),FALSE)</f>
        <v>0</v>
      </c>
      <c r="M53" s="141">
        <f>TabCuotasIMSS[[#This Row],[S.B.C./S.D.I.]]*TabCuotasIMSS[[#This Row],[DÍAS
LAB.]]</f>
        <v>15868.3092</v>
      </c>
      <c r="N53" s="141">
        <f>(SMDF*CF*(TabCuotasIMSS[[#This Row],[DÍAS
LAB.]]-TabCuotasIMSS[[#This Row],[INC]]))</f>
        <v>1432.90824</v>
      </c>
      <c r="O53" s="55">
        <f>IF(TabCuotasIMSS[[#This Row],[S.B.C./S.D.I.]]&gt;SMDF3,((TabCuotasIMSS[[#This Row],[S.B.C./S.D.I.]]-SMDF3)*CFP*(TabCuotasIMSS[[#This Row],[DÍAS
LAB.]]-TabCuotasIMSS[[#This Row],[INC]])),0)</f>
        <v>0</v>
      </c>
      <c r="P53" s="55">
        <f>IF(TabCuotasIMSS[[#This Row],[S.B.C./S.D.I.]]&gt;SMDF3,((TabCuotasIMSS[[#This Row],[S.B.C./S.D.I.]]-SMDF3)*CFO*(TabCuotasIMSS[[#This Row],[DÍAS
LAB.]]-TabCuotasIMSS[[#This Row],[INC]])),0)</f>
        <v>0</v>
      </c>
      <c r="Q53" s="55">
        <f>TabCuotasIMSS[[#This Row],[EXCED.
PATRON]]+TabCuotasIMSS[[#This Row],[EXCED.
OBRERO]]</f>
        <v>0</v>
      </c>
      <c r="R53" s="55">
        <f>IF(TabCuotasIMSS[[#This Row],[S.B.C./S.D.I.]]&lt;=SMGI,((TabCuotasIMSS[[#This Row],[SALARIO
DEL CICLO]]-(TabCuotasIMSS[[#This Row],[S.B.C./S.D.I.]]*TabCuotasIMSS[[#This Row],[INC]])))*PD,((TabCuotasIMSS[[#This Row],[SALARIO
DEL CICLO]]-(TabCuotasIMSS[[#This Row],[S.B.C./S.D.I.]]*TabCuotasIMSS[[#This Row],[INC]]))*PDP))</f>
        <v>111.07816440000001</v>
      </c>
      <c r="S53" s="55">
        <f>IF(TabCuotasIMSS[[#This Row],[S.B.C./S.D.I.]]&lt;=SMGI,0,((TabCuotasIMSS[[#This Row],[SALARIO
DEL CICLO]]-(TabCuotasIMSS[[#This Row],[S.B.C./S.D.I.]]*TabCuotasIMSS[[#This Row],[INC]]))*PDO))</f>
        <v>39.670772999999997</v>
      </c>
      <c r="T53" s="55">
        <f>TabCuotasIMSS[[#This Row],[PATRON2]]+TabCuotasIMSS[[#This Row],[OBRERO]]</f>
        <v>150.74893739999999</v>
      </c>
      <c r="U53" s="55">
        <f>IF(TabCuotasIMSS[[#This Row],[S.B.C./S.D.I.]]&lt;=SMGI,((TabCuotasIMSS[[#This Row],[SALARIO
DEL CICLO]]-(TabCuotasIMSS[[#This Row],[S.B.C./S.D.I.]]*TabCuotasIMSS[[#This Row],[INC]])))*GMP,((TabCuotasIMSS[[#This Row],[SALARIO
DEL CICLO]]-(TabCuotasIMSS[[#This Row],[S.B.C./S.D.I.]]*TabCuotasIMSS[[#This Row],[INC]])))*GMPP)</f>
        <v>166.61724660000002</v>
      </c>
      <c r="V53" s="55">
        <f>IF(TabCuotasIMSS[[#This Row],[S.B.C./S.D.I.]]&lt;=SMGI,0,((TabCuotasIMSS[[#This Row],[SALARIO
DEL CICLO]]-(TabCuotasIMSS[[#This Row],[S.B.C./S.D.I.]]*TabCuotasIMSS[[#This Row],[INC]])))*GMPO)</f>
        <v>59.506159499999995</v>
      </c>
      <c r="W53" s="55">
        <f>TabCuotasIMSS[[#This Row],[PATRON3]]+TabCuotasIMSS[[#This Row],[OBRERO4]]</f>
        <v>226.12340610000001</v>
      </c>
      <c r="X53" s="141">
        <f>((TabCuotasIMSS[[#This Row],[SALARIO
DEL CICLO]]-(TabCuotasIMSS[[#This Row],[S.B.C./S.D.I.]]*(TabCuotasIMSS[[#This Row],[INC]]+TabCuotasIMSS[[#This Row],[AUS]]))))*PRTP</f>
        <v>7934.1545999999998</v>
      </c>
      <c r="Y53" s="55">
        <f>IF(TabCuotasIMSS[[#This Row],[S.B.C./S.D.I.]]&lt;=SMGI,((TabCuotasIMSS[[#This Row],[SALARIO
DEL CICLO]]-(TabCuotasIMSS[[#This Row],[S.B.C./S.D.I.]]*(TabCuotasIMSS[[#This Row],[INC]]+TabCuotasIMSS[[#This Row],[AUS]]))))*IV,((TabCuotasIMSS[[#This Row],[SALARIO
DEL CICLO]]-(TabCuotasIMSS[[#This Row],[S.B.C./S.D.I.]]*(TabCuotasIMSS[[#This Row],[INC]]+TabCuotasIMSS[[#This Row],[AUS]]))))*IVP)</f>
        <v>277.69541100000004</v>
      </c>
      <c r="Z53" s="55">
        <f>IF(TabCuotasIMSS[[#This Row],[S.B.C./S.D.I.]]&lt;=SMGI,0,((TabCuotasIMSS[[#This Row],[SALARIO
DEL CICLO]]-(TabCuotasIMSS[[#This Row],[S.B.C./S.D.I.]]*(TabCuotasIMSS[[#This Row],[INC]]+TabCuotasIMSS[[#This Row],[AUS]]))))*IVO)</f>
        <v>99.176932500000007</v>
      </c>
      <c r="AA53" s="55">
        <f>TabCuotasIMSS[[#This Row],[PATRON6]]+TabCuotasIMSS[[#This Row],[OBRERO7]]</f>
        <v>376.87234350000006</v>
      </c>
      <c r="AB53" s="141">
        <f>((TabCuotasIMSS[[#This Row],[SALARIO
DEL CICLO]]-(TabCuotasIMSS[[#This Row],[S.B.C./S.D.I.]]*(TabCuotasIMSS[[#This Row],[INC]]+TabCuotasIMSS[[#This Row],[AUS]]))))*GPS</f>
        <v>158.68309199999999</v>
      </c>
      <c r="AC53" s="141">
        <f>TabCuotasIMSS[[#This Row],[SALARIO
DEL CICLO]]*0</f>
        <v>0</v>
      </c>
      <c r="AD53" s="141">
        <f>TabCuotasIMSS[[#This Row],[PATRON9]]+TabCuotasIMSS[[#This Row],[OBRERO10]]</f>
        <v>158.68309199999999</v>
      </c>
      <c r="AE53" s="233">
        <f>TabCuotasIMSS[[#This Row],[PATRON]]+TabCuotasIMSS[[#This Row],[EXCED.
PATRON]]+TabCuotasIMSS[[#This Row],[PATRON2]]+TabCuotasIMSS[[#This Row],[PATRON3]]+TabCuotasIMSS[[#This Row],[PATRON
0.50%]]+TabCuotasIMSS[[#This Row],[PATRON6]]+TabCuotasIMSS[[#This Row],[PATRON9]]</f>
        <v>10081.136753999999</v>
      </c>
      <c r="AF53" s="233">
        <f>TabCuotasIMSS[[#This Row],[EXCED.
OBRERO]]+TabCuotasIMSS[[#This Row],[OBRERO]]+TabCuotasIMSS[[#This Row],[OBRERO4]]+TabCuotasIMSS[[#This Row],[OBRERO7]]+TabCuotasIMSS[[#This Row],[OBRERO10]]</f>
        <v>198.35386499999998</v>
      </c>
      <c r="AG53" s="233">
        <f>TabCuotasIMSS[[#This Row],[TOTAL
PATRONAL]]+TabCuotasIMSS[[#This Row],[TOTAL
OBRERO]]</f>
        <v>10279.490618999998</v>
      </c>
      <c r="AH53" s="141">
        <f>((TabCuotasIMSS[[#This Row],[SALARIO
DEL CICLO]]-(TabCuotasIMSS[[#This Row],[S.B.C./S.D.I.]]*TabCuotasIMSS[[#This Row],[AUS]]))*R_)</f>
        <v>317.36618399999998</v>
      </c>
      <c r="AI53">
        <f>IF(TabCuotasIMSS[[#This Row],[S.B.C./S.D.I.]]&lt;=SMGI,((TabCuotasIMSS[[#This Row],[SALARIO
DEL CICLO]]-(TabCuotasIMSS[[#This Row],[S.B.C./S.D.I.]]*(TabCuotasIMSS[[#This Row],[INC]]+TabCuotasIMSS[[#This Row],[AUS]]))))*CV,((TabCuotasIMSS[[#This Row],[SALARIO
DEL CICLO]]-(TabCuotasIMSS[[#This Row],[S.B.C./S.D.I.]]*(TabCuotasIMSS[[#This Row],[INC]]+TabCuotasIMSS[[#This Row],[AUS]]))))*CVP)</f>
        <v>499.85173980000002</v>
      </c>
      <c r="AJ53">
        <f>IF(TabCuotasIMSS[[#This Row],[S.B.C./S.D.I.]]&lt;=SMGI,0,((TabCuotasIMSS[[#This Row],[SALARIO
DEL CICLO]]-(TabCuotasIMSS[[#This Row],[S.B.C./S.D.I.]]*(TabCuotasIMSS[[#This Row],[INC]]+TabCuotasIMSS[[#This Row],[AUS]]))))*CVO)</f>
        <v>178.51847849999999</v>
      </c>
      <c r="AK53">
        <f>SUM(TabCuotasIMSS[[#This Row],[2%]]:TabCuotasIMSS[[#This Row],[OBRERO14]])</f>
        <v>995.73640230000001</v>
      </c>
      <c r="AL53" s="141">
        <f>((TabCuotasIMSS[[#This Row],[SALARIO
DEL CICLO]]-(TabCuotasIMSS[[#This Row],[S.B.C./S.D.I.]]*(TabCuotasIMSS[[#This Row],[AUS]])))*I)</f>
        <v>793.41546000000005</v>
      </c>
      <c r="AM53" s="141">
        <f>TabCuotasIMSS[[#This Row],[TOTAL
O.P.11]]+TabCuotasIMSS[[#This Row],[2%]]+TabCuotasIMSS[[#This Row],[PATRON13]]+TabCuotasIMSS[[#This Row],[5%]]</f>
        <v>1769.3164758</v>
      </c>
      <c r="AN53" s="141">
        <f>TabCuotasIMSS[[#This Row],[TOTAL
OBRERO]]+TabCuotasIMSS[[#This Row],[OBRERO14]]</f>
        <v>376.87234349999994</v>
      </c>
    </row>
    <row r="54" spans="1:40" x14ac:dyDescent="0.25">
      <c r="A54" s="2">
        <v>46</v>
      </c>
      <c r="B54" s="1" cm="1">
        <f t="array" ref="B54">VLOOKUP(TabCuotasIMSS[[#This Row],[ID]],TabEmpleados[],COLUMN(TabEmpleados[Fecha de alta NSS]),FALSE)</f>
        <v>44509</v>
      </c>
      <c r="C54" t="str" cm="1">
        <f t="array" ref="C54">VLOOKUP(TabCuotasIMSS[[#This Row],[ID]],TabEmpleados[],COLUMN(TabEmpleados[Nombre]),FALSE)</f>
        <v xml:space="preserve">REYES JUAREZ OSCAR </v>
      </c>
      <c r="D54" cm="1">
        <f t="array" ref="D54">IF(VLOOKUP(TabCuotasIMSS[[#This Row],[ID]],TabEmpleados[],COLUMN(TabEmpleados[Fecha de alta NSS]),FALSE)&lt;&gt;"",VLOOKUP(TabCuotasIMSS[[#This Row],[ID]],TabAsistencias[],COLUMN(TabAsistencias[''Total de dias laborados]),FALSE),0)</f>
        <v>73</v>
      </c>
      <c r="E54" cm="1">
        <f t="array" ref="E54">IF(VLOOKUP(TabCuotasIMSS[[#This Row],[ID]],TabEmpleados[],COLUMN(TabEmpleados[Fecha de alta NSS]),FALSE)&lt;&gt;"",IF(DATEDIF((VLOOKUP(TabCuotasIMSS[[#This Row],[ID]],TabEmpleados[],COLUMN(TabEmpleados[Fecha de alta NSS]),FALSE)),'Tablas de informacion'!N$8,"Y")=0,1,DATEDIF((VLOOKUP(TabCuotasIMSS[[#This Row],[ID]],TabEmpleados[],COLUMN(TabEmpleados[Fecha de alta NSS]),FALSE)),'Tablas de informacion'!N$8,"Y")),0)</f>
        <v>1</v>
      </c>
      <c r="F54" s="55" cm="1">
        <f t="array" ref="F54">VLOOKUP(TabCuotasIMSS[[#This Row],[ID]],TabEmpleados[],COLUMN(TabEmpleados[SD Fiscal]),FALSE)</f>
        <v>90</v>
      </c>
      <c r="G54" s="55" cm="1">
        <f t="array" ref="G54">IFERROR((VLOOKUP((VLOOKUP(TabCuotasIMSS[[#This Row],[ID]],TabEmpleados[],COLUMN(TabEmpleados[Puesto]),FALSE)),TabPuestos[],COLUMN(TabPuestos[N° ALIMENTOS]),FALSE))*TabCuotasIMSS[[#This Row],[Salario Diario]]*(VLOOKUP(TabCuotasIMSS[[#This Row],[Años]],TabFactorIntegracion[],COLUMN(TabFactorIntegracion[% por alimento]))),0)</f>
        <v>7.4969999999999999</v>
      </c>
      <c r="H54" s="55" cm="1">
        <f t="array" ref="H54">IFERROR((VLOOKUP((VLOOKUP(TabCuotasIMSS[[#This Row],[ID]],TabEmpleados[],COLUMN(TabEmpleados[Puesto]),FALSE)),TabPuestos[],COLUMN(TabPuestos[PRIMA DOMINICAL]),FALSE))*TabCuotasIMSS[[#This Row],[Salario Diario]]*(VLOOKUP(TabCuotasIMSS[[#This Row],[Años]],TabFactorIntegracion[],COLUMN(TabFactorIntegracion[PRIMA
DOMINICAL]))),0)</f>
        <v>1.6335616438356162</v>
      </c>
      <c r="I54" s="55" cm="1">
        <f t="array" ref="I54">IFERROR(TabCuotasIMSS[[#This Row],[Salario Diario]]*(VLOOKUP(TabCuotasIMSS[[#This Row],[Años]],TabFactorIntegracion[],COLUMN(TabFactorIntegracion[FACTOR DE
INTEGRACIÓN]))),0)</f>
        <v>4.4383561643835616</v>
      </c>
      <c r="J54" s="174">
        <f>IFERROR(TabCuotasIMSS[[#This Row],[Salario Diario]]+TabCuotasIMSS[[#This Row],[Alimentos]]+TabCuotasIMSS[[#This Row],[Prima Dominical]]+TabCuotasIMSS[[#This Row],[Factor de Integracion]],0)</f>
        <v>103.56891780821918</v>
      </c>
      <c r="K54" cm="1">
        <f t="array" ref="K54">VLOOKUP(TabCuotasIMSS[[#This Row],[ID]],TabAsistencias[],COLUMN(TabAsistencias[''I]),FALSE)+VLOOKUP(TabCuotasIMSS[[#This Row],[ID]],TabAsistencias[],COLUMN(TabAsistencias[''IG]),FALSE)</f>
        <v>0</v>
      </c>
      <c r="L54" cm="1">
        <f t="array" ref="L54">VLOOKUP(TabCuotasIMSS[[#This Row],[ID]],TabAsistencias[],COLUMN(TabAsistencias[''F]),FALSE)</f>
        <v>0</v>
      </c>
      <c r="M54" s="141">
        <f>TabCuotasIMSS[[#This Row],[S.B.C./S.D.I.]]*TabCuotasIMSS[[#This Row],[DÍAS
LAB.]]</f>
        <v>7560.5309999999999</v>
      </c>
      <c r="N54" s="141">
        <f>(SMDF*CF*(TabCuotasIMSS[[#This Row],[DÍAS
LAB.]]-TabCuotasIMSS[[#This Row],[INC]]))</f>
        <v>1432.90824</v>
      </c>
      <c r="O54" s="55">
        <f>IF(TabCuotasIMSS[[#This Row],[S.B.C./S.D.I.]]&gt;SMDF3,((TabCuotasIMSS[[#This Row],[S.B.C./S.D.I.]]-SMDF3)*CFP*(TabCuotasIMSS[[#This Row],[DÍAS
LAB.]]-TabCuotasIMSS[[#This Row],[INC]])),0)</f>
        <v>0</v>
      </c>
      <c r="P54" s="55">
        <f>IF(TabCuotasIMSS[[#This Row],[S.B.C./S.D.I.]]&gt;SMDF3,((TabCuotasIMSS[[#This Row],[S.B.C./S.D.I.]]-SMDF3)*CFO*(TabCuotasIMSS[[#This Row],[DÍAS
LAB.]]-TabCuotasIMSS[[#This Row],[INC]])),0)</f>
        <v>0</v>
      </c>
      <c r="Q54" s="55">
        <f>TabCuotasIMSS[[#This Row],[EXCED.
PATRON]]+TabCuotasIMSS[[#This Row],[EXCED.
OBRERO]]</f>
        <v>0</v>
      </c>
      <c r="R54" s="55">
        <f>IF(TabCuotasIMSS[[#This Row],[S.B.C./S.D.I.]]&lt;=SMGI,((TabCuotasIMSS[[#This Row],[SALARIO
DEL CICLO]]-(TabCuotasIMSS[[#This Row],[S.B.C./S.D.I.]]*TabCuotasIMSS[[#This Row],[INC]])))*PD,((TabCuotasIMSS[[#This Row],[SALARIO
DEL CICLO]]-(TabCuotasIMSS[[#This Row],[S.B.C./S.D.I.]]*TabCuotasIMSS[[#This Row],[INC]]))*PDP))</f>
        <v>71.825044500000004</v>
      </c>
      <c r="S54" s="55">
        <f>IF(TabCuotasIMSS[[#This Row],[S.B.C./S.D.I.]]&lt;=SMGI,0,((TabCuotasIMSS[[#This Row],[SALARIO
DEL CICLO]]-(TabCuotasIMSS[[#This Row],[S.B.C./S.D.I.]]*TabCuotasIMSS[[#This Row],[INC]]))*PDO))</f>
        <v>0</v>
      </c>
      <c r="T54" s="55">
        <f>TabCuotasIMSS[[#This Row],[PATRON2]]+TabCuotasIMSS[[#This Row],[OBRERO]]</f>
        <v>71.825044500000004</v>
      </c>
      <c r="U54" s="55">
        <f>IF(TabCuotasIMSS[[#This Row],[S.B.C./S.D.I.]]&lt;=SMGI,((TabCuotasIMSS[[#This Row],[SALARIO
DEL CICLO]]-(TabCuotasIMSS[[#This Row],[S.B.C./S.D.I.]]*TabCuotasIMSS[[#This Row],[INC]])))*GMP,((TabCuotasIMSS[[#This Row],[SALARIO
DEL CICLO]]-(TabCuotasIMSS[[#This Row],[S.B.C./S.D.I.]]*TabCuotasIMSS[[#This Row],[INC]])))*GMPP)</f>
        <v>107.73756675</v>
      </c>
      <c r="V54" s="55">
        <f>IF(TabCuotasIMSS[[#This Row],[S.B.C./S.D.I.]]&lt;=SMGI,0,((TabCuotasIMSS[[#This Row],[SALARIO
DEL CICLO]]-(TabCuotasIMSS[[#This Row],[S.B.C./S.D.I.]]*TabCuotasIMSS[[#This Row],[INC]])))*GMPO)</f>
        <v>0</v>
      </c>
      <c r="W54" s="55">
        <f>TabCuotasIMSS[[#This Row],[PATRON3]]+TabCuotasIMSS[[#This Row],[OBRERO4]]</f>
        <v>107.73756675</v>
      </c>
      <c r="X54" s="141">
        <f>((TabCuotasIMSS[[#This Row],[SALARIO
DEL CICLO]]-(TabCuotasIMSS[[#This Row],[S.B.C./S.D.I.]]*(TabCuotasIMSS[[#This Row],[INC]]+TabCuotasIMSS[[#This Row],[AUS]]))))*PRTP</f>
        <v>3780.2655</v>
      </c>
      <c r="Y54" s="55">
        <f>IF(TabCuotasIMSS[[#This Row],[S.B.C./S.D.I.]]&lt;=SMGI,((TabCuotasIMSS[[#This Row],[SALARIO
DEL CICLO]]-(TabCuotasIMSS[[#This Row],[S.B.C./S.D.I.]]*(TabCuotasIMSS[[#This Row],[INC]]+TabCuotasIMSS[[#This Row],[AUS]]))))*IV,((TabCuotasIMSS[[#This Row],[SALARIO
DEL CICLO]]-(TabCuotasIMSS[[#This Row],[S.B.C./S.D.I.]]*(TabCuotasIMSS[[#This Row],[INC]]+TabCuotasIMSS[[#This Row],[AUS]]))))*IVP)</f>
        <v>179.56261125</v>
      </c>
      <c r="Z54" s="55">
        <f>IF(TabCuotasIMSS[[#This Row],[S.B.C./S.D.I.]]&lt;=SMGI,0,((TabCuotasIMSS[[#This Row],[SALARIO
DEL CICLO]]-(TabCuotasIMSS[[#This Row],[S.B.C./S.D.I.]]*(TabCuotasIMSS[[#This Row],[INC]]+TabCuotasIMSS[[#This Row],[AUS]]))))*IVO)</f>
        <v>0</v>
      </c>
      <c r="AA54" s="55">
        <f>TabCuotasIMSS[[#This Row],[PATRON6]]+TabCuotasIMSS[[#This Row],[OBRERO7]]</f>
        <v>179.56261125</v>
      </c>
      <c r="AB54" s="141">
        <f>((TabCuotasIMSS[[#This Row],[SALARIO
DEL CICLO]]-(TabCuotasIMSS[[#This Row],[S.B.C./S.D.I.]]*(TabCuotasIMSS[[#This Row],[INC]]+TabCuotasIMSS[[#This Row],[AUS]]))))*GPS</f>
        <v>75.605310000000003</v>
      </c>
      <c r="AC54" s="141">
        <f>TabCuotasIMSS[[#This Row],[SALARIO
DEL CICLO]]*0</f>
        <v>0</v>
      </c>
      <c r="AD54" s="141">
        <f>TabCuotasIMSS[[#This Row],[PATRON9]]+TabCuotasIMSS[[#This Row],[OBRERO10]]</f>
        <v>75.605310000000003</v>
      </c>
      <c r="AE54" s="233">
        <f>TabCuotasIMSS[[#This Row],[PATRON]]+TabCuotasIMSS[[#This Row],[EXCED.
PATRON]]+TabCuotasIMSS[[#This Row],[PATRON2]]+TabCuotasIMSS[[#This Row],[PATRON3]]+TabCuotasIMSS[[#This Row],[PATRON
0.50%]]+TabCuotasIMSS[[#This Row],[PATRON6]]+TabCuotasIMSS[[#This Row],[PATRON9]]</f>
        <v>5647.9042724999999</v>
      </c>
      <c r="AF54" s="233">
        <f>TabCuotasIMSS[[#This Row],[EXCED.
OBRERO]]+TabCuotasIMSS[[#This Row],[OBRERO]]+TabCuotasIMSS[[#This Row],[OBRERO4]]+TabCuotasIMSS[[#This Row],[OBRERO7]]+TabCuotasIMSS[[#This Row],[OBRERO10]]</f>
        <v>0</v>
      </c>
      <c r="AG54" s="233">
        <f>TabCuotasIMSS[[#This Row],[TOTAL
PATRONAL]]+TabCuotasIMSS[[#This Row],[TOTAL
OBRERO]]</f>
        <v>5647.9042724999999</v>
      </c>
      <c r="AH54" s="141">
        <f>((TabCuotasIMSS[[#This Row],[SALARIO
DEL CICLO]]-(TabCuotasIMSS[[#This Row],[S.B.C./S.D.I.]]*TabCuotasIMSS[[#This Row],[AUS]]))*R_)</f>
        <v>151.21062000000001</v>
      </c>
      <c r="AI54">
        <f>IF(TabCuotasIMSS[[#This Row],[S.B.C./S.D.I.]]&lt;=SMGI,((TabCuotasIMSS[[#This Row],[SALARIO
DEL CICLO]]-(TabCuotasIMSS[[#This Row],[S.B.C./S.D.I.]]*(TabCuotasIMSS[[#This Row],[INC]]+TabCuotasIMSS[[#This Row],[AUS]]))))*CV,((TabCuotasIMSS[[#This Row],[SALARIO
DEL CICLO]]-(TabCuotasIMSS[[#This Row],[S.B.C./S.D.I.]]*(TabCuotasIMSS[[#This Row],[INC]]+TabCuotasIMSS[[#This Row],[AUS]]))))*CVP)</f>
        <v>323.21270025000001</v>
      </c>
      <c r="AJ54">
        <f>IF(TabCuotasIMSS[[#This Row],[S.B.C./S.D.I.]]&lt;=SMGI,0,((TabCuotasIMSS[[#This Row],[SALARIO
DEL CICLO]]-(TabCuotasIMSS[[#This Row],[S.B.C./S.D.I.]]*(TabCuotasIMSS[[#This Row],[INC]]+TabCuotasIMSS[[#This Row],[AUS]]))))*CVO)</f>
        <v>0</v>
      </c>
      <c r="AK54">
        <f>SUM(TabCuotasIMSS[[#This Row],[2%]]:TabCuotasIMSS[[#This Row],[OBRERO14]])</f>
        <v>474.42332025000002</v>
      </c>
      <c r="AL54" s="141">
        <f>((TabCuotasIMSS[[#This Row],[SALARIO
DEL CICLO]]-(TabCuotasIMSS[[#This Row],[S.B.C./S.D.I.]]*(TabCuotasIMSS[[#This Row],[AUS]])))*I)</f>
        <v>378.02655000000004</v>
      </c>
      <c r="AM54" s="141">
        <f>TabCuotasIMSS[[#This Row],[TOTAL
O.P.11]]+TabCuotasIMSS[[#This Row],[2%]]+TabCuotasIMSS[[#This Row],[PATRON13]]+TabCuotasIMSS[[#This Row],[5%]]</f>
        <v>928.05518025000003</v>
      </c>
      <c r="AN54" s="141">
        <f>TabCuotasIMSS[[#This Row],[TOTAL
OBRERO]]+TabCuotasIMSS[[#This Row],[OBRERO14]]</f>
        <v>0</v>
      </c>
    </row>
    <row r="55" spans="1:40" x14ac:dyDescent="0.25">
      <c r="A55" s="2">
        <v>47</v>
      </c>
      <c r="B55" s="1" cm="1">
        <f t="array" ref="B55">VLOOKUP(TabCuotasIMSS[[#This Row],[ID]],TabEmpleados[],COLUMN(TabEmpleados[Fecha de alta NSS]),FALSE)</f>
        <v>44509</v>
      </c>
      <c r="C55" t="str" cm="1">
        <f t="array" ref="C55">VLOOKUP(TabCuotasIMSS[[#This Row],[ID]],TabEmpleados[],COLUMN(TabEmpleados[Nombre]),FALSE)</f>
        <v xml:space="preserve">DIAZ LOPEZ ANTONIO DE JESUS </v>
      </c>
      <c r="D55" cm="1">
        <f t="array" ref="D55">IF(VLOOKUP(TabCuotasIMSS[[#This Row],[ID]],TabEmpleados[],COLUMN(TabEmpleados[Fecha de alta NSS]),FALSE)&lt;&gt;"",VLOOKUP(TabCuotasIMSS[[#This Row],[ID]],TabAsistencias[],COLUMN(TabAsistencias[''Total de dias laborados]),FALSE),0)</f>
        <v>73</v>
      </c>
      <c r="E55" cm="1">
        <f t="array" ref="E55">IF(VLOOKUP(TabCuotasIMSS[[#This Row],[ID]],TabEmpleados[],COLUMN(TabEmpleados[Fecha de alta NSS]),FALSE)&lt;&gt;"",IF(DATEDIF((VLOOKUP(TabCuotasIMSS[[#This Row],[ID]],TabEmpleados[],COLUMN(TabEmpleados[Fecha de alta NSS]),FALSE)),'Tablas de informacion'!N$8,"Y")=0,1,DATEDIF((VLOOKUP(TabCuotasIMSS[[#This Row],[ID]],TabEmpleados[],COLUMN(TabEmpleados[Fecha de alta NSS]),FALSE)),'Tablas de informacion'!N$8,"Y")),0)</f>
        <v>1</v>
      </c>
      <c r="F55" s="55" cm="1">
        <f t="array" ref="F55">VLOOKUP(TabCuotasIMSS[[#This Row],[ID]],TabEmpleados[],COLUMN(TabEmpleados[SD Fiscal]),FALSE)</f>
        <v>90</v>
      </c>
      <c r="G55" s="55" cm="1">
        <f t="array" ref="G55">IFERROR((VLOOKUP((VLOOKUP(TabCuotasIMSS[[#This Row],[ID]],TabEmpleados[],COLUMN(TabEmpleados[Puesto]),FALSE)),TabPuestos[],COLUMN(TabPuestos[N° ALIMENTOS]),FALSE))*TabCuotasIMSS[[#This Row],[Salario Diario]]*(VLOOKUP(TabCuotasIMSS[[#This Row],[Años]],TabFactorIntegracion[],COLUMN(TabFactorIntegracion[% por alimento]))),0)</f>
        <v>7.4969999999999999</v>
      </c>
      <c r="H55" s="55" cm="1">
        <f t="array" ref="H55">IFERROR((VLOOKUP((VLOOKUP(TabCuotasIMSS[[#This Row],[ID]],TabEmpleados[],COLUMN(TabEmpleados[Puesto]),FALSE)),TabPuestos[],COLUMN(TabPuestos[PRIMA DOMINICAL]),FALSE))*TabCuotasIMSS[[#This Row],[Salario Diario]]*(VLOOKUP(TabCuotasIMSS[[#This Row],[Años]],TabFactorIntegracion[],COLUMN(TabFactorIntegracion[PRIMA
DOMINICAL]))),0)</f>
        <v>1.6335616438356162</v>
      </c>
      <c r="I55" s="55" cm="1">
        <f t="array" ref="I55">IFERROR(TabCuotasIMSS[[#This Row],[Salario Diario]]*(VLOOKUP(TabCuotasIMSS[[#This Row],[Años]],TabFactorIntegracion[],COLUMN(TabFactorIntegracion[FACTOR DE
INTEGRACIÓN]))),0)</f>
        <v>4.4383561643835616</v>
      </c>
      <c r="J55" s="174">
        <f>IFERROR(TabCuotasIMSS[[#This Row],[Salario Diario]]+TabCuotasIMSS[[#This Row],[Alimentos]]+TabCuotasIMSS[[#This Row],[Prima Dominical]]+TabCuotasIMSS[[#This Row],[Factor de Integracion]],0)</f>
        <v>103.56891780821918</v>
      </c>
      <c r="K55" cm="1">
        <f t="array" ref="K55">VLOOKUP(TabCuotasIMSS[[#This Row],[ID]],TabAsistencias[],COLUMN(TabAsistencias[''I]),FALSE)+VLOOKUP(TabCuotasIMSS[[#This Row],[ID]],TabAsistencias[],COLUMN(TabAsistencias[''IG]),FALSE)</f>
        <v>0</v>
      </c>
      <c r="L55" cm="1">
        <f t="array" ref="L55">VLOOKUP(TabCuotasIMSS[[#This Row],[ID]],TabAsistencias[],COLUMN(TabAsistencias[''F]),FALSE)</f>
        <v>0</v>
      </c>
      <c r="M55" s="141">
        <f>TabCuotasIMSS[[#This Row],[S.B.C./S.D.I.]]*TabCuotasIMSS[[#This Row],[DÍAS
LAB.]]</f>
        <v>7560.5309999999999</v>
      </c>
      <c r="N55" s="141">
        <f>(SMDF*CF*(TabCuotasIMSS[[#This Row],[DÍAS
LAB.]]-TabCuotasIMSS[[#This Row],[INC]]))</f>
        <v>1432.90824</v>
      </c>
      <c r="O55" s="55">
        <f>IF(TabCuotasIMSS[[#This Row],[S.B.C./S.D.I.]]&gt;SMDF3,((TabCuotasIMSS[[#This Row],[S.B.C./S.D.I.]]-SMDF3)*CFP*(TabCuotasIMSS[[#This Row],[DÍAS
LAB.]]-TabCuotasIMSS[[#This Row],[INC]])),0)</f>
        <v>0</v>
      </c>
      <c r="P55" s="55">
        <f>IF(TabCuotasIMSS[[#This Row],[S.B.C./S.D.I.]]&gt;SMDF3,((TabCuotasIMSS[[#This Row],[S.B.C./S.D.I.]]-SMDF3)*CFO*(TabCuotasIMSS[[#This Row],[DÍAS
LAB.]]-TabCuotasIMSS[[#This Row],[INC]])),0)</f>
        <v>0</v>
      </c>
      <c r="Q55" s="55">
        <f>TabCuotasIMSS[[#This Row],[EXCED.
PATRON]]+TabCuotasIMSS[[#This Row],[EXCED.
OBRERO]]</f>
        <v>0</v>
      </c>
      <c r="R55" s="55">
        <f>IF(TabCuotasIMSS[[#This Row],[S.B.C./S.D.I.]]&lt;=SMGI,((TabCuotasIMSS[[#This Row],[SALARIO
DEL CICLO]]-(TabCuotasIMSS[[#This Row],[S.B.C./S.D.I.]]*TabCuotasIMSS[[#This Row],[INC]])))*PD,((TabCuotasIMSS[[#This Row],[SALARIO
DEL CICLO]]-(TabCuotasIMSS[[#This Row],[S.B.C./S.D.I.]]*TabCuotasIMSS[[#This Row],[INC]]))*PDP))</f>
        <v>71.825044500000004</v>
      </c>
      <c r="S55" s="55">
        <f>IF(TabCuotasIMSS[[#This Row],[S.B.C./S.D.I.]]&lt;=SMGI,0,((TabCuotasIMSS[[#This Row],[SALARIO
DEL CICLO]]-(TabCuotasIMSS[[#This Row],[S.B.C./S.D.I.]]*TabCuotasIMSS[[#This Row],[INC]]))*PDO))</f>
        <v>0</v>
      </c>
      <c r="T55" s="55">
        <f>TabCuotasIMSS[[#This Row],[PATRON2]]+TabCuotasIMSS[[#This Row],[OBRERO]]</f>
        <v>71.825044500000004</v>
      </c>
      <c r="U55" s="55">
        <f>IF(TabCuotasIMSS[[#This Row],[S.B.C./S.D.I.]]&lt;=SMGI,((TabCuotasIMSS[[#This Row],[SALARIO
DEL CICLO]]-(TabCuotasIMSS[[#This Row],[S.B.C./S.D.I.]]*TabCuotasIMSS[[#This Row],[INC]])))*GMP,((TabCuotasIMSS[[#This Row],[SALARIO
DEL CICLO]]-(TabCuotasIMSS[[#This Row],[S.B.C./S.D.I.]]*TabCuotasIMSS[[#This Row],[INC]])))*GMPP)</f>
        <v>107.73756675</v>
      </c>
      <c r="V55" s="55">
        <f>IF(TabCuotasIMSS[[#This Row],[S.B.C./S.D.I.]]&lt;=SMGI,0,((TabCuotasIMSS[[#This Row],[SALARIO
DEL CICLO]]-(TabCuotasIMSS[[#This Row],[S.B.C./S.D.I.]]*TabCuotasIMSS[[#This Row],[INC]])))*GMPO)</f>
        <v>0</v>
      </c>
      <c r="W55" s="55">
        <f>TabCuotasIMSS[[#This Row],[PATRON3]]+TabCuotasIMSS[[#This Row],[OBRERO4]]</f>
        <v>107.73756675</v>
      </c>
      <c r="X55" s="141">
        <f>((TabCuotasIMSS[[#This Row],[SALARIO
DEL CICLO]]-(TabCuotasIMSS[[#This Row],[S.B.C./S.D.I.]]*(TabCuotasIMSS[[#This Row],[INC]]+TabCuotasIMSS[[#This Row],[AUS]]))))*PRTP</f>
        <v>3780.2655</v>
      </c>
      <c r="Y55" s="55">
        <f>IF(TabCuotasIMSS[[#This Row],[S.B.C./S.D.I.]]&lt;=SMGI,((TabCuotasIMSS[[#This Row],[SALARIO
DEL CICLO]]-(TabCuotasIMSS[[#This Row],[S.B.C./S.D.I.]]*(TabCuotasIMSS[[#This Row],[INC]]+TabCuotasIMSS[[#This Row],[AUS]]))))*IV,((TabCuotasIMSS[[#This Row],[SALARIO
DEL CICLO]]-(TabCuotasIMSS[[#This Row],[S.B.C./S.D.I.]]*(TabCuotasIMSS[[#This Row],[INC]]+TabCuotasIMSS[[#This Row],[AUS]]))))*IVP)</f>
        <v>179.56261125</v>
      </c>
      <c r="Z55" s="55">
        <f>IF(TabCuotasIMSS[[#This Row],[S.B.C./S.D.I.]]&lt;=SMGI,0,((TabCuotasIMSS[[#This Row],[SALARIO
DEL CICLO]]-(TabCuotasIMSS[[#This Row],[S.B.C./S.D.I.]]*(TabCuotasIMSS[[#This Row],[INC]]+TabCuotasIMSS[[#This Row],[AUS]]))))*IVO)</f>
        <v>0</v>
      </c>
      <c r="AA55" s="55">
        <f>TabCuotasIMSS[[#This Row],[PATRON6]]+TabCuotasIMSS[[#This Row],[OBRERO7]]</f>
        <v>179.56261125</v>
      </c>
      <c r="AB55" s="141">
        <f>((TabCuotasIMSS[[#This Row],[SALARIO
DEL CICLO]]-(TabCuotasIMSS[[#This Row],[S.B.C./S.D.I.]]*(TabCuotasIMSS[[#This Row],[INC]]+TabCuotasIMSS[[#This Row],[AUS]]))))*GPS</f>
        <v>75.605310000000003</v>
      </c>
      <c r="AC55" s="141">
        <f>TabCuotasIMSS[[#This Row],[SALARIO
DEL CICLO]]*0</f>
        <v>0</v>
      </c>
      <c r="AD55" s="141">
        <f>TabCuotasIMSS[[#This Row],[PATRON9]]+TabCuotasIMSS[[#This Row],[OBRERO10]]</f>
        <v>75.605310000000003</v>
      </c>
      <c r="AE55" s="233">
        <f>TabCuotasIMSS[[#This Row],[PATRON]]+TabCuotasIMSS[[#This Row],[EXCED.
PATRON]]+TabCuotasIMSS[[#This Row],[PATRON2]]+TabCuotasIMSS[[#This Row],[PATRON3]]+TabCuotasIMSS[[#This Row],[PATRON
0.50%]]+TabCuotasIMSS[[#This Row],[PATRON6]]+TabCuotasIMSS[[#This Row],[PATRON9]]</f>
        <v>5647.9042724999999</v>
      </c>
      <c r="AF55" s="233">
        <f>TabCuotasIMSS[[#This Row],[EXCED.
OBRERO]]+TabCuotasIMSS[[#This Row],[OBRERO]]+TabCuotasIMSS[[#This Row],[OBRERO4]]+TabCuotasIMSS[[#This Row],[OBRERO7]]+TabCuotasIMSS[[#This Row],[OBRERO10]]</f>
        <v>0</v>
      </c>
      <c r="AG55" s="233">
        <f>TabCuotasIMSS[[#This Row],[TOTAL
PATRONAL]]+TabCuotasIMSS[[#This Row],[TOTAL
OBRERO]]</f>
        <v>5647.9042724999999</v>
      </c>
      <c r="AH55" s="141">
        <f>((TabCuotasIMSS[[#This Row],[SALARIO
DEL CICLO]]-(TabCuotasIMSS[[#This Row],[S.B.C./S.D.I.]]*TabCuotasIMSS[[#This Row],[AUS]]))*R_)</f>
        <v>151.21062000000001</v>
      </c>
      <c r="AI55">
        <f>IF(TabCuotasIMSS[[#This Row],[S.B.C./S.D.I.]]&lt;=SMGI,((TabCuotasIMSS[[#This Row],[SALARIO
DEL CICLO]]-(TabCuotasIMSS[[#This Row],[S.B.C./S.D.I.]]*(TabCuotasIMSS[[#This Row],[INC]]+TabCuotasIMSS[[#This Row],[AUS]]))))*CV,((TabCuotasIMSS[[#This Row],[SALARIO
DEL CICLO]]-(TabCuotasIMSS[[#This Row],[S.B.C./S.D.I.]]*(TabCuotasIMSS[[#This Row],[INC]]+TabCuotasIMSS[[#This Row],[AUS]]))))*CVP)</f>
        <v>323.21270025000001</v>
      </c>
      <c r="AJ55">
        <f>IF(TabCuotasIMSS[[#This Row],[S.B.C./S.D.I.]]&lt;=SMGI,0,((TabCuotasIMSS[[#This Row],[SALARIO
DEL CICLO]]-(TabCuotasIMSS[[#This Row],[S.B.C./S.D.I.]]*(TabCuotasIMSS[[#This Row],[INC]]+TabCuotasIMSS[[#This Row],[AUS]]))))*CVO)</f>
        <v>0</v>
      </c>
      <c r="AK55">
        <f>SUM(TabCuotasIMSS[[#This Row],[2%]]:TabCuotasIMSS[[#This Row],[OBRERO14]])</f>
        <v>474.42332025000002</v>
      </c>
      <c r="AL55" s="141">
        <f>((TabCuotasIMSS[[#This Row],[SALARIO
DEL CICLO]]-(TabCuotasIMSS[[#This Row],[S.B.C./S.D.I.]]*(TabCuotasIMSS[[#This Row],[AUS]])))*I)</f>
        <v>378.02655000000004</v>
      </c>
      <c r="AM55" s="141">
        <f>TabCuotasIMSS[[#This Row],[TOTAL
O.P.11]]+TabCuotasIMSS[[#This Row],[2%]]+TabCuotasIMSS[[#This Row],[PATRON13]]+TabCuotasIMSS[[#This Row],[5%]]</f>
        <v>928.05518025000003</v>
      </c>
      <c r="AN55" s="141">
        <f>TabCuotasIMSS[[#This Row],[TOTAL
OBRERO]]+TabCuotasIMSS[[#This Row],[OBRERO14]]</f>
        <v>0</v>
      </c>
    </row>
    <row r="56" spans="1:40" x14ac:dyDescent="0.25">
      <c r="A56" s="2">
        <v>48</v>
      </c>
      <c r="B56" s="1" cm="1">
        <f t="array" ref="B56">VLOOKUP(TabCuotasIMSS[[#This Row],[ID]],TabEmpleados[],COLUMN(TabEmpleados[Fecha de alta NSS]),FALSE)</f>
        <v>44509</v>
      </c>
      <c r="C56" t="str" cm="1">
        <f t="array" ref="C56">VLOOKUP(TabCuotasIMSS[[#This Row],[ID]],TabEmpleados[],COLUMN(TabEmpleados[Nombre]),FALSE)</f>
        <v>LOPEZ PEREZ CRISTIAN GUILLERMO</v>
      </c>
      <c r="D56" cm="1">
        <f t="array" ref="D56">IF(VLOOKUP(TabCuotasIMSS[[#This Row],[ID]],TabEmpleados[],COLUMN(TabEmpleados[Fecha de alta NSS]),FALSE)&lt;&gt;"",VLOOKUP(TabCuotasIMSS[[#This Row],[ID]],TabAsistencias[],COLUMN(TabAsistencias[''Total de dias laborados]),FALSE),0)</f>
        <v>73</v>
      </c>
      <c r="E56" cm="1">
        <f t="array" ref="E56">IF(VLOOKUP(TabCuotasIMSS[[#This Row],[ID]],TabEmpleados[],COLUMN(TabEmpleados[Fecha de alta NSS]),FALSE)&lt;&gt;"",IF(DATEDIF((VLOOKUP(TabCuotasIMSS[[#This Row],[ID]],TabEmpleados[],COLUMN(TabEmpleados[Fecha de alta NSS]),FALSE)),'Tablas de informacion'!N$8,"Y")=0,1,DATEDIF((VLOOKUP(TabCuotasIMSS[[#This Row],[ID]],TabEmpleados[],COLUMN(TabEmpleados[Fecha de alta NSS]),FALSE)),'Tablas de informacion'!N$8,"Y")),0)</f>
        <v>1</v>
      </c>
      <c r="F56" s="55" cm="1">
        <f t="array" ref="F56">VLOOKUP(TabCuotasIMSS[[#This Row],[ID]],TabEmpleados[],COLUMN(TabEmpleados[SD Fiscal]),FALSE)</f>
        <v>60</v>
      </c>
      <c r="G56" s="55" cm="1">
        <f t="array" ref="G56">IFERROR((VLOOKUP((VLOOKUP(TabCuotasIMSS[[#This Row],[ID]],TabEmpleados[],COLUMN(TabEmpleados[Puesto]),FALSE)),TabPuestos[],COLUMN(TabPuestos[N° ALIMENTOS]),FALSE))*TabCuotasIMSS[[#This Row],[Salario Diario]]*(VLOOKUP(TabCuotasIMSS[[#This Row],[Años]],TabFactorIntegracion[],COLUMN(TabFactorIntegracion[% por alimento]))),0)</f>
        <v>4.9980000000000002</v>
      </c>
      <c r="H56" s="55" cm="1">
        <f t="array" ref="H56">IFERROR((VLOOKUP((VLOOKUP(TabCuotasIMSS[[#This Row],[ID]],TabEmpleados[],COLUMN(TabEmpleados[Puesto]),FALSE)),TabPuestos[],COLUMN(TabPuestos[PRIMA DOMINICAL]),FALSE))*TabCuotasIMSS[[#This Row],[Salario Diario]]*(VLOOKUP(TabCuotasIMSS[[#This Row],[Años]],TabFactorIntegracion[],COLUMN(TabFactorIntegracion[PRIMA
DOMINICAL]))),0)</f>
        <v>1.0890410958904109</v>
      </c>
      <c r="I56" s="55" cm="1">
        <f t="array" ref="I56">IFERROR(TabCuotasIMSS[[#This Row],[Salario Diario]]*(VLOOKUP(TabCuotasIMSS[[#This Row],[Años]],TabFactorIntegracion[],COLUMN(TabFactorIntegracion[FACTOR DE
INTEGRACIÓN]))),0)</f>
        <v>2.9589041095890409</v>
      </c>
      <c r="J56" s="174">
        <f>IFERROR(TabCuotasIMSS[[#This Row],[Salario Diario]]+TabCuotasIMSS[[#This Row],[Alimentos]]+TabCuotasIMSS[[#This Row],[Prima Dominical]]+TabCuotasIMSS[[#This Row],[Factor de Integracion]],0)</f>
        <v>69.045945205479455</v>
      </c>
      <c r="K56" cm="1">
        <f t="array" ref="K56">VLOOKUP(TabCuotasIMSS[[#This Row],[ID]],TabAsistencias[],COLUMN(TabAsistencias[''I]),FALSE)+VLOOKUP(TabCuotasIMSS[[#This Row],[ID]],TabAsistencias[],COLUMN(TabAsistencias[''IG]),FALSE)</f>
        <v>0</v>
      </c>
      <c r="L56" cm="1">
        <f t="array" ref="L56">VLOOKUP(TabCuotasIMSS[[#This Row],[ID]],TabAsistencias[],COLUMN(TabAsistencias[''F]),FALSE)</f>
        <v>0</v>
      </c>
      <c r="M56" s="141">
        <f>TabCuotasIMSS[[#This Row],[S.B.C./S.D.I.]]*TabCuotasIMSS[[#This Row],[DÍAS
LAB.]]</f>
        <v>5040.3540000000003</v>
      </c>
      <c r="N56" s="141">
        <f>(SMDF*CF*(TabCuotasIMSS[[#This Row],[DÍAS
LAB.]]-TabCuotasIMSS[[#This Row],[INC]]))</f>
        <v>1432.90824</v>
      </c>
      <c r="O56" s="55">
        <f>IF(TabCuotasIMSS[[#This Row],[S.B.C./S.D.I.]]&gt;SMDF3,((TabCuotasIMSS[[#This Row],[S.B.C./S.D.I.]]-SMDF3)*CFP*(TabCuotasIMSS[[#This Row],[DÍAS
LAB.]]-TabCuotasIMSS[[#This Row],[INC]])),0)</f>
        <v>0</v>
      </c>
      <c r="P56" s="55">
        <f>IF(TabCuotasIMSS[[#This Row],[S.B.C./S.D.I.]]&gt;SMDF3,((TabCuotasIMSS[[#This Row],[S.B.C./S.D.I.]]-SMDF3)*CFO*(TabCuotasIMSS[[#This Row],[DÍAS
LAB.]]-TabCuotasIMSS[[#This Row],[INC]])),0)</f>
        <v>0</v>
      </c>
      <c r="Q56" s="55">
        <f>TabCuotasIMSS[[#This Row],[EXCED.
PATRON]]+TabCuotasIMSS[[#This Row],[EXCED.
OBRERO]]</f>
        <v>0</v>
      </c>
      <c r="R56" s="55">
        <f>IF(TabCuotasIMSS[[#This Row],[S.B.C./S.D.I.]]&lt;=SMGI,((TabCuotasIMSS[[#This Row],[SALARIO
DEL CICLO]]-(TabCuotasIMSS[[#This Row],[S.B.C./S.D.I.]]*TabCuotasIMSS[[#This Row],[INC]])))*PD,((TabCuotasIMSS[[#This Row],[SALARIO
DEL CICLO]]-(TabCuotasIMSS[[#This Row],[S.B.C./S.D.I.]]*TabCuotasIMSS[[#This Row],[INC]]))*PDP))</f>
        <v>47.883363000000003</v>
      </c>
      <c r="S56" s="55">
        <f>IF(TabCuotasIMSS[[#This Row],[S.B.C./S.D.I.]]&lt;=SMGI,0,((TabCuotasIMSS[[#This Row],[SALARIO
DEL CICLO]]-(TabCuotasIMSS[[#This Row],[S.B.C./S.D.I.]]*TabCuotasIMSS[[#This Row],[INC]]))*PDO))</f>
        <v>0</v>
      </c>
      <c r="T56" s="55">
        <f>TabCuotasIMSS[[#This Row],[PATRON2]]+TabCuotasIMSS[[#This Row],[OBRERO]]</f>
        <v>47.883363000000003</v>
      </c>
      <c r="U56" s="55">
        <f>IF(TabCuotasIMSS[[#This Row],[S.B.C./S.D.I.]]&lt;=SMGI,((TabCuotasIMSS[[#This Row],[SALARIO
DEL CICLO]]-(TabCuotasIMSS[[#This Row],[S.B.C./S.D.I.]]*TabCuotasIMSS[[#This Row],[INC]])))*GMP,((TabCuotasIMSS[[#This Row],[SALARIO
DEL CICLO]]-(TabCuotasIMSS[[#This Row],[S.B.C./S.D.I.]]*TabCuotasIMSS[[#This Row],[INC]])))*GMPP)</f>
        <v>71.825044500000004</v>
      </c>
      <c r="V56" s="55">
        <f>IF(TabCuotasIMSS[[#This Row],[S.B.C./S.D.I.]]&lt;=SMGI,0,((TabCuotasIMSS[[#This Row],[SALARIO
DEL CICLO]]-(TabCuotasIMSS[[#This Row],[S.B.C./S.D.I.]]*TabCuotasIMSS[[#This Row],[INC]])))*GMPO)</f>
        <v>0</v>
      </c>
      <c r="W56" s="55">
        <f>TabCuotasIMSS[[#This Row],[PATRON3]]+TabCuotasIMSS[[#This Row],[OBRERO4]]</f>
        <v>71.825044500000004</v>
      </c>
      <c r="X56" s="141">
        <f>((TabCuotasIMSS[[#This Row],[SALARIO
DEL CICLO]]-(TabCuotasIMSS[[#This Row],[S.B.C./S.D.I.]]*(TabCuotasIMSS[[#This Row],[INC]]+TabCuotasIMSS[[#This Row],[AUS]]))))*PRTP</f>
        <v>2520.1770000000001</v>
      </c>
      <c r="Y56" s="55">
        <f>IF(TabCuotasIMSS[[#This Row],[S.B.C./S.D.I.]]&lt;=SMGI,((TabCuotasIMSS[[#This Row],[SALARIO
DEL CICLO]]-(TabCuotasIMSS[[#This Row],[S.B.C./S.D.I.]]*(TabCuotasIMSS[[#This Row],[INC]]+TabCuotasIMSS[[#This Row],[AUS]]))))*IV,((TabCuotasIMSS[[#This Row],[SALARIO
DEL CICLO]]-(TabCuotasIMSS[[#This Row],[S.B.C./S.D.I.]]*(TabCuotasIMSS[[#This Row],[INC]]+TabCuotasIMSS[[#This Row],[AUS]]))))*IVP)</f>
        <v>119.70840750000001</v>
      </c>
      <c r="Z56" s="55">
        <f>IF(TabCuotasIMSS[[#This Row],[S.B.C./S.D.I.]]&lt;=SMGI,0,((TabCuotasIMSS[[#This Row],[SALARIO
DEL CICLO]]-(TabCuotasIMSS[[#This Row],[S.B.C./S.D.I.]]*(TabCuotasIMSS[[#This Row],[INC]]+TabCuotasIMSS[[#This Row],[AUS]]))))*IVO)</f>
        <v>0</v>
      </c>
      <c r="AA56" s="55">
        <f>TabCuotasIMSS[[#This Row],[PATRON6]]+TabCuotasIMSS[[#This Row],[OBRERO7]]</f>
        <v>119.70840750000001</v>
      </c>
      <c r="AB56" s="141">
        <f>((TabCuotasIMSS[[#This Row],[SALARIO
DEL CICLO]]-(TabCuotasIMSS[[#This Row],[S.B.C./S.D.I.]]*(TabCuotasIMSS[[#This Row],[INC]]+TabCuotasIMSS[[#This Row],[AUS]]))))*GPS</f>
        <v>50.403540000000007</v>
      </c>
      <c r="AC56" s="141">
        <f>TabCuotasIMSS[[#This Row],[SALARIO
DEL CICLO]]*0</f>
        <v>0</v>
      </c>
      <c r="AD56" s="141">
        <f>TabCuotasIMSS[[#This Row],[PATRON9]]+TabCuotasIMSS[[#This Row],[OBRERO10]]</f>
        <v>50.403540000000007</v>
      </c>
      <c r="AE56" s="233">
        <f>TabCuotasIMSS[[#This Row],[PATRON]]+TabCuotasIMSS[[#This Row],[EXCED.
PATRON]]+TabCuotasIMSS[[#This Row],[PATRON2]]+TabCuotasIMSS[[#This Row],[PATRON3]]+TabCuotasIMSS[[#This Row],[PATRON
0.50%]]+TabCuotasIMSS[[#This Row],[PATRON6]]+TabCuotasIMSS[[#This Row],[PATRON9]]</f>
        <v>4242.9055950000002</v>
      </c>
      <c r="AF56" s="233">
        <f>TabCuotasIMSS[[#This Row],[EXCED.
OBRERO]]+TabCuotasIMSS[[#This Row],[OBRERO]]+TabCuotasIMSS[[#This Row],[OBRERO4]]+TabCuotasIMSS[[#This Row],[OBRERO7]]+TabCuotasIMSS[[#This Row],[OBRERO10]]</f>
        <v>0</v>
      </c>
      <c r="AG56" s="233">
        <f>TabCuotasIMSS[[#This Row],[TOTAL
PATRONAL]]+TabCuotasIMSS[[#This Row],[TOTAL
OBRERO]]</f>
        <v>4242.9055950000002</v>
      </c>
      <c r="AH56" s="141">
        <f>((TabCuotasIMSS[[#This Row],[SALARIO
DEL CICLO]]-(TabCuotasIMSS[[#This Row],[S.B.C./S.D.I.]]*TabCuotasIMSS[[#This Row],[AUS]]))*R_)</f>
        <v>100.80708000000001</v>
      </c>
      <c r="AI56">
        <f>IF(TabCuotasIMSS[[#This Row],[S.B.C./S.D.I.]]&lt;=SMGI,((TabCuotasIMSS[[#This Row],[SALARIO
DEL CICLO]]-(TabCuotasIMSS[[#This Row],[S.B.C./S.D.I.]]*(TabCuotasIMSS[[#This Row],[INC]]+TabCuotasIMSS[[#This Row],[AUS]]))))*CV,((TabCuotasIMSS[[#This Row],[SALARIO
DEL CICLO]]-(TabCuotasIMSS[[#This Row],[S.B.C./S.D.I.]]*(TabCuotasIMSS[[#This Row],[INC]]+TabCuotasIMSS[[#This Row],[AUS]]))))*CVP)</f>
        <v>215.47513350000003</v>
      </c>
      <c r="AJ56">
        <f>IF(TabCuotasIMSS[[#This Row],[S.B.C./S.D.I.]]&lt;=SMGI,0,((TabCuotasIMSS[[#This Row],[SALARIO
DEL CICLO]]-(TabCuotasIMSS[[#This Row],[S.B.C./S.D.I.]]*(TabCuotasIMSS[[#This Row],[INC]]+TabCuotasIMSS[[#This Row],[AUS]]))))*CVO)</f>
        <v>0</v>
      </c>
      <c r="AK56">
        <f>SUM(TabCuotasIMSS[[#This Row],[2%]]:TabCuotasIMSS[[#This Row],[OBRERO14]])</f>
        <v>316.28221350000001</v>
      </c>
      <c r="AL56" s="141">
        <f>((TabCuotasIMSS[[#This Row],[SALARIO
DEL CICLO]]-(TabCuotasIMSS[[#This Row],[S.B.C./S.D.I.]]*(TabCuotasIMSS[[#This Row],[AUS]])))*I)</f>
        <v>252.01770000000002</v>
      </c>
      <c r="AM56" s="141">
        <f>TabCuotasIMSS[[#This Row],[TOTAL
O.P.11]]+TabCuotasIMSS[[#This Row],[2%]]+TabCuotasIMSS[[#This Row],[PATRON13]]+TabCuotasIMSS[[#This Row],[5%]]</f>
        <v>618.70345350000002</v>
      </c>
      <c r="AN56" s="141">
        <f>TabCuotasIMSS[[#This Row],[TOTAL
OBRERO]]+TabCuotasIMSS[[#This Row],[OBRERO14]]</f>
        <v>0</v>
      </c>
    </row>
    <row r="57" spans="1:40" x14ac:dyDescent="0.25">
      <c r="A57" s="2">
        <v>49</v>
      </c>
      <c r="B57" s="1" cm="1">
        <f t="array" ref="B57">VLOOKUP(TabCuotasIMSS[[#This Row],[ID]],TabEmpleados[],COLUMN(TabEmpleados[Fecha de alta NSS]),FALSE)</f>
        <v>44509</v>
      </c>
      <c r="C57" t="str" cm="1">
        <f t="array" ref="C57">VLOOKUP(TabCuotasIMSS[[#This Row],[ID]],TabEmpleados[],COLUMN(TabEmpleados[Nombre]),FALSE)</f>
        <v>JIMENEZ DOMINGUEZ ADAN CAYETANO</v>
      </c>
      <c r="D57" cm="1">
        <f t="array" ref="D57">IF(VLOOKUP(TabCuotasIMSS[[#This Row],[ID]],TabEmpleados[],COLUMN(TabEmpleados[Fecha de alta NSS]),FALSE)&lt;&gt;"",VLOOKUP(TabCuotasIMSS[[#This Row],[ID]],TabAsistencias[],COLUMN(TabAsistencias[''Total de dias laborados]),FALSE),0)</f>
        <v>73</v>
      </c>
      <c r="E57" cm="1">
        <f t="array" ref="E57">IF(VLOOKUP(TabCuotasIMSS[[#This Row],[ID]],TabEmpleados[],COLUMN(TabEmpleados[Fecha de alta NSS]),FALSE)&lt;&gt;"",IF(DATEDIF((VLOOKUP(TabCuotasIMSS[[#This Row],[ID]],TabEmpleados[],COLUMN(TabEmpleados[Fecha de alta NSS]),FALSE)),'Tablas de informacion'!N$8,"Y")=0,1,DATEDIF((VLOOKUP(TabCuotasIMSS[[#This Row],[ID]],TabEmpleados[],COLUMN(TabEmpleados[Fecha de alta NSS]),FALSE)),'Tablas de informacion'!N$8,"Y")),0)</f>
        <v>1</v>
      </c>
      <c r="F57" s="55" cm="1">
        <f t="array" ref="F57">VLOOKUP(TabCuotasIMSS[[#This Row],[ID]],TabEmpleados[],COLUMN(TabEmpleados[SD Fiscal]),FALSE)</f>
        <v>66</v>
      </c>
      <c r="G57" s="55" cm="1">
        <f t="array" ref="G57">IFERROR((VLOOKUP((VLOOKUP(TabCuotasIMSS[[#This Row],[ID]],TabEmpleados[],COLUMN(TabEmpleados[Puesto]),FALSE)),TabPuestos[],COLUMN(TabPuestos[N° ALIMENTOS]),FALSE))*TabCuotasIMSS[[#This Row],[Salario Diario]]*(VLOOKUP(TabCuotasIMSS[[#This Row],[Años]],TabFactorIntegracion[],COLUMN(TabFactorIntegracion[% por alimento]))),0)</f>
        <v>5.4977999999999998</v>
      </c>
      <c r="H57" s="55" cm="1">
        <f t="array" ref="H57">IFERROR((VLOOKUP((VLOOKUP(TabCuotasIMSS[[#This Row],[ID]],TabEmpleados[],COLUMN(TabEmpleados[Puesto]),FALSE)),TabPuestos[],COLUMN(TabPuestos[PRIMA DOMINICAL]),FALSE))*TabCuotasIMSS[[#This Row],[Salario Diario]]*(VLOOKUP(TabCuotasIMSS[[#This Row],[Años]],TabFactorIntegracion[],COLUMN(TabFactorIntegracion[PRIMA
DOMINICAL]))),0)</f>
        <v>1.1979452054794519</v>
      </c>
      <c r="I57" s="55" cm="1">
        <f t="array" ref="I57">IFERROR(TabCuotasIMSS[[#This Row],[Salario Diario]]*(VLOOKUP(TabCuotasIMSS[[#This Row],[Años]],TabFactorIntegracion[],COLUMN(TabFactorIntegracion[FACTOR DE
INTEGRACIÓN]))),0)</f>
        <v>3.2547945205479452</v>
      </c>
      <c r="J57" s="174">
        <f>IFERROR(TabCuotasIMSS[[#This Row],[Salario Diario]]+TabCuotasIMSS[[#This Row],[Alimentos]]+TabCuotasIMSS[[#This Row],[Prima Dominical]]+TabCuotasIMSS[[#This Row],[Factor de Integracion]],0)</f>
        <v>75.950539726027401</v>
      </c>
      <c r="K57" cm="1">
        <f t="array" ref="K57">VLOOKUP(TabCuotasIMSS[[#This Row],[ID]],TabAsistencias[],COLUMN(TabAsistencias[''I]),FALSE)+VLOOKUP(TabCuotasIMSS[[#This Row],[ID]],TabAsistencias[],COLUMN(TabAsistencias[''IG]),FALSE)</f>
        <v>0</v>
      </c>
      <c r="L57" cm="1">
        <f t="array" ref="L57">VLOOKUP(TabCuotasIMSS[[#This Row],[ID]],TabAsistencias[],COLUMN(TabAsistencias[''F]),FALSE)</f>
        <v>0</v>
      </c>
      <c r="M57" s="141">
        <f>TabCuotasIMSS[[#This Row],[S.B.C./S.D.I.]]*TabCuotasIMSS[[#This Row],[DÍAS
LAB.]]</f>
        <v>5544.3894</v>
      </c>
      <c r="N57" s="141">
        <f>(SMDF*CF*(TabCuotasIMSS[[#This Row],[DÍAS
LAB.]]-TabCuotasIMSS[[#This Row],[INC]]))</f>
        <v>1432.90824</v>
      </c>
      <c r="O57" s="55">
        <f>IF(TabCuotasIMSS[[#This Row],[S.B.C./S.D.I.]]&gt;SMDF3,((TabCuotasIMSS[[#This Row],[S.B.C./S.D.I.]]-SMDF3)*CFP*(TabCuotasIMSS[[#This Row],[DÍAS
LAB.]]-TabCuotasIMSS[[#This Row],[INC]])),0)</f>
        <v>0</v>
      </c>
      <c r="P57" s="55">
        <f>IF(TabCuotasIMSS[[#This Row],[S.B.C./S.D.I.]]&gt;SMDF3,((TabCuotasIMSS[[#This Row],[S.B.C./S.D.I.]]-SMDF3)*CFO*(TabCuotasIMSS[[#This Row],[DÍAS
LAB.]]-TabCuotasIMSS[[#This Row],[INC]])),0)</f>
        <v>0</v>
      </c>
      <c r="Q57" s="55">
        <f>TabCuotasIMSS[[#This Row],[EXCED.
PATRON]]+TabCuotasIMSS[[#This Row],[EXCED.
OBRERO]]</f>
        <v>0</v>
      </c>
      <c r="R57" s="55">
        <f>IF(TabCuotasIMSS[[#This Row],[S.B.C./S.D.I.]]&lt;=SMGI,((TabCuotasIMSS[[#This Row],[SALARIO
DEL CICLO]]-(TabCuotasIMSS[[#This Row],[S.B.C./S.D.I.]]*TabCuotasIMSS[[#This Row],[INC]])))*PD,((TabCuotasIMSS[[#This Row],[SALARIO
DEL CICLO]]-(TabCuotasIMSS[[#This Row],[S.B.C./S.D.I.]]*TabCuotasIMSS[[#This Row],[INC]]))*PDP))</f>
        <v>52.6716993</v>
      </c>
      <c r="S57" s="55">
        <f>IF(TabCuotasIMSS[[#This Row],[S.B.C./S.D.I.]]&lt;=SMGI,0,((TabCuotasIMSS[[#This Row],[SALARIO
DEL CICLO]]-(TabCuotasIMSS[[#This Row],[S.B.C./S.D.I.]]*TabCuotasIMSS[[#This Row],[INC]]))*PDO))</f>
        <v>0</v>
      </c>
      <c r="T57" s="55">
        <f>TabCuotasIMSS[[#This Row],[PATRON2]]+TabCuotasIMSS[[#This Row],[OBRERO]]</f>
        <v>52.6716993</v>
      </c>
      <c r="U57" s="55">
        <f>IF(TabCuotasIMSS[[#This Row],[S.B.C./S.D.I.]]&lt;=SMGI,((TabCuotasIMSS[[#This Row],[SALARIO
DEL CICLO]]-(TabCuotasIMSS[[#This Row],[S.B.C./S.D.I.]]*TabCuotasIMSS[[#This Row],[INC]])))*GMP,((TabCuotasIMSS[[#This Row],[SALARIO
DEL CICLO]]-(TabCuotasIMSS[[#This Row],[S.B.C./S.D.I.]]*TabCuotasIMSS[[#This Row],[INC]])))*GMPP)</f>
        <v>79.00754895</v>
      </c>
      <c r="V57" s="55">
        <f>IF(TabCuotasIMSS[[#This Row],[S.B.C./S.D.I.]]&lt;=SMGI,0,((TabCuotasIMSS[[#This Row],[SALARIO
DEL CICLO]]-(TabCuotasIMSS[[#This Row],[S.B.C./S.D.I.]]*TabCuotasIMSS[[#This Row],[INC]])))*GMPO)</f>
        <v>0</v>
      </c>
      <c r="W57" s="55">
        <f>TabCuotasIMSS[[#This Row],[PATRON3]]+TabCuotasIMSS[[#This Row],[OBRERO4]]</f>
        <v>79.00754895</v>
      </c>
      <c r="X57" s="141">
        <f>((TabCuotasIMSS[[#This Row],[SALARIO
DEL CICLO]]-(TabCuotasIMSS[[#This Row],[S.B.C./S.D.I.]]*(TabCuotasIMSS[[#This Row],[INC]]+TabCuotasIMSS[[#This Row],[AUS]]))))*PRTP</f>
        <v>2772.1947</v>
      </c>
      <c r="Y57" s="55">
        <f>IF(TabCuotasIMSS[[#This Row],[S.B.C./S.D.I.]]&lt;=SMGI,((TabCuotasIMSS[[#This Row],[SALARIO
DEL CICLO]]-(TabCuotasIMSS[[#This Row],[S.B.C./S.D.I.]]*(TabCuotasIMSS[[#This Row],[INC]]+TabCuotasIMSS[[#This Row],[AUS]]))))*IV,((TabCuotasIMSS[[#This Row],[SALARIO
DEL CICLO]]-(TabCuotasIMSS[[#This Row],[S.B.C./S.D.I.]]*(TabCuotasIMSS[[#This Row],[INC]]+TabCuotasIMSS[[#This Row],[AUS]]))))*IVP)</f>
        <v>131.67924825</v>
      </c>
      <c r="Z57" s="55">
        <f>IF(TabCuotasIMSS[[#This Row],[S.B.C./S.D.I.]]&lt;=SMGI,0,((TabCuotasIMSS[[#This Row],[SALARIO
DEL CICLO]]-(TabCuotasIMSS[[#This Row],[S.B.C./S.D.I.]]*(TabCuotasIMSS[[#This Row],[INC]]+TabCuotasIMSS[[#This Row],[AUS]]))))*IVO)</f>
        <v>0</v>
      </c>
      <c r="AA57" s="55">
        <f>TabCuotasIMSS[[#This Row],[PATRON6]]+TabCuotasIMSS[[#This Row],[OBRERO7]]</f>
        <v>131.67924825</v>
      </c>
      <c r="AB57" s="141">
        <f>((TabCuotasIMSS[[#This Row],[SALARIO
DEL CICLO]]-(TabCuotasIMSS[[#This Row],[S.B.C./S.D.I.]]*(TabCuotasIMSS[[#This Row],[INC]]+TabCuotasIMSS[[#This Row],[AUS]]))))*GPS</f>
        <v>55.443894</v>
      </c>
      <c r="AC57" s="141">
        <f>TabCuotasIMSS[[#This Row],[SALARIO
DEL CICLO]]*0</f>
        <v>0</v>
      </c>
      <c r="AD57" s="141">
        <f>TabCuotasIMSS[[#This Row],[PATRON9]]+TabCuotasIMSS[[#This Row],[OBRERO10]]</f>
        <v>55.443894</v>
      </c>
      <c r="AE57" s="233">
        <f>TabCuotasIMSS[[#This Row],[PATRON]]+TabCuotasIMSS[[#This Row],[EXCED.
PATRON]]+TabCuotasIMSS[[#This Row],[PATRON2]]+TabCuotasIMSS[[#This Row],[PATRON3]]+TabCuotasIMSS[[#This Row],[PATRON
0.50%]]+TabCuotasIMSS[[#This Row],[PATRON6]]+TabCuotasIMSS[[#This Row],[PATRON9]]</f>
        <v>4523.9053304999998</v>
      </c>
      <c r="AF57" s="233">
        <f>TabCuotasIMSS[[#This Row],[EXCED.
OBRERO]]+TabCuotasIMSS[[#This Row],[OBRERO]]+TabCuotasIMSS[[#This Row],[OBRERO4]]+TabCuotasIMSS[[#This Row],[OBRERO7]]+TabCuotasIMSS[[#This Row],[OBRERO10]]</f>
        <v>0</v>
      </c>
      <c r="AG57" s="233">
        <f>TabCuotasIMSS[[#This Row],[TOTAL
PATRONAL]]+TabCuotasIMSS[[#This Row],[TOTAL
OBRERO]]</f>
        <v>4523.9053304999998</v>
      </c>
      <c r="AH57" s="141">
        <f>((TabCuotasIMSS[[#This Row],[SALARIO
DEL CICLO]]-(TabCuotasIMSS[[#This Row],[S.B.C./S.D.I.]]*TabCuotasIMSS[[#This Row],[AUS]]))*R_)</f>
        <v>110.887788</v>
      </c>
      <c r="AI57">
        <f>IF(TabCuotasIMSS[[#This Row],[S.B.C./S.D.I.]]&lt;=SMGI,((TabCuotasIMSS[[#This Row],[SALARIO
DEL CICLO]]-(TabCuotasIMSS[[#This Row],[S.B.C./S.D.I.]]*(TabCuotasIMSS[[#This Row],[INC]]+TabCuotasIMSS[[#This Row],[AUS]]))))*CV,((TabCuotasIMSS[[#This Row],[SALARIO
DEL CICLO]]-(TabCuotasIMSS[[#This Row],[S.B.C./S.D.I.]]*(TabCuotasIMSS[[#This Row],[INC]]+TabCuotasIMSS[[#This Row],[AUS]]))))*CVP)</f>
        <v>237.02264685000003</v>
      </c>
      <c r="AJ57">
        <f>IF(TabCuotasIMSS[[#This Row],[S.B.C./S.D.I.]]&lt;=SMGI,0,((TabCuotasIMSS[[#This Row],[SALARIO
DEL CICLO]]-(TabCuotasIMSS[[#This Row],[S.B.C./S.D.I.]]*(TabCuotasIMSS[[#This Row],[INC]]+TabCuotasIMSS[[#This Row],[AUS]]))))*CVO)</f>
        <v>0</v>
      </c>
      <c r="AK57">
        <f>SUM(TabCuotasIMSS[[#This Row],[2%]]:TabCuotasIMSS[[#This Row],[OBRERO14]])</f>
        <v>347.91043485</v>
      </c>
      <c r="AL57" s="141">
        <f>((TabCuotasIMSS[[#This Row],[SALARIO
DEL CICLO]]-(TabCuotasIMSS[[#This Row],[S.B.C./S.D.I.]]*(TabCuotasIMSS[[#This Row],[AUS]])))*I)</f>
        <v>277.21947</v>
      </c>
      <c r="AM57" s="141">
        <f>TabCuotasIMSS[[#This Row],[TOTAL
O.P.11]]+TabCuotasIMSS[[#This Row],[2%]]+TabCuotasIMSS[[#This Row],[PATRON13]]+TabCuotasIMSS[[#This Row],[5%]]</f>
        <v>680.57379885</v>
      </c>
      <c r="AN57" s="141">
        <f>TabCuotasIMSS[[#This Row],[TOTAL
OBRERO]]+TabCuotasIMSS[[#This Row],[OBRERO14]]</f>
        <v>0</v>
      </c>
    </row>
    <row r="58" spans="1:40" x14ac:dyDescent="0.25">
      <c r="A58" s="2">
        <v>50</v>
      </c>
      <c r="B58" s="1" cm="1">
        <f t="array" ref="B58">VLOOKUP(TabCuotasIMSS[[#This Row],[ID]],TabEmpleados[],COLUMN(TabEmpleados[Fecha de alta NSS]),FALSE)</f>
        <v>44509</v>
      </c>
      <c r="C58" t="str" cm="1">
        <f t="array" ref="C58">VLOOKUP(TabCuotasIMSS[[#This Row],[ID]],TabEmpleados[],COLUMN(TabEmpleados[Nombre]),FALSE)</f>
        <v>OSORIO LOPEZ NATAN</v>
      </c>
      <c r="D58" cm="1">
        <f t="array" ref="D58">IF(VLOOKUP(TabCuotasIMSS[[#This Row],[ID]],TabEmpleados[],COLUMN(TabEmpleados[Fecha de alta NSS]),FALSE)&lt;&gt;"",VLOOKUP(TabCuotasIMSS[[#This Row],[ID]],TabAsistencias[],COLUMN(TabAsistencias[''Total de dias laborados]),FALSE),0)</f>
        <v>73</v>
      </c>
      <c r="E58" cm="1">
        <f t="array" ref="E58">IF(VLOOKUP(TabCuotasIMSS[[#This Row],[ID]],TabEmpleados[],COLUMN(TabEmpleados[Fecha de alta NSS]),FALSE)&lt;&gt;"",IF(DATEDIF((VLOOKUP(TabCuotasIMSS[[#This Row],[ID]],TabEmpleados[],COLUMN(TabEmpleados[Fecha de alta NSS]),FALSE)),'Tablas de informacion'!N$8,"Y")=0,1,DATEDIF((VLOOKUP(TabCuotasIMSS[[#This Row],[ID]],TabEmpleados[],COLUMN(TabEmpleados[Fecha de alta NSS]),FALSE)),'Tablas de informacion'!N$8,"Y")),0)</f>
        <v>1</v>
      </c>
      <c r="F58" s="55" cm="1">
        <f t="array" ref="F58">VLOOKUP(TabCuotasIMSS[[#This Row],[ID]],TabEmpleados[],COLUMN(TabEmpleados[SD Fiscal]),FALSE)</f>
        <v>75</v>
      </c>
      <c r="G58" s="55" cm="1">
        <f t="array" ref="G58">IFERROR((VLOOKUP((VLOOKUP(TabCuotasIMSS[[#This Row],[ID]],TabEmpleados[],COLUMN(TabEmpleados[Puesto]),FALSE)),TabPuestos[],COLUMN(TabPuestos[N° ALIMENTOS]),FALSE))*TabCuotasIMSS[[#This Row],[Salario Diario]]*(VLOOKUP(TabCuotasIMSS[[#This Row],[Años]],TabFactorIntegracion[],COLUMN(TabFactorIntegracion[% por alimento]))),0)</f>
        <v>6.2474999999999996</v>
      </c>
      <c r="H58" s="55" cm="1">
        <f t="array" ref="H58">IFERROR((VLOOKUP((VLOOKUP(TabCuotasIMSS[[#This Row],[ID]],TabEmpleados[],COLUMN(TabEmpleados[Puesto]),FALSE)),TabPuestos[],COLUMN(TabPuestos[PRIMA DOMINICAL]),FALSE))*TabCuotasIMSS[[#This Row],[Salario Diario]]*(VLOOKUP(TabCuotasIMSS[[#This Row],[Años]],TabFactorIntegracion[],COLUMN(TabFactorIntegracion[PRIMA
DOMINICAL]))),0)</f>
        <v>1.3613013698630136</v>
      </c>
      <c r="I58" s="55" cm="1">
        <f t="array" ref="I58">IFERROR(TabCuotasIMSS[[#This Row],[Salario Diario]]*(VLOOKUP(TabCuotasIMSS[[#This Row],[Años]],TabFactorIntegracion[],COLUMN(TabFactorIntegracion[FACTOR DE
INTEGRACIÓN]))),0)</f>
        <v>3.6986301369863011</v>
      </c>
      <c r="J58" s="174">
        <f>IFERROR(TabCuotasIMSS[[#This Row],[Salario Diario]]+TabCuotasIMSS[[#This Row],[Alimentos]]+TabCuotasIMSS[[#This Row],[Prima Dominical]]+TabCuotasIMSS[[#This Row],[Factor de Integracion]],0)</f>
        <v>86.307431506849312</v>
      </c>
      <c r="K58" cm="1">
        <f t="array" ref="K58">VLOOKUP(TabCuotasIMSS[[#This Row],[ID]],TabAsistencias[],COLUMN(TabAsistencias[''I]),FALSE)+VLOOKUP(TabCuotasIMSS[[#This Row],[ID]],TabAsistencias[],COLUMN(TabAsistencias[''IG]),FALSE)</f>
        <v>0</v>
      </c>
      <c r="L58" cm="1">
        <f t="array" ref="L58">VLOOKUP(TabCuotasIMSS[[#This Row],[ID]],TabAsistencias[],COLUMN(TabAsistencias[''F]),FALSE)</f>
        <v>0</v>
      </c>
      <c r="M58" s="141">
        <f>TabCuotasIMSS[[#This Row],[S.B.C./S.D.I.]]*TabCuotasIMSS[[#This Row],[DÍAS
LAB.]]</f>
        <v>6300.4425000000001</v>
      </c>
      <c r="N58" s="141">
        <f>(SMDF*CF*(TabCuotasIMSS[[#This Row],[DÍAS
LAB.]]-TabCuotasIMSS[[#This Row],[INC]]))</f>
        <v>1432.90824</v>
      </c>
      <c r="O58" s="55">
        <f>IF(TabCuotasIMSS[[#This Row],[S.B.C./S.D.I.]]&gt;SMDF3,((TabCuotasIMSS[[#This Row],[S.B.C./S.D.I.]]-SMDF3)*CFP*(TabCuotasIMSS[[#This Row],[DÍAS
LAB.]]-TabCuotasIMSS[[#This Row],[INC]])),0)</f>
        <v>0</v>
      </c>
      <c r="P58" s="55">
        <f>IF(TabCuotasIMSS[[#This Row],[S.B.C./S.D.I.]]&gt;SMDF3,((TabCuotasIMSS[[#This Row],[S.B.C./S.D.I.]]-SMDF3)*CFO*(TabCuotasIMSS[[#This Row],[DÍAS
LAB.]]-TabCuotasIMSS[[#This Row],[INC]])),0)</f>
        <v>0</v>
      </c>
      <c r="Q58" s="55">
        <f>TabCuotasIMSS[[#This Row],[EXCED.
PATRON]]+TabCuotasIMSS[[#This Row],[EXCED.
OBRERO]]</f>
        <v>0</v>
      </c>
      <c r="R58" s="55">
        <f>IF(TabCuotasIMSS[[#This Row],[S.B.C./S.D.I.]]&lt;=SMGI,((TabCuotasIMSS[[#This Row],[SALARIO
DEL CICLO]]-(TabCuotasIMSS[[#This Row],[S.B.C./S.D.I.]]*TabCuotasIMSS[[#This Row],[INC]])))*PD,((TabCuotasIMSS[[#This Row],[SALARIO
DEL CICLO]]-(TabCuotasIMSS[[#This Row],[S.B.C./S.D.I.]]*TabCuotasIMSS[[#This Row],[INC]]))*PDP))</f>
        <v>59.854203749999996</v>
      </c>
      <c r="S58" s="55">
        <f>IF(TabCuotasIMSS[[#This Row],[S.B.C./S.D.I.]]&lt;=SMGI,0,((TabCuotasIMSS[[#This Row],[SALARIO
DEL CICLO]]-(TabCuotasIMSS[[#This Row],[S.B.C./S.D.I.]]*TabCuotasIMSS[[#This Row],[INC]]))*PDO))</f>
        <v>0</v>
      </c>
      <c r="T58" s="55">
        <f>TabCuotasIMSS[[#This Row],[PATRON2]]+TabCuotasIMSS[[#This Row],[OBRERO]]</f>
        <v>59.854203749999996</v>
      </c>
      <c r="U58" s="55">
        <f>IF(TabCuotasIMSS[[#This Row],[S.B.C./S.D.I.]]&lt;=SMGI,((TabCuotasIMSS[[#This Row],[SALARIO
DEL CICLO]]-(TabCuotasIMSS[[#This Row],[S.B.C./S.D.I.]]*TabCuotasIMSS[[#This Row],[INC]])))*GMP,((TabCuotasIMSS[[#This Row],[SALARIO
DEL CICLO]]-(TabCuotasIMSS[[#This Row],[S.B.C./S.D.I.]]*TabCuotasIMSS[[#This Row],[INC]])))*GMPP)</f>
        <v>89.781305625000002</v>
      </c>
      <c r="V58" s="55">
        <f>IF(TabCuotasIMSS[[#This Row],[S.B.C./S.D.I.]]&lt;=SMGI,0,((TabCuotasIMSS[[#This Row],[SALARIO
DEL CICLO]]-(TabCuotasIMSS[[#This Row],[S.B.C./S.D.I.]]*TabCuotasIMSS[[#This Row],[INC]])))*GMPO)</f>
        <v>0</v>
      </c>
      <c r="W58" s="55">
        <f>TabCuotasIMSS[[#This Row],[PATRON3]]+TabCuotasIMSS[[#This Row],[OBRERO4]]</f>
        <v>89.781305625000002</v>
      </c>
      <c r="X58" s="141">
        <f>((TabCuotasIMSS[[#This Row],[SALARIO
DEL CICLO]]-(TabCuotasIMSS[[#This Row],[S.B.C./S.D.I.]]*(TabCuotasIMSS[[#This Row],[INC]]+TabCuotasIMSS[[#This Row],[AUS]]))))*PRTP</f>
        <v>3150.2212500000001</v>
      </c>
      <c r="Y58" s="55">
        <f>IF(TabCuotasIMSS[[#This Row],[S.B.C./S.D.I.]]&lt;=SMGI,((TabCuotasIMSS[[#This Row],[SALARIO
DEL CICLO]]-(TabCuotasIMSS[[#This Row],[S.B.C./S.D.I.]]*(TabCuotasIMSS[[#This Row],[INC]]+TabCuotasIMSS[[#This Row],[AUS]]))))*IV,((TabCuotasIMSS[[#This Row],[SALARIO
DEL CICLO]]-(TabCuotasIMSS[[#This Row],[S.B.C./S.D.I.]]*(TabCuotasIMSS[[#This Row],[INC]]+TabCuotasIMSS[[#This Row],[AUS]]))))*IVP)</f>
        <v>149.635509375</v>
      </c>
      <c r="Z58" s="55">
        <f>IF(TabCuotasIMSS[[#This Row],[S.B.C./S.D.I.]]&lt;=SMGI,0,((TabCuotasIMSS[[#This Row],[SALARIO
DEL CICLO]]-(TabCuotasIMSS[[#This Row],[S.B.C./S.D.I.]]*(TabCuotasIMSS[[#This Row],[INC]]+TabCuotasIMSS[[#This Row],[AUS]]))))*IVO)</f>
        <v>0</v>
      </c>
      <c r="AA58" s="55">
        <f>TabCuotasIMSS[[#This Row],[PATRON6]]+TabCuotasIMSS[[#This Row],[OBRERO7]]</f>
        <v>149.635509375</v>
      </c>
      <c r="AB58" s="141">
        <f>((TabCuotasIMSS[[#This Row],[SALARIO
DEL CICLO]]-(TabCuotasIMSS[[#This Row],[S.B.C./S.D.I.]]*(TabCuotasIMSS[[#This Row],[INC]]+TabCuotasIMSS[[#This Row],[AUS]]))))*GPS</f>
        <v>63.004425000000005</v>
      </c>
      <c r="AC58" s="141">
        <f>TabCuotasIMSS[[#This Row],[SALARIO
DEL CICLO]]*0</f>
        <v>0</v>
      </c>
      <c r="AD58" s="141">
        <f>TabCuotasIMSS[[#This Row],[PATRON9]]+TabCuotasIMSS[[#This Row],[OBRERO10]]</f>
        <v>63.004425000000005</v>
      </c>
      <c r="AE58" s="233">
        <f>TabCuotasIMSS[[#This Row],[PATRON]]+TabCuotasIMSS[[#This Row],[EXCED.
PATRON]]+TabCuotasIMSS[[#This Row],[PATRON2]]+TabCuotasIMSS[[#This Row],[PATRON3]]+TabCuotasIMSS[[#This Row],[PATRON
0.50%]]+TabCuotasIMSS[[#This Row],[PATRON6]]+TabCuotasIMSS[[#This Row],[PATRON9]]</f>
        <v>4945.4049337500001</v>
      </c>
      <c r="AF58" s="233">
        <f>TabCuotasIMSS[[#This Row],[EXCED.
OBRERO]]+TabCuotasIMSS[[#This Row],[OBRERO]]+TabCuotasIMSS[[#This Row],[OBRERO4]]+TabCuotasIMSS[[#This Row],[OBRERO7]]+TabCuotasIMSS[[#This Row],[OBRERO10]]</f>
        <v>0</v>
      </c>
      <c r="AG58" s="233">
        <f>TabCuotasIMSS[[#This Row],[TOTAL
PATRONAL]]+TabCuotasIMSS[[#This Row],[TOTAL
OBRERO]]</f>
        <v>4945.4049337500001</v>
      </c>
      <c r="AH58" s="141">
        <f>((TabCuotasIMSS[[#This Row],[SALARIO
DEL CICLO]]-(TabCuotasIMSS[[#This Row],[S.B.C./S.D.I.]]*TabCuotasIMSS[[#This Row],[AUS]]))*R_)</f>
        <v>126.00885000000001</v>
      </c>
      <c r="AI58">
        <f>IF(TabCuotasIMSS[[#This Row],[S.B.C./S.D.I.]]&lt;=SMGI,((TabCuotasIMSS[[#This Row],[SALARIO
DEL CICLO]]-(TabCuotasIMSS[[#This Row],[S.B.C./S.D.I.]]*(TabCuotasIMSS[[#This Row],[INC]]+TabCuotasIMSS[[#This Row],[AUS]]))))*CV,((TabCuotasIMSS[[#This Row],[SALARIO
DEL CICLO]]-(TabCuotasIMSS[[#This Row],[S.B.C./S.D.I.]]*(TabCuotasIMSS[[#This Row],[INC]]+TabCuotasIMSS[[#This Row],[AUS]]))))*CVP)</f>
        <v>269.34391687500005</v>
      </c>
      <c r="AJ58">
        <f>IF(TabCuotasIMSS[[#This Row],[S.B.C./S.D.I.]]&lt;=SMGI,0,((TabCuotasIMSS[[#This Row],[SALARIO
DEL CICLO]]-(TabCuotasIMSS[[#This Row],[S.B.C./S.D.I.]]*(TabCuotasIMSS[[#This Row],[INC]]+TabCuotasIMSS[[#This Row],[AUS]]))))*CVO)</f>
        <v>0</v>
      </c>
      <c r="AK58">
        <f>SUM(TabCuotasIMSS[[#This Row],[2%]]:TabCuotasIMSS[[#This Row],[OBRERO14]])</f>
        <v>395.35276687500004</v>
      </c>
      <c r="AL58" s="141">
        <f>((TabCuotasIMSS[[#This Row],[SALARIO
DEL CICLO]]-(TabCuotasIMSS[[#This Row],[S.B.C./S.D.I.]]*(TabCuotasIMSS[[#This Row],[AUS]])))*I)</f>
        <v>315.02212500000002</v>
      </c>
      <c r="AM58" s="141">
        <f>TabCuotasIMSS[[#This Row],[TOTAL
O.P.11]]+TabCuotasIMSS[[#This Row],[2%]]+TabCuotasIMSS[[#This Row],[PATRON13]]+TabCuotasIMSS[[#This Row],[5%]]</f>
        <v>773.37931687500009</v>
      </c>
      <c r="AN58" s="141">
        <f>TabCuotasIMSS[[#This Row],[TOTAL
OBRERO]]+TabCuotasIMSS[[#This Row],[OBRERO14]]</f>
        <v>0</v>
      </c>
    </row>
    <row r="59" spans="1:40" x14ac:dyDescent="0.25">
      <c r="A59" s="2">
        <v>51</v>
      </c>
      <c r="B59" s="1" cm="1">
        <f t="array" ref="B59">VLOOKUP(TabCuotasIMSS[[#This Row],[ID]],TabEmpleados[],COLUMN(TabEmpleados[Fecha de alta NSS]),FALSE)</f>
        <v>44509</v>
      </c>
      <c r="C59" t="str" cm="1">
        <f t="array" ref="C59">VLOOKUP(TabCuotasIMSS[[#This Row],[ID]],TabEmpleados[],COLUMN(TabEmpleados[Nombre]),FALSE)</f>
        <v>JOSE JIMENEZ JULIO CESAR</v>
      </c>
      <c r="D59" cm="1">
        <f t="array" ref="D59">IF(VLOOKUP(TabCuotasIMSS[[#This Row],[ID]],TabEmpleados[],COLUMN(TabEmpleados[Fecha de alta NSS]),FALSE)&lt;&gt;"",VLOOKUP(TabCuotasIMSS[[#This Row],[ID]],TabAsistencias[],COLUMN(TabAsistencias[''Total de dias laborados]),FALSE),0)</f>
        <v>73</v>
      </c>
      <c r="E59" cm="1">
        <f t="array" ref="E59">IF(VLOOKUP(TabCuotasIMSS[[#This Row],[ID]],TabEmpleados[],COLUMN(TabEmpleados[Fecha de alta NSS]),FALSE)&lt;&gt;"",IF(DATEDIF((VLOOKUP(TabCuotasIMSS[[#This Row],[ID]],TabEmpleados[],COLUMN(TabEmpleados[Fecha de alta NSS]),FALSE)),'Tablas de informacion'!N$8,"Y")=0,1,DATEDIF((VLOOKUP(TabCuotasIMSS[[#This Row],[ID]],TabEmpleados[],COLUMN(TabEmpleados[Fecha de alta NSS]),FALSE)),'Tablas de informacion'!N$8,"Y")),0)</f>
        <v>1</v>
      </c>
      <c r="F59" s="55" cm="1">
        <f t="array" ref="F59">VLOOKUP(TabCuotasIMSS[[#This Row],[ID]],TabEmpleados[],COLUMN(TabEmpleados[SD Fiscal]),FALSE)</f>
        <v>60</v>
      </c>
      <c r="G59" s="55" cm="1">
        <f t="array" ref="G59">IFERROR((VLOOKUP((VLOOKUP(TabCuotasIMSS[[#This Row],[ID]],TabEmpleados[],COLUMN(TabEmpleados[Puesto]),FALSE)),TabPuestos[],COLUMN(TabPuestos[N° ALIMENTOS]),FALSE))*TabCuotasIMSS[[#This Row],[Salario Diario]]*(VLOOKUP(TabCuotasIMSS[[#This Row],[Años]],TabFactorIntegracion[],COLUMN(TabFactorIntegracion[% por alimento]))),0)</f>
        <v>4.9980000000000002</v>
      </c>
      <c r="H59" s="55" cm="1">
        <f t="array" ref="H59">IFERROR((VLOOKUP((VLOOKUP(TabCuotasIMSS[[#This Row],[ID]],TabEmpleados[],COLUMN(TabEmpleados[Puesto]),FALSE)),TabPuestos[],COLUMN(TabPuestos[PRIMA DOMINICAL]),FALSE))*TabCuotasIMSS[[#This Row],[Salario Diario]]*(VLOOKUP(TabCuotasIMSS[[#This Row],[Años]],TabFactorIntegracion[],COLUMN(TabFactorIntegracion[PRIMA
DOMINICAL]))),0)</f>
        <v>1.0890410958904109</v>
      </c>
      <c r="I59" s="55" cm="1">
        <f t="array" ref="I59">IFERROR(TabCuotasIMSS[[#This Row],[Salario Diario]]*(VLOOKUP(TabCuotasIMSS[[#This Row],[Años]],TabFactorIntegracion[],COLUMN(TabFactorIntegracion[FACTOR DE
INTEGRACIÓN]))),0)</f>
        <v>2.9589041095890409</v>
      </c>
      <c r="J59" s="174">
        <f>IFERROR(TabCuotasIMSS[[#This Row],[Salario Diario]]+TabCuotasIMSS[[#This Row],[Alimentos]]+TabCuotasIMSS[[#This Row],[Prima Dominical]]+TabCuotasIMSS[[#This Row],[Factor de Integracion]],0)</f>
        <v>69.045945205479455</v>
      </c>
      <c r="K59" cm="1">
        <f t="array" ref="K59">VLOOKUP(TabCuotasIMSS[[#This Row],[ID]],TabAsistencias[],COLUMN(TabAsistencias[''I]),FALSE)+VLOOKUP(TabCuotasIMSS[[#This Row],[ID]],TabAsistencias[],COLUMN(TabAsistencias[''IG]),FALSE)</f>
        <v>0</v>
      </c>
      <c r="L59" cm="1">
        <f t="array" ref="L59">VLOOKUP(TabCuotasIMSS[[#This Row],[ID]],TabAsistencias[],COLUMN(TabAsistencias[''F]),FALSE)</f>
        <v>0</v>
      </c>
      <c r="M59" s="141">
        <f>TabCuotasIMSS[[#This Row],[S.B.C./S.D.I.]]*TabCuotasIMSS[[#This Row],[DÍAS
LAB.]]</f>
        <v>5040.3540000000003</v>
      </c>
      <c r="N59" s="141">
        <f>(SMDF*CF*(TabCuotasIMSS[[#This Row],[DÍAS
LAB.]]-TabCuotasIMSS[[#This Row],[INC]]))</f>
        <v>1432.90824</v>
      </c>
      <c r="O59" s="55">
        <f>IF(TabCuotasIMSS[[#This Row],[S.B.C./S.D.I.]]&gt;SMDF3,((TabCuotasIMSS[[#This Row],[S.B.C./S.D.I.]]-SMDF3)*CFP*(TabCuotasIMSS[[#This Row],[DÍAS
LAB.]]-TabCuotasIMSS[[#This Row],[INC]])),0)</f>
        <v>0</v>
      </c>
      <c r="P59" s="55">
        <f>IF(TabCuotasIMSS[[#This Row],[S.B.C./S.D.I.]]&gt;SMDF3,((TabCuotasIMSS[[#This Row],[S.B.C./S.D.I.]]-SMDF3)*CFO*(TabCuotasIMSS[[#This Row],[DÍAS
LAB.]]-TabCuotasIMSS[[#This Row],[INC]])),0)</f>
        <v>0</v>
      </c>
      <c r="Q59" s="55">
        <f>TabCuotasIMSS[[#This Row],[EXCED.
PATRON]]+TabCuotasIMSS[[#This Row],[EXCED.
OBRERO]]</f>
        <v>0</v>
      </c>
      <c r="R59" s="55">
        <f>IF(TabCuotasIMSS[[#This Row],[S.B.C./S.D.I.]]&lt;=SMGI,((TabCuotasIMSS[[#This Row],[SALARIO
DEL CICLO]]-(TabCuotasIMSS[[#This Row],[S.B.C./S.D.I.]]*TabCuotasIMSS[[#This Row],[INC]])))*PD,((TabCuotasIMSS[[#This Row],[SALARIO
DEL CICLO]]-(TabCuotasIMSS[[#This Row],[S.B.C./S.D.I.]]*TabCuotasIMSS[[#This Row],[INC]]))*PDP))</f>
        <v>47.883363000000003</v>
      </c>
      <c r="S59" s="55">
        <f>IF(TabCuotasIMSS[[#This Row],[S.B.C./S.D.I.]]&lt;=SMGI,0,((TabCuotasIMSS[[#This Row],[SALARIO
DEL CICLO]]-(TabCuotasIMSS[[#This Row],[S.B.C./S.D.I.]]*TabCuotasIMSS[[#This Row],[INC]]))*PDO))</f>
        <v>0</v>
      </c>
      <c r="T59" s="55">
        <f>TabCuotasIMSS[[#This Row],[PATRON2]]+TabCuotasIMSS[[#This Row],[OBRERO]]</f>
        <v>47.883363000000003</v>
      </c>
      <c r="U59" s="55">
        <f>IF(TabCuotasIMSS[[#This Row],[S.B.C./S.D.I.]]&lt;=SMGI,((TabCuotasIMSS[[#This Row],[SALARIO
DEL CICLO]]-(TabCuotasIMSS[[#This Row],[S.B.C./S.D.I.]]*TabCuotasIMSS[[#This Row],[INC]])))*GMP,((TabCuotasIMSS[[#This Row],[SALARIO
DEL CICLO]]-(TabCuotasIMSS[[#This Row],[S.B.C./S.D.I.]]*TabCuotasIMSS[[#This Row],[INC]])))*GMPP)</f>
        <v>71.825044500000004</v>
      </c>
      <c r="V59" s="55">
        <f>IF(TabCuotasIMSS[[#This Row],[S.B.C./S.D.I.]]&lt;=SMGI,0,((TabCuotasIMSS[[#This Row],[SALARIO
DEL CICLO]]-(TabCuotasIMSS[[#This Row],[S.B.C./S.D.I.]]*TabCuotasIMSS[[#This Row],[INC]])))*GMPO)</f>
        <v>0</v>
      </c>
      <c r="W59" s="55">
        <f>TabCuotasIMSS[[#This Row],[PATRON3]]+TabCuotasIMSS[[#This Row],[OBRERO4]]</f>
        <v>71.825044500000004</v>
      </c>
      <c r="X59" s="141">
        <f>((TabCuotasIMSS[[#This Row],[SALARIO
DEL CICLO]]-(TabCuotasIMSS[[#This Row],[S.B.C./S.D.I.]]*(TabCuotasIMSS[[#This Row],[INC]]+TabCuotasIMSS[[#This Row],[AUS]]))))*PRTP</f>
        <v>2520.1770000000001</v>
      </c>
      <c r="Y59" s="55">
        <f>IF(TabCuotasIMSS[[#This Row],[S.B.C./S.D.I.]]&lt;=SMGI,((TabCuotasIMSS[[#This Row],[SALARIO
DEL CICLO]]-(TabCuotasIMSS[[#This Row],[S.B.C./S.D.I.]]*(TabCuotasIMSS[[#This Row],[INC]]+TabCuotasIMSS[[#This Row],[AUS]]))))*IV,((TabCuotasIMSS[[#This Row],[SALARIO
DEL CICLO]]-(TabCuotasIMSS[[#This Row],[S.B.C./S.D.I.]]*(TabCuotasIMSS[[#This Row],[INC]]+TabCuotasIMSS[[#This Row],[AUS]]))))*IVP)</f>
        <v>119.70840750000001</v>
      </c>
      <c r="Z59" s="55">
        <f>IF(TabCuotasIMSS[[#This Row],[S.B.C./S.D.I.]]&lt;=SMGI,0,((TabCuotasIMSS[[#This Row],[SALARIO
DEL CICLO]]-(TabCuotasIMSS[[#This Row],[S.B.C./S.D.I.]]*(TabCuotasIMSS[[#This Row],[INC]]+TabCuotasIMSS[[#This Row],[AUS]]))))*IVO)</f>
        <v>0</v>
      </c>
      <c r="AA59" s="55">
        <f>TabCuotasIMSS[[#This Row],[PATRON6]]+TabCuotasIMSS[[#This Row],[OBRERO7]]</f>
        <v>119.70840750000001</v>
      </c>
      <c r="AB59" s="141">
        <f>((TabCuotasIMSS[[#This Row],[SALARIO
DEL CICLO]]-(TabCuotasIMSS[[#This Row],[S.B.C./S.D.I.]]*(TabCuotasIMSS[[#This Row],[INC]]+TabCuotasIMSS[[#This Row],[AUS]]))))*GPS</f>
        <v>50.403540000000007</v>
      </c>
      <c r="AC59" s="141">
        <f>TabCuotasIMSS[[#This Row],[SALARIO
DEL CICLO]]*0</f>
        <v>0</v>
      </c>
      <c r="AD59" s="141">
        <f>TabCuotasIMSS[[#This Row],[PATRON9]]+TabCuotasIMSS[[#This Row],[OBRERO10]]</f>
        <v>50.403540000000007</v>
      </c>
      <c r="AE59" s="233">
        <f>TabCuotasIMSS[[#This Row],[PATRON]]+TabCuotasIMSS[[#This Row],[EXCED.
PATRON]]+TabCuotasIMSS[[#This Row],[PATRON2]]+TabCuotasIMSS[[#This Row],[PATRON3]]+TabCuotasIMSS[[#This Row],[PATRON
0.50%]]+TabCuotasIMSS[[#This Row],[PATRON6]]+TabCuotasIMSS[[#This Row],[PATRON9]]</f>
        <v>4242.9055950000002</v>
      </c>
      <c r="AF59" s="233">
        <f>TabCuotasIMSS[[#This Row],[EXCED.
OBRERO]]+TabCuotasIMSS[[#This Row],[OBRERO]]+TabCuotasIMSS[[#This Row],[OBRERO4]]+TabCuotasIMSS[[#This Row],[OBRERO7]]+TabCuotasIMSS[[#This Row],[OBRERO10]]</f>
        <v>0</v>
      </c>
      <c r="AG59" s="233">
        <f>TabCuotasIMSS[[#This Row],[TOTAL
PATRONAL]]+TabCuotasIMSS[[#This Row],[TOTAL
OBRERO]]</f>
        <v>4242.9055950000002</v>
      </c>
      <c r="AH59" s="141">
        <f>((TabCuotasIMSS[[#This Row],[SALARIO
DEL CICLO]]-(TabCuotasIMSS[[#This Row],[S.B.C./S.D.I.]]*TabCuotasIMSS[[#This Row],[AUS]]))*R_)</f>
        <v>100.80708000000001</v>
      </c>
      <c r="AI59">
        <f>IF(TabCuotasIMSS[[#This Row],[S.B.C./S.D.I.]]&lt;=SMGI,((TabCuotasIMSS[[#This Row],[SALARIO
DEL CICLO]]-(TabCuotasIMSS[[#This Row],[S.B.C./S.D.I.]]*(TabCuotasIMSS[[#This Row],[INC]]+TabCuotasIMSS[[#This Row],[AUS]]))))*CV,((TabCuotasIMSS[[#This Row],[SALARIO
DEL CICLO]]-(TabCuotasIMSS[[#This Row],[S.B.C./S.D.I.]]*(TabCuotasIMSS[[#This Row],[INC]]+TabCuotasIMSS[[#This Row],[AUS]]))))*CVP)</f>
        <v>215.47513350000003</v>
      </c>
      <c r="AJ59">
        <f>IF(TabCuotasIMSS[[#This Row],[S.B.C./S.D.I.]]&lt;=SMGI,0,((TabCuotasIMSS[[#This Row],[SALARIO
DEL CICLO]]-(TabCuotasIMSS[[#This Row],[S.B.C./S.D.I.]]*(TabCuotasIMSS[[#This Row],[INC]]+TabCuotasIMSS[[#This Row],[AUS]]))))*CVO)</f>
        <v>0</v>
      </c>
      <c r="AK59">
        <f>SUM(TabCuotasIMSS[[#This Row],[2%]]:TabCuotasIMSS[[#This Row],[OBRERO14]])</f>
        <v>316.28221350000001</v>
      </c>
      <c r="AL59" s="141">
        <f>((TabCuotasIMSS[[#This Row],[SALARIO
DEL CICLO]]-(TabCuotasIMSS[[#This Row],[S.B.C./S.D.I.]]*(TabCuotasIMSS[[#This Row],[AUS]])))*I)</f>
        <v>252.01770000000002</v>
      </c>
      <c r="AM59" s="141">
        <f>TabCuotasIMSS[[#This Row],[TOTAL
O.P.11]]+TabCuotasIMSS[[#This Row],[2%]]+TabCuotasIMSS[[#This Row],[PATRON13]]+TabCuotasIMSS[[#This Row],[5%]]</f>
        <v>618.70345350000002</v>
      </c>
      <c r="AN59" s="141">
        <f>TabCuotasIMSS[[#This Row],[TOTAL
OBRERO]]+TabCuotasIMSS[[#This Row],[OBRERO14]]</f>
        <v>0</v>
      </c>
    </row>
    <row r="60" spans="1:40" x14ac:dyDescent="0.25">
      <c r="A60" s="2">
        <v>52</v>
      </c>
      <c r="B60" s="1" cm="1">
        <f t="array" ref="B60">VLOOKUP(TabCuotasIMSS[[#This Row],[ID]],TabEmpleados[],COLUMN(TabEmpleados[Fecha de alta NSS]),FALSE)</f>
        <v>44509</v>
      </c>
      <c r="C60" t="str" cm="1">
        <f t="array" ref="C60">VLOOKUP(TabCuotasIMSS[[#This Row],[ID]],TabEmpleados[],COLUMN(TabEmpleados[Nombre]),FALSE)</f>
        <v xml:space="preserve">CRUZ CORTES ALEX MANUEL </v>
      </c>
      <c r="D60" cm="1">
        <f t="array" ref="D60">IF(VLOOKUP(TabCuotasIMSS[[#This Row],[ID]],TabEmpleados[],COLUMN(TabEmpleados[Fecha de alta NSS]),FALSE)&lt;&gt;"",VLOOKUP(TabCuotasIMSS[[#This Row],[ID]],TabAsistencias[],COLUMN(TabAsistencias[''Total de dias laborados]),FALSE),0)</f>
        <v>73</v>
      </c>
      <c r="E60" cm="1">
        <f t="array" ref="E60">IF(VLOOKUP(TabCuotasIMSS[[#This Row],[ID]],TabEmpleados[],COLUMN(TabEmpleados[Fecha de alta NSS]),FALSE)&lt;&gt;"",IF(DATEDIF((VLOOKUP(TabCuotasIMSS[[#This Row],[ID]],TabEmpleados[],COLUMN(TabEmpleados[Fecha de alta NSS]),FALSE)),'Tablas de informacion'!N$8,"Y")=0,1,DATEDIF((VLOOKUP(TabCuotasIMSS[[#This Row],[ID]],TabEmpleados[],COLUMN(TabEmpleados[Fecha de alta NSS]),FALSE)),'Tablas de informacion'!N$8,"Y")),0)</f>
        <v>1</v>
      </c>
      <c r="F60" s="55" cm="1">
        <f t="array" ref="F60">VLOOKUP(TabCuotasIMSS[[#This Row],[ID]],TabEmpleados[],COLUMN(TabEmpleados[SD Fiscal]),FALSE)</f>
        <v>60</v>
      </c>
      <c r="G60" s="55" cm="1">
        <f t="array" ref="G60">IFERROR((VLOOKUP((VLOOKUP(TabCuotasIMSS[[#This Row],[ID]],TabEmpleados[],COLUMN(TabEmpleados[Puesto]),FALSE)),TabPuestos[],COLUMN(TabPuestos[N° ALIMENTOS]),FALSE))*TabCuotasIMSS[[#This Row],[Salario Diario]]*(VLOOKUP(TabCuotasIMSS[[#This Row],[Años]],TabFactorIntegracion[],COLUMN(TabFactorIntegracion[% por alimento]))),0)</f>
        <v>4.9980000000000002</v>
      </c>
      <c r="H60" s="55" cm="1">
        <f t="array" ref="H60">IFERROR((VLOOKUP((VLOOKUP(TabCuotasIMSS[[#This Row],[ID]],TabEmpleados[],COLUMN(TabEmpleados[Puesto]),FALSE)),TabPuestos[],COLUMN(TabPuestos[PRIMA DOMINICAL]),FALSE))*TabCuotasIMSS[[#This Row],[Salario Diario]]*(VLOOKUP(TabCuotasIMSS[[#This Row],[Años]],TabFactorIntegracion[],COLUMN(TabFactorIntegracion[PRIMA
DOMINICAL]))),0)</f>
        <v>1.0890410958904109</v>
      </c>
      <c r="I60" s="55" cm="1">
        <f t="array" ref="I60">IFERROR(TabCuotasIMSS[[#This Row],[Salario Diario]]*(VLOOKUP(TabCuotasIMSS[[#This Row],[Años]],TabFactorIntegracion[],COLUMN(TabFactorIntegracion[FACTOR DE
INTEGRACIÓN]))),0)</f>
        <v>2.9589041095890409</v>
      </c>
      <c r="J60" s="174">
        <f>IFERROR(TabCuotasIMSS[[#This Row],[Salario Diario]]+TabCuotasIMSS[[#This Row],[Alimentos]]+TabCuotasIMSS[[#This Row],[Prima Dominical]]+TabCuotasIMSS[[#This Row],[Factor de Integracion]],0)</f>
        <v>69.045945205479455</v>
      </c>
      <c r="K60" cm="1">
        <f t="array" ref="K60">VLOOKUP(TabCuotasIMSS[[#This Row],[ID]],TabAsistencias[],COLUMN(TabAsistencias[''I]),FALSE)+VLOOKUP(TabCuotasIMSS[[#This Row],[ID]],TabAsistencias[],COLUMN(TabAsistencias[''IG]),FALSE)</f>
        <v>0</v>
      </c>
      <c r="L60" cm="1">
        <f t="array" ref="L60">VLOOKUP(TabCuotasIMSS[[#This Row],[ID]],TabAsistencias[],COLUMN(TabAsistencias[''F]),FALSE)</f>
        <v>0</v>
      </c>
      <c r="M60" s="141">
        <f>TabCuotasIMSS[[#This Row],[S.B.C./S.D.I.]]*TabCuotasIMSS[[#This Row],[DÍAS
LAB.]]</f>
        <v>5040.3540000000003</v>
      </c>
      <c r="N60" s="141">
        <f>(SMDF*CF*(TabCuotasIMSS[[#This Row],[DÍAS
LAB.]]-TabCuotasIMSS[[#This Row],[INC]]))</f>
        <v>1432.90824</v>
      </c>
      <c r="O60" s="55">
        <f>IF(TabCuotasIMSS[[#This Row],[S.B.C./S.D.I.]]&gt;SMDF3,((TabCuotasIMSS[[#This Row],[S.B.C./S.D.I.]]-SMDF3)*CFP*(TabCuotasIMSS[[#This Row],[DÍAS
LAB.]]-TabCuotasIMSS[[#This Row],[INC]])),0)</f>
        <v>0</v>
      </c>
      <c r="P60" s="55">
        <f>IF(TabCuotasIMSS[[#This Row],[S.B.C./S.D.I.]]&gt;SMDF3,((TabCuotasIMSS[[#This Row],[S.B.C./S.D.I.]]-SMDF3)*CFO*(TabCuotasIMSS[[#This Row],[DÍAS
LAB.]]-TabCuotasIMSS[[#This Row],[INC]])),0)</f>
        <v>0</v>
      </c>
      <c r="Q60" s="55">
        <f>TabCuotasIMSS[[#This Row],[EXCED.
PATRON]]+TabCuotasIMSS[[#This Row],[EXCED.
OBRERO]]</f>
        <v>0</v>
      </c>
      <c r="R60" s="55">
        <f>IF(TabCuotasIMSS[[#This Row],[S.B.C./S.D.I.]]&lt;=SMGI,((TabCuotasIMSS[[#This Row],[SALARIO
DEL CICLO]]-(TabCuotasIMSS[[#This Row],[S.B.C./S.D.I.]]*TabCuotasIMSS[[#This Row],[INC]])))*PD,((TabCuotasIMSS[[#This Row],[SALARIO
DEL CICLO]]-(TabCuotasIMSS[[#This Row],[S.B.C./S.D.I.]]*TabCuotasIMSS[[#This Row],[INC]]))*PDP))</f>
        <v>47.883363000000003</v>
      </c>
      <c r="S60" s="55">
        <f>IF(TabCuotasIMSS[[#This Row],[S.B.C./S.D.I.]]&lt;=SMGI,0,((TabCuotasIMSS[[#This Row],[SALARIO
DEL CICLO]]-(TabCuotasIMSS[[#This Row],[S.B.C./S.D.I.]]*TabCuotasIMSS[[#This Row],[INC]]))*PDO))</f>
        <v>0</v>
      </c>
      <c r="T60" s="55">
        <f>TabCuotasIMSS[[#This Row],[PATRON2]]+TabCuotasIMSS[[#This Row],[OBRERO]]</f>
        <v>47.883363000000003</v>
      </c>
      <c r="U60" s="55">
        <f>IF(TabCuotasIMSS[[#This Row],[S.B.C./S.D.I.]]&lt;=SMGI,((TabCuotasIMSS[[#This Row],[SALARIO
DEL CICLO]]-(TabCuotasIMSS[[#This Row],[S.B.C./S.D.I.]]*TabCuotasIMSS[[#This Row],[INC]])))*GMP,((TabCuotasIMSS[[#This Row],[SALARIO
DEL CICLO]]-(TabCuotasIMSS[[#This Row],[S.B.C./S.D.I.]]*TabCuotasIMSS[[#This Row],[INC]])))*GMPP)</f>
        <v>71.825044500000004</v>
      </c>
      <c r="V60" s="55">
        <f>IF(TabCuotasIMSS[[#This Row],[S.B.C./S.D.I.]]&lt;=SMGI,0,((TabCuotasIMSS[[#This Row],[SALARIO
DEL CICLO]]-(TabCuotasIMSS[[#This Row],[S.B.C./S.D.I.]]*TabCuotasIMSS[[#This Row],[INC]])))*GMPO)</f>
        <v>0</v>
      </c>
      <c r="W60" s="55">
        <f>TabCuotasIMSS[[#This Row],[PATRON3]]+TabCuotasIMSS[[#This Row],[OBRERO4]]</f>
        <v>71.825044500000004</v>
      </c>
      <c r="X60" s="141">
        <f>((TabCuotasIMSS[[#This Row],[SALARIO
DEL CICLO]]-(TabCuotasIMSS[[#This Row],[S.B.C./S.D.I.]]*(TabCuotasIMSS[[#This Row],[INC]]+TabCuotasIMSS[[#This Row],[AUS]]))))*PRTP</f>
        <v>2520.1770000000001</v>
      </c>
      <c r="Y60" s="55">
        <f>IF(TabCuotasIMSS[[#This Row],[S.B.C./S.D.I.]]&lt;=SMGI,((TabCuotasIMSS[[#This Row],[SALARIO
DEL CICLO]]-(TabCuotasIMSS[[#This Row],[S.B.C./S.D.I.]]*(TabCuotasIMSS[[#This Row],[INC]]+TabCuotasIMSS[[#This Row],[AUS]]))))*IV,((TabCuotasIMSS[[#This Row],[SALARIO
DEL CICLO]]-(TabCuotasIMSS[[#This Row],[S.B.C./S.D.I.]]*(TabCuotasIMSS[[#This Row],[INC]]+TabCuotasIMSS[[#This Row],[AUS]]))))*IVP)</f>
        <v>119.70840750000001</v>
      </c>
      <c r="Z60" s="55">
        <f>IF(TabCuotasIMSS[[#This Row],[S.B.C./S.D.I.]]&lt;=SMGI,0,((TabCuotasIMSS[[#This Row],[SALARIO
DEL CICLO]]-(TabCuotasIMSS[[#This Row],[S.B.C./S.D.I.]]*(TabCuotasIMSS[[#This Row],[INC]]+TabCuotasIMSS[[#This Row],[AUS]]))))*IVO)</f>
        <v>0</v>
      </c>
      <c r="AA60" s="55">
        <f>TabCuotasIMSS[[#This Row],[PATRON6]]+TabCuotasIMSS[[#This Row],[OBRERO7]]</f>
        <v>119.70840750000001</v>
      </c>
      <c r="AB60" s="141">
        <f>((TabCuotasIMSS[[#This Row],[SALARIO
DEL CICLO]]-(TabCuotasIMSS[[#This Row],[S.B.C./S.D.I.]]*(TabCuotasIMSS[[#This Row],[INC]]+TabCuotasIMSS[[#This Row],[AUS]]))))*GPS</f>
        <v>50.403540000000007</v>
      </c>
      <c r="AC60" s="141">
        <f>TabCuotasIMSS[[#This Row],[SALARIO
DEL CICLO]]*0</f>
        <v>0</v>
      </c>
      <c r="AD60" s="141">
        <f>TabCuotasIMSS[[#This Row],[PATRON9]]+TabCuotasIMSS[[#This Row],[OBRERO10]]</f>
        <v>50.403540000000007</v>
      </c>
      <c r="AE60" s="233">
        <f>TabCuotasIMSS[[#This Row],[PATRON]]+TabCuotasIMSS[[#This Row],[EXCED.
PATRON]]+TabCuotasIMSS[[#This Row],[PATRON2]]+TabCuotasIMSS[[#This Row],[PATRON3]]+TabCuotasIMSS[[#This Row],[PATRON
0.50%]]+TabCuotasIMSS[[#This Row],[PATRON6]]+TabCuotasIMSS[[#This Row],[PATRON9]]</f>
        <v>4242.9055950000002</v>
      </c>
      <c r="AF60" s="233">
        <f>TabCuotasIMSS[[#This Row],[EXCED.
OBRERO]]+TabCuotasIMSS[[#This Row],[OBRERO]]+TabCuotasIMSS[[#This Row],[OBRERO4]]+TabCuotasIMSS[[#This Row],[OBRERO7]]+TabCuotasIMSS[[#This Row],[OBRERO10]]</f>
        <v>0</v>
      </c>
      <c r="AG60" s="233">
        <f>TabCuotasIMSS[[#This Row],[TOTAL
PATRONAL]]+TabCuotasIMSS[[#This Row],[TOTAL
OBRERO]]</f>
        <v>4242.9055950000002</v>
      </c>
      <c r="AH60" s="141">
        <f>((TabCuotasIMSS[[#This Row],[SALARIO
DEL CICLO]]-(TabCuotasIMSS[[#This Row],[S.B.C./S.D.I.]]*TabCuotasIMSS[[#This Row],[AUS]]))*R_)</f>
        <v>100.80708000000001</v>
      </c>
      <c r="AI60">
        <f>IF(TabCuotasIMSS[[#This Row],[S.B.C./S.D.I.]]&lt;=SMGI,((TabCuotasIMSS[[#This Row],[SALARIO
DEL CICLO]]-(TabCuotasIMSS[[#This Row],[S.B.C./S.D.I.]]*(TabCuotasIMSS[[#This Row],[INC]]+TabCuotasIMSS[[#This Row],[AUS]]))))*CV,((TabCuotasIMSS[[#This Row],[SALARIO
DEL CICLO]]-(TabCuotasIMSS[[#This Row],[S.B.C./S.D.I.]]*(TabCuotasIMSS[[#This Row],[INC]]+TabCuotasIMSS[[#This Row],[AUS]]))))*CVP)</f>
        <v>215.47513350000003</v>
      </c>
      <c r="AJ60">
        <f>IF(TabCuotasIMSS[[#This Row],[S.B.C./S.D.I.]]&lt;=SMGI,0,((TabCuotasIMSS[[#This Row],[SALARIO
DEL CICLO]]-(TabCuotasIMSS[[#This Row],[S.B.C./S.D.I.]]*(TabCuotasIMSS[[#This Row],[INC]]+TabCuotasIMSS[[#This Row],[AUS]]))))*CVO)</f>
        <v>0</v>
      </c>
      <c r="AK60">
        <f>SUM(TabCuotasIMSS[[#This Row],[2%]]:TabCuotasIMSS[[#This Row],[OBRERO14]])</f>
        <v>316.28221350000001</v>
      </c>
      <c r="AL60" s="141">
        <f>((TabCuotasIMSS[[#This Row],[SALARIO
DEL CICLO]]-(TabCuotasIMSS[[#This Row],[S.B.C./S.D.I.]]*(TabCuotasIMSS[[#This Row],[AUS]])))*I)</f>
        <v>252.01770000000002</v>
      </c>
      <c r="AM60" s="141">
        <f>TabCuotasIMSS[[#This Row],[TOTAL
O.P.11]]+TabCuotasIMSS[[#This Row],[2%]]+TabCuotasIMSS[[#This Row],[PATRON13]]+TabCuotasIMSS[[#This Row],[5%]]</f>
        <v>618.70345350000002</v>
      </c>
      <c r="AN60" s="141">
        <f>TabCuotasIMSS[[#This Row],[TOTAL
OBRERO]]+TabCuotasIMSS[[#This Row],[OBRERO14]]</f>
        <v>0</v>
      </c>
    </row>
    <row r="61" spans="1:40" x14ac:dyDescent="0.25">
      <c r="A61" s="2">
        <v>53</v>
      </c>
      <c r="B61" s="1" cm="1">
        <f t="array" ref="B61">VLOOKUP(TabCuotasIMSS[[#This Row],[ID]],TabEmpleados[],COLUMN(TabEmpleados[Fecha de alta NSS]),FALSE)</f>
        <v>44509</v>
      </c>
      <c r="C61" t="str" cm="1">
        <f t="array" ref="C61">VLOOKUP(TabCuotasIMSS[[#This Row],[ID]],TabEmpleados[],COLUMN(TabEmpleados[Nombre]),FALSE)</f>
        <v>GASPAR VALERIANO WILLEVALDO INOCENCIO</v>
      </c>
      <c r="D61" cm="1">
        <f t="array" ref="D61">IF(VLOOKUP(TabCuotasIMSS[[#This Row],[ID]],TabEmpleados[],COLUMN(TabEmpleados[Fecha de alta NSS]),FALSE)&lt;&gt;"",VLOOKUP(TabCuotasIMSS[[#This Row],[ID]],TabAsistencias[],COLUMN(TabAsistencias[''Total de dias laborados]),FALSE),0)</f>
        <v>73</v>
      </c>
      <c r="E61" cm="1">
        <f t="array" ref="E61">IF(VLOOKUP(TabCuotasIMSS[[#This Row],[ID]],TabEmpleados[],COLUMN(TabEmpleados[Fecha de alta NSS]),FALSE)&lt;&gt;"",IF(DATEDIF((VLOOKUP(TabCuotasIMSS[[#This Row],[ID]],TabEmpleados[],COLUMN(TabEmpleados[Fecha de alta NSS]),FALSE)),'Tablas de informacion'!N$8,"Y")=0,1,DATEDIF((VLOOKUP(TabCuotasIMSS[[#This Row],[ID]],TabEmpleados[],COLUMN(TabEmpleados[Fecha de alta NSS]),FALSE)),'Tablas de informacion'!N$8,"Y")),0)</f>
        <v>1</v>
      </c>
      <c r="F61" s="55" cm="1">
        <f t="array" ref="F61">VLOOKUP(TabCuotasIMSS[[#This Row],[ID]],TabEmpleados[],COLUMN(TabEmpleados[SD Fiscal]),FALSE)</f>
        <v>75</v>
      </c>
      <c r="G61" s="55" cm="1">
        <f t="array" ref="G61">IFERROR((VLOOKUP((VLOOKUP(TabCuotasIMSS[[#This Row],[ID]],TabEmpleados[],COLUMN(TabEmpleados[Puesto]),FALSE)),TabPuestos[],COLUMN(TabPuestos[N° ALIMENTOS]),FALSE))*TabCuotasIMSS[[#This Row],[Salario Diario]]*(VLOOKUP(TabCuotasIMSS[[#This Row],[Años]],TabFactorIntegracion[],COLUMN(TabFactorIntegracion[% por alimento]))),0)</f>
        <v>6.2474999999999996</v>
      </c>
      <c r="H61" s="55" cm="1">
        <f t="array" ref="H61">IFERROR((VLOOKUP((VLOOKUP(TabCuotasIMSS[[#This Row],[ID]],TabEmpleados[],COLUMN(TabEmpleados[Puesto]),FALSE)),TabPuestos[],COLUMN(TabPuestos[PRIMA DOMINICAL]),FALSE))*TabCuotasIMSS[[#This Row],[Salario Diario]]*(VLOOKUP(TabCuotasIMSS[[#This Row],[Años]],TabFactorIntegracion[],COLUMN(TabFactorIntegracion[PRIMA
DOMINICAL]))),0)</f>
        <v>1.3613013698630136</v>
      </c>
      <c r="I61" s="55" cm="1">
        <f t="array" ref="I61">IFERROR(TabCuotasIMSS[[#This Row],[Salario Diario]]*(VLOOKUP(TabCuotasIMSS[[#This Row],[Años]],TabFactorIntegracion[],COLUMN(TabFactorIntegracion[FACTOR DE
INTEGRACIÓN]))),0)</f>
        <v>3.6986301369863011</v>
      </c>
      <c r="J61" s="174">
        <f>IFERROR(TabCuotasIMSS[[#This Row],[Salario Diario]]+TabCuotasIMSS[[#This Row],[Alimentos]]+TabCuotasIMSS[[#This Row],[Prima Dominical]]+TabCuotasIMSS[[#This Row],[Factor de Integracion]],0)</f>
        <v>86.307431506849312</v>
      </c>
      <c r="K61" cm="1">
        <f t="array" ref="K61">VLOOKUP(TabCuotasIMSS[[#This Row],[ID]],TabAsistencias[],COLUMN(TabAsistencias[''I]),FALSE)+VLOOKUP(TabCuotasIMSS[[#This Row],[ID]],TabAsistencias[],COLUMN(TabAsistencias[''IG]),FALSE)</f>
        <v>0</v>
      </c>
      <c r="L61" cm="1">
        <f t="array" ref="L61">VLOOKUP(TabCuotasIMSS[[#This Row],[ID]],TabAsistencias[],COLUMN(TabAsistencias[''F]),FALSE)</f>
        <v>0</v>
      </c>
      <c r="M61" s="141">
        <f>TabCuotasIMSS[[#This Row],[S.B.C./S.D.I.]]*TabCuotasIMSS[[#This Row],[DÍAS
LAB.]]</f>
        <v>6300.4425000000001</v>
      </c>
      <c r="N61" s="141">
        <f>(SMDF*CF*(TabCuotasIMSS[[#This Row],[DÍAS
LAB.]]-TabCuotasIMSS[[#This Row],[INC]]))</f>
        <v>1432.90824</v>
      </c>
      <c r="O61" s="55">
        <f>IF(TabCuotasIMSS[[#This Row],[S.B.C./S.D.I.]]&gt;SMDF3,((TabCuotasIMSS[[#This Row],[S.B.C./S.D.I.]]-SMDF3)*CFP*(TabCuotasIMSS[[#This Row],[DÍAS
LAB.]]-TabCuotasIMSS[[#This Row],[INC]])),0)</f>
        <v>0</v>
      </c>
      <c r="P61" s="55">
        <f>IF(TabCuotasIMSS[[#This Row],[S.B.C./S.D.I.]]&gt;SMDF3,((TabCuotasIMSS[[#This Row],[S.B.C./S.D.I.]]-SMDF3)*CFO*(TabCuotasIMSS[[#This Row],[DÍAS
LAB.]]-TabCuotasIMSS[[#This Row],[INC]])),0)</f>
        <v>0</v>
      </c>
      <c r="Q61" s="55">
        <f>TabCuotasIMSS[[#This Row],[EXCED.
PATRON]]+TabCuotasIMSS[[#This Row],[EXCED.
OBRERO]]</f>
        <v>0</v>
      </c>
      <c r="R61" s="55">
        <f>IF(TabCuotasIMSS[[#This Row],[S.B.C./S.D.I.]]&lt;=SMGI,((TabCuotasIMSS[[#This Row],[SALARIO
DEL CICLO]]-(TabCuotasIMSS[[#This Row],[S.B.C./S.D.I.]]*TabCuotasIMSS[[#This Row],[INC]])))*PD,((TabCuotasIMSS[[#This Row],[SALARIO
DEL CICLO]]-(TabCuotasIMSS[[#This Row],[S.B.C./S.D.I.]]*TabCuotasIMSS[[#This Row],[INC]]))*PDP))</f>
        <v>59.854203749999996</v>
      </c>
      <c r="S61" s="55">
        <f>IF(TabCuotasIMSS[[#This Row],[S.B.C./S.D.I.]]&lt;=SMGI,0,((TabCuotasIMSS[[#This Row],[SALARIO
DEL CICLO]]-(TabCuotasIMSS[[#This Row],[S.B.C./S.D.I.]]*TabCuotasIMSS[[#This Row],[INC]]))*PDO))</f>
        <v>0</v>
      </c>
      <c r="T61" s="55">
        <f>TabCuotasIMSS[[#This Row],[PATRON2]]+TabCuotasIMSS[[#This Row],[OBRERO]]</f>
        <v>59.854203749999996</v>
      </c>
      <c r="U61" s="55">
        <f>IF(TabCuotasIMSS[[#This Row],[S.B.C./S.D.I.]]&lt;=SMGI,((TabCuotasIMSS[[#This Row],[SALARIO
DEL CICLO]]-(TabCuotasIMSS[[#This Row],[S.B.C./S.D.I.]]*TabCuotasIMSS[[#This Row],[INC]])))*GMP,((TabCuotasIMSS[[#This Row],[SALARIO
DEL CICLO]]-(TabCuotasIMSS[[#This Row],[S.B.C./S.D.I.]]*TabCuotasIMSS[[#This Row],[INC]])))*GMPP)</f>
        <v>89.781305625000002</v>
      </c>
      <c r="V61" s="55">
        <f>IF(TabCuotasIMSS[[#This Row],[S.B.C./S.D.I.]]&lt;=SMGI,0,((TabCuotasIMSS[[#This Row],[SALARIO
DEL CICLO]]-(TabCuotasIMSS[[#This Row],[S.B.C./S.D.I.]]*TabCuotasIMSS[[#This Row],[INC]])))*GMPO)</f>
        <v>0</v>
      </c>
      <c r="W61" s="55">
        <f>TabCuotasIMSS[[#This Row],[PATRON3]]+TabCuotasIMSS[[#This Row],[OBRERO4]]</f>
        <v>89.781305625000002</v>
      </c>
      <c r="X61" s="141">
        <f>((TabCuotasIMSS[[#This Row],[SALARIO
DEL CICLO]]-(TabCuotasIMSS[[#This Row],[S.B.C./S.D.I.]]*(TabCuotasIMSS[[#This Row],[INC]]+TabCuotasIMSS[[#This Row],[AUS]]))))*PRTP</f>
        <v>3150.2212500000001</v>
      </c>
      <c r="Y61" s="55">
        <f>IF(TabCuotasIMSS[[#This Row],[S.B.C./S.D.I.]]&lt;=SMGI,((TabCuotasIMSS[[#This Row],[SALARIO
DEL CICLO]]-(TabCuotasIMSS[[#This Row],[S.B.C./S.D.I.]]*(TabCuotasIMSS[[#This Row],[INC]]+TabCuotasIMSS[[#This Row],[AUS]]))))*IV,((TabCuotasIMSS[[#This Row],[SALARIO
DEL CICLO]]-(TabCuotasIMSS[[#This Row],[S.B.C./S.D.I.]]*(TabCuotasIMSS[[#This Row],[INC]]+TabCuotasIMSS[[#This Row],[AUS]]))))*IVP)</f>
        <v>149.635509375</v>
      </c>
      <c r="Z61" s="55">
        <f>IF(TabCuotasIMSS[[#This Row],[S.B.C./S.D.I.]]&lt;=SMGI,0,((TabCuotasIMSS[[#This Row],[SALARIO
DEL CICLO]]-(TabCuotasIMSS[[#This Row],[S.B.C./S.D.I.]]*(TabCuotasIMSS[[#This Row],[INC]]+TabCuotasIMSS[[#This Row],[AUS]]))))*IVO)</f>
        <v>0</v>
      </c>
      <c r="AA61" s="55">
        <f>TabCuotasIMSS[[#This Row],[PATRON6]]+TabCuotasIMSS[[#This Row],[OBRERO7]]</f>
        <v>149.635509375</v>
      </c>
      <c r="AB61" s="141">
        <f>((TabCuotasIMSS[[#This Row],[SALARIO
DEL CICLO]]-(TabCuotasIMSS[[#This Row],[S.B.C./S.D.I.]]*(TabCuotasIMSS[[#This Row],[INC]]+TabCuotasIMSS[[#This Row],[AUS]]))))*GPS</f>
        <v>63.004425000000005</v>
      </c>
      <c r="AC61" s="141">
        <f>TabCuotasIMSS[[#This Row],[SALARIO
DEL CICLO]]*0</f>
        <v>0</v>
      </c>
      <c r="AD61" s="141">
        <f>TabCuotasIMSS[[#This Row],[PATRON9]]+TabCuotasIMSS[[#This Row],[OBRERO10]]</f>
        <v>63.004425000000005</v>
      </c>
      <c r="AE61" s="233">
        <f>TabCuotasIMSS[[#This Row],[PATRON]]+TabCuotasIMSS[[#This Row],[EXCED.
PATRON]]+TabCuotasIMSS[[#This Row],[PATRON2]]+TabCuotasIMSS[[#This Row],[PATRON3]]+TabCuotasIMSS[[#This Row],[PATRON
0.50%]]+TabCuotasIMSS[[#This Row],[PATRON6]]+TabCuotasIMSS[[#This Row],[PATRON9]]</f>
        <v>4945.4049337500001</v>
      </c>
      <c r="AF61" s="233">
        <f>TabCuotasIMSS[[#This Row],[EXCED.
OBRERO]]+TabCuotasIMSS[[#This Row],[OBRERO]]+TabCuotasIMSS[[#This Row],[OBRERO4]]+TabCuotasIMSS[[#This Row],[OBRERO7]]+TabCuotasIMSS[[#This Row],[OBRERO10]]</f>
        <v>0</v>
      </c>
      <c r="AG61" s="233">
        <f>TabCuotasIMSS[[#This Row],[TOTAL
PATRONAL]]+TabCuotasIMSS[[#This Row],[TOTAL
OBRERO]]</f>
        <v>4945.4049337500001</v>
      </c>
      <c r="AH61" s="141">
        <f>((TabCuotasIMSS[[#This Row],[SALARIO
DEL CICLO]]-(TabCuotasIMSS[[#This Row],[S.B.C./S.D.I.]]*TabCuotasIMSS[[#This Row],[AUS]]))*R_)</f>
        <v>126.00885000000001</v>
      </c>
      <c r="AI61">
        <f>IF(TabCuotasIMSS[[#This Row],[S.B.C./S.D.I.]]&lt;=SMGI,((TabCuotasIMSS[[#This Row],[SALARIO
DEL CICLO]]-(TabCuotasIMSS[[#This Row],[S.B.C./S.D.I.]]*(TabCuotasIMSS[[#This Row],[INC]]+TabCuotasIMSS[[#This Row],[AUS]]))))*CV,((TabCuotasIMSS[[#This Row],[SALARIO
DEL CICLO]]-(TabCuotasIMSS[[#This Row],[S.B.C./S.D.I.]]*(TabCuotasIMSS[[#This Row],[INC]]+TabCuotasIMSS[[#This Row],[AUS]]))))*CVP)</f>
        <v>269.34391687500005</v>
      </c>
      <c r="AJ61">
        <f>IF(TabCuotasIMSS[[#This Row],[S.B.C./S.D.I.]]&lt;=SMGI,0,((TabCuotasIMSS[[#This Row],[SALARIO
DEL CICLO]]-(TabCuotasIMSS[[#This Row],[S.B.C./S.D.I.]]*(TabCuotasIMSS[[#This Row],[INC]]+TabCuotasIMSS[[#This Row],[AUS]]))))*CVO)</f>
        <v>0</v>
      </c>
      <c r="AK61">
        <f>SUM(TabCuotasIMSS[[#This Row],[2%]]:TabCuotasIMSS[[#This Row],[OBRERO14]])</f>
        <v>395.35276687500004</v>
      </c>
      <c r="AL61" s="141">
        <f>((TabCuotasIMSS[[#This Row],[SALARIO
DEL CICLO]]-(TabCuotasIMSS[[#This Row],[S.B.C./S.D.I.]]*(TabCuotasIMSS[[#This Row],[AUS]])))*I)</f>
        <v>315.02212500000002</v>
      </c>
      <c r="AM61" s="141">
        <f>TabCuotasIMSS[[#This Row],[TOTAL
O.P.11]]+TabCuotasIMSS[[#This Row],[2%]]+TabCuotasIMSS[[#This Row],[PATRON13]]+TabCuotasIMSS[[#This Row],[5%]]</f>
        <v>773.37931687500009</v>
      </c>
      <c r="AN61" s="141">
        <f>TabCuotasIMSS[[#This Row],[TOTAL
OBRERO]]+TabCuotasIMSS[[#This Row],[OBRERO14]]</f>
        <v>0</v>
      </c>
    </row>
    <row r="62" spans="1:40" x14ac:dyDescent="0.25">
      <c r="A62" s="2">
        <v>54</v>
      </c>
      <c r="B62" s="1" cm="1">
        <f t="array" ref="B62">VLOOKUP(TabCuotasIMSS[[#This Row],[ID]],TabEmpleados[],COLUMN(TabEmpleados[Fecha de alta NSS]),FALSE)</f>
        <v>44509</v>
      </c>
      <c r="C62" t="str" cm="1">
        <f t="array" ref="C62">VLOOKUP(TabCuotasIMSS[[#This Row],[ID]],TabEmpleados[],COLUMN(TabEmpleados[Nombre]),FALSE)</f>
        <v>ZANABRIGA VELASQUEZ ELOY</v>
      </c>
      <c r="D62" cm="1">
        <f t="array" ref="D62">IF(VLOOKUP(TabCuotasIMSS[[#This Row],[ID]],TabEmpleados[],COLUMN(TabEmpleados[Fecha de alta NSS]),FALSE)&lt;&gt;"",VLOOKUP(TabCuotasIMSS[[#This Row],[ID]],TabAsistencias[],COLUMN(TabAsistencias[''Total de dias laborados]),FALSE),0)</f>
        <v>73</v>
      </c>
      <c r="E62" cm="1">
        <f t="array" ref="E62">IF(VLOOKUP(TabCuotasIMSS[[#This Row],[ID]],TabEmpleados[],COLUMN(TabEmpleados[Fecha de alta NSS]),FALSE)&lt;&gt;"",IF(DATEDIF((VLOOKUP(TabCuotasIMSS[[#This Row],[ID]],TabEmpleados[],COLUMN(TabEmpleados[Fecha de alta NSS]),FALSE)),'Tablas de informacion'!N$8,"Y")=0,1,DATEDIF((VLOOKUP(TabCuotasIMSS[[#This Row],[ID]],TabEmpleados[],COLUMN(TabEmpleados[Fecha de alta NSS]),FALSE)),'Tablas de informacion'!N$8,"Y")),0)</f>
        <v>1</v>
      </c>
      <c r="F62" s="55" cm="1">
        <f t="array" ref="F62">VLOOKUP(TabCuotasIMSS[[#This Row],[ID]],TabEmpleados[],COLUMN(TabEmpleados[SD Fiscal]),FALSE)</f>
        <v>66</v>
      </c>
      <c r="G62" s="55" cm="1">
        <f t="array" ref="G62">IFERROR((VLOOKUP((VLOOKUP(TabCuotasIMSS[[#This Row],[ID]],TabEmpleados[],COLUMN(TabEmpleados[Puesto]),FALSE)),TabPuestos[],COLUMN(TabPuestos[N° ALIMENTOS]),FALSE))*TabCuotasIMSS[[#This Row],[Salario Diario]]*(VLOOKUP(TabCuotasIMSS[[#This Row],[Años]],TabFactorIntegracion[],COLUMN(TabFactorIntegracion[% por alimento]))),0)</f>
        <v>5.4977999999999998</v>
      </c>
      <c r="H62" s="55" cm="1">
        <f t="array" ref="H62">IFERROR((VLOOKUP((VLOOKUP(TabCuotasIMSS[[#This Row],[ID]],TabEmpleados[],COLUMN(TabEmpleados[Puesto]),FALSE)),TabPuestos[],COLUMN(TabPuestos[PRIMA DOMINICAL]),FALSE))*TabCuotasIMSS[[#This Row],[Salario Diario]]*(VLOOKUP(TabCuotasIMSS[[#This Row],[Años]],TabFactorIntegracion[],COLUMN(TabFactorIntegracion[PRIMA
DOMINICAL]))),0)</f>
        <v>1.1979452054794519</v>
      </c>
      <c r="I62" s="55" cm="1">
        <f t="array" ref="I62">IFERROR(TabCuotasIMSS[[#This Row],[Salario Diario]]*(VLOOKUP(TabCuotasIMSS[[#This Row],[Años]],TabFactorIntegracion[],COLUMN(TabFactorIntegracion[FACTOR DE
INTEGRACIÓN]))),0)</f>
        <v>3.2547945205479452</v>
      </c>
      <c r="J62" s="174">
        <f>IFERROR(TabCuotasIMSS[[#This Row],[Salario Diario]]+TabCuotasIMSS[[#This Row],[Alimentos]]+TabCuotasIMSS[[#This Row],[Prima Dominical]]+TabCuotasIMSS[[#This Row],[Factor de Integracion]],0)</f>
        <v>75.950539726027401</v>
      </c>
      <c r="K62" cm="1">
        <f t="array" ref="K62">VLOOKUP(TabCuotasIMSS[[#This Row],[ID]],TabAsistencias[],COLUMN(TabAsistencias[''I]),FALSE)+VLOOKUP(TabCuotasIMSS[[#This Row],[ID]],TabAsistencias[],COLUMN(TabAsistencias[''IG]),FALSE)</f>
        <v>0</v>
      </c>
      <c r="L62" cm="1">
        <f t="array" ref="L62">VLOOKUP(TabCuotasIMSS[[#This Row],[ID]],TabAsistencias[],COLUMN(TabAsistencias[''F]),FALSE)</f>
        <v>0</v>
      </c>
      <c r="M62" s="141">
        <f>TabCuotasIMSS[[#This Row],[S.B.C./S.D.I.]]*TabCuotasIMSS[[#This Row],[DÍAS
LAB.]]</f>
        <v>5544.3894</v>
      </c>
      <c r="N62" s="141">
        <f>(SMDF*CF*(TabCuotasIMSS[[#This Row],[DÍAS
LAB.]]-TabCuotasIMSS[[#This Row],[INC]]))</f>
        <v>1432.90824</v>
      </c>
      <c r="O62" s="55">
        <f>IF(TabCuotasIMSS[[#This Row],[S.B.C./S.D.I.]]&gt;SMDF3,((TabCuotasIMSS[[#This Row],[S.B.C./S.D.I.]]-SMDF3)*CFP*(TabCuotasIMSS[[#This Row],[DÍAS
LAB.]]-TabCuotasIMSS[[#This Row],[INC]])),0)</f>
        <v>0</v>
      </c>
      <c r="P62" s="55">
        <f>IF(TabCuotasIMSS[[#This Row],[S.B.C./S.D.I.]]&gt;SMDF3,((TabCuotasIMSS[[#This Row],[S.B.C./S.D.I.]]-SMDF3)*CFO*(TabCuotasIMSS[[#This Row],[DÍAS
LAB.]]-TabCuotasIMSS[[#This Row],[INC]])),0)</f>
        <v>0</v>
      </c>
      <c r="Q62" s="55">
        <f>TabCuotasIMSS[[#This Row],[EXCED.
PATRON]]+TabCuotasIMSS[[#This Row],[EXCED.
OBRERO]]</f>
        <v>0</v>
      </c>
      <c r="R62" s="55">
        <f>IF(TabCuotasIMSS[[#This Row],[S.B.C./S.D.I.]]&lt;=SMGI,((TabCuotasIMSS[[#This Row],[SALARIO
DEL CICLO]]-(TabCuotasIMSS[[#This Row],[S.B.C./S.D.I.]]*TabCuotasIMSS[[#This Row],[INC]])))*PD,((TabCuotasIMSS[[#This Row],[SALARIO
DEL CICLO]]-(TabCuotasIMSS[[#This Row],[S.B.C./S.D.I.]]*TabCuotasIMSS[[#This Row],[INC]]))*PDP))</f>
        <v>52.6716993</v>
      </c>
      <c r="S62" s="55">
        <f>IF(TabCuotasIMSS[[#This Row],[S.B.C./S.D.I.]]&lt;=SMGI,0,((TabCuotasIMSS[[#This Row],[SALARIO
DEL CICLO]]-(TabCuotasIMSS[[#This Row],[S.B.C./S.D.I.]]*TabCuotasIMSS[[#This Row],[INC]]))*PDO))</f>
        <v>0</v>
      </c>
      <c r="T62" s="55">
        <f>TabCuotasIMSS[[#This Row],[PATRON2]]+TabCuotasIMSS[[#This Row],[OBRERO]]</f>
        <v>52.6716993</v>
      </c>
      <c r="U62" s="55">
        <f>IF(TabCuotasIMSS[[#This Row],[S.B.C./S.D.I.]]&lt;=SMGI,((TabCuotasIMSS[[#This Row],[SALARIO
DEL CICLO]]-(TabCuotasIMSS[[#This Row],[S.B.C./S.D.I.]]*TabCuotasIMSS[[#This Row],[INC]])))*GMP,((TabCuotasIMSS[[#This Row],[SALARIO
DEL CICLO]]-(TabCuotasIMSS[[#This Row],[S.B.C./S.D.I.]]*TabCuotasIMSS[[#This Row],[INC]])))*GMPP)</f>
        <v>79.00754895</v>
      </c>
      <c r="V62" s="55">
        <f>IF(TabCuotasIMSS[[#This Row],[S.B.C./S.D.I.]]&lt;=SMGI,0,((TabCuotasIMSS[[#This Row],[SALARIO
DEL CICLO]]-(TabCuotasIMSS[[#This Row],[S.B.C./S.D.I.]]*TabCuotasIMSS[[#This Row],[INC]])))*GMPO)</f>
        <v>0</v>
      </c>
      <c r="W62" s="55">
        <f>TabCuotasIMSS[[#This Row],[PATRON3]]+TabCuotasIMSS[[#This Row],[OBRERO4]]</f>
        <v>79.00754895</v>
      </c>
      <c r="X62" s="141">
        <f>((TabCuotasIMSS[[#This Row],[SALARIO
DEL CICLO]]-(TabCuotasIMSS[[#This Row],[S.B.C./S.D.I.]]*(TabCuotasIMSS[[#This Row],[INC]]+TabCuotasIMSS[[#This Row],[AUS]]))))*PRTP</f>
        <v>2772.1947</v>
      </c>
      <c r="Y62" s="55">
        <f>IF(TabCuotasIMSS[[#This Row],[S.B.C./S.D.I.]]&lt;=SMGI,((TabCuotasIMSS[[#This Row],[SALARIO
DEL CICLO]]-(TabCuotasIMSS[[#This Row],[S.B.C./S.D.I.]]*(TabCuotasIMSS[[#This Row],[INC]]+TabCuotasIMSS[[#This Row],[AUS]]))))*IV,((TabCuotasIMSS[[#This Row],[SALARIO
DEL CICLO]]-(TabCuotasIMSS[[#This Row],[S.B.C./S.D.I.]]*(TabCuotasIMSS[[#This Row],[INC]]+TabCuotasIMSS[[#This Row],[AUS]]))))*IVP)</f>
        <v>131.67924825</v>
      </c>
      <c r="Z62" s="55">
        <f>IF(TabCuotasIMSS[[#This Row],[S.B.C./S.D.I.]]&lt;=SMGI,0,((TabCuotasIMSS[[#This Row],[SALARIO
DEL CICLO]]-(TabCuotasIMSS[[#This Row],[S.B.C./S.D.I.]]*(TabCuotasIMSS[[#This Row],[INC]]+TabCuotasIMSS[[#This Row],[AUS]]))))*IVO)</f>
        <v>0</v>
      </c>
      <c r="AA62" s="55">
        <f>TabCuotasIMSS[[#This Row],[PATRON6]]+TabCuotasIMSS[[#This Row],[OBRERO7]]</f>
        <v>131.67924825</v>
      </c>
      <c r="AB62" s="141">
        <f>((TabCuotasIMSS[[#This Row],[SALARIO
DEL CICLO]]-(TabCuotasIMSS[[#This Row],[S.B.C./S.D.I.]]*(TabCuotasIMSS[[#This Row],[INC]]+TabCuotasIMSS[[#This Row],[AUS]]))))*GPS</f>
        <v>55.443894</v>
      </c>
      <c r="AC62" s="141">
        <f>TabCuotasIMSS[[#This Row],[SALARIO
DEL CICLO]]*0</f>
        <v>0</v>
      </c>
      <c r="AD62" s="141">
        <f>TabCuotasIMSS[[#This Row],[PATRON9]]+TabCuotasIMSS[[#This Row],[OBRERO10]]</f>
        <v>55.443894</v>
      </c>
      <c r="AE62" s="233">
        <f>TabCuotasIMSS[[#This Row],[PATRON]]+TabCuotasIMSS[[#This Row],[EXCED.
PATRON]]+TabCuotasIMSS[[#This Row],[PATRON2]]+TabCuotasIMSS[[#This Row],[PATRON3]]+TabCuotasIMSS[[#This Row],[PATRON
0.50%]]+TabCuotasIMSS[[#This Row],[PATRON6]]+TabCuotasIMSS[[#This Row],[PATRON9]]</f>
        <v>4523.9053304999998</v>
      </c>
      <c r="AF62" s="233">
        <f>TabCuotasIMSS[[#This Row],[EXCED.
OBRERO]]+TabCuotasIMSS[[#This Row],[OBRERO]]+TabCuotasIMSS[[#This Row],[OBRERO4]]+TabCuotasIMSS[[#This Row],[OBRERO7]]+TabCuotasIMSS[[#This Row],[OBRERO10]]</f>
        <v>0</v>
      </c>
      <c r="AG62" s="233">
        <f>TabCuotasIMSS[[#This Row],[TOTAL
PATRONAL]]+TabCuotasIMSS[[#This Row],[TOTAL
OBRERO]]</f>
        <v>4523.9053304999998</v>
      </c>
      <c r="AH62" s="141">
        <f>((TabCuotasIMSS[[#This Row],[SALARIO
DEL CICLO]]-(TabCuotasIMSS[[#This Row],[S.B.C./S.D.I.]]*TabCuotasIMSS[[#This Row],[AUS]]))*R_)</f>
        <v>110.887788</v>
      </c>
      <c r="AI62">
        <f>IF(TabCuotasIMSS[[#This Row],[S.B.C./S.D.I.]]&lt;=SMGI,((TabCuotasIMSS[[#This Row],[SALARIO
DEL CICLO]]-(TabCuotasIMSS[[#This Row],[S.B.C./S.D.I.]]*(TabCuotasIMSS[[#This Row],[INC]]+TabCuotasIMSS[[#This Row],[AUS]]))))*CV,((TabCuotasIMSS[[#This Row],[SALARIO
DEL CICLO]]-(TabCuotasIMSS[[#This Row],[S.B.C./S.D.I.]]*(TabCuotasIMSS[[#This Row],[INC]]+TabCuotasIMSS[[#This Row],[AUS]]))))*CVP)</f>
        <v>237.02264685000003</v>
      </c>
      <c r="AJ62">
        <f>IF(TabCuotasIMSS[[#This Row],[S.B.C./S.D.I.]]&lt;=SMGI,0,((TabCuotasIMSS[[#This Row],[SALARIO
DEL CICLO]]-(TabCuotasIMSS[[#This Row],[S.B.C./S.D.I.]]*(TabCuotasIMSS[[#This Row],[INC]]+TabCuotasIMSS[[#This Row],[AUS]]))))*CVO)</f>
        <v>0</v>
      </c>
      <c r="AK62">
        <f>SUM(TabCuotasIMSS[[#This Row],[2%]]:TabCuotasIMSS[[#This Row],[OBRERO14]])</f>
        <v>347.91043485</v>
      </c>
      <c r="AL62" s="141">
        <f>((TabCuotasIMSS[[#This Row],[SALARIO
DEL CICLO]]-(TabCuotasIMSS[[#This Row],[S.B.C./S.D.I.]]*(TabCuotasIMSS[[#This Row],[AUS]])))*I)</f>
        <v>277.21947</v>
      </c>
      <c r="AM62" s="141">
        <f>TabCuotasIMSS[[#This Row],[TOTAL
O.P.11]]+TabCuotasIMSS[[#This Row],[2%]]+TabCuotasIMSS[[#This Row],[PATRON13]]+TabCuotasIMSS[[#This Row],[5%]]</f>
        <v>680.57379885</v>
      </c>
      <c r="AN62" s="141">
        <f>TabCuotasIMSS[[#This Row],[TOTAL
OBRERO]]+TabCuotasIMSS[[#This Row],[OBRERO14]]</f>
        <v>0</v>
      </c>
    </row>
    <row r="63" spans="1:40" x14ac:dyDescent="0.25">
      <c r="A63" s="2">
        <v>55</v>
      </c>
      <c r="B63" s="1" cm="1">
        <f t="array" ref="B63">VLOOKUP(TabCuotasIMSS[[#This Row],[ID]],TabEmpleados[],COLUMN(TabEmpleados[Fecha de alta NSS]),FALSE)</f>
        <v>44509</v>
      </c>
      <c r="C63" t="str" cm="1">
        <f t="array" ref="C63">VLOOKUP(TabCuotasIMSS[[#This Row],[ID]],TabEmpleados[],COLUMN(TabEmpleados[Nombre]),FALSE)</f>
        <v>MARTINEZ HERNANDEZ URIEL VALENTINO</v>
      </c>
      <c r="D63" cm="1">
        <f t="array" ref="D63">IF(VLOOKUP(TabCuotasIMSS[[#This Row],[ID]],TabEmpleados[],COLUMN(TabEmpleados[Fecha de alta NSS]),FALSE)&lt;&gt;"",VLOOKUP(TabCuotasIMSS[[#This Row],[ID]],TabAsistencias[],COLUMN(TabAsistencias[''Total de dias laborados]),FALSE),0)</f>
        <v>73</v>
      </c>
      <c r="E63" cm="1">
        <f t="array" ref="E63">IF(VLOOKUP(TabCuotasIMSS[[#This Row],[ID]],TabEmpleados[],COLUMN(TabEmpleados[Fecha de alta NSS]),FALSE)&lt;&gt;"",IF(DATEDIF((VLOOKUP(TabCuotasIMSS[[#This Row],[ID]],TabEmpleados[],COLUMN(TabEmpleados[Fecha de alta NSS]),FALSE)),'Tablas de informacion'!N$8,"Y")=0,1,DATEDIF((VLOOKUP(TabCuotasIMSS[[#This Row],[ID]],TabEmpleados[],COLUMN(TabEmpleados[Fecha de alta NSS]),FALSE)),'Tablas de informacion'!N$8,"Y")),0)</f>
        <v>1</v>
      </c>
      <c r="F63" s="55" cm="1">
        <f t="array" ref="F63">VLOOKUP(TabCuotasIMSS[[#This Row],[ID]],TabEmpleados[],COLUMN(TabEmpleados[SD Fiscal]),FALSE)</f>
        <v>90</v>
      </c>
      <c r="G63" s="55" cm="1">
        <f t="array" ref="G63">IFERROR((VLOOKUP((VLOOKUP(TabCuotasIMSS[[#This Row],[ID]],TabEmpleados[],COLUMN(TabEmpleados[Puesto]),FALSE)),TabPuestos[],COLUMN(TabPuestos[N° ALIMENTOS]),FALSE))*TabCuotasIMSS[[#This Row],[Salario Diario]]*(VLOOKUP(TabCuotasIMSS[[#This Row],[Años]],TabFactorIntegracion[],COLUMN(TabFactorIntegracion[% por alimento]))),0)</f>
        <v>7.4969999999999999</v>
      </c>
      <c r="H63" s="55" cm="1">
        <f t="array" ref="H63">IFERROR((VLOOKUP((VLOOKUP(TabCuotasIMSS[[#This Row],[ID]],TabEmpleados[],COLUMN(TabEmpleados[Puesto]),FALSE)),TabPuestos[],COLUMN(TabPuestos[PRIMA DOMINICAL]),FALSE))*TabCuotasIMSS[[#This Row],[Salario Diario]]*(VLOOKUP(TabCuotasIMSS[[#This Row],[Años]],TabFactorIntegracion[],COLUMN(TabFactorIntegracion[PRIMA
DOMINICAL]))),0)</f>
        <v>1.6335616438356162</v>
      </c>
      <c r="I63" s="55" cm="1">
        <f t="array" ref="I63">IFERROR(TabCuotasIMSS[[#This Row],[Salario Diario]]*(VLOOKUP(TabCuotasIMSS[[#This Row],[Años]],TabFactorIntegracion[],COLUMN(TabFactorIntegracion[FACTOR DE
INTEGRACIÓN]))),0)</f>
        <v>4.4383561643835616</v>
      </c>
      <c r="J63" s="174">
        <f>IFERROR(TabCuotasIMSS[[#This Row],[Salario Diario]]+TabCuotasIMSS[[#This Row],[Alimentos]]+TabCuotasIMSS[[#This Row],[Prima Dominical]]+TabCuotasIMSS[[#This Row],[Factor de Integracion]],0)</f>
        <v>103.56891780821918</v>
      </c>
      <c r="K63" cm="1">
        <f t="array" ref="K63">VLOOKUP(TabCuotasIMSS[[#This Row],[ID]],TabAsistencias[],COLUMN(TabAsistencias[''I]),FALSE)+VLOOKUP(TabCuotasIMSS[[#This Row],[ID]],TabAsistencias[],COLUMN(TabAsistencias[''IG]),FALSE)</f>
        <v>0</v>
      </c>
      <c r="L63" cm="1">
        <f t="array" ref="L63">VLOOKUP(TabCuotasIMSS[[#This Row],[ID]],TabAsistencias[],COLUMN(TabAsistencias[''F]),FALSE)</f>
        <v>0</v>
      </c>
      <c r="M63" s="141">
        <f>TabCuotasIMSS[[#This Row],[S.B.C./S.D.I.]]*TabCuotasIMSS[[#This Row],[DÍAS
LAB.]]</f>
        <v>7560.5309999999999</v>
      </c>
      <c r="N63" s="141">
        <f>(SMDF*CF*(TabCuotasIMSS[[#This Row],[DÍAS
LAB.]]-TabCuotasIMSS[[#This Row],[INC]]))</f>
        <v>1432.90824</v>
      </c>
      <c r="O63" s="55">
        <f>IF(TabCuotasIMSS[[#This Row],[S.B.C./S.D.I.]]&gt;SMDF3,((TabCuotasIMSS[[#This Row],[S.B.C./S.D.I.]]-SMDF3)*CFP*(TabCuotasIMSS[[#This Row],[DÍAS
LAB.]]-TabCuotasIMSS[[#This Row],[INC]])),0)</f>
        <v>0</v>
      </c>
      <c r="P63" s="55">
        <f>IF(TabCuotasIMSS[[#This Row],[S.B.C./S.D.I.]]&gt;SMDF3,((TabCuotasIMSS[[#This Row],[S.B.C./S.D.I.]]-SMDF3)*CFO*(TabCuotasIMSS[[#This Row],[DÍAS
LAB.]]-TabCuotasIMSS[[#This Row],[INC]])),0)</f>
        <v>0</v>
      </c>
      <c r="Q63" s="55">
        <f>TabCuotasIMSS[[#This Row],[EXCED.
PATRON]]+TabCuotasIMSS[[#This Row],[EXCED.
OBRERO]]</f>
        <v>0</v>
      </c>
      <c r="R63" s="55">
        <f>IF(TabCuotasIMSS[[#This Row],[S.B.C./S.D.I.]]&lt;=SMGI,((TabCuotasIMSS[[#This Row],[SALARIO
DEL CICLO]]-(TabCuotasIMSS[[#This Row],[S.B.C./S.D.I.]]*TabCuotasIMSS[[#This Row],[INC]])))*PD,((TabCuotasIMSS[[#This Row],[SALARIO
DEL CICLO]]-(TabCuotasIMSS[[#This Row],[S.B.C./S.D.I.]]*TabCuotasIMSS[[#This Row],[INC]]))*PDP))</f>
        <v>71.825044500000004</v>
      </c>
      <c r="S63" s="55">
        <f>IF(TabCuotasIMSS[[#This Row],[S.B.C./S.D.I.]]&lt;=SMGI,0,((TabCuotasIMSS[[#This Row],[SALARIO
DEL CICLO]]-(TabCuotasIMSS[[#This Row],[S.B.C./S.D.I.]]*TabCuotasIMSS[[#This Row],[INC]]))*PDO))</f>
        <v>0</v>
      </c>
      <c r="T63" s="55">
        <f>TabCuotasIMSS[[#This Row],[PATRON2]]+TabCuotasIMSS[[#This Row],[OBRERO]]</f>
        <v>71.825044500000004</v>
      </c>
      <c r="U63" s="55">
        <f>IF(TabCuotasIMSS[[#This Row],[S.B.C./S.D.I.]]&lt;=SMGI,((TabCuotasIMSS[[#This Row],[SALARIO
DEL CICLO]]-(TabCuotasIMSS[[#This Row],[S.B.C./S.D.I.]]*TabCuotasIMSS[[#This Row],[INC]])))*GMP,((TabCuotasIMSS[[#This Row],[SALARIO
DEL CICLO]]-(TabCuotasIMSS[[#This Row],[S.B.C./S.D.I.]]*TabCuotasIMSS[[#This Row],[INC]])))*GMPP)</f>
        <v>107.73756675</v>
      </c>
      <c r="V63" s="55">
        <f>IF(TabCuotasIMSS[[#This Row],[S.B.C./S.D.I.]]&lt;=SMGI,0,((TabCuotasIMSS[[#This Row],[SALARIO
DEL CICLO]]-(TabCuotasIMSS[[#This Row],[S.B.C./S.D.I.]]*TabCuotasIMSS[[#This Row],[INC]])))*GMPO)</f>
        <v>0</v>
      </c>
      <c r="W63" s="55">
        <f>TabCuotasIMSS[[#This Row],[PATRON3]]+TabCuotasIMSS[[#This Row],[OBRERO4]]</f>
        <v>107.73756675</v>
      </c>
      <c r="X63" s="141">
        <f>((TabCuotasIMSS[[#This Row],[SALARIO
DEL CICLO]]-(TabCuotasIMSS[[#This Row],[S.B.C./S.D.I.]]*(TabCuotasIMSS[[#This Row],[INC]]+TabCuotasIMSS[[#This Row],[AUS]]))))*PRTP</f>
        <v>3780.2655</v>
      </c>
      <c r="Y63" s="55">
        <f>IF(TabCuotasIMSS[[#This Row],[S.B.C./S.D.I.]]&lt;=SMGI,((TabCuotasIMSS[[#This Row],[SALARIO
DEL CICLO]]-(TabCuotasIMSS[[#This Row],[S.B.C./S.D.I.]]*(TabCuotasIMSS[[#This Row],[INC]]+TabCuotasIMSS[[#This Row],[AUS]]))))*IV,((TabCuotasIMSS[[#This Row],[SALARIO
DEL CICLO]]-(TabCuotasIMSS[[#This Row],[S.B.C./S.D.I.]]*(TabCuotasIMSS[[#This Row],[INC]]+TabCuotasIMSS[[#This Row],[AUS]]))))*IVP)</f>
        <v>179.56261125</v>
      </c>
      <c r="Z63" s="55">
        <f>IF(TabCuotasIMSS[[#This Row],[S.B.C./S.D.I.]]&lt;=SMGI,0,((TabCuotasIMSS[[#This Row],[SALARIO
DEL CICLO]]-(TabCuotasIMSS[[#This Row],[S.B.C./S.D.I.]]*(TabCuotasIMSS[[#This Row],[INC]]+TabCuotasIMSS[[#This Row],[AUS]]))))*IVO)</f>
        <v>0</v>
      </c>
      <c r="AA63" s="55">
        <f>TabCuotasIMSS[[#This Row],[PATRON6]]+TabCuotasIMSS[[#This Row],[OBRERO7]]</f>
        <v>179.56261125</v>
      </c>
      <c r="AB63" s="141">
        <f>((TabCuotasIMSS[[#This Row],[SALARIO
DEL CICLO]]-(TabCuotasIMSS[[#This Row],[S.B.C./S.D.I.]]*(TabCuotasIMSS[[#This Row],[INC]]+TabCuotasIMSS[[#This Row],[AUS]]))))*GPS</f>
        <v>75.605310000000003</v>
      </c>
      <c r="AC63" s="141">
        <f>TabCuotasIMSS[[#This Row],[SALARIO
DEL CICLO]]*0</f>
        <v>0</v>
      </c>
      <c r="AD63" s="141">
        <f>TabCuotasIMSS[[#This Row],[PATRON9]]+TabCuotasIMSS[[#This Row],[OBRERO10]]</f>
        <v>75.605310000000003</v>
      </c>
      <c r="AE63" s="233">
        <f>TabCuotasIMSS[[#This Row],[PATRON]]+TabCuotasIMSS[[#This Row],[EXCED.
PATRON]]+TabCuotasIMSS[[#This Row],[PATRON2]]+TabCuotasIMSS[[#This Row],[PATRON3]]+TabCuotasIMSS[[#This Row],[PATRON
0.50%]]+TabCuotasIMSS[[#This Row],[PATRON6]]+TabCuotasIMSS[[#This Row],[PATRON9]]</f>
        <v>5647.9042724999999</v>
      </c>
      <c r="AF63" s="233">
        <f>TabCuotasIMSS[[#This Row],[EXCED.
OBRERO]]+TabCuotasIMSS[[#This Row],[OBRERO]]+TabCuotasIMSS[[#This Row],[OBRERO4]]+TabCuotasIMSS[[#This Row],[OBRERO7]]+TabCuotasIMSS[[#This Row],[OBRERO10]]</f>
        <v>0</v>
      </c>
      <c r="AG63" s="233">
        <f>TabCuotasIMSS[[#This Row],[TOTAL
PATRONAL]]+TabCuotasIMSS[[#This Row],[TOTAL
OBRERO]]</f>
        <v>5647.9042724999999</v>
      </c>
      <c r="AH63" s="141">
        <f>((TabCuotasIMSS[[#This Row],[SALARIO
DEL CICLO]]-(TabCuotasIMSS[[#This Row],[S.B.C./S.D.I.]]*TabCuotasIMSS[[#This Row],[AUS]]))*R_)</f>
        <v>151.21062000000001</v>
      </c>
      <c r="AI63">
        <f>IF(TabCuotasIMSS[[#This Row],[S.B.C./S.D.I.]]&lt;=SMGI,((TabCuotasIMSS[[#This Row],[SALARIO
DEL CICLO]]-(TabCuotasIMSS[[#This Row],[S.B.C./S.D.I.]]*(TabCuotasIMSS[[#This Row],[INC]]+TabCuotasIMSS[[#This Row],[AUS]]))))*CV,((TabCuotasIMSS[[#This Row],[SALARIO
DEL CICLO]]-(TabCuotasIMSS[[#This Row],[S.B.C./S.D.I.]]*(TabCuotasIMSS[[#This Row],[INC]]+TabCuotasIMSS[[#This Row],[AUS]]))))*CVP)</f>
        <v>323.21270025000001</v>
      </c>
      <c r="AJ63">
        <f>IF(TabCuotasIMSS[[#This Row],[S.B.C./S.D.I.]]&lt;=SMGI,0,((TabCuotasIMSS[[#This Row],[SALARIO
DEL CICLO]]-(TabCuotasIMSS[[#This Row],[S.B.C./S.D.I.]]*(TabCuotasIMSS[[#This Row],[INC]]+TabCuotasIMSS[[#This Row],[AUS]]))))*CVO)</f>
        <v>0</v>
      </c>
      <c r="AK63">
        <f>SUM(TabCuotasIMSS[[#This Row],[2%]]:TabCuotasIMSS[[#This Row],[OBRERO14]])</f>
        <v>474.42332025000002</v>
      </c>
      <c r="AL63" s="141">
        <f>((TabCuotasIMSS[[#This Row],[SALARIO
DEL CICLO]]-(TabCuotasIMSS[[#This Row],[S.B.C./S.D.I.]]*(TabCuotasIMSS[[#This Row],[AUS]])))*I)</f>
        <v>378.02655000000004</v>
      </c>
      <c r="AM63" s="141">
        <f>TabCuotasIMSS[[#This Row],[TOTAL
O.P.11]]+TabCuotasIMSS[[#This Row],[2%]]+TabCuotasIMSS[[#This Row],[PATRON13]]+TabCuotasIMSS[[#This Row],[5%]]</f>
        <v>928.05518025000003</v>
      </c>
      <c r="AN63" s="141">
        <f>TabCuotasIMSS[[#This Row],[TOTAL
OBRERO]]+TabCuotasIMSS[[#This Row],[OBRERO14]]</f>
        <v>0</v>
      </c>
    </row>
    <row r="64" spans="1:40" x14ac:dyDescent="0.25">
      <c r="A64" s="2">
        <v>56</v>
      </c>
      <c r="B64" s="1" cm="1">
        <f t="array" ref="B64">VLOOKUP(TabCuotasIMSS[[#This Row],[ID]],TabEmpleados[],COLUMN(TabEmpleados[Fecha de alta NSS]),FALSE)</f>
        <v>44509</v>
      </c>
      <c r="C64" t="str" cm="1">
        <f t="array" ref="C64">VLOOKUP(TabCuotasIMSS[[#This Row],[ID]],TabEmpleados[],COLUMN(TabEmpleados[Nombre]),FALSE)</f>
        <v>ESPINDOLA CASTILLO JUAN MANUEL</v>
      </c>
      <c r="D64" cm="1">
        <f t="array" ref="D64">IF(VLOOKUP(TabCuotasIMSS[[#This Row],[ID]],TabEmpleados[],COLUMN(TabEmpleados[Fecha de alta NSS]),FALSE)&lt;&gt;"",VLOOKUP(TabCuotasIMSS[[#This Row],[ID]],TabAsistencias[],COLUMN(TabAsistencias[''Total de dias laborados]),FALSE),0)</f>
        <v>73</v>
      </c>
      <c r="E64" cm="1">
        <f t="array" ref="E64">IF(VLOOKUP(TabCuotasIMSS[[#This Row],[ID]],TabEmpleados[],COLUMN(TabEmpleados[Fecha de alta NSS]),FALSE)&lt;&gt;"",IF(DATEDIF((VLOOKUP(TabCuotasIMSS[[#This Row],[ID]],TabEmpleados[],COLUMN(TabEmpleados[Fecha de alta NSS]),FALSE)),'Tablas de informacion'!N$8,"Y")=0,1,DATEDIF((VLOOKUP(TabCuotasIMSS[[#This Row],[ID]],TabEmpleados[],COLUMN(TabEmpleados[Fecha de alta NSS]),FALSE)),'Tablas de informacion'!N$8,"Y")),0)</f>
        <v>1</v>
      </c>
      <c r="F64" s="55" cm="1">
        <f t="array" ref="F64">VLOOKUP(TabCuotasIMSS[[#This Row],[ID]],TabEmpleados[],COLUMN(TabEmpleados[SD Fiscal]),FALSE)</f>
        <v>60</v>
      </c>
      <c r="G64" s="55" cm="1">
        <f t="array" ref="G64">IFERROR((VLOOKUP((VLOOKUP(TabCuotasIMSS[[#This Row],[ID]],TabEmpleados[],COLUMN(TabEmpleados[Puesto]),FALSE)),TabPuestos[],COLUMN(TabPuestos[N° ALIMENTOS]),FALSE))*TabCuotasIMSS[[#This Row],[Salario Diario]]*(VLOOKUP(TabCuotasIMSS[[#This Row],[Años]],TabFactorIntegracion[],COLUMN(TabFactorIntegracion[% por alimento]))),0)</f>
        <v>4.9980000000000002</v>
      </c>
      <c r="H64" s="55" cm="1">
        <f t="array" ref="H64">IFERROR((VLOOKUP((VLOOKUP(TabCuotasIMSS[[#This Row],[ID]],TabEmpleados[],COLUMN(TabEmpleados[Puesto]),FALSE)),TabPuestos[],COLUMN(TabPuestos[PRIMA DOMINICAL]),FALSE))*TabCuotasIMSS[[#This Row],[Salario Diario]]*(VLOOKUP(TabCuotasIMSS[[#This Row],[Años]],TabFactorIntegracion[],COLUMN(TabFactorIntegracion[PRIMA
DOMINICAL]))),0)</f>
        <v>1.0890410958904109</v>
      </c>
      <c r="I64" s="55" cm="1">
        <f t="array" ref="I64">IFERROR(TabCuotasIMSS[[#This Row],[Salario Diario]]*(VLOOKUP(TabCuotasIMSS[[#This Row],[Años]],TabFactorIntegracion[],COLUMN(TabFactorIntegracion[FACTOR DE
INTEGRACIÓN]))),0)</f>
        <v>2.9589041095890409</v>
      </c>
      <c r="J64" s="174">
        <f>IFERROR(TabCuotasIMSS[[#This Row],[Salario Diario]]+TabCuotasIMSS[[#This Row],[Alimentos]]+TabCuotasIMSS[[#This Row],[Prima Dominical]]+TabCuotasIMSS[[#This Row],[Factor de Integracion]],0)</f>
        <v>69.045945205479455</v>
      </c>
      <c r="K64" cm="1">
        <f t="array" ref="K64">VLOOKUP(TabCuotasIMSS[[#This Row],[ID]],TabAsistencias[],COLUMN(TabAsistencias[''I]),FALSE)+VLOOKUP(TabCuotasIMSS[[#This Row],[ID]],TabAsistencias[],COLUMN(TabAsistencias[''IG]),FALSE)</f>
        <v>0</v>
      </c>
      <c r="L64" cm="1">
        <f t="array" ref="L64">VLOOKUP(TabCuotasIMSS[[#This Row],[ID]],TabAsistencias[],COLUMN(TabAsistencias[''F]),FALSE)</f>
        <v>0</v>
      </c>
      <c r="M64" s="141">
        <f>TabCuotasIMSS[[#This Row],[S.B.C./S.D.I.]]*TabCuotasIMSS[[#This Row],[DÍAS
LAB.]]</f>
        <v>5040.3540000000003</v>
      </c>
      <c r="N64" s="141">
        <f>(SMDF*CF*(TabCuotasIMSS[[#This Row],[DÍAS
LAB.]]-TabCuotasIMSS[[#This Row],[INC]]))</f>
        <v>1432.90824</v>
      </c>
      <c r="O64" s="55">
        <f>IF(TabCuotasIMSS[[#This Row],[S.B.C./S.D.I.]]&gt;SMDF3,((TabCuotasIMSS[[#This Row],[S.B.C./S.D.I.]]-SMDF3)*CFP*(TabCuotasIMSS[[#This Row],[DÍAS
LAB.]]-TabCuotasIMSS[[#This Row],[INC]])),0)</f>
        <v>0</v>
      </c>
      <c r="P64" s="55">
        <f>IF(TabCuotasIMSS[[#This Row],[S.B.C./S.D.I.]]&gt;SMDF3,((TabCuotasIMSS[[#This Row],[S.B.C./S.D.I.]]-SMDF3)*CFO*(TabCuotasIMSS[[#This Row],[DÍAS
LAB.]]-TabCuotasIMSS[[#This Row],[INC]])),0)</f>
        <v>0</v>
      </c>
      <c r="Q64" s="55">
        <f>TabCuotasIMSS[[#This Row],[EXCED.
PATRON]]+TabCuotasIMSS[[#This Row],[EXCED.
OBRERO]]</f>
        <v>0</v>
      </c>
      <c r="R64" s="55">
        <f>IF(TabCuotasIMSS[[#This Row],[S.B.C./S.D.I.]]&lt;=SMGI,((TabCuotasIMSS[[#This Row],[SALARIO
DEL CICLO]]-(TabCuotasIMSS[[#This Row],[S.B.C./S.D.I.]]*TabCuotasIMSS[[#This Row],[INC]])))*PD,((TabCuotasIMSS[[#This Row],[SALARIO
DEL CICLO]]-(TabCuotasIMSS[[#This Row],[S.B.C./S.D.I.]]*TabCuotasIMSS[[#This Row],[INC]]))*PDP))</f>
        <v>47.883363000000003</v>
      </c>
      <c r="S64" s="55">
        <f>IF(TabCuotasIMSS[[#This Row],[S.B.C./S.D.I.]]&lt;=SMGI,0,((TabCuotasIMSS[[#This Row],[SALARIO
DEL CICLO]]-(TabCuotasIMSS[[#This Row],[S.B.C./S.D.I.]]*TabCuotasIMSS[[#This Row],[INC]]))*PDO))</f>
        <v>0</v>
      </c>
      <c r="T64" s="55">
        <f>TabCuotasIMSS[[#This Row],[PATRON2]]+TabCuotasIMSS[[#This Row],[OBRERO]]</f>
        <v>47.883363000000003</v>
      </c>
      <c r="U64" s="55">
        <f>IF(TabCuotasIMSS[[#This Row],[S.B.C./S.D.I.]]&lt;=SMGI,((TabCuotasIMSS[[#This Row],[SALARIO
DEL CICLO]]-(TabCuotasIMSS[[#This Row],[S.B.C./S.D.I.]]*TabCuotasIMSS[[#This Row],[INC]])))*GMP,((TabCuotasIMSS[[#This Row],[SALARIO
DEL CICLO]]-(TabCuotasIMSS[[#This Row],[S.B.C./S.D.I.]]*TabCuotasIMSS[[#This Row],[INC]])))*GMPP)</f>
        <v>71.825044500000004</v>
      </c>
      <c r="V64" s="55">
        <f>IF(TabCuotasIMSS[[#This Row],[S.B.C./S.D.I.]]&lt;=SMGI,0,((TabCuotasIMSS[[#This Row],[SALARIO
DEL CICLO]]-(TabCuotasIMSS[[#This Row],[S.B.C./S.D.I.]]*TabCuotasIMSS[[#This Row],[INC]])))*GMPO)</f>
        <v>0</v>
      </c>
      <c r="W64" s="55">
        <f>TabCuotasIMSS[[#This Row],[PATRON3]]+TabCuotasIMSS[[#This Row],[OBRERO4]]</f>
        <v>71.825044500000004</v>
      </c>
      <c r="X64" s="141">
        <f>((TabCuotasIMSS[[#This Row],[SALARIO
DEL CICLO]]-(TabCuotasIMSS[[#This Row],[S.B.C./S.D.I.]]*(TabCuotasIMSS[[#This Row],[INC]]+TabCuotasIMSS[[#This Row],[AUS]]))))*PRTP</f>
        <v>2520.1770000000001</v>
      </c>
      <c r="Y64" s="55">
        <f>IF(TabCuotasIMSS[[#This Row],[S.B.C./S.D.I.]]&lt;=SMGI,((TabCuotasIMSS[[#This Row],[SALARIO
DEL CICLO]]-(TabCuotasIMSS[[#This Row],[S.B.C./S.D.I.]]*(TabCuotasIMSS[[#This Row],[INC]]+TabCuotasIMSS[[#This Row],[AUS]]))))*IV,((TabCuotasIMSS[[#This Row],[SALARIO
DEL CICLO]]-(TabCuotasIMSS[[#This Row],[S.B.C./S.D.I.]]*(TabCuotasIMSS[[#This Row],[INC]]+TabCuotasIMSS[[#This Row],[AUS]]))))*IVP)</f>
        <v>119.70840750000001</v>
      </c>
      <c r="Z64" s="55">
        <f>IF(TabCuotasIMSS[[#This Row],[S.B.C./S.D.I.]]&lt;=SMGI,0,((TabCuotasIMSS[[#This Row],[SALARIO
DEL CICLO]]-(TabCuotasIMSS[[#This Row],[S.B.C./S.D.I.]]*(TabCuotasIMSS[[#This Row],[INC]]+TabCuotasIMSS[[#This Row],[AUS]]))))*IVO)</f>
        <v>0</v>
      </c>
      <c r="AA64" s="55">
        <f>TabCuotasIMSS[[#This Row],[PATRON6]]+TabCuotasIMSS[[#This Row],[OBRERO7]]</f>
        <v>119.70840750000001</v>
      </c>
      <c r="AB64" s="141">
        <f>((TabCuotasIMSS[[#This Row],[SALARIO
DEL CICLO]]-(TabCuotasIMSS[[#This Row],[S.B.C./S.D.I.]]*(TabCuotasIMSS[[#This Row],[INC]]+TabCuotasIMSS[[#This Row],[AUS]]))))*GPS</f>
        <v>50.403540000000007</v>
      </c>
      <c r="AC64" s="141">
        <f>TabCuotasIMSS[[#This Row],[SALARIO
DEL CICLO]]*0</f>
        <v>0</v>
      </c>
      <c r="AD64" s="141">
        <f>TabCuotasIMSS[[#This Row],[PATRON9]]+TabCuotasIMSS[[#This Row],[OBRERO10]]</f>
        <v>50.403540000000007</v>
      </c>
      <c r="AE64" s="233">
        <f>TabCuotasIMSS[[#This Row],[PATRON]]+TabCuotasIMSS[[#This Row],[EXCED.
PATRON]]+TabCuotasIMSS[[#This Row],[PATRON2]]+TabCuotasIMSS[[#This Row],[PATRON3]]+TabCuotasIMSS[[#This Row],[PATRON
0.50%]]+TabCuotasIMSS[[#This Row],[PATRON6]]+TabCuotasIMSS[[#This Row],[PATRON9]]</f>
        <v>4242.9055950000002</v>
      </c>
      <c r="AF64" s="233">
        <f>TabCuotasIMSS[[#This Row],[EXCED.
OBRERO]]+TabCuotasIMSS[[#This Row],[OBRERO]]+TabCuotasIMSS[[#This Row],[OBRERO4]]+TabCuotasIMSS[[#This Row],[OBRERO7]]+TabCuotasIMSS[[#This Row],[OBRERO10]]</f>
        <v>0</v>
      </c>
      <c r="AG64" s="233">
        <f>TabCuotasIMSS[[#This Row],[TOTAL
PATRONAL]]+TabCuotasIMSS[[#This Row],[TOTAL
OBRERO]]</f>
        <v>4242.9055950000002</v>
      </c>
      <c r="AH64" s="141">
        <f>((TabCuotasIMSS[[#This Row],[SALARIO
DEL CICLO]]-(TabCuotasIMSS[[#This Row],[S.B.C./S.D.I.]]*TabCuotasIMSS[[#This Row],[AUS]]))*R_)</f>
        <v>100.80708000000001</v>
      </c>
      <c r="AI64">
        <f>IF(TabCuotasIMSS[[#This Row],[S.B.C./S.D.I.]]&lt;=SMGI,((TabCuotasIMSS[[#This Row],[SALARIO
DEL CICLO]]-(TabCuotasIMSS[[#This Row],[S.B.C./S.D.I.]]*(TabCuotasIMSS[[#This Row],[INC]]+TabCuotasIMSS[[#This Row],[AUS]]))))*CV,((TabCuotasIMSS[[#This Row],[SALARIO
DEL CICLO]]-(TabCuotasIMSS[[#This Row],[S.B.C./S.D.I.]]*(TabCuotasIMSS[[#This Row],[INC]]+TabCuotasIMSS[[#This Row],[AUS]]))))*CVP)</f>
        <v>215.47513350000003</v>
      </c>
      <c r="AJ64">
        <f>IF(TabCuotasIMSS[[#This Row],[S.B.C./S.D.I.]]&lt;=SMGI,0,((TabCuotasIMSS[[#This Row],[SALARIO
DEL CICLO]]-(TabCuotasIMSS[[#This Row],[S.B.C./S.D.I.]]*(TabCuotasIMSS[[#This Row],[INC]]+TabCuotasIMSS[[#This Row],[AUS]]))))*CVO)</f>
        <v>0</v>
      </c>
      <c r="AK64">
        <f>SUM(TabCuotasIMSS[[#This Row],[2%]]:TabCuotasIMSS[[#This Row],[OBRERO14]])</f>
        <v>316.28221350000001</v>
      </c>
      <c r="AL64" s="141">
        <f>((TabCuotasIMSS[[#This Row],[SALARIO
DEL CICLO]]-(TabCuotasIMSS[[#This Row],[S.B.C./S.D.I.]]*(TabCuotasIMSS[[#This Row],[AUS]])))*I)</f>
        <v>252.01770000000002</v>
      </c>
      <c r="AM64" s="141">
        <f>TabCuotasIMSS[[#This Row],[TOTAL
O.P.11]]+TabCuotasIMSS[[#This Row],[2%]]+TabCuotasIMSS[[#This Row],[PATRON13]]+TabCuotasIMSS[[#This Row],[5%]]</f>
        <v>618.70345350000002</v>
      </c>
      <c r="AN64" s="141">
        <f>TabCuotasIMSS[[#This Row],[TOTAL
OBRERO]]+TabCuotasIMSS[[#This Row],[OBRERO14]]</f>
        <v>0</v>
      </c>
    </row>
    <row r="65" spans="1:40" x14ac:dyDescent="0.25">
      <c r="A65" s="2">
        <v>57</v>
      </c>
      <c r="B65" s="1" cm="1">
        <f t="array" ref="B65">VLOOKUP(TabCuotasIMSS[[#This Row],[ID]],TabEmpleados[],COLUMN(TabEmpleados[Fecha de alta NSS]),FALSE)</f>
        <v>44509</v>
      </c>
      <c r="C65" t="str" cm="1">
        <f t="array" ref="C65">VLOOKUP(TabCuotasIMSS[[#This Row],[ID]],TabEmpleados[],COLUMN(TabEmpleados[Nombre]),FALSE)</f>
        <v>LOPEZ ALMARAZ JOSE ORIOL</v>
      </c>
      <c r="D65" cm="1">
        <f t="array" ref="D65">IF(VLOOKUP(TabCuotasIMSS[[#This Row],[ID]],TabEmpleados[],COLUMN(TabEmpleados[Fecha de alta NSS]),FALSE)&lt;&gt;"",VLOOKUP(TabCuotasIMSS[[#This Row],[ID]],TabAsistencias[],COLUMN(TabAsistencias[''Total de dias laborados]),FALSE),0)</f>
        <v>73</v>
      </c>
      <c r="E65" cm="1">
        <f t="array" ref="E65">IF(VLOOKUP(TabCuotasIMSS[[#This Row],[ID]],TabEmpleados[],COLUMN(TabEmpleados[Fecha de alta NSS]),FALSE)&lt;&gt;"",IF(DATEDIF((VLOOKUP(TabCuotasIMSS[[#This Row],[ID]],TabEmpleados[],COLUMN(TabEmpleados[Fecha de alta NSS]),FALSE)),'Tablas de informacion'!N$8,"Y")=0,1,DATEDIF((VLOOKUP(TabCuotasIMSS[[#This Row],[ID]],TabEmpleados[],COLUMN(TabEmpleados[Fecha de alta NSS]),FALSE)),'Tablas de informacion'!N$8,"Y")),0)</f>
        <v>1</v>
      </c>
      <c r="F65" s="55" cm="1">
        <f t="array" ref="F65">VLOOKUP(TabCuotasIMSS[[#This Row],[ID]],TabEmpleados[],COLUMN(TabEmpleados[SD Fiscal]),FALSE)</f>
        <v>66</v>
      </c>
      <c r="G65" s="55" cm="1">
        <f t="array" ref="G65">IFERROR((VLOOKUP((VLOOKUP(TabCuotasIMSS[[#This Row],[ID]],TabEmpleados[],COLUMN(TabEmpleados[Puesto]),FALSE)),TabPuestos[],COLUMN(TabPuestos[N° ALIMENTOS]),FALSE))*TabCuotasIMSS[[#This Row],[Salario Diario]]*(VLOOKUP(TabCuotasIMSS[[#This Row],[Años]],TabFactorIntegracion[],COLUMN(TabFactorIntegracion[% por alimento]))),0)</f>
        <v>5.4977999999999998</v>
      </c>
      <c r="H65" s="55" cm="1">
        <f t="array" ref="H65">IFERROR((VLOOKUP((VLOOKUP(TabCuotasIMSS[[#This Row],[ID]],TabEmpleados[],COLUMN(TabEmpleados[Puesto]),FALSE)),TabPuestos[],COLUMN(TabPuestos[PRIMA DOMINICAL]),FALSE))*TabCuotasIMSS[[#This Row],[Salario Diario]]*(VLOOKUP(TabCuotasIMSS[[#This Row],[Años]],TabFactorIntegracion[],COLUMN(TabFactorIntegracion[PRIMA
DOMINICAL]))),0)</f>
        <v>1.1979452054794519</v>
      </c>
      <c r="I65" s="55" cm="1">
        <f t="array" ref="I65">IFERROR(TabCuotasIMSS[[#This Row],[Salario Diario]]*(VLOOKUP(TabCuotasIMSS[[#This Row],[Años]],TabFactorIntegracion[],COLUMN(TabFactorIntegracion[FACTOR DE
INTEGRACIÓN]))),0)</f>
        <v>3.2547945205479452</v>
      </c>
      <c r="J65" s="174">
        <f>IFERROR(TabCuotasIMSS[[#This Row],[Salario Diario]]+TabCuotasIMSS[[#This Row],[Alimentos]]+TabCuotasIMSS[[#This Row],[Prima Dominical]]+TabCuotasIMSS[[#This Row],[Factor de Integracion]],0)</f>
        <v>75.950539726027401</v>
      </c>
      <c r="K65" cm="1">
        <f t="array" ref="K65">VLOOKUP(TabCuotasIMSS[[#This Row],[ID]],TabAsistencias[],COLUMN(TabAsistencias[''I]),FALSE)+VLOOKUP(TabCuotasIMSS[[#This Row],[ID]],TabAsistencias[],COLUMN(TabAsistencias[''IG]),FALSE)</f>
        <v>0</v>
      </c>
      <c r="L65" cm="1">
        <f t="array" ref="L65">VLOOKUP(TabCuotasIMSS[[#This Row],[ID]],TabAsistencias[],COLUMN(TabAsistencias[''F]),FALSE)</f>
        <v>0</v>
      </c>
      <c r="M65" s="141">
        <f>TabCuotasIMSS[[#This Row],[S.B.C./S.D.I.]]*TabCuotasIMSS[[#This Row],[DÍAS
LAB.]]</f>
        <v>5544.3894</v>
      </c>
      <c r="N65" s="141">
        <f>(SMDF*CF*(TabCuotasIMSS[[#This Row],[DÍAS
LAB.]]-TabCuotasIMSS[[#This Row],[INC]]))</f>
        <v>1432.90824</v>
      </c>
      <c r="O65" s="55">
        <f>IF(TabCuotasIMSS[[#This Row],[S.B.C./S.D.I.]]&gt;SMDF3,((TabCuotasIMSS[[#This Row],[S.B.C./S.D.I.]]-SMDF3)*CFP*(TabCuotasIMSS[[#This Row],[DÍAS
LAB.]]-TabCuotasIMSS[[#This Row],[INC]])),0)</f>
        <v>0</v>
      </c>
      <c r="P65" s="55">
        <f>IF(TabCuotasIMSS[[#This Row],[S.B.C./S.D.I.]]&gt;SMDF3,((TabCuotasIMSS[[#This Row],[S.B.C./S.D.I.]]-SMDF3)*CFO*(TabCuotasIMSS[[#This Row],[DÍAS
LAB.]]-TabCuotasIMSS[[#This Row],[INC]])),0)</f>
        <v>0</v>
      </c>
      <c r="Q65" s="55">
        <f>TabCuotasIMSS[[#This Row],[EXCED.
PATRON]]+TabCuotasIMSS[[#This Row],[EXCED.
OBRERO]]</f>
        <v>0</v>
      </c>
      <c r="R65" s="55">
        <f>IF(TabCuotasIMSS[[#This Row],[S.B.C./S.D.I.]]&lt;=SMGI,((TabCuotasIMSS[[#This Row],[SALARIO
DEL CICLO]]-(TabCuotasIMSS[[#This Row],[S.B.C./S.D.I.]]*TabCuotasIMSS[[#This Row],[INC]])))*PD,((TabCuotasIMSS[[#This Row],[SALARIO
DEL CICLO]]-(TabCuotasIMSS[[#This Row],[S.B.C./S.D.I.]]*TabCuotasIMSS[[#This Row],[INC]]))*PDP))</f>
        <v>52.6716993</v>
      </c>
      <c r="S65" s="55">
        <f>IF(TabCuotasIMSS[[#This Row],[S.B.C./S.D.I.]]&lt;=SMGI,0,((TabCuotasIMSS[[#This Row],[SALARIO
DEL CICLO]]-(TabCuotasIMSS[[#This Row],[S.B.C./S.D.I.]]*TabCuotasIMSS[[#This Row],[INC]]))*PDO))</f>
        <v>0</v>
      </c>
      <c r="T65" s="55">
        <f>TabCuotasIMSS[[#This Row],[PATRON2]]+TabCuotasIMSS[[#This Row],[OBRERO]]</f>
        <v>52.6716993</v>
      </c>
      <c r="U65" s="55">
        <f>IF(TabCuotasIMSS[[#This Row],[S.B.C./S.D.I.]]&lt;=SMGI,((TabCuotasIMSS[[#This Row],[SALARIO
DEL CICLO]]-(TabCuotasIMSS[[#This Row],[S.B.C./S.D.I.]]*TabCuotasIMSS[[#This Row],[INC]])))*GMP,((TabCuotasIMSS[[#This Row],[SALARIO
DEL CICLO]]-(TabCuotasIMSS[[#This Row],[S.B.C./S.D.I.]]*TabCuotasIMSS[[#This Row],[INC]])))*GMPP)</f>
        <v>79.00754895</v>
      </c>
      <c r="V65" s="55">
        <f>IF(TabCuotasIMSS[[#This Row],[S.B.C./S.D.I.]]&lt;=SMGI,0,((TabCuotasIMSS[[#This Row],[SALARIO
DEL CICLO]]-(TabCuotasIMSS[[#This Row],[S.B.C./S.D.I.]]*TabCuotasIMSS[[#This Row],[INC]])))*GMPO)</f>
        <v>0</v>
      </c>
      <c r="W65" s="55">
        <f>TabCuotasIMSS[[#This Row],[PATRON3]]+TabCuotasIMSS[[#This Row],[OBRERO4]]</f>
        <v>79.00754895</v>
      </c>
      <c r="X65" s="141">
        <f>((TabCuotasIMSS[[#This Row],[SALARIO
DEL CICLO]]-(TabCuotasIMSS[[#This Row],[S.B.C./S.D.I.]]*(TabCuotasIMSS[[#This Row],[INC]]+TabCuotasIMSS[[#This Row],[AUS]]))))*PRTP</f>
        <v>2772.1947</v>
      </c>
      <c r="Y65" s="55">
        <f>IF(TabCuotasIMSS[[#This Row],[S.B.C./S.D.I.]]&lt;=SMGI,((TabCuotasIMSS[[#This Row],[SALARIO
DEL CICLO]]-(TabCuotasIMSS[[#This Row],[S.B.C./S.D.I.]]*(TabCuotasIMSS[[#This Row],[INC]]+TabCuotasIMSS[[#This Row],[AUS]]))))*IV,((TabCuotasIMSS[[#This Row],[SALARIO
DEL CICLO]]-(TabCuotasIMSS[[#This Row],[S.B.C./S.D.I.]]*(TabCuotasIMSS[[#This Row],[INC]]+TabCuotasIMSS[[#This Row],[AUS]]))))*IVP)</f>
        <v>131.67924825</v>
      </c>
      <c r="Z65" s="55">
        <f>IF(TabCuotasIMSS[[#This Row],[S.B.C./S.D.I.]]&lt;=SMGI,0,((TabCuotasIMSS[[#This Row],[SALARIO
DEL CICLO]]-(TabCuotasIMSS[[#This Row],[S.B.C./S.D.I.]]*(TabCuotasIMSS[[#This Row],[INC]]+TabCuotasIMSS[[#This Row],[AUS]]))))*IVO)</f>
        <v>0</v>
      </c>
      <c r="AA65" s="55">
        <f>TabCuotasIMSS[[#This Row],[PATRON6]]+TabCuotasIMSS[[#This Row],[OBRERO7]]</f>
        <v>131.67924825</v>
      </c>
      <c r="AB65" s="141">
        <f>((TabCuotasIMSS[[#This Row],[SALARIO
DEL CICLO]]-(TabCuotasIMSS[[#This Row],[S.B.C./S.D.I.]]*(TabCuotasIMSS[[#This Row],[INC]]+TabCuotasIMSS[[#This Row],[AUS]]))))*GPS</f>
        <v>55.443894</v>
      </c>
      <c r="AC65" s="141">
        <f>TabCuotasIMSS[[#This Row],[SALARIO
DEL CICLO]]*0</f>
        <v>0</v>
      </c>
      <c r="AD65" s="141">
        <f>TabCuotasIMSS[[#This Row],[PATRON9]]+TabCuotasIMSS[[#This Row],[OBRERO10]]</f>
        <v>55.443894</v>
      </c>
      <c r="AE65" s="233">
        <f>TabCuotasIMSS[[#This Row],[PATRON]]+TabCuotasIMSS[[#This Row],[EXCED.
PATRON]]+TabCuotasIMSS[[#This Row],[PATRON2]]+TabCuotasIMSS[[#This Row],[PATRON3]]+TabCuotasIMSS[[#This Row],[PATRON
0.50%]]+TabCuotasIMSS[[#This Row],[PATRON6]]+TabCuotasIMSS[[#This Row],[PATRON9]]</f>
        <v>4523.9053304999998</v>
      </c>
      <c r="AF65" s="233">
        <f>TabCuotasIMSS[[#This Row],[EXCED.
OBRERO]]+TabCuotasIMSS[[#This Row],[OBRERO]]+TabCuotasIMSS[[#This Row],[OBRERO4]]+TabCuotasIMSS[[#This Row],[OBRERO7]]+TabCuotasIMSS[[#This Row],[OBRERO10]]</f>
        <v>0</v>
      </c>
      <c r="AG65" s="233">
        <f>TabCuotasIMSS[[#This Row],[TOTAL
PATRONAL]]+TabCuotasIMSS[[#This Row],[TOTAL
OBRERO]]</f>
        <v>4523.9053304999998</v>
      </c>
      <c r="AH65" s="141">
        <f>((TabCuotasIMSS[[#This Row],[SALARIO
DEL CICLO]]-(TabCuotasIMSS[[#This Row],[S.B.C./S.D.I.]]*TabCuotasIMSS[[#This Row],[AUS]]))*R_)</f>
        <v>110.887788</v>
      </c>
      <c r="AI65">
        <f>IF(TabCuotasIMSS[[#This Row],[S.B.C./S.D.I.]]&lt;=SMGI,((TabCuotasIMSS[[#This Row],[SALARIO
DEL CICLO]]-(TabCuotasIMSS[[#This Row],[S.B.C./S.D.I.]]*(TabCuotasIMSS[[#This Row],[INC]]+TabCuotasIMSS[[#This Row],[AUS]]))))*CV,((TabCuotasIMSS[[#This Row],[SALARIO
DEL CICLO]]-(TabCuotasIMSS[[#This Row],[S.B.C./S.D.I.]]*(TabCuotasIMSS[[#This Row],[INC]]+TabCuotasIMSS[[#This Row],[AUS]]))))*CVP)</f>
        <v>237.02264685000003</v>
      </c>
      <c r="AJ65">
        <f>IF(TabCuotasIMSS[[#This Row],[S.B.C./S.D.I.]]&lt;=SMGI,0,((TabCuotasIMSS[[#This Row],[SALARIO
DEL CICLO]]-(TabCuotasIMSS[[#This Row],[S.B.C./S.D.I.]]*(TabCuotasIMSS[[#This Row],[INC]]+TabCuotasIMSS[[#This Row],[AUS]]))))*CVO)</f>
        <v>0</v>
      </c>
      <c r="AK65">
        <f>SUM(TabCuotasIMSS[[#This Row],[2%]]:TabCuotasIMSS[[#This Row],[OBRERO14]])</f>
        <v>347.91043485</v>
      </c>
      <c r="AL65" s="141">
        <f>((TabCuotasIMSS[[#This Row],[SALARIO
DEL CICLO]]-(TabCuotasIMSS[[#This Row],[S.B.C./S.D.I.]]*(TabCuotasIMSS[[#This Row],[AUS]])))*I)</f>
        <v>277.21947</v>
      </c>
      <c r="AM65" s="141">
        <f>TabCuotasIMSS[[#This Row],[TOTAL
O.P.11]]+TabCuotasIMSS[[#This Row],[2%]]+TabCuotasIMSS[[#This Row],[PATRON13]]+TabCuotasIMSS[[#This Row],[5%]]</f>
        <v>680.57379885</v>
      </c>
      <c r="AN65" s="141">
        <f>TabCuotasIMSS[[#This Row],[TOTAL
OBRERO]]+TabCuotasIMSS[[#This Row],[OBRERO14]]</f>
        <v>0</v>
      </c>
    </row>
    <row r="66" spans="1:40" x14ac:dyDescent="0.25">
      <c r="A66" s="2">
        <v>58</v>
      </c>
      <c r="B66" s="1" cm="1">
        <f t="array" ref="B66">VLOOKUP(TabCuotasIMSS[[#This Row],[ID]],TabEmpleados[],COLUMN(TabEmpleados[Fecha de alta NSS]),FALSE)</f>
        <v>44509</v>
      </c>
      <c r="C66" t="str" cm="1">
        <f t="array" ref="C66">VLOOKUP(TabCuotasIMSS[[#This Row],[ID]],TabEmpleados[],COLUMN(TabEmpleados[Nombre]),FALSE)</f>
        <v>JUAREZ GARCIA NED</v>
      </c>
      <c r="D66" cm="1">
        <f t="array" ref="D66">IF(VLOOKUP(TabCuotasIMSS[[#This Row],[ID]],TabEmpleados[],COLUMN(TabEmpleados[Fecha de alta NSS]),FALSE)&lt;&gt;"",VLOOKUP(TabCuotasIMSS[[#This Row],[ID]],TabAsistencias[],COLUMN(TabAsistencias[''Total de dias laborados]),FALSE),0)</f>
        <v>73</v>
      </c>
      <c r="E66" cm="1">
        <f t="array" ref="E66">IF(VLOOKUP(TabCuotasIMSS[[#This Row],[ID]],TabEmpleados[],COLUMN(TabEmpleados[Fecha de alta NSS]),FALSE)&lt;&gt;"",IF(DATEDIF((VLOOKUP(TabCuotasIMSS[[#This Row],[ID]],TabEmpleados[],COLUMN(TabEmpleados[Fecha de alta NSS]),FALSE)),'Tablas de informacion'!N$8,"Y")=0,1,DATEDIF((VLOOKUP(TabCuotasIMSS[[#This Row],[ID]],TabEmpleados[],COLUMN(TabEmpleados[Fecha de alta NSS]),FALSE)),'Tablas de informacion'!N$8,"Y")),0)</f>
        <v>1</v>
      </c>
      <c r="F66" s="55" cm="1">
        <f t="array" ref="F66">VLOOKUP(TabCuotasIMSS[[#This Row],[ID]],TabEmpleados[],COLUMN(TabEmpleados[SD Fiscal]),FALSE)</f>
        <v>66</v>
      </c>
      <c r="G66" s="55" cm="1">
        <f t="array" ref="G66">IFERROR((VLOOKUP((VLOOKUP(TabCuotasIMSS[[#This Row],[ID]],TabEmpleados[],COLUMN(TabEmpleados[Puesto]),FALSE)),TabPuestos[],COLUMN(TabPuestos[N° ALIMENTOS]),FALSE))*TabCuotasIMSS[[#This Row],[Salario Diario]]*(VLOOKUP(TabCuotasIMSS[[#This Row],[Años]],TabFactorIntegracion[],COLUMN(TabFactorIntegracion[% por alimento]))),0)</f>
        <v>5.4977999999999998</v>
      </c>
      <c r="H66" s="55" cm="1">
        <f t="array" ref="H66">IFERROR((VLOOKUP((VLOOKUP(TabCuotasIMSS[[#This Row],[ID]],TabEmpleados[],COLUMN(TabEmpleados[Puesto]),FALSE)),TabPuestos[],COLUMN(TabPuestos[PRIMA DOMINICAL]),FALSE))*TabCuotasIMSS[[#This Row],[Salario Diario]]*(VLOOKUP(TabCuotasIMSS[[#This Row],[Años]],TabFactorIntegracion[],COLUMN(TabFactorIntegracion[PRIMA
DOMINICAL]))),0)</f>
        <v>1.1979452054794519</v>
      </c>
      <c r="I66" s="55" cm="1">
        <f t="array" ref="I66">IFERROR(TabCuotasIMSS[[#This Row],[Salario Diario]]*(VLOOKUP(TabCuotasIMSS[[#This Row],[Años]],TabFactorIntegracion[],COLUMN(TabFactorIntegracion[FACTOR DE
INTEGRACIÓN]))),0)</f>
        <v>3.2547945205479452</v>
      </c>
      <c r="J66" s="174">
        <f>IFERROR(TabCuotasIMSS[[#This Row],[Salario Diario]]+TabCuotasIMSS[[#This Row],[Alimentos]]+TabCuotasIMSS[[#This Row],[Prima Dominical]]+TabCuotasIMSS[[#This Row],[Factor de Integracion]],0)</f>
        <v>75.950539726027401</v>
      </c>
      <c r="K66" cm="1">
        <f t="array" ref="K66">VLOOKUP(TabCuotasIMSS[[#This Row],[ID]],TabAsistencias[],COLUMN(TabAsistencias[''I]),FALSE)+VLOOKUP(TabCuotasIMSS[[#This Row],[ID]],TabAsistencias[],COLUMN(TabAsistencias[''IG]),FALSE)</f>
        <v>0</v>
      </c>
      <c r="L66" cm="1">
        <f t="array" ref="L66">VLOOKUP(TabCuotasIMSS[[#This Row],[ID]],TabAsistencias[],COLUMN(TabAsistencias[''F]),FALSE)</f>
        <v>0</v>
      </c>
      <c r="M66" s="141">
        <f>TabCuotasIMSS[[#This Row],[S.B.C./S.D.I.]]*TabCuotasIMSS[[#This Row],[DÍAS
LAB.]]</f>
        <v>5544.3894</v>
      </c>
      <c r="N66" s="141">
        <f>(SMDF*CF*(TabCuotasIMSS[[#This Row],[DÍAS
LAB.]]-TabCuotasIMSS[[#This Row],[INC]]))</f>
        <v>1432.90824</v>
      </c>
      <c r="O66" s="55">
        <f>IF(TabCuotasIMSS[[#This Row],[S.B.C./S.D.I.]]&gt;SMDF3,((TabCuotasIMSS[[#This Row],[S.B.C./S.D.I.]]-SMDF3)*CFP*(TabCuotasIMSS[[#This Row],[DÍAS
LAB.]]-TabCuotasIMSS[[#This Row],[INC]])),0)</f>
        <v>0</v>
      </c>
      <c r="P66" s="55">
        <f>IF(TabCuotasIMSS[[#This Row],[S.B.C./S.D.I.]]&gt;SMDF3,((TabCuotasIMSS[[#This Row],[S.B.C./S.D.I.]]-SMDF3)*CFO*(TabCuotasIMSS[[#This Row],[DÍAS
LAB.]]-TabCuotasIMSS[[#This Row],[INC]])),0)</f>
        <v>0</v>
      </c>
      <c r="Q66" s="55">
        <f>TabCuotasIMSS[[#This Row],[EXCED.
PATRON]]+TabCuotasIMSS[[#This Row],[EXCED.
OBRERO]]</f>
        <v>0</v>
      </c>
      <c r="R66" s="55">
        <f>IF(TabCuotasIMSS[[#This Row],[S.B.C./S.D.I.]]&lt;=SMGI,((TabCuotasIMSS[[#This Row],[SALARIO
DEL CICLO]]-(TabCuotasIMSS[[#This Row],[S.B.C./S.D.I.]]*TabCuotasIMSS[[#This Row],[INC]])))*PD,((TabCuotasIMSS[[#This Row],[SALARIO
DEL CICLO]]-(TabCuotasIMSS[[#This Row],[S.B.C./S.D.I.]]*TabCuotasIMSS[[#This Row],[INC]]))*PDP))</f>
        <v>52.6716993</v>
      </c>
      <c r="S66" s="55">
        <f>IF(TabCuotasIMSS[[#This Row],[S.B.C./S.D.I.]]&lt;=SMGI,0,((TabCuotasIMSS[[#This Row],[SALARIO
DEL CICLO]]-(TabCuotasIMSS[[#This Row],[S.B.C./S.D.I.]]*TabCuotasIMSS[[#This Row],[INC]]))*PDO))</f>
        <v>0</v>
      </c>
      <c r="T66" s="55">
        <f>TabCuotasIMSS[[#This Row],[PATRON2]]+TabCuotasIMSS[[#This Row],[OBRERO]]</f>
        <v>52.6716993</v>
      </c>
      <c r="U66" s="55">
        <f>IF(TabCuotasIMSS[[#This Row],[S.B.C./S.D.I.]]&lt;=SMGI,((TabCuotasIMSS[[#This Row],[SALARIO
DEL CICLO]]-(TabCuotasIMSS[[#This Row],[S.B.C./S.D.I.]]*TabCuotasIMSS[[#This Row],[INC]])))*GMP,((TabCuotasIMSS[[#This Row],[SALARIO
DEL CICLO]]-(TabCuotasIMSS[[#This Row],[S.B.C./S.D.I.]]*TabCuotasIMSS[[#This Row],[INC]])))*GMPP)</f>
        <v>79.00754895</v>
      </c>
      <c r="V66" s="55">
        <f>IF(TabCuotasIMSS[[#This Row],[S.B.C./S.D.I.]]&lt;=SMGI,0,((TabCuotasIMSS[[#This Row],[SALARIO
DEL CICLO]]-(TabCuotasIMSS[[#This Row],[S.B.C./S.D.I.]]*TabCuotasIMSS[[#This Row],[INC]])))*GMPO)</f>
        <v>0</v>
      </c>
      <c r="W66" s="55">
        <f>TabCuotasIMSS[[#This Row],[PATRON3]]+TabCuotasIMSS[[#This Row],[OBRERO4]]</f>
        <v>79.00754895</v>
      </c>
      <c r="X66" s="141">
        <f>((TabCuotasIMSS[[#This Row],[SALARIO
DEL CICLO]]-(TabCuotasIMSS[[#This Row],[S.B.C./S.D.I.]]*(TabCuotasIMSS[[#This Row],[INC]]+TabCuotasIMSS[[#This Row],[AUS]]))))*PRTP</f>
        <v>2772.1947</v>
      </c>
      <c r="Y66" s="55">
        <f>IF(TabCuotasIMSS[[#This Row],[S.B.C./S.D.I.]]&lt;=SMGI,((TabCuotasIMSS[[#This Row],[SALARIO
DEL CICLO]]-(TabCuotasIMSS[[#This Row],[S.B.C./S.D.I.]]*(TabCuotasIMSS[[#This Row],[INC]]+TabCuotasIMSS[[#This Row],[AUS]]))))*IV,((TabCuotasIMSS[[#This Row],[SALARIO
DEL CICLO]]-(TabCuotasIMSS[[#This Row],[S.B.C./S.D.I.]]*(TabCuotasIMSS[[#This Row],[INC]]+TabCuotasIMSS[[#This Row],[AUS]]))))*IVP)</f>
        <v>131.67924825</v>
      </c>
      <c r="Z66" s="55">
        <f>IF(TabCuotasIMSS[[#This Row],[S.B.C./S.D.I.]]&lt;=SMGI,0,((TabCuotasIMSS[[#This Row],[SALARIO
DEL CICLO]]-(TabCuotasIMSS[[#This Row],[S.B.C./S.D.I.]]*(TabCuotasIMSS[[#This Row],[INC]]+TabCuotasIMSS[[#This Row],[AUS]]))))*IVO)</f>
        <v>0</v>
      </c>
      <c r="AA66" s="55">
        <f>TabCuotasIMSS[[#This Row],[PATRON6]]+TabCuotasIMSS[[#This Row],[OBRERO7]]</f>
        <v>131.67924825</v>
      </c>
      <c r="AB66" s="141">
        <f>((TabCuotasIMSS[[#This Row],[SALARIO
DEL CICLO]]-(TabCuotasIMSS[[#This Row],[S.B.C./S.D.I.]]*(TabCuotasIMSS[[#This Row],[INC]]+TabCuotasIMSS[[#This Row],[AUS]]))))*GPS</f>
        <v>55.443894</v>
      </c>
      <c r="AC66" s="141">
        <f>TabCuotasIMSS[[#This Row],[SALARIO
DEL CICLO]]*0</f>
        <v>0</v>
      </c>
      <c r="AD66" s="141">
        <f>TabCuotasIMSS[[#This Row],[PATRON9]]+TabCuotasIMSS[[#This Row],[OBRERO10]]</f>
        <v>55.443894</v>
      </c>
      <c r="AE66" s="233">
        <f>TabCuotasIMSS[[#This Row],[PATRON]]+TabCuotasIMSS[[#This Row],[EXCED.
PATRON]]+TabCuotasIMSS[[#This Row],[PATRON2]]+TabCuotasIMSS[[#This Row],[PATRON3]]+TabCuotasIMSS[[#This Row],[PATRON
0.50%]]+TabCuotasIMSS[[#This Row],[PATRON6]]+TabCuotasIMSS[[#This Row],[PATRON9]]</f>
        <v>4523.9053304999998</v>
      </c>
      <c r="AF66" s="233">
        <f>TabCuotasIMSS[[#This Row],[EXCED.
OBRERO]]+TabCuotasIMSS[[#This Row],[OBRERO]]+TabCuotasIMSS[[#This Row],[OBRERO4]]+TabCuotasIMSS[[#This Row],[OBRERO7]]+TabCuotasIMSS[[#This Row],[OBRERO10]]</f>
        <v>0</v>
      </c>
      <c r="AG66" s="233">
        <f>TabCuotasIMSS[[#This Row],[TOTAL
PATRONAL]]+TabCuotasIMSS[[#This Row],[TOTAL
OBRERO]]</f>
        <v>4523.9053304999998</v>
      </c>
      <c r="AH66" s="141">
        <f>((TabCuotasIMSS[[#This Row],[SALARIO
DEL CICLO]]-(TabCuotasIMSS[[#This Row],[S.B.C./S.D.I.]]*TabCuotasIMSS[[#This Row],[AUS]]))*R_)</f>
        <v>110.887788</v>
      </c>
      <c r="AI66">
        <f>IF(TabCuotasIMSS[[#This Row],[S.B.C./S.D.I.]]&lt;=SMGI,((TabCuotasIMSS[[#This Row],[SALARIO
DEL CICLO]]-(TabCuotasIMSS[[#This Row],[S.B.C./S.D.I.]]*(TabCuotasIMSS[[#This Row],[INC]]+TabCuotasIMSS[[#This Row],[AUS]]))))*CV,((TabCuotasIMSS[[#This Row],[SALARIO
DEL CICLO]]-(TabCuotasIMSS[[#This Row],[S.B.C./S.D.I.]]*(TabCuotasIMSS[[#This Row],[INC]]+TabCuotasIMSS[[#This Row],[AUS]]))))*CVP)</f>
        <v>237.02264685000003</v>
      </c>
      <c r="AJ66">
        <f>IF(TabCuotasIMSS[[#This Row],[S.B.C./S.D.I.]]&lt;=SMGI,0,((TabCuotasIMSS[[#This Row],[SALARIO
DEL CICLO]]-(TabCuotasIMSS[[#This Row],[S.B.C./S.D.I.]]*(TabCuotasIMSS[[#This Row],[INC]]+TabCuotasIMSS[[#This Row],[AUS]]))))*CVO)</f>
        <v>0</v>
      </c>
      <c r="AK66">
        <f>SUM(TabCuotasIMSS[[#This Row],[2%]]:TabCuotasIMSS[[#This Row],[OBRERO14]])</f>
        <v>347.91043485</v>
      </c>
      <c r="AL66" s="141">
        <f>((TabCuotasIMSS[[#This Row],[SALARIO
DEL CICLO]]-(TabCuotasIMSS[[#This Row],[S.B.C./S.D.I.]]*(TabCuotasIMSS[[#This Row],[AUS]])))*I)</f>
        <v>277.21947</v>
      </c>
      <c r="AM66" s="141">
        <f>TabCuotasIMSS[[#This Row],[TOTAL
O.P.11]]+TabCuotasIMSS[[#This Row],[2%]]+TabCuotasIMSS[[#This Row],[PATRON13]]+TabCuotasIMSS[[#This Row],[5%]]</f>
        <v>680.57379885</v>
      </c>
      <c r="AN66" s="141">
        <f>TabCuotasIMSS[[#This Row],[TOTAL
OBRERO]]+TabCuotasIMSS[[#This Row],[OBRERO14]]</f>
        <v>0</v>
      </c>
    </row>
    <row r="67" spans="1:40" x14ac:dyDescent="0.25">
      <c r="A67" s="2">
        <v>59</v>
      </c>
      <c r="B67" s="1" cm="1">
        <f t="array" ref="B67">VLOOKUP(TabCuotasIMSS[[#This Row],[ID]],TabEmpleados[],COLUMN(TabEmpleados[Fecha de alta NSS]),FALSE)</f>
        <v>44509</v>
      </c>
      <c r="C67" t="str" cm="1">
        <f t="array" ref="C67">VLOOKUP(TabCuotasIMSS[[#This Row],[ID]],TabEmpleados[],COLUMN(TabEmpleados[Nombre]),FALSE)</f>
        <v>SOLIS HERNANDEZ JAVIER</v>
      </c>
      <c r="D67" cm="1">
        <f t="array" ref="D67">IF(VLOOKUP(TabCuotasIMSS[[#This Row],[ID]],TabEmpleados[],COLUMN(TabEmpleados[Fecha de alta NSS]),FALSE)&lt;&gt;"",VLOOKUP(TabCuotasIMSS[[#This Row],[ID]],TabAsistencias[],COLUMN(TabAsistencias[''Total de dias laborados]),FALSE),0)</f>
        <v>73</v>
      </c>
      <c r="E67" cm="1">
        <f t="array" ref="E67">IF(VLOOKUP(TabCuotasIMSS[[#This Row],[ID]],TabEmpleados[],COLUMN(TabEmpleados[Fecha de alta NSS]),FALSE)&lt;&gt;"",IF(DATEDIF((VLOOKUP(TabCuotasIMSS[[#This Row],[ID]],TabEmpleados[],COLUMN(TabEmpleados[Fecha de alta NSS]),FALSE)),'Tablas de informacion'!N$8,"Y")=0,1,DATEDIF((VLOOKUP(TabCuotasIMSS[[#This Row],[ID]],TabEmpleados[],COLUMN(TabEmpleados[Fecha de alta NSS]),FALSE)),'Tablas de informacion'!N$8,"Y")),0)</f>
        <v>1</v>
      </c>
      <c r="F67" s="55" cm="1">
        <f t="array" ref="F67">VLOOKUP(TabCuotasIMSS[[#This Row],[ID]],TabEmpleados[],COLUMN(TabEmpleados[SD Fiscal]),FALSE)</f>
        <v>60</v>
      </c>
      <c r="G67" s="55" cm="1">
        <f t="array" ref="G67">IFERROR((VLOOKUP((VLOOKUP(TabCuotasIMSS[[#This Row],[ID]],TabEmpleados[],COLUMN(TabEmpleados[Puesto]),FALSE)),TabPuestos[],COLUMN(TabPuestos[N° ALIMENTOS]),FALSE))*TabCuotasIMSS[[#This Row],[Salario Diario]]*(VLOOKUP(TabCuotasIMSS[[#This Row],[Años]],TabFactorIntegracion[],COLUMN(TabFactorIntegracion[% por alimento]))),0)</f>
        <v>4.9980000000000002</v>
      </c>
      <c r="H67" s="55" cm="1">
        <f t="array" ref="H67">IFERROR((VLOOKUP((VLOOKUP(TabCuotasIMSS[[#This Row],[ID]],TabEmpleados[],COLUMN(TabEmpleados[Puesto]),FALSE)),TabPuestos[],COLUMN(TabPuestos[PRIMA DOMINICAL]),FALSE))*TabCuotasIMSS[[#This Row],[Salario Diario]]*(VLOOKUP(TabCuotasIMSS[[#This Row],[Años]],TabFactorIntegracion[],COLUMN(TabFactorIntegracion[PRIMA
DOMINICAL]))),0)</f>
        <v>1.0890410958904109</v>
      </c>
      <c r="I67" s="55" cm="1">
        <f t="array" ref="I67">IFERROR(TabCuotasIMSS[[#This Row],[Salario Diario]]*(VLOOKUP(TabCuotasIMSS[[#This Row],[Años]],TabFactorIntegracion[],COLUMN(TabFactorIntegracion[FACTOR DE
INTEGRACIÓN]))),0)</f>
        <v>2.9589041095890409</v>
      </c>
      <c r="J67" s="174">
        <f>IFERROR(TabCuotasIMSS[[#This Row],[Salario Diario]]+TabCuotasIMSS[[#This Row],[Alimentos]]+TabCuotasIMSS[[#This Row],[Prima Dominical]]+TabCuotasIMSS[[#This Row],[Factor de Integracion]],0)</f>
        <v>69.045945205479455</v>
      </c>
      <c r="K67" cm="1">
        <f t="array" ref="K67">VLOOKUP(TabCuotasIMSS[[#This Row],[ID]],TabAsistencias[],COLUMN(TabAsistencias[''I]),FALSE)+VLOOKUP(TabCuotasIMSS[[#This Row],[ID]],TabAsistencias[],COLUMN(TabAsistencias[''IG]),FALSE)</f>
        <v>0</v>
      </c>
      <c r="L67" cm="1">
        <f t="array" ref="L67">VLOOKUP(TabCuotasIMSS[[#This Row],[ID]],TabAsistencias[],COLUMN(TabAsistencias[''F]),FALSE)</f>
        <v>0</v>
      </c>
      <c r="M67" s="141">
        <f>TabCuotasIMSS[[#This Row],[S.B.C./S.D.I.]]*TabCuotasIMSS[[#This Row],[DÍAS
LAB.]]</f>
        <v>5040.3540000000003</v>
      </c>
      <c r="N67" s="141">
        <f>(SMDF*CF*(TabCuotasIMSS[[#This Row],[DÍAS
LAB.]]-TabCuotasIMSS[[#This Row],[INC]]))</f>
        <v>1432.90824</v>
      </c>
      <c r="O67" s="55">
        <f>IF(TabCuotasIMSS[[#This Row],[S.B.C./S.D.I.]]&gt;SMDF3,((TabCuotasIMSS[[#This Row],[S.B.C./S.D.I.]]-SMDF3)*CFP*(TabCuotasIMSS[[#This Row],[DÍAS
LAB.]]-TabCuotasIMSS[[#This Row],[INC]])),0)</f>
        <v>0</v>
      </c>
      <c r="P67" s="55">
        <f>IF(TabCuotasIMSS[[#This Row],[S.B.C./S.D.I.]]&gt;SMDF3,((TabCuotasIMSS[[#This Row],[S.B.C./S.D.I.]]-SMDF3)*CFO*(TabCuotasIMSS[[#This Row],[DÍAS
LAB.]]-TabCuotasIMSS[[#This Row],[INC]])),0)</f>
        <v>0</v>
      </c>
      <c r="Q67" s="55">
        <f>TabCuotasIMSS[[#This Row],[EXCED.
PATRON]]+TabCuotasIMSS[[#This Row],[EXCED.
OBRERO]]</f>
        <v>0</v>
      </c>
      <c r="R67" s="55">
        <f>IF(TabCuotasIMSS[[#This Row],[S.B.C./S.D.I.]]&lt;=SMGI,((TabCuotasIMSS[[#This Row],[SALARIO
DEL CICLO]]-(TabCuotasIMSS[[#This Row],[S.B.C./S.D.I.]]*TabCuotasIMSS[[#This Row],[INC]])))*PD,((TabCuotasIMSS[[#This Row],[SALARIO
DEL CICLO]]-(TabCuotasIMSS[[#This Row],[S.B.C./S.D.I.]]*TabCuotasIMSS[[#This Row],[INC]]))*PDP))</f>
        <v>47.883363000000003</v>
      </c>
      <c r="S67" s="55">
        <f>IF(TabCuotasIMSS[[#This Row],[S.B.C./S.D.I.]]&lt;=SMGI,0,((TabCuotasIMSS[[#This Row],[SALARIO
DEL CICLO]]-(TabCuotasIMSS[[#This Row],[S.B.C./S.D.I.]]*TabCuotasIMSS[[#This Row],[INC]]))*PDO))</f>
        <v>0</v>
      </c>
      <c r="T67" s="55">
        <f>TabCuotasIMSS[[#This Row],[PATRON2]]+TabCuotasIMSS[[#This Row],[OBRERO]]</f>
        <v>47.883363000000003</v>
      </c>
      <c r="U67" s="55">
        <f>IF(TabCuotasIMSS[[#This Row],[S.B.C./S.D.I.]]&lt;=SMGI,((TabCuotasIMSS[[#This Row],[SALARIO
DEL CICLO]]-(TabCuotasIMSS[[#This Row],[S.B.C./S.D.I.]]*TabCuotasIMSS[[#This Row],[INC]])))*GMP,((TabCuotasIMSS[[#This Row],[SALARIO
DEL CICLO]]-(TabCuotasIMSS[[#This Row],[S.B.C./S.D.I.]]*TabCuotasIMSS[[#This Row],[INC]])))*GMPP)</f>
        <v>71.825044500000004</v>
      </c>
      <c r="V67" s="55">
        <f>IF(TabCuotasIMSS[[#This Row],[S.B.C./S.D.I.]]&lt;=SMGI,0,((TabCuotasIMSS[[#This Row],[SALARIO
DEL CICLO]]-(TabCuotasIMSS[[#This Row],[S.B.C./S.D.I.]]*TabCuotasIMSS[[#This Row],[INC]])))*GMPO)</f>
        <v>0</v>
      </c>
      <c r="W67" s="55">
        <f>TabCuotasIMSS[[#This Row],[PATRON3]]+TabCuotasIMSS[[#This Row],[OBRERO4]]</f>
        <v>71.825044500000004</v>
      </c>
      <c r="X67" s="141">
        <f>((TabCuotasIMSS[[#This Row],[SALARIO
DEL CICLO]]-(TabCuotasIMSS[[#This Row],[S.B.C./S.D.I.]]*(TabCuotasIMSS[[#This Row],[INC]]+TabCuotasIMSS[[#This Row],[AUS]]))))*PRTP</f>
        <v>2520.1770000000001</v>
      </c>
      <c r="Y67" s="55">
        <f>IF(TabCuotasIMSS[[#This Row],[S.B.C./S.D.I.]]&lt;=SMGI,((TabCuotasIMSS[[#This Row],[SALARIO
DEL CICLO]]-(TabCuotasIMSS[[#This Row],[S.B.C./S.D.I.]]*(TabCuotasIMSS[[#This Row],[INC]]+TabCuotasIMSS[[#This Row],[AUS]]))))*IV,((TabCuotasIMSS[[#This Row],[SALARIO
DEL CICLO]]-(TabCuotasIMSS[[#This Row],[S.B.C./S.D.I.]]*(TabCuotasIMSS[[#This Row],[INC]]+TabCuotasIMSS[[#This Row],[AUS]]))))*IVP)</f>
        <v>119.70840750000001</v>
      </c>
      <c r="Z67" s="55">
        <f>IF(TabCuotasIMSS[[#This Row],[S.B.C./S.D.I.]]&lt;=SMGI,0,((TabCuotasIMSS[[#This Row],[SALARIO
DEL CICLO]]-(TabCuotasIMSS[[#This Row],[S.B.C./S.D.I.]]*(TabCuotasIMSS[[#This Row],[INC]]+TabCuotasIMSS[[#This Row],[AUS]]))))*IVO)</f>
        <v>0</v>
      </c>
      <c r="AA67" s="55">
        <f>TabCuotasIMSS[[#This Row],[PATRON6]]+TabCuotasIMSS[[#This Row],[OBRERO7]]</f>
        <v>119.70840750000001</v>
      </c>
      <c r="AB67" s="141">
        <f>((TabCuotasIMSS[[#This Row],[SALARIO
DEL CICLO]]-(TabCuotasIMSS[[#This Row],[S.B.C./S.D.I.]]*(TabCuotasIMSS[[#This Row],[INC]]+TabCuotasIMSS[[#This Row],[AUS]]))))*GPS</f>
        <v>50.403540000000007</v>
      </c>
      <c r="AC67" s="141">
        <f>TabCuotasIMSS[[#This Row],[SALARIO
DEL CICLO]]*0</f>
        <v>0</v>
      </c>
      <c r="AD67" s="141">
        <f>TabCuotasIMSS[[#This Row],[PATRON9]]+TabCuotasIMSS[[#This Row],[OBRERO10]]</f>
        <v>50.403540000000007</v>
      </c>
      <c r="AE67" s="233">
        <f>TabCuotasIMSS[[#This Row],[PATRON]]+TabCuotasIMSS[[#This Row],[EXCED.
PATRON]]+TabCuotasIMSS[[#This Row],[PATRON2]]+TabCuotasIMSS[[#This Row],[PATRON3]]+TabCuotasIMSS[[#This Row],[PATRON
0.50%]]+TabCuotasIMSS[[#This Row],[PATRON6]]+TabCuotasIMSS[[#This Row],[PATRON9]]</f>
        <v>4242.9055950000002</v>
      </c>
      <c r="AF67" s="233">
        <f>TabCuotasIMSS[[#This Row],[EXCED.
OBRERO]]+TabCuotasIMSS[[#This Row],[OBRERO]]+TabCuotasIMSS[[#This Row],[OBRERO4]]+TabCuotasIMSS[[#This Row],[OBRERO7]]+TabCuotasIMSS[[#This Row],[OBRERO10]]</f>
        <v>0</v>
      </c>
      <c r="AG67" s="233">
        <f>TabCuotasIMSS[[#This Row],[TOTAL
PATRONAL]]+TabCuotasIMSS[[#This Row],[TOTAL
OBRERO]]</f>
        <v>4242.9055950000002</v>
      </c>
      <c r="AH67" s="141">
        <f>((TabCuotasIMSS[[#This Row],[SALARIO
DEL CICLO]]-(TabCuotasIMSS[[#This Row],[S.B.C./S.D.I.]]*TabCuotasIMSS[[#This Row],[AUS]]))*R_)</f>
        <v>100.80708000000001</v>
      </c>
      <c r="AI67">
        <f>IF(TabCuotasIMSS[[#This Row],[S.B.C./S.D.I.]]&lt;=SMGI,((TabCuotasIMSS[[#This Row],[SALARIO
DEL CICLO]]-(TabCuotasIMSS[[#This Row],[S.B.C./S.D.I.]]*(TabCuotasIMSS[[#This Row],[INC]]+TabCuotasIMSS[[#This Row],[AUS]]))))*CV,((TabCuotasIMSS[[#This Row],[SALARIO
DEL CICLO]]-(TabCuotasIMSS[[#This Row],[S.B.C./S.D.I.]]*(TabCuotasIMSS[[#This Row],[INC]]+TabCuotasIMSS[[#This Row],[AUS]]))))*CVP)</f>
        <v>215.47513350000003</v>
      </c>
      <c r="AJ67">
        <f>IF(TabCuotasIMSS[[#This Row],[S.B.C./S.D.I.]]&lt;=SMGI,0,((TabCuotasIMSS[[#This Row],[SALARIO
DEL CICLO]]-(TabCuotasIMSS[[#This Row],[S.B.C./S.D.I.]]*(TabCuotasIMSS[[#This Row],[INC]]+TabCuotasIMSS[[#This Row],[AUS]]))))*CVO)</f>
        <v>0</v>
      </c>
      <c r="AK67">
        <f>SUM(TabCuotasIMSS[[#This Row],[2%]]:TabCuotasIMSS[[#This Row],[OBRERO14]])</f>
        <v>316.28221350000001</v>
      </c>
      <c r="AL67" s="141">
        <f>((TabCuotasIMSS[[#This Row],[SALARIO
DEL CICLO]]-(TabCuotasIMSS[[#This Row],[S.B.C./S.D.I.]]*(TabCuotasIMSS[[#This Row],[AUS]])))*I)</f>
        <v>252.01770000000002</v>
      </c>
      <c r="AM67" s="141">
        <f>TabCuotasIMSS[[#This Row],[TOTAL
O.P.11]]+TabCuotasIMSS[[#This Row],[2%]]+TabCuotasIMSS[[#This Row],[PATRON13]]+TabCuotasIMSS[[#This Row],[5%]]</f>
        <v>618.70345350000002</v>
      </c>
      <c r="AN67" s="141">
        <f>TabCuotasIMSS[[#This Row],[TOTAL
OBRERO]]+TabCuotasIMSS[[#This Row],[OBRERO14]]</f>
        <v>0</v>
      </c>
    </row>
    <row r="68" spans="1:40" x14ac:dyDescent="0.25">
      <c r="A68" s="2">
        <v>60</v>
      </c>
      <c r="B68" s="1" cm="1">
        <f t="array" ref="B68">VLOOKUP(TabCuotasIMSS[[#This Row],[ID]],TabEmpleados[],COLUMN(TabEmpleados[Fecha de alta NSS]),FALSE)</f>
        <v>44509</v>
      </c>
      <c r="C68" t="str" cm="1">
        <f t="array" ref="C68">VLOOKUP(TabCuotasIMSS[[#This Row],[ID]],TabEmpleados[],COLUMN(TabEmpleados[Nombre]),FALSE)</f>
        <v xml:space="preserve">LUIS MARTINEZ CESAR URIEL </v>
      </c>
      <c r="D68" cm="1">
        <f t="array" ref="D68">IF(VLOOKUP(TabCuotasIMSS[[#This Row],[ID]],TabEmpleados[],COLUMN(TabEmpleados[Fecha de alta NSS]),FALSE)&lt;&gt;"",VLOOKUP(TabCuotasIMSS[[#This Row],[ID]],TabAsistencias[],COLUMN(TabAsistencias[''Total de dias laborados]),FALSE),0)</f>
        <v>73</v>
      </c>
      <c r="E68" cm="1">
        <f t="array" ref="E68">IF(VLOOKUP(TabCuotasIMSS[[#This Row],[ID]],TabEmpleados[],COLUMN(TabEmpleados[Fecha de alta NSS]),FALSE)&lt;&gt;"",IF(DATEDIF((VLOOKUP(TabCuotasIMSS[[#This Row],[ID]],TabEmpleados[],COLUMN(TabEmpleados[Fecha de alta NSS]),FALSE)),'Tablas de informacion'!N$8,"Y")=0,1,DATEDIF((VLOOKUP(TabCuotasIMSS[[#This Row],[ID]],TabEmpleados[],COLUMN(TabEmpleados[Fecha de alta NSS]),FALSE)),'Tablas de informacion'!N$8,"Y")),0)</f>
        <v>1</v>
      </c>
      <c r="F68" s="55" cm="1">
        <f t="array" ref="F68">VLOOKUP(TabCuotasIMSS[[#This Row],[ID]],TabEmpleados[],COLUMN(TabEmpleados[SD Fiscal]),FALSE)</f>
        <v>60</v>
      </c>
      <c r="G68" s="55" cm="1">
        <f t="array" ref="G68">IFERROR((VLOOKUP((VLOOKUP(TabCuotasIMSS[[#This Row],[ID]],TabEmpleados[],COLUMN(TabEmpleados[Puesto]),FALSE)),TabPuestos[],COLUMN(TabPuestos[N° ALIMENTOS]),FALSE))*TabCuotasIMSS[[#This Row],[Salario Diario]]*(VLOOKUP(TabCuotasIMSS[[#This Row],[Años]],TabFactorIntegracion[],COLUMN(TabFactorIntegracion[% por alimento]))),0)</f>
        <v>4.9980000000000002</v>
      </c>
      <c r="H68" s="55" cm="1">
        <f t="array" ref="H68">IFERROR((VLOOKUP((VLOOKUP(TabCuotasIMSS[[#This Row],[ID]],TabEmpleados[],COLUMN(TabEmpleados[Puesto]),FALSE)),TabPuestos[],COLUMN(TabPuestos[PRIMA DOMINICAL]),FALSE))*TabCuotasIMSS[[#This Row],[Salario Diario]]*(VLOOKUP(TabCuotasIMSS[[#This Row],[Años]],TabFactorIntegracion[],COLUMN(TabFactorIntegracion[PRIMA
DOMINICAL]))),0)</f>
        <v>1.0890410958904109</v>
      </c>
      <c r="I68" s="55" cm="1">
        <f t="array" ref="I68">IFERROR(TabCuotasIMSS[[#This Row],[Salario Diario]]*(VLOOKUP(TabCuotasIMSS[[#This Row],[Años]],TabFactorIntegracion[],COLUMN(TabFactorIntegracion[FACTOR DE
INTEGRACIÓN]))),0)</f>
        <v>2.9589041095890409</v>
      </c>
      <c r="J68" s="174">
        <f>IFERROR(TabCuotasIMSS[[#This Row],[Salario Diario]]+TabCuotasIMSS[[#This Row],[Alimentos]]+TabCuotasIMSS[[#This Row],[Prima Dominical]]+TabCuotasIMSS[[#This Row],[Factor de Integracion]],0)</f>
        <v>69.045945205479455</v>
      </c>
      <c r="K68" cm="1">
        <f t="array" ref="K68">VLOOKUP(TabCuotasIMSS[[#This Row],[ID]],TabAsistencias[],COLUMN(TabAsistencias[''I]),FALSE)+VLOOKUP(TabCuotasIMSS[[#This Row],[ID]],TabAsistencias[],COLUMN(TabAsistencias[''IG]),FALSE)</f>
        <v>0</v>
      </c>
      <c r="L68" cm="1">
        <f t="array" ref="L68">VLOOKUP(TabCuotasIMSS[[#This Row],[ID]],TabAsistencias[],COLUMN(TabAsistencias[''F]),FALSE)</f>
        <v>0</v>
      </c>
      <c r="M68" s="141">
        <f>TabCuotasIMSS[[#This Row],[S.B.C./S.D.I.]]*TabCuotasIMSS[[#This Row],[DÍAS
LAB.]]</f>
        <v>5040.3540000000003</v>
      </c>
      <c r="N68" s="141">
        <f>(SMDF*CF*(TabCuotasIMSS[[#This Row],[DÍAS
LAB.]]-TabCuotasIMSS[[#This Row],[INC]]))</f>
        <v>1432.90824</v>
      </c>
      <c r="O68" s="55">
        <f>IF(TabCuotasIMSS[[#This Row],[S.B.C./S.D.I.]]&gt;SMDF3,((TabCuotasIMSS[[#This Row],[S.B.C./S.D.I.]]-SMDF3)*CFP*(TabCuotasIMSS[[#This Row],[DÍAS
LAB.]]-TabCuotasIMSS[[#This Row],[INC]])),0)</f>
        <v>0</v>
      </c>
      <c r="P68" s="55">
        <f>IF(TabCuotasIMSS[[#This Row],[S.B.C./S.D.I.]]&gt;SMDF3,((TabCuotasIMSS[[#This Row],[S.B.C./S.D.I.]]-SMDF3)*CFO*(TabCuotasIMSS[[#This Row],[DÍAS
LAB.]]-TabCuotasIMSS[[#This Row],[INC]])),0)</f>
        <v>0</v>
      </c>
      <c r="Q68" s="55">
        <f>TabCuotasIMSS[[#This Row],[EXCED.
PATRON]]+TabCuotasIMSS[[#This Row],[EXCED.
OBRERO]]</f>
        <v>0</v>
      </c>
      <c r="R68" s="55">
        <f>IF(TabCuotasIMSS[[#This Row],[S.B.C./S.D.I.]]&lt;=SMGI,((TabCuotasIMSS[[#This Row],[SALARIO
DEL CICLO]]-(TabCuotasIMSS[[#This Row],[S.B.C./S.D.I.]]*TabCuotasIMSS[[#This Row],[INC]])))*PD,((TabCuotasIMSS[[#This Row],[SALARIO
DEL CICLO]]-(TabCuotasIMSS[[#This Row],[S.B.C./S.D.I.]]*TabCuotasIMSS[[#This Row],[INC]]))*PDP))</f>
        <v>47.883363000000003</v>
      </c>
      <c r="S68" s="55">
        <f>IF(TabCuotasIMSS[[#This Row],[S.B.C./S.D.I.]]&lt;=SMGI,0,((TabCuotasIMSS[[#This Row],[SALARIO
DEL CICLO]]-(TabCuotasIMSS[[#This Row],[S.B.C./S.D.I.]]*TabCuotasIMSS[[#This Row],[INC]]))*PDO))</f>
        <v>0</v>
      </c>
      <c r="T68" s="55">
        <f>TabCuotasIMSS[[#This Row],[PATRON2]]+TabCuotasIMSS[[#This Row],[OBRERO]]</f>
        <v>47.883363000000003</v>
      </c>
      <c r="U68" s="55">
        <f>IF(TabCuotasIMSS[[#This Row],[S.B.C./S.D.I.]]&lt;=SMGI,((TabCuotasIMSS[[#This Row],[SALARIO
DEL CICLO]]-(TabCuotasIMSS[[#This Row],[S.B.C./S.D.I.]]*TabCuotasIMSS[[#This Row],[INC]])))*GMP,((TabCuotasIMSS[[#This Row],[SALARIO
DEL CICLO]]-(TabCuotasIMSS[[#This Row],[S.B.C./S.D.I.]]*TabCuotasIMSS[[#This Row],[INC]])))*GMPP)</f>
        <v>71.825044500000004</v>
      </c>
      <c r="V68" s="55">
        <f>IF(TabCuotasIMSS[[#This Row],[S.B.C./S.D.I.]]&lt;=SMGI,0,((TabCuotasIMSS[[#This Row],[SALARIO
DEL CICLO]]-(TabCuotasIMSS[[#This Row],[S.B.C./S.D.I.]]*TabCuotasIMSS[[#This Row],[INC]])))*GMPO)</f>
        <v>0</v>
      </c>
      <c r="W68" s="55">
        <f>TabCuotasIMSS[[#This Row],[PATRON3]]+TabCuotasIMSS[[#This Row],[OBRERO4]]</f>
        <v>71.825044500000004</v>
      </c>
      <c r="X68" s="141">
        <f>((TabCuotasIMSS[[#This Row],[SALARIO
DEL CICLO]]-(TabCuotasIMSS[[#This Row],[S.B.C./S.D.I.]]*(TabCuotasIMSS[[#This Row],[INC]]+TabCuotasIMSS[[#This Row],[AUS]]))))*PRTP</f>
        <v>2520.1770000000001</v>
      </c>
      <c r="Y68" s="55">
        <f>IF(TabCuotasIMSS[[#This Row],[S.B.C./S.D.I.]]&lt;=SMGI,((TabCuotasIMSS[[#This Row],[SALARIO
DEL CICLO]]-(TabCuotasIMSS[[#This Row],[S.B.C./S.D.I.]]*(TabCuotasIMSS[[#This Row],[INC]]+TabCuotasIMSS[[#This Row],[AUS]]))))*IV,((TabCuotasIMSS[[#This Row],[SALARIO
DEL CICLO]]-(TabCuotasIMSS[[#This Row],[S.B.C./S.D.I.]]*(TabCuotasIMSS[[#This Row],[INC]]+TabCuotasIMSS[[#This Row],[AUS]]))))*IVP)</f>
        <v>119.70840750000001</v>
      </c>
      <c r="Z68" s="55">
        <f>IF(TabCuotasIMSS[[#This Row],[S.B.C./S.D.I.]]&lt;=SMGI,0,((TabCuotasIMSS[[#This Row],[SALARIO
DEL CICLO]]-(TabCuotasIMSS[[#This Row],[S.B.C./S.D.I.]]*(TabCuotasIMSS[[#This Row],[INC]]+TabCuotasIMSS[[#This Row],[AUS]]))))*IVO)</f>
        <v>0</v>
      </c>
      <c r="AA68" s="55">
        <f>TabCuotasIMSS[[#This Row],[PATRON6]]+TabCuotasIMSS[[#This Row],[OBRERO7]]</f>
        <v>119.70840750000001</v>
      </c>
      <c r="AB68" s="141">
        <f>((TabCuotasIMSS[[#This Row],[SALARIO
DEL CICLO]]-(TabCuotasIMSS[[#This Row],[S.B.C./S.D.I.]]*(TabCuotasIMSS[[#This Row],[INC]]+TabCuotasIMSS[[#This Row],[AUS]]))))*GPS</f>
        <v>50.403540000000007</v>
      </c>
      <c r="AC68" s="141">
        <f>TabCuotasIMSS[[#This Row],[SALARIO
DEL CICLO]]*0</f>
        <v>0</v>
      </c>
      <c r="AD68" s="141">
        <f>TabCuotasIMSS[[#This Row],[PATRON9]]+TabCuotasIMSS[[#This Row],[OBRERO10]]</f>
        <v>50.403540000000007</v>
      </c>
      <c r="AE68" s="233">
        <f>TabCuotasIMSS[[#This Row],[PATRON]]+TabCuotasIMSS[[#This Row],[EXCED.
PATRON]]+TabCuotasIMSS[[#This Row],[PATRON2]]+TabCuotasIMSS[[#This Row],[PATRON3]]+TabCuotasIMSS[[#This Row],[PATRON
0.50%]]+TabCuotasIMSS[[#This Row],[PATRON6]]+TabCuotasIMSS[[#This Row],[PATRON9]]</f>
        <v>4242.9055950000002</v>
      </c>
      <c r="AF68" s="233">
        <f>TabCuotasIMSS[[#This Row],[EXCED.
OBRERO]]+TabCuotasIMSS[[#This Row],[OBRERO]]+TabCuotasIMSS[[#This Row],[OBRERO4]]+TabCuotasIMSS[[#This Row],[OBRERO7]]+TabCuotasIMSS[[#This Row],[OBRERO10]]</f>
        <v>0</v>
      </c>
      <c r="AG68" s="233">
        <f>TabCuotasIMSS[[#This Row],[TOTAL
PATRONAL]]+TabCuotasIMSS[[#This Row],[TOTAL
OBRERO]]</f>
        <v>4242.9055950000002</v>
      </c>
      <c r="AH68" s="141">
        <f>((TabCuotasIMSS[[#This Row],[SALARIO
DEL CICLO]]-(TabCuotasIMSS[[#This Row],[S.B.C./S.D.I.]]*TabCuotasIMSS[[#This Row],[AUS]]))*R_)</f>
        <v>100.80708000000001</v>
      </c>
      <c r="AI68">
        <f>IF(TabCuotasIMSS[[#This Row],[S.B.C./S.D.I.]]&lt;=SMGI,((TabCuotasIMSS[[#This Row],[SALARIO
DEL CICLO]]-(TabCuotasIMSS[[#This Row],[S.B.C./S.D.I.]]*(TabCuotasIMSS[[#This Row],[INC]]+TabCuotasIMSS[[#This Row],[AUS]]))))*CV,((TabCuotasIMSS[[#This Row],[SALARIO
DEL CICLO]]-(TabCuotasIMSS[[#This Row],[S.B.C./S.D.I.]]*(TabCuotasIMSS[[#This Row],[INC]]+TabCuotasIMSS[[#This Row],[AUS]]))))*CVP)</f>
        <v>215.47513350000003</v>
      </c>
      <c r="AJ68">
        <f>IF(TabCuotasIMSS[[#This Row],[S.B.C./S.D.I.]]&lt;=SMGI,0,((TabCuotasIMSS[[#This Row],[SALARIO
DEL CICLO]]-(TabCuotasIMSS[[#This Row],[S.B.C./S.D.I.]]*(TabCuotasIMSS[[#This Row],[INC]]+TabCuotasIMSS[[#This Row],[AUS]]))))*CVO)</f>
        <v>0</v>
      </c>
      <c r="AK68">
        <f>SUM(TabCuotasIMSS[[#This Row],[2%]]:TabCuotasIMSS[[#This Row],[OBRERO14]])</f>
        <v>316.28221350000001</v>
      </c>
      <c r="AL68" s="141">
        <f>((TabCuotasIMSS[[#This Row],[SALARIO
DEL CICLO]]-(TabCuotasIMSS[[#This Row],[S.B.C./S.D.I.]]*(TabCuotasIMSS[[#This Row],[AUS]])))*I)</f>
        <v>252.01770000000002</v>
      </c>
      <c r="AM68" s="141">
        <f>TabCuotasIMSS[[#This Row],[TOTAL
O.P.11]]+TabCuotasIMSS[[#This Row],[2%]]+TabCuotasIMSS[[#This Row],[PATRON13]]+TabCuotasIMSS[[#This Row],[5%]]</f>
        <v>618.70345350000002</v>
      </c>
      <c r="AN68" s="141">
        <f>TabCuotasIMSS[[#This Row],[TOTAL
OBRERO]]+TabCuotasIMSS[[#This Row],[OBRERO14]]</f>
        <v>0</v>
      </c>
    </row>
    <row r="69" spans="1:40" x14ac:dyDescent="0.25">
      <c r="A69" s="2">
        <v>61</v>
      </c>
      <c r="B69" s="1" cm="1">
        <f t="array" ref="B69">VLOOKUP(TabCuotasIMSS[[#This Row],[ID]],TabEmpleados[],COLUMN(TabEmpleados[Fecha de alta NSS]),FALSE)</f>
        <v>44509</v>
      </c>
      <c r="C69" t="str" cm="1">
        <f t="array" ref="C69">VLOOKUP(TabCuotasIMSS[[#This Row],[ID]],TabEmpleados[],COLUMN(TabEmpleados[Nombre]),FALSE)</f>
        <v xml:space="preserve">SOSA GONZALEZ ALEJANDRO </v>
      </c>
      <c r="D69" cm="1">
        <f t="array" ref="D69">IF(VLOOKUP(TabCuotasIMSS[[#This Row],[ID]],TabEmpleados[],COLUMN(TabEmpleados[Fecha de alta NSS]),FALSE)&lt;&gt;"",VLOOKUP(TabCuotasIMSS[[#This Row],[ID]],TabAsistencias[],COLUMN(TabAsistencias[''Total de dias laborados]),FALSE),0)</f>
        <v>73</v>
      </c>
      <c r="E69" cm="1">
        <f t="array" ref="E69">IF(VLOOKUP(TabCuotasIMSS[[#This Row],[ID]],TabEmpleados[],COLUMN(TabEmpleados[Fecha de alta NSS]),FALSE)&lt;&gt;"",IF(DATEDIF((VLOOKUP(TabCuotasIMSS[[#This Row],[ID]],TabEmpleados[],COLUMN(TabEmpleados[Fecha de alta NSS]),FALSE)),'Tablas de informacion'!N$8,"Y")=0,1,DATEDIF((VLOOKUP(TabCuotasIMSS[[#This Row],[ID]],TabEmpleados[],COLUMN(TabEmpleados[Fecha de alta NSS]),FALSE)),'Tablas de informacion'!N$8,"Y")),0)</f>
        <v>1</v>
      </c>
      <c r="F69" s="55" cm="1">
        <f t="array" ref="F69">VLOOKUP(TabCuotasIMSS[[#This Row],[ID]],TabEmpleados[],COLUMN(TabEmpleados[SD Fiscal]),FALSE)</f>
        <v>66</v>
      </c>
      <c r="G69" s="55" cm="1">
        <f t="array" ref="G69">IFERROR((VLOOKUP((VLOOKUP(TabCuotasIMSS[[#This Row],[ID]],TabEmpleados[],COLUMN(TabEmpleados[Puesto]),FALSE)),TabPuestos[],COLUMN(TabPuestos[N° ALIMENTOS]),FALSE))*TabCuotasIMSS[[#This Row],[Salario Diario]]*(VLOOKUP(TabCuotasIMSS[[#This Row],[Años]],TabFactorIntegracion[],COLUMN(TabFactorIntegracion[% por alimento]))),0)</f>
        <v>5.4977999999999998</v>
      </c>
      <c r="H69" s="55" cm="1">
        <f t="array" ref="H69">IFERROR((VLOOKUP((VLOOKUP(TabCuotasIMSS[[#This Row],[ID]],TabEmpleados[],COLUMN(TabEmpleados[Puesto]),FALSE)),TabPuestos[],COLUMN(TabPuestos[PRIMA DOMINICAL]),FALSE))*TabCuotasIMSS[[#This Row],[Salario Diario]]*(VLOOKUP(TabCuotasIMSS[[#This Row],[Años]],TabFactorIntegracion[],COLUMN(TabFactorIntegracion[PRIMA
DOMINICAL]))),0)</f>
        <v>1.1979452054794519</v>
      </c>
      <c r="I69" s="55" cm="1">
        <f t="array" ref="I69">IFERROR(TabCuotasIMSS[[#This Row],[Salario Diario]]*(VLOOKUP(TabCuotasIMSS[[#This Row],[Años]],TabFactorIntegracion[],COLUMN(TabFactorIntegracion[FACTOR DE
INTEGRACIÓN]))),0)</f>
        <v>3.2547945205479452</v>
      </c>
      <c r="J69" s="174">
        <f>IFERROR(TabCuotasIMSS[[#This Row],[Salario Diario]]+TabCuotasIMSS[[#This Row],[Alimentos]]+TabCuotasIMSS[[#This Row],[Prima Dominical]]+TabCuotasIMSS[[#This Row],[Factor de Integracion]],0)</f>
        <v>75.950539726027401</v>
      </c>
      <c r="K69" cm="1">
        <f t="array" ref="K69">VLOOKUP(TabCuotasIMSS[[#This Row],[ID]],TabAsistencias[],COLUMN(TabAsistencias[''I]),FALSE)+VLOOKUP(TabCuotasIMSS[[#This Row],[ID]],TabAsistencias[],COLUMN(TabAsistencias[''IG]),FALSE)</f>
        <v>0</v>
      </c>
      <c r="L69" cm="1">
        <f t="array" ref="L69">VLOOKUP(TabCuotasIMSS[[#This Row],[ID]],TabAsistencias[],COLUMN(TabAsistencias[''F]),FALSE)</f>
        <v>0</v>
      </c>
      <c r="M69" s="141">
        <f>TabCuotasIMSS[[#This Row],[S.B.C./S.D.I.]]*TabCuotasIMSS[[#This Row],[DÍAS
LAB.]]</f>
        <v>5544.3894</v>
      </c>
      <c r="N69" s="141">
        <f>(SMDF*CF*(TabCuotasIMSS[[#This Row],[DÍAS
LAB.]]-TabCuotasIMSS[[#This Row],[INC]]))</f>
        <v>1432.90824</v>
      </c>
      <c r="O69" s="55">
        <f>IF(TabCuotasIMSS[[#This Row],[S.B.C./S.D.I.]]&gt;SMDF3,((TabCuotasIMSS[[#This Row],[S.B.C./S.D.I.]]-SMDF3)*CFP*(TabCuotasIMSS[[#This Row],[DÍAS
LAB.]]-TabCuotasIMSS[[#This Row],[INC]])),0)</f>
        <v>0</v>
      </c>
      <c r="P69" s="55">
        <f>IF(TabCuotasIMSS[[#This Row],[S.B.C./S.D.I.]]&gt;SMDF3,((TabCuotasIMSS[[#This Row],[S.B.C./S.D.I.]]-SMDF3)*CFO*(TabCuotasIMSS[[#This Row],[DÍAS
LAB.]]-TabCuotasIMSS[[#This Row],[INC]])),0)</f>
        <v>0</v>
      </c>
      <c r="Q69" s="55">
        <f>TabCuotasIMSS[[#This Row],[EXCED.
PATRON]]+TabCuotasIMSS[[#This Row],[EXCED.
OBRERO]]</f>
        <v>0</v>
      </c>
      <c r="R69" s="55">
        <f>IF(TabCuotasIMSS[[#This Row],[S.B.C./S.D.I.]]&lt;=SMGI,((TabCuotasIMSS[[#This Row],[SALARIO
DEL CICLO]]-(TabCuotasIMSS[[#This Row],[S.B.C./S.D.I.]]*TabCuotasIMSS[[#This Row],[INC]])))*PD,((TabCuotasIMSS[[#This Row],[SALARIO
DEL CICLO]]-(TabCuotasIMSS[[#This Row],[S.B.C./S.D.I.]]*TabCuotasIMSS[[#This Row],[INC]]))*PDP))</f>
        <v>52.6716993</v>
      </c>
      <c r="S69" s="55">
        <f>IF(TabCuotasIMSS[[#This Row],[S.B.C./S.D.I.]]&lt;=SMGI,0,((TabCuotasIMSS[[#This Row],[SALARIO
DEL CICLO]]-(TabCuotasIMSS[[#This Row],[S.B.C./S.D.I.]]*TabCuotasIMSS[[#This Row],[INC]]))*PDO))</f>
        <v>0</v>
      </c>
      <c r="T69" s="55">
        <f>TabCuotasIMSS[[#This Row],[PATRON2]]+TabCuotasIMSS[[#This Row],[OBRERO]]</f>
        <v>52.6716993</v>
      </c>
      <c r="U69" s="55">
        <f>IF(TabCuotasIMSS[[#This Row],[S.B.C./S.D.I.]]&lt;=SMGI,((TabCuotasIMSS[[#This Row],[SALARIO
DEL CICLO]]-(TabCuotasIMSS[[#This Row],[S.B.C./S.D.I.]]*TabCuotasIMSS[[#This Row],[INC]])))*GMP,((TabCuotasIMSS[[#This Row],[SALARIO
DEL CICLO]]-(TabCuotasIMSS[[#This Row],[S.B.C./S.D.I.]]*TabCuotasIMSS[[#This Row],[INC]])))*GMPP)</f>
        <v>79.00754895</v>
      </c>
      <c r="V69" s="55">
        <f>IF(TabCuotasIMSS[[#This Row],[S.B.C./S.D.I.]]&lt;=SMGI,0,((TabCuotasIMSS[[#This Row],[SALARIO
DEL CICLO]]-(TabCuotasIMSS[[#This Row],[S.B.C./S.D.I.]]*TabCuotasIMSS[[#This Row],[INC]])))*GMPO)</f>
        <v>0</v>
      </c>
      <c r="W69" s="55">
        <f>TabCuotasIMSS[[#This Row],[PATRON3]]+TabCuotasIMSS[[#This Row],[OBRERO4]]</f>
        <v>79.00754895</v>
      </c>
      <c r="X69" s="141">
        <f>((TabCuotasIMSS[[#This Row],[SALARIO
DEL CICLO]]-(TabCuotasIMSS[[#This Row],[S.B.C./S.D.I.]]*(TabCuotasIMSS[[#This Row],[INC]]+TabCuotasIMSS[[#This Row],[AUS]]))))*PRTP</f>
        <v>2772.1947</v>
      </c>
      <c r="Y69" s="55">
        <f>IF(TabCuotasIMSS[[#This Row],[S.B.C./S.D.I.]]&lt;=SMGI,((TabCuotasIMSS[[#This Row],[SALARIO
DEL CICLO]]-(TabCuotasIMSS[[#This Row],[S.B.C./S.D.I.]]*(TabCuotasIMSS[[#This Row],[INC]]+TabCuotasIMSS[[#This Row],[AUS]]))))*IV,((TabCuotasIMSS[[#This Row],[SALARIO
DEL CICLO]]-(TabCuotasIMSS[[#This Row],[S.B.C./S.D.I.]]*(TabCuotasIMSS[[#This Row],[INC]]+TabCuotasIMSS[[#This Row],[AUS]]))))*IVP)</f>
        <v>131.67924825</v>
      </c>
      <c r="Z69" s="55">
        <f>IF(TabCuotasIMSS[[#This Row],[S.B.C./S.D.I.]]&lt;=SMGI,0,((TabCuotasIMSS[[#This Row],[SALARIO
DEL CICLO]]-(TabCuotasIMSS[[#This Row],[S.B.C./S.D.I.]]*(TabCuotasIMSS[[#This Row],[INC]]+TabCuotasIMSS[[#This Row],[AUS]]))))*IVO)</f>
        <v>0</v>
      </c>
      <c r="AA69" s="55">
        <f>TabCuotasIMSS[[#This Row],[PATRON6]]+TabCuotasIMSS[[#This Row],[OBRERO7]]</f>
        <v>131.67924825</v>
      </c>
      <c r="AB69" s="141">
        <f>((TabCuotasIMSS[[#This Row],[SALARIO
DEL CICLO]]-(TabCuotasIMSS[[#This Row],[S.B.C./S.D.I.]]*(TabCuotasIMSS[[#This Row],[INC]]+TabCuotasIMSS[[#This Row],[AUS]]))))*GPS</f>
        <v>55.443894</v>
      </c>
      <c r="AC69" s="141">
        <f>TabCuotasIMSS[[#This Row],[SALARIO
DEL CICLO]]*0</f>
        <v>0</v>
      </c>
      <c r="AD69" s="141">
        <f>TabCuotasIMSS[[#This Row],[PATRON9]]+TabCuotasIMSS[[#This Row],[OBRERO10]]</f>
        <v>55.443894</v>
      </c>
      <c r="AE69" s="233">
        <f>TabCuotasIMSS[[#This Row],[PATRON]]+TabCuotasIMSS[[#This Row],[EXCED.
PATRON]]+TabCuotasIMSS[[#This Row],[PATRON2]]+TabCuotasIMSS[[#This Row],[PATRON3]]+TabCuotasIMSS[[#This Row],[PATRON
0.50%]]+TabCuotasIMSS[[#This Row],[PATRON6]]+TabCuotasIMSS[[#This Row],[PATRON9]]</f>
        <v>4523.9053304999998</v>
      </c>
      <c r="AF69" s="233">
        <f>TabCuotasIMSS[[#This Row],[EXCED.
OBRERO]]+TabCuotasIMSS[[#This Row],[OBRERO]]+TabCuotasIMSS[[#This Row],[OBRERO4]]+TabCuotasIMSS[[#This Row],[OBRERO7]]+TabCuotasIMSS[[#This Row],[OBRERO10]]</f>
        <v>0</v>
      </c>
      <c r="AG69" s="233">
        <f>TabCuotasIMSS[[#This Row],[TOTAL
PATRONAL]]+TabCuotasIMSS[[#This Row],[TOTAL
OBRERO]]</f>
        <v>4523.9053304999998</v>
      </c>
      <c r="AH69" s="141">
        <f>((TabCuotasIMSS[[#This Row],[SALARIO
DEL CICLO]]-(TabCuotasIMSS[[#This Row],[S.B.C./S.D.I.]]*TabCuotasIMSS[[#This Row],[AUS]]))*R_)</f>
        <v>110.887788</v>
      </c>
      <c r="AI69">
        <f>IF(TabCuotasIMSS[[#This Row],[S.B.C./S.D.I.]]&lt;=SMGI,((TabCuotasIMSS[[#This Row],[SALARIO
DEL CICLO]]-(TabCuotasIMSS[[#This Row],[S.B.C./S.D.I.]]*(TabCuotasIMSS[[#This Row],[INC]]+TabCuotasIMSS[[#This Row],[AUS]]))))*CV,((TabCuotasIMSS[[#This Row],[SALARIO
DEL CICLO]]-(TabCuotasIMSS[[#This Row],[S.B.C./S.D.I.]]*(TabCuotasIMSS[[#This Row],[INC]]+TabCuotasIMSS[[#This Row],[AUS]]))))*CVP)</f>
        <v>237.02264685000003</v>
      </c>
      <c r="AJ69">
        <f>IF(TabCuotasIMSS[[#This Row],[S.B.C./S.D.I.]]&lt;=SMGI,0,((TabCuotasIMSS[[#This Row],[SALARIO
DEL CICLO]]-(TabCuotasIMSS[[#This Row],[S.B.C./S.D.I.]]*(TabCuotasIMSS[[#This Row],[INC]]+TabCuotasIMSS[[#This Row],[AUS]]))))*CVO)</f>
        <v>0</v>
      </c>
      <c r="AK69">
        <f>SUM(TabCuotasIMSS[[#This Row],[2%]]:TabCuotasIMSS[[#This Row],[OBRERO14]])</f>
        <v>347.91043485</v>
      </c>
      <c r="AL69" s="141">
        <f>((TabCuotasIMSS[[#This Row],[SALARIO
DEL CICLO]]-(TabCuotasIMSS[[#This Row],[S.B.C./S.D.I.]]*(TabCuotasIMSS[[#This Row],[AUS]])))*I)</f>
        <v>277.21947</v>
      </c>
      <c r="AM69" s="141">
        <f>TabCuotasIMSS[[#This Row],[TOTAL
O.P.11]]+TabCuotasIMSS[[#This Row],[2%]]+TabCuotasIMSS[[#This Row],[PATRON13]]+TabCuotasIMSS[[#This Row],[5%]]</f>
        <v>680.57379885</v>
      </c>
      <c r="AN69" s="141">
        <f>TabCuotasIMSS[[#This Row],[TOTAL
OBRERO]]+TabCuotasIMSS[[#This Row],[OBRERO14]]</f>
        <v>0</v>
      </c>
    </row>
    <row r="70" spans="1:40" x14ac:dyDescent="0.25">
      <c r="A70" s="2">
        <v>62</v>
      </c>
      <c r="B70" s="1" cm="1">
        <f t="array" ref="B70">VLOOKUP(TabCuotasIMSS[[#This Row],[ID]],TabEmpleados[],COLUMN(TabEmpleados[Fecha de alta NSS]),FALSE)</f>
        <v>44509</v>
      </c>
      <c r="C70" t="str" cm="1">
        <f t="array" ref="C70">VLOOKUP(TabCuotasIMSS[[#This Row],[ID]],TabEmpleados[],COLUMN(TabEmpleados[Nombre]),FALSE)</f>
        <v>GONZALEZ ARAGON ALEJANDRO FEDERICO</v>
      </c>
      <c r="D70" cm="1">
        <f t="array" ref="D70">IF(VLOOKUP(TabCuotasIMSS[[#This Row],[ID]],TabEmpleados[],COLUMN(TabEmpleados[Fecha de alta NSS]),FALSE)&lt;&gt;"",VLOOKUP(TabCuotasIMSS[[#This Row],[ID]],TabAsistencias[],COLUMN(TabAsistencias[''Total de dias laborados]),FALSE),0)</f>
        <v>73</v>
      </c>
      <c r="E70" cm="1">
        <f t="array" ref="E70">IF(VLOOKUP(TabCuotasIMSS[[#This Row],[ID]],TabEmpleados[],COLUMN(TabEmpleados[Fecha de alta NSS]),FALSE)&lt;&gt;"",IF(DATEDIF((VLOOKUP(TabCuotasIMSS[[#This Row],[ID]],TabEmpleados[],COLUMN(TabEmpleados[Fecha de alta NSS]),FALSE)),'Tablas de informacion'!N$8,"Y")=0,1,DATEDIF((VLOOKUP(TabCuotasIMSS[[#This Row],[ID]],TabEmpleados[],COLUMN(TabEmpleados[Fecha de alta NSS]),FALSE)),'Tablas de informacion'!N$8,"Y")),0)</f>
        <v>1</v>
      </c>
      <c r="F70" s="55" cm="1">
        <f t="array" ref="F70">VLOOKUP(TabCuotasIMSS[[#This Row],[ID]],TabEmpleados[],COLUMN(TabEmpleados[SD Fiscal]),FALSE)</f>
        <v>90</v>
      </c>
      <c r="G70" s="55" cm="1">
        <f t="array" ref="G70">IFERROR((VLOOKUP((VLOOKUP(TabCuotasIMSS[[#This Row],[ID]],TabEmpleados[],COLUMN(TabEmpleados[Puesto]),FALSE)),TabPuestos[],COLUMN(TabPuestos[N° ALIMENTOS]),FALSE))*TabCuotasIMSS[[#This Row],[Salario Diario]]*(VLOOKUP(TabCuotasIMSS[[#This Row],[Años]],TabFactorIntegracion[],COLUMN(TabFactorIntegracion[% por alimento]))),0)</f>
        <v>7.4969999999999999</v>
      </c>
      <c r="H70" s="55" cm="1">
        <f t="array" ref="H70">IFERROR((VLOOKUP((VLOOKUP(TabCuotasIMSS[[#This Row],[ID]],TabEmpleados[],COLUMN(TabEmpleados[Puesto]),FALSE)),TabPuestos[],COLUMN(TabPuestos[PRIMA DOMINICAL]),FALSE))*TabCuotasIMSS[[#This Row],[Salario Diario]]*(VLOOKUP(TabCuotasIMSS[[#This Row],[Años]],TabFactorIntegracion[],COLUMN(TabFactorIntegracion[PRIMA
DOMINICAL]))),0)</f>
        <v>1.6335616438356162</v>
      </c>
      <c r="I70" s="55" cm="1">
        <f t="array" ref="I70">IFERROR(TabCuotasIMSS[[#This Row],[Salario Diario]]*(VLOOKUP(TabCuotasIMSS[[#This Row],[Años]],TabFactorIntegracion[],COLUMN(TabFactorIntegracion[FACTOR DE
INTEGRACIÓN]))),0)</f>
        <v>4.4383561643835616</v>
      </c>
      <c r="J70" s="174">
        <f>IFERROR(TabCuotasIMSS[[#This Row],[Salario Diario]]+TabCuotasIMSS[[#This Row],[Alimentos]]+TabCuotasIMSS[[#This Row],[Prima Dominical]]+TabCuotasIMSS[[#This Row],[Factor de Integracion]],0)</f>
        <v>103.56891780821918</v>
      </c>
      <c r="K70" cm="1">
        <f t="array" ref="K70">VLOOKUP(TabCuotasIMSS[[#This Row],[ID]],TabAsistencias[],COLUMN(TabAsistencias[''I]),FALSE)+VLOOKUP(TabCuotasIMSS[[#This Row],[ID]],TabAsistencias[],COLUMN(TabAsistencias[''IG]),FALSE)</f>
        <v>0</v>
      </c>
      <c r="L70" cm="1">
        <f t="array" ref="L70">VLOOKUP(TabCuotasIMSS[[#This Row],[ID]],TabAsistencias[],COLUMN(TabAsistencias[''F]),FALSE)</f>
        <v>0</v>
      </c>
      <c r="M70" s="141">
        <f>TabCuotasIMSS[[#This Row],[S.B.C./S.D.I.]]*TabCuotasIMSS[[#This Row],[DÍAS
LAB.]]</f>
        <v>7560.5309999999999</v>
      </c>
      <c r="N70" s="141">
        <f>(SMDF*CF*(TabCuotasIMSS[[#This Row],[DÍAS
LAB.]]-TabCuotasIMSS[[#This Row],[INC]]))</f>
        <v>1432.90824</v>
      </c>
      <c r="O70" s="55">
        <f>IF(TabCuotasIMSS[[#This Row],[S.B.C./S.D.I.]]&gt;SMDF3,((TabCuotasIMSS[[#This Row],[S.B.C./S.D.I.]]-SMDF3)*CFP*(TabCuotasIMSS[[#This Row],[DÍAS
LAB.]]-TabCuotasIMSS[[#This Row],[INC]])),0)</f>
        <v>0</v>
      </c>
      <c r="P70" s="55">
        <f>IF(TabCuotasIMSS[[#This Row],[S.B.C./S.D.I.]]&gt;SMDF3,((TabCuotasIMSS[[#This Row],[S.B.C./S.D.I.]]-SMDF3)*CFO*(TabCuotasIMSS[[#This Row],[DÍAS
LAB.]]-TabCuotasIMSS[[#This Row],[INC]])),0)</f>
        <v>0</v>
      </c>
      <c r="Q70" s="55">
        <f>TabCuotasIMSS[[#This Row],[EXCED.
PATRON]]+TabCuotasIMSS[[#This Row],[EXCED.
OBRERO]]</f>
        <v>0</v>
      </c>
      <c r="R70" s="55">
        <f>IF(TabCuotasIMSS[[#This Row],[S.B.C./S.D.I.]]&lt;=SMGI,((TabCuotasIMSS[[#This Row],[SALARIO
DEL CICLO]]-(TabCuotasIMSS[[#This Row],[S.B.C./S.D.I.]]*TabCuotasIMSS[[#This Row],[INC]])))*PD,((TabCuotasIMSS[[#This Row],[SALARIO
DEL CICLO]]-(TabCuotasIMSS[[#This Row],[S.B.C./S.D.I.]]*TabCuotasIMSS[[#This Row],[INC]]))*PDP))</f>
        <v>71.825044500000004</v>
      </c>
      <c r="S70" s="55">
        <f>IF(TabCuotasIMSS[[#This Row],[S.B.C./S.D.I.]]&lt;=SMGI,0,((TabCuotasIMSS[[#This Row],[SALARIO
DEL CICLO]]-(TabCuotasIMSS[[#This Row],[S.B.C./S.D.I.]]*TabCuotasIMSS[[#This Row],[INC]]))*PDO))</f>
        <v>0</v>
      </c>
      <c r="T70" s="55">
        <f>TabCuotasIMSS[[#This Row],[PATRON2]]+TabCuotasIMSS[[#This Row],[OBRERO]]</f>
        <v>71.825044500000004</v>
      </c>
      <c r="U70" s="55">
        <f>IF(TabCuotasIMSS[[#This Row],[S.B.C./S.D.I.]]&lt;=SMGI,((TabCuotasIMSS[[#This Row],[SALARIO
DEL CICLO]]-(TabCuotasIMSS[[#This Row],[S.B.C./S.D.I.]]*TabCuotasIMSS[[#This Row],[INC]])))*GMP,((TabCuotasIMSS[[#This Row],[SALARIO
DEL CICLO]]-(TabCuotasIMSS[[#This Row],[S.B.C./S.D.I.]]*TabCuotasIMSS[[#This Row],[INC]])))*GMPP)</f>
        <v>107.73756675</v>
      </c>
      <c r="V70" s="55">
        <f>IF(TabCuotasIMSS[[#This Row],[S.B.C./S.D.I.]]&lt;=SMGI,0,((TabCuotasIMSS[[#This Row],[SALARIO
DEL CICLO]]-(TabCuotasIMSS[[#This Row],[S.B.C./S.D.I.]]*TabCuotasIMSS[[#This Row],[INC]])))*GMPO)</f>
        <v>0</v>
      </c>
      <c r="W70" s="55">
        <f>TabCuotasIMSS[[#This Row],[PATRON3]]+TabCuotasIMSS[[#This Row],[OBRERO4]]</f>
        <v>107.73756675</v>
      </c>
      <c r="X70" s="141">
        <f>((TabCuotasIMSS[[#This Row],[SALARIO
DEL CICLO]]-(TabCuotasIMSS[[#This Row],[S.B.C./S.D.I.]]*(TabCuotasIMSS[[#This Row],[INC]]+TabCuotasIMSS[[#This Row],[AUS]]))))*PRTP</f>
        <v>3780.2655</v>
      </c>
      <c r="Y70" s="55">
        <f>IF(TabCuotasIMSS[[#This Row],[S.B.C./S.D.I.]]&lt;=SMGI,((TabCuotasIMSS[[#This Row],[SALARIO
DEL CICLO]]-(TabCuotasIMSS[[#This Row],[S.B.C./S.D.I.]]*(TabCuotasIMSS[[#This Row],[INC]]+TabCuotasIMSS[[#This Row],[AUS]]))))*IV,((TabCuotasIMSS[[#This Row],[SALARIO
DEL CICLO]]-(TabCuotasIMSS[[#This Row],[S.B.C./S.D.I.]]*(TabCuotasIMSS[[#This Row],[INC]]+TabCuotasIMSS[[#This Row],[AUS]]))))*IVP)</f>
        <v>179.56261125</v>
      </c>
      <c r="Z70" s="55">
        <f>IF(TabCuotasIMSS[[#This Row],[S.B.C./S.D.I.]]&lt;=SMGI,0,((TabCuotasIMSS[[#This Row],[SALARIO
DEL CICLO]]-(TabCuotasIMSS[[#This Row],[S.B.C./S.D.I.]]*(TabCuotasIMSS[[#This Row],[INC]]+TabCuotasIMSS[[#This Row],[AUS]]))))*IVO)</f>
        <v>0</v>
      </c>
      <c r="AA70" s="55">
        <f>TabCuotasIMSS[[#This Row],[PATRON6]]+TabCuotasIMSS[[#This Row],[OBRERO7]]</f>
        <v>179.56261125</v>
      </c>
      <c r="AB70" s="141">
        <f>((TabCuotasIMSS[[#This Row],[SALARIO
DEL CICLO]]-(TabCuotasIMSS[[#This Row],[S.B.C./S.D.I.]]*(TabCuotasIMSS[[#This Row],[INC]]+TabCuotasIMSS[[#This Row],[AUS]]))))*GPS</f>
        <v>75.605310000000003</v>
      </c>
      <c r="AC70" s="141">
        <f>TabCuotasIMSS[[#This Row],[SALARIO
DEL CICLO]]*0</f>
        <v>0</v>
      </c>
      <c r="AD70" s="141">
        <f>TabCuotasIMSS[[#This Row],[PATRON9]]+TabCuotasIMSS[[#This Row],[OBRERO10]]</f>
        <v>75.605310000000003</v>
      </c>
      <c r="AE70" s="233">
        <f>TabCuotasIMSS[[#This Row],[PATRON]]+TabCuotasIMSS[[#This Row],[EXCED.
PATRON]]+TabCuotasIMSS[[#This Row],[PATRON2]]+TabCuotasIMSS[[#This Row],[PATRON3]]+TabCuotasIMSS[[#This Row],[PATRON
0.50%]]+TabCuotasIMSS[[#This Row],[PATRON6]]+TabCuotasIMSS[[#This Row],[PATRON9]]</f>
        <v>5647.9042724999999</v>
      </c>
      <c r="AF70" s="233">
        <f>TabCuotasIMSS[[#This Row],[EXCED.
OBRERO]]+TabCuotasIMSS[[#This Row],[OBRERO]]+TabCuotasIMSS[[#This Row],[OBRERO4]]+TabCuotasIMSS[[#This Row],[OBRERO7]]+TabCuotasIMSS[[#This Row],[OBRERO10]]</f>
        <v>0</v>
      </c>
      <c r="AG70" s="233">
        <f>TabCuotasIMSS[[#This Row],[TOTAL
PATRONAL]]+TabCuotasIMSS[[#This Row],[TOTAL
OBRERO]]</f>
        <v>5647.9042724999999</v>
      </c>
      <c r="AH70" s="141">
        <f>((TabCuotasIMSS[[#This Row],[SALARIO
DEL CICLO]]-(TabCuotasIMSS[[#This Row],[S.B.C./S.D.I.]]*TabCuotasIMSS[[#This Row],[AUS]]))*R_)</f>
        <v>151.21062000000001</v>
      </c>
      <c r="AI70">
        <f>IF(TabCuotasIMSS[[#This Row],[S.B.C./S.D.I.]]&lt;=SMGI,((TabCuotasIMSS[[#This Row],[SALARIO
DEL CICLO]]-(TabCuotasIMSS[[#This Row],[S.B.C./S.D.I.]]*(TabCuotasIMSS[[#This Row],[INC]]+TabCuotasIMSS[[#This Row],[AUS]]))))*CV,((TabCuotasIMSS[[#This Row],[SALARIO
DEL CICLO]]-(TabCuotasIMSS[[#This Row],[S.B.C./S.D.I.]]*(TabCuotasIMSS[[#This Row],[INC]]+TabCuotasIMSS[[#This Row],[AUS]]))))*CVP)</f>
        <v>323.21270025000001</v>
      </c>
      <c r="AJ70">
        <f>IF(TabCuotasIMSS[[#This Row],[S.B.C./S.D.I.]]&lt;=SMGI,0,((TabCuotasIMSS[[#This Row],[SALARIO
DEL CICLO]]-(TabCuotasIMSS[[#This Row],[S.B.C./S.D.I.]]*(TabCuotasIMSS[[#This Row],[INC]]+TabCuotasIMSS[[#This Row],[AUS]]))))*CVO)</f>
        <v>0</v>
      </c>
      <c r="AK70">
        <f>SUM(TabCuotasIMSS[[#This Row],[2%]]:TabCuotasIMSS[[#This Row],[OBRERO14]])</f>
        <v>474.42332025000002</v>
      </c>
      <c r="AL70" s="141">
        <f>((TabCuotasIMSS[[#This Row],[SALARIO
DEL CICLO]]-(TabCuotasIMSS[[#This Row],[S.B.C./S.D.I.]]*(TabCuotasIMSS[[#This Row],[AUS]])))*I)</f>
        <v>378.02655000000004</v>
      </c>
      <c r="AM70" s="141">
        <f>TabCuotasIMSS[[#This Row],[TOTAL
O.P.11]]+TabCuotasIMSS[[#This Row],[2%]]+TabCuotasIMSS[[#This Row],[PATRON13]]+TabCuotasIMSS[[#This Row],[5%]]</f>
        <v>928.05518025000003</v>
      </c>
      <c r="AN70" s="141">
        <f>TabCuotasIMSS[[#This Row],[TOTAL
OBRERO]]+TabCuotasIMSS[[#This Row],[OBRERO14]]</f>
        <v>0</v>
      </c>
    </row>
    <row r="71" spans="1:40" x14ac:dyDescent="0.25">
      <c r="A71" s="2">
        <v>63</v>
      </c>
      <c r="B71" s="1" cm="1">
        <f t="array" ref="B71">VLOOKUP(TabCuotasIMSS[[#This Row],[ID]],TabEmpleados[],COLUMN(TabEmpleados[Fecha de alta NSS]),FALSE)</f>
        <v>44509</v>
      </c>
      <c r="C71" t="str" cm="1">
        <f t="array" ref="C71">VLOOKUP(TabCuotasIMSS[[#This Row],[ID]],TabEmpleados[],COLUMN(TabEmpleados[Nombre]),FALSE)</f>
        <v>SANCHEZ RUIZ INGRID VIVIANA</v>
      </c>
      <c r="D71" cm="1">
        <f t="array" ref="D71">IF(VLOOKUP(TabCuotasIMSS[[#This Row],[ID]],TabEmpleados[],COLUMN(TabEmpleados[Fecha de alta NSS]),FALSE)&lt;&gt;"",VLOOKUP(TabCuotasIMSS[[#This Row],[ID]],TabAsistencias[],COLUMN(TabAsistencias[''Total de dias laborados]),FALSE),0)</f>
        <v>73</v>
      </c>
      <c r="E71" cm="1">
        <f t="array" ref="E71">IF(VLOOKUP(TabCuotasIMSS[[#This Row],[ID]],TabEmpleados[],COLUMN(TabEmpleados[Fecha de alta NSS]),FALSE)&lt;&gt;"",IF(DATEDIF((VLOOKUP(TabCuotasIMSS[[#This Row],[ID]],TabEmpleados[],COLUMN(TabEmpleados[Fecha de alta NSS]),FALSE)),'Tablas de informacion'!N$8,"Y")=0,1,DATEDIF((VLOOKUP(TabCuotasIMSS[[#This Row],[ID]],TabEmpleados[],COLUMN(TabEmpleados[Fecha de alta NSS]),FALSE)),'Tablas de informacion'!N$8,"Y")),0)</f>
        <v>1</v>
      </c>
      <c r="F71" s="55" cm="1">
        <f t="array" ref="F71">VLOOKUP(TabCuotasIMSS[[#This Row],[ID]],TabEmpleados[],COLUMN(TabEmpleados[SD Fiscal]),FALSE)</f>
        <v>90</v>
      </c>
      <c r="G71" s="55" cm="1">
        <f t="array" ref="G71">IFERROR((VLOOKUP((VLOOKUP(TabCuotasIMSS[[#This Row],[ID]],TabEmpleados[],COLUMN(TabEmpleados[Puesto]),FALSE)),TabPuestos[],COLUMN(TabPuestos[N° ALIMENTOS]),FALSE))*TabCuotasIMSS[[#This Row],[Salario Diario]]*(VLOOKUP(TabCuotasIMSS[[#This Row],[Años]],TabFactorIntegracion[],COLUMN(TabFactorIntegracion[% por alimento]))),0)</f>
        <v>7.4969999999999999</v>
      </c>
      <c r="H71" s="55" cm="1">
        <f t="array" ref="H71">IFERROR((VLOOKUP((VLOOKUP(TabCuotasIMSS[[#This Row],[ID]],TabEmpleados[],COLUMN(TabEmpleados[Puesto]),FALSE)),TabPuestos[],COLUMN(TabPuestos[PRIMA DOMINICAL]),FALSE))*TabCuotasIMSS[[#This Row],[Salario Diario]]*(VLOOKUP(TabCuotasIMSS[[#This Row],[Años]],TabFactorIntegracion[],COLUMN(TabFactorIntegracion[PRIMA
DOMINICAL]))),0)</f>
        <v>1.6335616438356162</v>
      </c>
      <c r="I71" s="55" cm="1">
        <f t="array" ref="I71">IFERROR(TabCuotasIMSS[[#This Row],[Salario Diario]]*(VLOOKUP(TabCuotasIMSS[[#This Row],[Años]],TabFactorIntegracion[],COLUMN(TabFactorIntegracion[FACTOR DE
INTEGRACIÓN]))),0)</f>
        <v>4.4383561643835616</v>
      </c>
      <c r="J71" s="174">
        <f>IFERROR(TabCuotasIMSS[[#This Row],[Salario Diario]]+TabCuotasIMSS[[#This Row],[Alimentos]]+TabCuotasIMSS[[#This Row],[Prima Dominical]]+TabCuotasIMSS[[#This Row],[Factor de Integracion]],0)</f>
        <v>103.56891780821918</v>
      </c>
      <c r="K71" cm="1">
        <f t="array" ref="K71">VLOOKUP(TabCuotasIMSS[[#This Row],[ID]],TabAsistencias[],COLUMN(TabAsistencias[''I]),FALSE)+VLOOKUP(TabCuotasIMSS[[#This Row],[ID]],TabAsistencias[],COLUMN(TabAsistencias[''IG]),FALSE)</f>
        <v>0</v>
      </c>
      <c r="L71" cm="1">
        <f t="array" ref="L71">VLOOKUP(TabCuotasIMSS[[#This Row],[ID]],TabAsistencias[],COLUMN(TabAsistencias[''F]),FALSE)</f>
        <v>0</v>
      </c>
      <c r="M71" s="141">
        <f>TabCuotasIMSS[[#This Row],[S.B.C./S.D.I.]]*TabCuotasIMSS[[#This Row],[DÍAS
LAB.]]</f>
        <v>7560.5309999999999</v>
      </c>
      <c r="N71" s="141">
        <f>(SMDF*CF*(TabCuotasIMSS[[#This Row],[DÍAS
LAB.]]-TabCuotasIMSS[[#This Row],[INC]]))</f>
        <v>1432.90824</v>
      </c>
      <c r="O71" s="55">
        <f>IF(TabCuotasIMSS[[#This Row],[S.B.C./S.D.I.]]&gt;SMDF3,((TabCuotasIMSS[[#This Row],[S.B.C./S.D.I.]]-SMDF3)*CFP*(TabCuotasIMSS[[#This Row],[DÍAS
LAB.]]-TabCuotasIMSS[[#This Row],[INC]])),0)</f>
        <v>0</v>
      </c>
      <c r="P71" s="55">
        <f>IF(TabCuotasIMSS[[#This Row],[S.B.C./S.D.I.]]&gt;SMDF3,((TabCuotasIMSS[[#This Row],[S.B.C./S.D.I.]]-SMDF3)*CFO*(TabCuotasIMSS[[#This Row],[DÍAS
LAB.]]-TabCuotasIMSS[[#This Row],[INC]])),0)</f>
        <v>0</v>
      </c>
      <c r="Q71" s="55">
        <f>TabCuotasIMSS[[#This Row],[EXCED.
PATRON]]+TabCuotasIMSS[[#This Row],[EXCED.
OBRERO]]</f>
        <v>0</v>
      </c>
      <c r="R71" s="55">
        <f>IF(TabCuotasIMSS[[#This Row],[S.B.C./S.D.I.]]&lt;=SMGI,((TabCuotasIMSS[[#This Row],[SALARIO
DEL CICLO]]-(TabCuotasIMSS[[#This Row],[S.B.C./S.D.I.]]*TabCuotasIMSS[[#This Row],[INC]])))*PD,((TabCuotasIMSS[[#This Row],[SALARIO
DEL CICLO]]-(TabCuotasIMSS[[#This Row],[S.B.C./S.D.I.]]*TabCuotasIMSS[[#This Row],[INC]]))*PDP))</f>
        <v>71.825044500000004</v>
      </c>
      <c r="S71" s="55">
        <f>IF(TabCuotasIMSS[[#This Row],[S.B.C./S.D.I.]]&lt;=SMGI,0,((TabCuotasIMSS[[#This Row],[SALARIO
DEL CICLO]]-(TabCuotasIMSS[[#This Row],[S.B.C./S.D.I.]]*TabCuotasIMSS[[#This Row],[INC]]))*PDO))</f>
        <v>0</v>
      </c>
      <c r="T71" s="55">
        <f>TabCuotasIMSS[[#This Row],[PATRON2]]+TabCuotasIMSS[[#This Row],[OBRERO]]</f>
        <v>71.825044500000004</v>
      </c>
      <c r="U71" s="55">
        <f>IF(TabCuotasIMSS[[#This Row],[S.B.C./S.D.I.]]&lt;=SMGI,((TabCuotasIMSS[[#This Row],[SALARIO
DEL CICLO]]-(TabCuotasIMSS[[#This Row],[S.B.C./S.D.I.]]*TabCuotasIMSS[[#This Row],[INC]])))*GMP,((TabCuotasIMSS[[#This Row],[SALARIO
DEL CICLO]]-(TabCuotasIMSS[[#This Row],[S.B.C./S.D.I.]]*TabCuotasIMSS[[#This Row],[INC]])))*GMPP)</f>
        <v>107.73756675</v>
      </c>
      <c r="V71" s="55">
        <f>IF(TabCuotasIMSS[[#This Row],[S.B.C./S.D.I.]]&lt;=SMGI,0,((TabCuotasIMSS[[#This Row],[SALARIO
DEL CICLO]]-(TabCuotasIMSS[[#This Row],[S.B.C./S.D.I.]]*TabCuotasIMSS[[#This Row],[INC]])))*GMPO)</f>
        <v>0</v>
      </c>
      <c r="W71" s="55">
        <f>TabCuotasIMSS[[#This Row],[PATRON3]]+TabCuotasIMSS[[#This Row],[OBRERO4]]</f>
        <v>107.73756675</v>
      </c>
      <c r="X71" s="141">
        <f>((TabCuotasIMSS[[#This Row],[SALARIO
DEL CICLO]]-(TabCuotasIMSS[[#This Row],[S.B.C./S.D.I.]]*(TabCuotasIMSS[[#This Row],[INC]]+TabCuotasIMSS[[#This Row],[AUS]]))))*PRTP</f>
        <v>3780.2655</v>
      </c>
      <c r="Y71" s="55">
        <f>IF(TabCuotasIMSS[[#This Row],[S.B.C./S.D.I.]]&lt;=SMGI,((TabCuotasIMSS[[#This Row],[SALARIO
DEL CICLO]]-(TabCuotasIMSS[[#This Row],[S.B.C./S.D.I.]]*(TabCuotasIMSS[[#This Row],[INC]]+TabCuotasIMSS[[#This Row],[AUS]]))))*IV,((TabCuotasIMSS[[#This Row],[SALARIO
DEL CICLO]]-(TabCuotasIMSS[[#This Row],[S.B.C./S.D.I.]]*(TabCuotasIMSS[[#This Row],[INC]]+TabCuotasIMSS[[#This Row],[AUS]]))))*IVP)</f>
        <v>179.56261125</v>
      </c>
      <c r="Z71" s="55">
        <f>IF(TabCuotasIMSS[[#This Row],[S.B.C./S.D.I.]]&lt;=SMGI,0,((TabCuotasIMSS[[#This Row],[SALARIO
DEL CICLO]]-(TabCuotasIMSS[[#This Row],[S.B.C./S.D.I.]]*(TabCuotasIMSS[[#This Row],[INC]]+TabCuotasIMSS[[#This Row],[AUS]]))))*IVO)</f>
        <v>0</v>
      </c>
      <c r="AA71" s="55">
        <f>TabCuotasIMSS[[#This Row],[PATRON6]]+TabCuotasIMSS[[#This Row],[OBRERO7]]</f>
        <v>179.56261125</v>
      </c>
      <c r="AB71" s="141">
        <f>((TabCuotasIMSS[[#This Row],[SALARIO
DEL CICLO]]-(TabCuotasIMSS[[#This Row],[S.B.C./S.D.I.]]*(TabCuotasIMSS[[#This Row],[INC]]+TabCuotasIMSS[[#This Row],[AUS]]))))*GPS</f>
        <v>75.605310000000003</v>
      </c>
      <c r="AC71" s="141">
        <f>TabCuotasIMSS[[#This Row],[SALARIO
DEL CICLO]]*0</f>
        <v>0</v>
      </c>
      <c r="AD71" s="141">
        <f>TabCuotasIMSS[[#This Row],[PATRON9]]+TabCuotasIMSS[[#This Row],[OBRERO10]]</f>
        <v>75.605310000000003</v>
      </c>
      <c r="AE71" s="233">
        <f>TabCuotasIMSS[[#This Row],[PATRON]]+TabCuotasIMSS[[#This Row],[EXCED.
PATRON]]+TabCuotasIMSS[[#This Row],[PATRON2]]+TabCuotasIMSS[[#This Row],[PATRON3]]+TabCuotasIMSS[[#This Row],[PATRON
0.50%]]+TabCuotasIMSS[[#This Row],[PATRON6]]+TabCuotasIMSS[[#This Row],[PATRON9]]</f>
        <v>5647.9042724999999</v>
      </c>
      <c r="AF71" s="233">
        <f>TabCuotasIMSS[[#This Row],[EXCED.
OBRERO]]+TabCuotasIMSS[[#This Row],[OBRERO]]+TabCuotasIMSS[[#This Row],[OBRERO4]]+TabCuotasIMSS[[#This Row],[OBRERO7]]+TabCuotasIMSS[[#This Row],[OBRERO10]]</f>
        <v>0</v>
      </c>
      <c r="AG71" s="233">
        <f>TabCuotasIMSS[[#This Row],[TOTAL
PATRONAL]]+TabCuotasIMSS[[#This Row],[TOTAL
OBRERO]]</f>
        <v>5647.9042724999999</v>
      </c>
      <c r="AH71" s="141">
        <f>((TabCuotasIMSS[[#This Row],[SALARIO
DEL CICLO]]-(TabCuotasIMSS[[#This Row],[S.B.C./S.D.I.]]*TabCuotasIMSS[[#This Row],[AUS]]))*R_)</f>
        <v>151.21062000000001</v>
      </c>
      <c r="AI71">
        <f>IF(TabCuotasIMSS[[#This Row],[S.B.C./S.D.I.]]&lt;=SMGI,((TabCuotasIMSS[[#This Row],[SALARIO
DEL CICLO]]-(TabCuotasIMSS[[#This Row],[S.B.C./S.D.I.]]*(TabCuotasIMSS[[#This Row],[INC]]+TabCuotasIMSS[[#This Row],[AUS]]))))*CV,((TabCuotasIMSS[[#This Row],[SALARIO
DEL CICLO]]-(TabCuotasIMSS[[#This Row],[S.B.C./S.D.I.]]*(TabCuotasIMSS[[#This Row],[INC]]+TabCuotasIMSS[[#This Row],[AUS]]))))*CVP)</f>
        <v>323.21270025000001</v>
      </c>
      <c r="AJ71">
        <f>IF(TabCuotasIMSS[[#This Row],[S.B.C./S.D.I.]]&lt;=SMGI,0,((TabCuotasIMSS[[#This Row],[SALARIO
DEL CICLO]]-(TabCuotasIMSS[[#This Row],[S.B.C./S.D.I.]]*(TabCuotasIMSS[[#This Row],[INC]]+TabCuotasIMSS[[#This Row],[AUS]]))))*CVO)</f>
        <v>0</v>
      </c>
      <c r="AK71">
        <f>SUM(TabCuotasIMSS[[#This Row],[2%]]:TabCuotasIMSS[[#This Row],[OBRERO14]])</f>
        <v>474.42332025000002</v>
      </c>
      <c r="AL71" s="141">
        <f>((TabCuotasIMSS[[#This Row],[SALARIO
DEL CICLO]]-(TabCuotasIMSS[[#This Row],[S.B.C./S.D.I.]]*(TabCuotasIMSS[[#This Row],[AUS]])))*I)</f>
        <v>378.02655000000004</v>
      </c>
      <c r="AM71" s="141">
        <f>TabCuotasIMSS[[#This Row],[TOTAL
O.P.11]]+TabCuotasIMSS[[#This Row],[2%]]+TabCuotasIMSS[[#This Row],[PATRON13]]+TabCuotasIMSS[[#This Row],[5%]]</f>
        <v>928.05518025000003</v>
      </c>
      <c r="AN71" s="141">
        <f>TabCuotasIMSS[[#This Row],[TOTAL
OBRERO]]+TabCuotasIMSS[[#This Row],[OBRERO14]]</f>
        <v>0</v>
      </c>
    </row>
    <row r="72" spans="1:40" x14ac:dyDescent="0.25">
      <c r="A72" s="2">
        <v>64</v>
      </c>
      <c r="B72" s="1" cm="1">
        <f t="array" ref="B72">VLOOKUP(TabCuotasIMSS[[#This Row],[ID]],TabEmpleados[],COLUMN(TabEmpleados[Fecha de alta NSS]),FALSE)</f>
        <v>44509</v>
      </c>
      <c r="C72" t="str" cm="1">
        <f t="array" ref="C72">VLOOKUP(TabCuotasIMSS[[#This Row],[ID]],TabEmpleados[],COLUMN(TabEmpleados[Nombre]),FALSE)</f>
        <v>QUIROZ HERNANDEZ ALEJANDRA MONSERRAT</v>
      </c>
      <c r="D72" cm="1">
        <f t="array" ref="D72">IF(VLOOKUP(TabCuotasIMSS[[#This Row],[ID]],TabEmpleados[],COLUMN(TabEmpleados[Fecha de alta NSS]),FALSE)&lt;&gt;"",VLOOKUP(TabCuotasIMSS[[#This Row],[ID]],TabAsistencias[],COLUMN(TabAsistencias[''Total de dias laborados]),FALSE),0)</f>
        <v>73</v>
      </c>
      <c r="E72" cm="1">
        <f t="array" ref="E72">IF(VLOOKUP(TabCuotasIMSS[[#This Row],[ID]],TabEmpleados[],COLUMN(TabEmpleados[Fecha de alta NSS]),FALSE)&lt;&gt;"",IF(DATEDIF((VLOOKUP(TabCuotasIMSS[[#This Row],[ID]],TabEmpleados[],COLUMN(TabEmpleados[Fecha de alta NSS]),FALSE)),'Tablas de informacion'!N$8,"Y")=0,1,DATEDIF((VLOOKUP(TabCuotasIMSS[[#This Row],[ID]],TabEmpleados[],COLUMN(TabEmpleados[Fecha de alta NSS]),FALSE)),'Tablas de informacion'!N$8,"Y")),0)</f>
        <v>1</v>
      </c>
      <c r="F72" s="55" cm="1">
        <f t="array" ref="F72">VLOOKUP(TabCuotasIMSS[[#This Row],[ID]],TabEmpleados[],COLUMN(TabEmpleados[SD Fiscal]),FALSE)</f>
        <v>90</v>
      </c>
      <c r="G72" s="55" cm="1">
        <f t="array" ref="G72">IFERROR((VLOOKUP((VLOOKUP(TabCuotasIMSS[[#This Row],[ID]],TabEmpleados[],COLUMN(TabEmpleados[Puesto]),FALSE)),TabPuestos[],COLUMN(TabPuestos[N° ALIMENTOS]),FALSE))*TabCuotasIMSS[[#This Row],[Salario Diario]]*(VLOOKUP(TabCuotasIMSS[[#This Row],[Años]],TabFactorIntegracion[],COLUMN(TabFactorIntegracion[% por alimento]))),0)</f>
        <v>7.4969999999999999</v>
      </c>
      <c r="H72" s="55" cm="1">
        <f t="array" ref="H72">IFERROR((VLOOKUP((VLOOKUP(TabCuotasIMSS[[#This Row],[ID]],TabEmpleados[],COLUMN(TabEmpleados[Puesto]),FALSE)),TabPuestos[],COLUMN(TabPuestos[PRIMA DOMINICAL]),FALSE))*TabCuotasIMSS[[#This Row],[Salario Diario]]*(VLOOKUP(TabCuotasIMSS[[#This Row],[Años]],TabFactorIntegracion[],COLUMN(TabFactorIntegracion[PRIMA
DOMINICAL]))),0)</f>
        <v>1.6335616438356162</v>
      </c>
      <c r="I72" s="55" cm="1">
        <f t="array" ref="I72">IFERROR(TabCuotasIMSS[[#This Row],[Salario Diario]]*(VLOOKUP(TabCuotasIMSS[[#This Row],[Años]],TabFactorIntegracion[],COLUMN(TabFactorIntegracion[FACTOR DE
INTEGRACIÓN]))),0)</f>
        <v>4.4383561643835616</v>
      </c>
      <c r="J72" s="174">
        <f>IFERROR(TabCuotasIMSS[[#This Row],[Salario Diario]]+TabCuotasIMSS[[#This Row],[Alimentos]]+TabCuotasIMSS[[#This Row],[Prima Dominical]]+TabCuotasIMSS[[#This Row],[Factor de Integracion]],0)</f>
        <v>103.56891780821918</v>
      </c>
      <c r="K72" cm="1">
        <f t="array" ref="K72">VLOOKUP(TabCuotasIMSS[[#This Row],[ID]],TabAsistencias[],COLUMN(TabAsistencias[''I]),FALSE)+VLOOKUP(TabCuotasIMSS[[#This Row],[ID]],TabAsistencias[],COLUMN(TabAsistencias[''IG]),FALSE)</f>
        <v>0</v>
      </c>
      <c r="L72" cm="1">
        <f t="array" ref="L72">VLOOKUP(TabCuotasIMSS[[#This Row],[ID]],TabAsistencias[],COLUMN(TabAsistencias[''F]),FALSE)</f>
        <v>0</v>
      </c>
      <c r="M72" s="141">
        <f>TabCuotasIMSS[[#This Row],[S.B.C./S.D.I.]]*TabCuotasIMSS[[#This Row],[DÍAS
LAB.]]</f>
        <v>7560.5309999999999</v>
      </c>
      <c r="N72" s="141">
        <f>(SMDF*CF*(TabCuotasIMSS[[#This Row],[DÍAS
LAB.]]-TabCuotasIMSS[[#This Row],[INC]]))</f>
        <v>1432.90824</v>
      </c>
      <c r="O72" s="55">
        <f>IF(TabCuotasIMSS[[#This Row],[S.B.C./S.D.I.]]&gt;SMDF3,((TabCuotasIMSS[[#This Row],[S.B.C./S.D.I.]]-SMDF3)*CFP*(TabCuotasIMSS[[#This Row],[DÍAS
LAB.]]-TabCuotasIMSS[[#This Row],[INC]])),0)</f>
        <v>0</v>
      </c>
      <c r="P72" s="55">
        <f>IF(TabCuotasIMSS[[#This Row],[S.B.C./S.D.I.]]&gt;SMDF3,((TabCuotasIMSS[[#This Row],[S.B.C./S.D.I.]]-SMDF3)*CFO*(TabCuotasIMSS[[#This Row],[DÍAS
LAB.]]-TabCuotasIMSS[[#This Row],[INC]])),0)</f>
        <v>0</v>
      </c>
      <c r="Q72" s="55">
        <f>TabCuotasIMSS[[#This Row],[EXCED.
PATRON]]+TabCuotasIMSS[[#This Row],[EXCED.
OBRERO]]</f>
        <v>0</v>
      </c>
      <c r="R72" s="55">
        <f>IF(TabCuotasIMSS[[#This Row],[S.B.C./S.D.I.]]&lt;=SMGI,((TabCuotasIMSS[[#This Row],[SALARIO
DEL CICLO]]-(TabCuotasIMSS[[#This Row],[S.B.C./S.D.I.]]*TabCuotasIMSS[[#This Row],[INC]])))*PD,((TabCuotasIMSS[[#This Row],[SALARIO
DEL CICLO]]-(TabCuotasIMSS[[#This Row],[S.B.C./S.D.I.]]*TabCuotasIMSS[[#This Row],[INC]]))*PDP))</f>
        <v>71.825044500000004</v>
      </c>
      <c r="S72" s="55">
        <f>IF(TabCuotasIMSS[[#This Row],[S.B.C./S.D.I.]]&lt;=SMGI,0,((TabCuotasIMSS[[#This Row],[SALARIO
DEL CICLO]]-(TabCuotasIMSS[[#This Row],[S.B.C./S.D.I.]]*TabCuotasIMSS[[#This Row],[INC]]))*PDO))</f>
        <v>0</v>
      </c>
      <c r="T72" s="55">
        <f>TabCuotasIMSS[[#This Row],[PATRON2]]+TabCuotasIMSS[[#This Row],[OBRERO]]</f>
        <v>71.825044500000004</v>
      </c>
      <c r="U72" s="55">
        <f>IF(TabCuotasIMSS[[#This Row],[S.B.C./S.D.I.]]&lt;=SMGI,((TabCuotasIMSS[[#This Row],[SALARIO
DEL CICLO]]-(TabCuotasIMSS[[#This Row],[S.B.C./S.D.I.]]*TabCuotasIMSS[[#This Row],[INC]])))*GMP,((TabCuotasIMSS[[#This Row],[SALARIO
DEL CICLO]]-(TabCuotasIMSS[[#This Row],[S.B.C./S.D.I.]]*TabCuotasIMSS[[#This Row],[INC]])))*GMPP)</f>
        <v>107.73756675</v>
      </c>
      <c r="V72" s="55">
        <f>IF(TabCuotasIMSS[[#This Row],[S.B.C./S.D.I.]]&lt;=SMGI,0,((TabCuotasIMSS[[#This Row],[SALARIO
DEL CICLO]]-(TabCuotasIMSS[[#This Row],[S.B.C./S.D.I.]]*TabCuotasIMSS[[#This Row],[INC]])))*GMPO)</f>
        <v>0</v>
      </c>
      <c r="W72" s="55">
        <f>TabCuotasIMSS[[#This Row],[PATRON3]]+TabCuotasIMSS[[#This Row],[OBRERO4]]</f>
        <v>107.73756675</v>
      </c>
      <c r="X72" s="141">
        <f>((TabCuotasIMSS[[#This Row],[SALARIO
DEL CICLO]]-(TabCuotasIMSS[[#This Row],[S.B.C./S.D.I.]]*(TabCuotasIMSS[[#This Row],[INC]]+TabCuotasIMSS[[#This Row],[AUS]]))))*PRTP</f>
        <v>3780.2655</v>
      </c>
      <c r="Y72" s="55">
        <f>IF(TabCuotasIMSS[[#This Row],[S.B.C./S.D.I.]]&lt;=SMGI,((TabCuotasIMSS[[#This Row],[SALARIO
DEL CICLO]]-(TabCuotasIMSS[[#This Row],[S.B.C./S.D.I.]]*(TabCuotasIMSS[[#This Row],[INC]]+TabCuotasIMSS[[#This Row],[AUS]]))))*IV,((TabCuotasIMSS[[#This Row],[SALARIO
DEL CICLO]]-(TabCuotasIMSS[[#This Row],[S.B.C./S.D.I.]]*(TabCuotasIMSS[[#This Row],[INC]]+TabCuotasIMSS[[#This Row],[AUS]]))))*IVP)</f>
        <v>179.56261125</v>
      </c>
      <c r="Z72" s="55">
        <f>IF(TabCuotasIMSS[[#This Row],[S.B.C./S.D.I.]]&lt;=SMGI,0,((TabCuotasIMSS[[#This Row],[SALARIO
DEL CICLO]]-(TabCuotasIMSS[[#This Row],[S.B.C./S.D.I.]]*(TabCuotasIMSS[[#This Row],[INC]]+TabCuotasIMSS[[#This Row],[AUS]]))))*IVO)</f>
        <v>0</v>
      </c>
      <c r="AA72" s="55">
        <f>TabCuotasIMSS[[#This Row],[PATRON6]]+TabCuotasIMSS[[#This Row],[OBRERO7]]</f>
        <v>179.56261125</v>
      </c>
      <c r="AB72" s="141">
        <f>((TabCuotasIMSS[[#This Row],[SALARIO
DEL CICLO]]-(TabCuotasIMSS[[#This Row],[S.B.C./S.D.I.]]*(TabCuotasIMSS[[#This Row],[INC]]+TabCuotasIMSS[[#This Row],[AUS]]))))*GPS</f>
        <v>75.605310000000003</v>
      </c>
      <c r="AC72" s="141">
        <f>TabCuotasIMSS[[#This Row],[SALARIO
DEL CICLO]]*0</f>
        <v>0</v>
      </c>
      <c r="AD72" s="141">
        <f>TabCuotasIMSS[[#This Row],[PATRON9]]+TabCuotasIMSS[[#This Row],[OBRERO10]]</f>
        <v>75.605310000000003</v>
      </c>
      <c r="AE72" s="233">
        <f>TabCuotasIMSS[[#This Row],[PATRON]]+TabCuotasIMSS[[#This Row],[EXCED.
PATRON]]+TabCuotasIMSS[[#This Row],[PATRON2]]+TabCuotasIMSS[[#This Row],[PATRON3]]+TabCuotasIMSS[[#This Row],[PATRON
0.50%]]+TabCuotasIMSS[[#This Row],[PATRON6]]+TabCuotasIMSS[[#This Row],[PATRON9]]</f>
        <v>5647.9042724999999</v>
      </c>
      <c r="AF72" s="233">
        <f>TabCuotasIMSS[[#This Row],[EXCED.
OBRERO]]+TabCuotasIMSS[[#This Row],[OBRERO]]+TabCuotasIMSS[[#This Row],[OBRERO4]]+TabCuotasIMSS[[#This Row],[OBRERO7]]+TabCuotasIMSS[[#This Row],[OBRERO10]]</f>
        <v>0</v>
      </c>
      <c r="AG72" s="233">
        <f>TabCuotasIMSS[[#This Row],[TOTAL
PATRONAL]]+TabCuotasIMSS[[#This Row],[TOTAL
OBRERO]]</f>
        <v>5647.9042724999999</v>
      </c>
      <c r="AH72" s="141">
        <f>((TabCuotasIMSS[[#This Row],[SALARIO
DEL CICLO]]-(TabCuotasIMSS[[#This Row],[S.B.C./S.D.I.]]*TabCuotasIMSS[[#This Row],[AUS]]))*R_)</f>
        <v>151.21062000000001</v>
      </c>
      <c r="AI72">
        <f>IF(TabCuotasIMSS[[#This Row],[S.B.C./S.D.I.]]&lt;=SMGI,((TabCuotasIMSS[[#This Row],[SALARIO
DEL CICLO]]-(TabCuotasIMSS[[#This Row],[S.B.C./S.D.I.]]*(TabCuotasIMSS[[#This Row],[INC]]+TabCuotasIMSS[[#This Row],[AUS]]))))*CV,((TabCuotasIMSS[[#This Row],[SALARIO
DEL CICLO]]-(TabCuotasIMSS[[#This Row],[S.B.C./S.D.I.]]*(TabCuotasIMSS[[#This Row],[INC]]+TabCuotasIMSS[[#This Row],[AUS]]))))*CVP)</f>
        <v>323.21270025000001</v>
      </c>
      <c r="AJ72">
        <f>IF(TabCuotasIMSS[[#This Row],[S.B.C./S.D.I.]]&lt;=SMGI,0,((TabCuotasIMSS[[#This Row],[SALARIO
DEL CICLO]]-(TabCuotasIMSS[[#This Row],[S.B.C./S.D.I.]]*(TabCuotasIMSS[[#This Row],[INC]]+TabCuotasIMSS[[#This Row],[AUS]]))))*CVO)</f>
        <v>0</v>
      </c>
      <c r="AK72">
        <f>SUM(TabCuotasIMSS[[#This Row],[2%]]:TabCuotasIMSS[[#This Row],[OBRERO14]])</f>
        <v>474.42332025000002</v>
      </c>
      <c r="AL72" s="141">
        <f>((TabCuotasIMSS[[#This Row],[SALARIO
DEL CICLO]]-(TabCuotasIMSS[[#This Row],[S.B.C./S.D.I.]]*(TabCuotasIMSS[[#This Row],[AUS]])))*I)</f>
        <v>378.02655000000004</v>
      </c>
      <c r="AM72" s="141">
        <f>TabCuotasIMSS[[#This Row],[TOTAL
O.P.11]]+TabCuotasIMSS[[#This Row],[2%]]+TabCuotasIMSS[[#This Row],[PATRON13]]+TabCuotasIMSS[[#This Row],[5%]]</f>
        <v>928.05518025000003</v>
      </c>
      <c r="AN72" s="141">
        <f>TabCuotasIMSS[[#This Row],[TOTAL
OBRERO]]+TabCuotasIMSS[[#This Row],[OBRERO14]]</f>
        <v>0</v>
      </c>
    </row>
    <row r="73" spans="1:40" x14ac:dyDescent="0.25">
      <c r="A73" s="2">
        <v>65</v>
      </c>
      <c r="B73" s="1" cm="1">
        <f t="array" ref="B73">VLOOKUP(TabCuotasIMSS[[#This Row],[ID]],TabEmpleados[],COLUMN(TabEmpleados[Fecha de alta NSS]),FALSE)</f>
        <v>44509</v>
      </c>
      <c r="C73" t="str" cm="1">
        <f t="array" ref="C73">VLOOKUP(TabCuotasIMSS[[#This Row],[ID]],TabEmpleados[],COLUMN(TabEmpleados[Nombre]),FALSE)</f>
        <v>VASQUEZ PEREZ ARTURO</v>
      </c>
      <c r="D73" cm="1">
        <f t="array" ref="D73">IF(VLOOKUP(TabCuotasIMSS[[#This Row],[ID]],TabEmpleados[],COLUMN(TabEmpleados[Fecha de alta NSS]),FALSE)&lt;&gt;"",VLOOKUP(TabCuotasIMSS[[#This Row],[ID]],TabAsistencias[],COLUMN(TabAsistencias[''Total de dias laborados]),FALSE),0)</f>
        <v>73</v>
      </c>
      <c r="E73" cm="1">
        <f t="array" ref="E73">IF(VLOOKUP(TabCuotasIMSS[[#This Row],[ID]],TabEmpleados[],COLUMN(TabEmpleados[Fecha de alta NSS]),FALSE)&lt;&gt;"",IF(DATEDIF((VLOOKUP(TabCuotasIMSS[[#This Row],[ID]],TabEmpleados[],COLUMN(TabEmpleados[Fecha de alta NSS]),FALSE)),'Tablas de informacion'!N$8,"Y")=0,1,DATEDIF((VLOOKUP(TabCuotasIMSS[[#This Row],[ID]],TabEmpleados[],COLUMN(TabEmpleados[Fecha de alta NSS]),FALSE)),'Tablas de informacion'!N$8,"Y")),0)</f>
        <v>1</v>
      </c>
      <c r="F73" s="55" cm="1">
        <f t="array" ref="F73">VLOOKUP(TabCuotasIMSS[[#This Row],[ID]],TabEmpleados[],COLUMN(TabEmpleados[SD Fiscal]),FALSE)</f>
        <v>90</v>
      </c>
      <c r="G73" s="55" cm="1">
        <f t="array" ref="G73">IFERROR((VLOOKUP((VLOOKUP(TabCuotasIMSS[[#This Row],[ID]],TabEmpleados[],COLUMN(TabEmpleados[Puesto]),FALSE)),TabPuestos[],COLUMN(TabPuestos[N° ALIMENTOS]),FALSE))*TabCuotasIMSS[[#This Row],[Salario Diario]]*(VLOOKUP(TabCuotasIMSS[[#This Row],[Años]],TabFactorIntegracion[],COLUMN(TabFactorIntegracion[% por alimento]))),0)</f>
        <v>0</v>
      </c>
      <c r="H73" s="55" cm="1">
        <f t="array" ref="H73">IFERROR((VLOOKUP((VLOOKUP(TabCuotasIMSS[[#This Row],[ID]],TabEmpleados[],COLUMN(TabEmpleados[Puesto]),FALSE)),TabPuestos[],COLUMN(TabPuestos[PRIMA DOMINICAL]),FALSE))*TabCuotasIMSS[[#This Row],[Salario Diario]]*(VLOOKUP(TabCuotasIMSS[[#This Row],[Años]],TabFactorIntegracion[],COLUMN(TabFactorIntegracion[PRIMA
DOMINICAL]))),0)</f>
        <v>0</v>
      </c>
      <c r="I73" s="55" cm="1">
        <f t="array" ref="I73">IFERROR(TabCuotasIMSS[[#This Row],[Salario Diario]]*(VLOOKUP(TabCuotasIMSS[[#This Row],[Años]],TabFactorIntegracion[],COLUMN(TabFactorIntegracion[FACTOR DE
INTEGRACIÓN]))),0)</f>
        <v>4.4383561643835616</v>
      </c>
      <c r="J73" s="174">
        <f>IFERROR(TabCuotasIMSS[[#This Row],[Salario Diario]]+TabCuotasIMSS[[#This Row],[Alimentos]]+TabCuotasIMSS[[#This Row],[Prima Dominical]]+TabCuotasIMSS[[#This Row],[Factor de Integracion]],0)</f>
        <v>94.438356164383563</v>
      </c>
      <c r="K73" cm="1">
        <f t="array" ref="K73">VLOOKUP(TabCuotasIMSS[[#This Row],[ID]],TabAsistencias[],COLUMN(TabAsistencias[''I]),FALSE)+VLOOKUP(TabCuotasIMSS[[#This Row],[ID]],TabAsistencias[],COLUMN(TabAsistencias[''IG]),FALSE)</f>
        <v>0</v>
      </c>
      <c r="L73" cm="1">
        <f t="array" ref="L73">VLOOKUP(TabCuotasIMSS[[#This Row],[ID]],TabAsistencias[],COLUMN(TabAsistencias[''F]),FALSE)</f>
        <v>0</v>
      </c>
      <c r="M73" s="141">
        <f>TabCuotasIMSS[[#This Row],[S.B.C./S.D.I.]]*TabCuotasIMSS[[#This Row],[DÍAS
LAB.]]</f>
        <v>6894</v>
      </c>
      <c r="N73" s="141">
        <f>(SMDF*CF*(TabCuotasIMSS[[#This Row],[DÍAS
LAB.]]-TabCuotasIMSS[[#This Row],[INC]]))</f>
        <v>1432.90824</v>
      </c>
      <c r="O73" s="55">
        <f>IF(TabCuotasIMSS[[#This Row],[S.B.C./S.D.I.]]&gt;SMDF3,((TabCuotasIMSS[[#This Row],[S.B.C./S.D.I.]]-SMDF3)*CFP*(TabCuotasIMSS[[#This Row],[DÍAS
LAB.]]-TabCuotasIMSS[[#This Row],[INC]])),0)</f>
        <v>0</v>
      </c>
      <c r="P73" s="55">
        <f>IF(TabCuotasIMSS[[#This Row],[S.B.C./S.D.I.]]&gt;SMDF3,((TabCuotasIMSS[[#This Row],[S.B.C./S.D.I.]]-SMDF3)*CFO*(TabCuotasIMSS[[#This Row],[DÍAS
LAB.]]-TabCuotasIMSS[[#This Row],[INC]])),0)</f>
        <v>0</v>
      </c>
      <c r="Q73" s="55">
        <f>TabCuotasIMSS[[#This Row],[EXCED.
PATRON]]+TabCuotasIMSS[[#This Row],[EXCED.
OBRERO]]</f>
        <v>0</v>
      </c>
      <c r="R73" s="55">
        <f>IF(TabCuotasIMSS[[#This Row],[S.B.C./S.D.I.]]&lt;=SMGI,((TabCuotasIMSS[[#This Row],[SALARIO
DEL CICLO]]-(TabCuotasIMSS[[#This Row],[S.B.C./S.D.I.]]*TabCuotasIMSS[[#This Row],[INC]])))*PD,((TabCuotasIMSS[[#This Row],[SALARIO
DEL CICLO]]-(TabCuotasIMSS[[#This Row],[S.B.C./S.D.I.]]*TabCuotasIMSS[[#This Row],[INC]]))*PDP))</f>
        <v>65.492999999999995</v>
      </c>
      <c r="S73" s="55">
        <f>IF(TabCuotasIMSS[[#This Row],[S.B.C./S.D.I.]]&lt;=SMGI,0,((TabCuotasIMSS[[#This Row],[SALARIO
DEL CICLO]]-(TabCuotasIMSS[[#This Row],[S.B.C./S.D.I.]]*TabCuotasIMSS[[#This Row],[INC]]))*PDO))</f>
        <v>0</v>
      </c>
      <c r="T73" s="55">
        <f>TabCuotasIMSS[[#This Row],[PATRON2]]+TabCuotasIMSS[[#This Row],[OBRERO]]</f>
        <v>65.492999999999995</v>
      </c>
      <c r="U73" s="55">
        <f>IF(TabCuotasIMSS[[#This Row],[S.B.C./S.D.I.]]&lt;=SMGI,((TabCuotasIMSS[[#This Row],[SALARIO
DEL CICLO]]-(TabCuotasIMSS[[#This Row],[S.B.C./S.D.I.]]*TabCuotasIMSS[[#This Row],[INC]])))*GMP,((TabCuotasIMSS[[#This Row],[SALARIO
DEL CICLO]]-(TabCuotasIMSS[[#This Row],[S.B.C./S.D.I.]]*TabCuotasIMSS[[#This Row],[INC]])))*GMPP)</f>
        <v>98.239500000000007</v>
      </c>
      <c r="V73" s="55">
        <f>IF(TabCuotasIMSS[[#This Row],[S.B.C./S.D.I.]]&lt;=SMGI,0,((TabCuotasIMSS[[#This Row],[SALARIO
DEL CICLO]]-(TabCuotasIMSS[[#This Row],[S.B.C./S.D.I.]]*TabCuotasIMSS[[#This Row],[INC]])))*GMPO)</f>
        <v>0</v>
      </c>
      <c r="W73" s="55">
        <f>TabCuotasIMSS[[#This Row],[PATRON3]]+TabCuotasIMSS[[#This Row],[OBRERO4]]</f>
        <v>98.239500000000007</v>
      </c>
      <c r="X73" s="141">
        <f>((TabCuotasIMSS[[#This Row],[SALARIO
DEL CICLO]]-(TabCuotasIMSS[[#This Row],[S.B.C./S.D.I.]]*(TabCuotasIMSS[[#This Row],[INC]]+TabCuotasIMSS[[#This Row],[AUS]]))))*PRTP</f>
        <v>3447</v>
      </c>
      <c r="Y73" s="55">
        <f>IF(TabCuotasIMSS[[#This Row],[S.B.C./S.D.I.]]&lt;=SMGI,((TabCuotasIMSS[[#This Row],[SALARIO
DEL CICLO]]-(TabCuotasIMSS[[#This Row],[S.B.C./S.D.I.]]*(TabCuotasIMSS[[#This Row],[INC]]+TabCuotasIMSS[[#This Row],[AUS]]))))*IV,((TabCuotasIMSS[[#This Row],[SALARIO
DEL CICLO]]-(TabCuotasIMSS[[#This Row],[S.B.C./S.D.I.]]*(TabCuotasIMSS[[#This Row],[INC]]+TabCuotasIMSS[[#This Row],[AUS]]))))*IVP)</f>
        <v>163.73250000000002</v>
      </c>
      <c r="Z73" s="55">
        <f>IF(TabCuotasIMSS[[#This Row],[S.B.C./S.D.I.]]&lt;=SMGI,0,((TabCuotasIMSS[[#This Row],[SALARIO
DEL CICLO]]-(TabCuotasIMSS[[#This Row],[S.B.C./S.D.I.]]*(TabCuotasIMSS[[#This Row],[INC]]+TabCuotasIMSS[[#This Row],[AUS]]))))*IVO)</f>
        <v>0</v>
      </c>
      <c r="AA73" s="55">
        <f>TabCuotasIMSS[[#This Row],[PATRON6]]+TabCuotasIMSS[[#This Row],[OBRERO7]]</f>
        <v>163.73250000000002</v>
      </c>
      <c r="AB73" s="141">
        <f>((TabCuotasIMSS[[#This Row],[SALARIO
DEL CICLO]]-(TabCuotasIMSS[[#This Row],[S.B.C./S.D.I.]]*(TabCuotasIMSS[[#This Row],[INC]]+TabCuotasIMSS[[#This Row],[AUS]]))))*GPS</f>
        <v>68.94</v>
      </c>
      <c r="AC73" s="141">
        <f>TabCuotasIMSS[[#This Row],[SALARIO
DEL CICLO]]*0</f>
        <v>0</v>
      </c>
      <c r="AD73" s="141">
        <f>TabCuotasIMSS[[#This Row],[PATRON9]]+TabCuotasIMSS[[#This Row],[OBRERO10]]</f>
        <v>68.94</v>
      </c>
      <c r="AE73" s="233">
        <f>TabCuotasIMSS[[#This Row],[PATRON]]+TabCuotasIMSS[[#This Row],[EXCED.
PATRON]]+TabCuotasIMSS[[#This Row],[PATRON2]]+TabCuotasIMSS[[#This Row],[PATRON3]]+TabCuotasIMSS[[#This Row],[PATRON
0.50%]]+TabCuotasIMSS[[#This Row],[PATRON6]]+TabCuotasIMSS[[#This Row],[PATRON9]]</f>
        <v>5276.3132399999995</v>
      </c>
      <c r="AF73" s="233">
        <f>TabCuotasIMSS[[#This Row],[EXCED.
OBRERO]]+TabCuotasIMSS[[#This Row],[OBRERO]]+TabCuotasIMSS[[#This Row],[OBRERO4]]+TabCuotasIMSS[[#This Row],[OBRERO7]]+TabCuotasIMSS[[#This Row],[OBRERO10]]</f>
        <v>0</v>
      </c>
      <c r="AG73" s="233">
        <f>TabCuotasIMSS[[#This Row],[TOTAL
PATRONAL]]+TabCuotasIMSS[[#This Row],[TOTAL
OBRERO]]</f>
        <v>5276.3132399999995</v>
      </c>
      <c r="AH73" s="141">
        <f>((TabCuotasIMSS[[#This Row],[SALARIO
DEL CICLO]]-(TabCuotasIMSS[[#This Row],[S.B.C./S.D.I.]]*TabCuotasIMSS[[#This Row],[AUS]]))*R_)</f>
        <v>137.88</v>
      </c>
      <c r="AI73">
        <f>IF(TabCuotasIMSS[[#This Row],[S.B.C./S.D.I.]]&lt;=SMGI,((TabCuotasIMSS[[#This Row],[SALARIO
DEL CICLO]]-(TabCuotasIMSS[[#This Row],[S.B.C./S.D.I.]]*(TabCuotasIMSS[[#This Row],[INC]]+TabCuotasIMSS[[#This Row],[AUS]]))))*CV,((TabCuotasIMSS[[#This Row],[SALARIO
DEL CICLO]]-(TabCuotasIMSS[[#This Row],[S.B.C./S.D.I.]]*(TabCuotasIMSS[[#This Row],[INC]]+TabCuotasIMSS[[#This Row],[AUS]]))))*CVP)</f>
        <v>294.71850000000001</v>
      </c>
      <c r="AJ73">
        <f>IF(TabCuotasIMSS[[#This Row],[S.B.C./S.D.I.]]&lt;=SMGI,0,((TabCuotasIMSS[[#This Row],[SALARIO
DEL CICLO]]-(TabCuotasIMSS[[#This Row],[S.B.C./S.D.I.]]*(TabCuotasIMSS[[#This Row],[INC]]+TabCuotasIMSS[[#This Row],[AUS]]))))*CVO)</f>
        <v>0</v>
      </c>
      <c r="AK73">
        <f>SUM(TabCuotasIMSS[[#This Row],[2%]]:TabCuotasIMSS[[#This Row],[OBRERO14]])</f>
        <v>432.5985</v>
      </c>
      <c r="AL73" s="141">
        <f>((TabCuotasIMSS[[#This Row],[SALARIO
DEL CICLO]]-(TabCuotasIMSS[[#This Row],[S.B.C./S.D.I.]]*(TabCuotasIMSS[[#This Row],[AUS]])))*I)</f>
        <v>344.70000000000005</v>
      </c>
      <c r="AM73" s="141">
        <f>TabCuotasIMSS[[#This Row],[TOTAL
O.P.11]]+TabCuotasIMSS[[#This Row],[2%]]+TabCuotasIMSS[[#This Row],[PATRON13]]+TabCuotasIMSS[[#This Row],[5%]]</f>
        <v>846.23850000000004</v>
      </c>
      <c r="AN73" s="141">
        <f>TabCuotasIMSS[[#This Row],[TOTAL
OBRERO]]+TabCuotasIMSS[[#This Row],[OBRERO14]]</f>
        <v>0</v>
      </c>
    </row>
    <row r="74" spans="1:40" x14ac:dyDescent="0.25">
      <c r="A74" s="2">
        <v>66</v>
      </c>
      <c r="B74" s="1" cm="1">
        <f t="array" ref="B74">VLOOKUP(TabCuotasIMSS[[#This Row],[ID]],TabEmpleados[],COLUMN(TabEmpleados[Fecha de alta NSS]),FALSE)</f>
        <v>44509</v>
      </c>
      <c r="C74" t="str" cm="1">
        <f t="array" ref="C74">VLOOKUP(TabCuotasIMSS[[#This Row],[ID]],TabEmpleados[],COLUMN(TabEmpleados[Nombre]),FALSE)</f>
        <v xml:space="preserve">SALINAS CORTES ANGEL GABRIEL </v>
      </c>
      <c r="D74" cm="1">
        <f t="array" ref="D74">IF(VLOOKUP(TabCuotasIMSS[[#This Row],[ID]],TabEmpleados[],COLUMN(TabEmpleados[Fecha de alta NSS]),FALSE)&lt;&gt;"",VLOOKUP(TabCuotasIMSS[[#This Row],[ID]],TabAsistencias[],COLUMN(TabAsistencias[''Total de dias laborados]),FALSE),0)</f>
        <v>73</v>
      </c>
      <c r="E74" cm="1">
        <f t="array" ref="E74">IF(VLOOKUP(TabCuotasIMSS[[#This Row],[ID]],TabEmpleados[],COLUMN(TabEmpleados[Fecha de alta NSS]),FALSE)&lt;&gt;"",IF(DATEDIF((VLOOKUP(TabCuotasIMSS[[#This Row],[ID]],TabEmpleados[],COLUMN(TabEmpleados[Fecha de alta NSS]),FALSE)),'Tablas de informacion'!N$8,"Y")=0,1,DATEDIF((VLOOKUP(TabCuotasIMSS[[#This Row],[ID]],TabEmpleados[],COLUMN(TabEmpleados[Fecha de alta NSS]),FALSE)),'Tablas de informacion'!N$8,"Y")),0)</f>
        <v>1</v>
      </c>
      <c r="F74" s="55" cm="1">
        <f t="array" ref="F74">VLOOKUP(TabCuotasIMSS[[#This Row],[ID]],TabEmpleados[],COLUMN(TabEmpleados[SD Fiscal]),FALSE)</f>
        <v>66</v>
      </c>
      <c r="G74" s="55" cm="1">
        <f t="array" ref="G74">IFERROR((VLOOKUP((VLOOKUP(TabCuotasIMSS[[#This Row],[ID]],TabEmpleados[],COLUMN(TabEmpleados[Puesto]),FALSE)),TabPuestos[],COLUMN(TabPuestos[N° ALIMENTOS]),FALSE))*TabCuotasIMSS[[#This Row],[Salario Diario]]*(VLOOKUP(TabCuotasIMSS[[#This Row],[Años]],TabFactorIntegracion[],COLUMN(TabFactorIntegracion[% por alimento]))),0)</f>
        <v>5.4977999999999998</v>
      </c>
      <c r="H74" s="55" cm="1">
        <f t="array" ref="H74">IFERROR((VLOOKUP((VLOOKUP(TabCuotasIMSS[[#This Row],[ID]],TabEmpleados[],COLUMN(TabEmpleados[Puesto]),FALSE)),TabPuestos[],COLUMN(TabPuestos[PRIMA DOMINICAL]),FALSE))*TabCuotasIMSS[[#This Row],[Salario Diario]]*(VLOOKUP(TabCuotasIMSS[[#This Row],[Años]],TabFactorIntegracion[],COLUMN(TabFactorIntegracion[PRIMA
DOMINICAL]))),0)</f>
        <v>1.1979452054794519</v>
      </c>
      <c r="I74" s="55" cm="1">
        <f t="array" ref="I74">IFERROR(TabCuotasIMSS[[#This Row],[Salario Diario]]*(VLOOKUP(TabCuotasIMSS[[#This Row],[Años]],TabFactorIntegracion[],COLUMN(TabFactorIntegracion[FACTOR DE
INTEGRACIÓN]))),0)</f>
        <v>3.2547945205479452</v>
      </c>
      <c r="J74" s="174">
        <f>IFERROR(TabCuotasIMSS[[#This Row],[Salario Diario]]+TabCuotasIMSS[[#This Row],[Alimentos]]+TabCuotasIMSS[[#This Row],[Prima Dominical]]+TabCuotasIMSS[[#This Row],[Factor de Integracion]],0)</f>
        <v>75.950539726027401</v>
      </c>
      <c r="K74" cm="1">
        <f t="array" ref="K74">VLOOKUP(TabCuotasIMSS[[#This Row],[ID]],TabAsistencias[],COLUMN(TabAsistencias[''I]),FALSE)+VLOOKUP(TabCuotasIMSS[[#This Row],[ID]],TabAsistencias[],COLUMN(TabAsistencias[''IG]),FALSE)</f>
        <v>0</v>
      </c>
      <c r="L74" cm="1">
        <f t="array" ref="L74">VLOOKUP(TabCuotasIMSS[[#This Row],[ID]],TabAsistencias[],COLUMN(TabAsistencias[''F]),FALSE)</f>
        <v>0</v>
      </c>
      <c r="M74" s="141">
        <f>TabCuotasIMSS[[#This Row],[S.B.C./S.D.I.]]*TabCuotasIMSS[[#This Row],[DÍAS
LAB.]]</f>
        <v>5544.3894</v>
      </c>
      <c r="N74" s="141">
        <f>(SMDF*CF*(TabCuotasIMSS[[#This Row],[DÍAS
LAB.]]-TabCuotasIMSS[[#This Row],[INC]]))</f>
        <v>1432.90824</v>
      </c>
      <c r="O74" s="55">
        <f>IF(TabCuotasIMSS[[#This Row],[S.B.C./S.D.I.]]&gt;SMDF3,((TabCuotasIMSS[[#This Row],[S.B.C./S.D.I.]]-SMDF3)*CFP*(TabCuotasIMSS[[#This Row],[DÍAS
LAB.]]-TabCuotasIMSS[[#This Row],[INC]])),0)</f>
        <v>0</v>
      </c>
      <c r="P74" s="55">
        <f>IF(TabCuotasIMSS[[#This Row],[S.B.C./S.D.I.]]&gt;SMDF3,((TabCuotasIMSS[[#This Row],[S.B.C./S.D.I.]]-SMDF3)*CFO*(TabCuotasIMSS[[#This Row],[DÍAS
LAB.]]-TabCuotasIMSS[[#This Row],[INC]])),0)</f>
        <v>0</v>
      </c>
      <c r="Q74" s="55">
        <f>TabCuotasIMSS[[#This Row],[EXCED.
PATRON]]+TabCuotasIMSS[[#This Row],[EXCED.
OBRERO]]</f>
        <v>0</v>
      </c>
      <c r="R74" s="55">
        <f>IF(TabCuotasIMSS[[#This Row],[S.B.C./S.D.I.]]&lt;=SMGI,((TabCuotasIMSS[[#This Row],[SALARIO
DEL CICLO]]-(TabCuotasIMSS[[#This Row],[S.B.C./S.D.I.]]*TabCuotasIMSS[[#This Row],[INC]])))*PD,((TabCuotasIMSS[[#This Row],[SALARIO
DEL CICLO]]-(TabCuotasIMSS[[#This Row],[S.B.C./S.D.I.]]*TabCuotasIMSS[[#This Row],[INC]]))*PDP))</f>
        <v>52.6716993</v>
      </c>
      <c r="S74" s="55">
        <f>IF(TabCuotasIMSS[[#This Row],[S.B.C./S.D.I.]]&lt;=SMGI,0,((TabCuotasIMSS[[#This Row],[SALARIO
DEL CICLO]]-(TabCuotasIMSS[[#This Row],[S.B.C./S.D.I.]]*TabCuotasIMSS[[#This Row],[INC]]))*PDO))</f>
        <v>0</v>
      </c>
      <c r="T74" s="55">
        <f>TabCuotasIMSS[[#This Row],[PATRON2]]+TabCuotasIMSS[[#This Row],[OBRERO]]</f>
        <v>52.6716993</v>
      </c>
      <c r="U74" s="55">
        <f>IF(TabCuotasIMSS[[#This Row],[S.B.C./S.D.I.]]&lt;=SMGI,((TabCuotasIMSS[[#This Row],[SALARIO
DEL CICLO]]-(TabCuotasIMSS[[#This Row],[S.B.C./S.D.I.]]*TabCuotasIMSS[[#This Row],[INC]])))*GMP,((TabCuotasIMSS[[#This Row],[SALARIO
DEL CICLO]]-(TabCuotasIMSS[[#This Row],[S.B.C./S.D.I.]]*TabCuotasIMSS[[#This Row],[INC]])))*GMPP)</f>
        <v>79.00754895</v>
      </c>
      <c r="V74" s="55">
        <f>IF(TabCuotasIMSS[[#This Row],[S.B.C./S.D.I.]]&lt;=SMGI,0,((TabCuotasIMSS[[#This Row],[SALARIO
DEL CICLO]]-(TabCuotasIMSS[[#This Row],[S.B.C./S.D.I.]]*TabCuotasIMSS[[#This Row],[INC]])))*GMPO)</f>
        <v>0</v>
      </c>
      <c r="W74" s="55">
        <f>TabCuotasIMSS[[#This Row],[PATRON3]]+TabCuotasIMSS[[#This Row],[OBRERO4]]</f>
        <v>79.00754895</v>
      </c>
      <c r="X74" s="141">
        <f>((TabCuotasIMSS[[#This Row],[SALARIO
DEL CICLO]]-(TabCuotasIMSS[[#This Row],[S.B.C./S.D.I.]]*(TabCuotasIMSS[[#This Row],[INC]]+TabCuotasIMSS[[#This Row],[AUS]]))))*PRTP</f>
        <v>2772.1947</v>
      </c>
      <c r="Y74" s="55">
        <f>IF(TabCuotasIMSS[[#This Row],[S.B.C./S.D.I.]]&lt;=SMGI,((TabCuotasIMSS[[#This Row],[SALARIO
DEL CICLO]]-(TabCuotasIMSS[[#This Row],[S.B.C./S.D.I.]]*(TabCuotasIMSS[[#This Row],[INC]]+TabCuotasIMSS[[#This Row],[AUS]]))))*IV,((TabCuotasIMSS[[#This Row],[SALARIO
DEL CICLO]]-(TabCuotasIMSS[[#This Row],[S.B.C./S.D.I.]]*(TabCuotasIMSS[[#This Row],[INC]]+TabCuotasIMSS[[#This Row],[AUS]]))))*IVP)</f>
        <v>131.67924825</v>
      </c>
      <c r="Z74" s="55">
        <f>IF(TabCuotasIMSS[[#This Row],[S.B.C./S.D.I.]]&lt;=SMGI,0,((TabCuotasIMSS[[#This Row],[SALARIO
DEL CICLO]]-(TabCuotasIMSS[[#This Row],[S.B.C./S.D.I.]]*(TabCuotasIMSS[[#This Row],[INC]]+TabCuotasIMSS[[#This Row],[AUS]]))))*IVO)</f>
        <v>0</v>
      </c>
      <c r="AA74" s="55">
        <f>TabCuotasIMSS[[#This Row],[PATRON6]]+TabCuotasIMSS[[#This Row],[OBRERO7]]</f>
        <v>131.67924825</v>
      </c>
      <c r="AB74" s="141">
        <f>((TabCuotasIMSS[[#This Row],[SALARIO
DEL CICLO]]-(TabCuotasIMSS[[#This Row],[S.B.C./S.D.I.]]*(TabCuotasIMSS[[#This Row],[INC]]+TabCuotasIMSS[[#This Row],[AUS]]))))*GPS</f>
        <v>55.443894</v>
      </c>
      <c r="AC74" s="141">
        <f>TabCuotasIMSS[[#This Row],[SALARIO
DEL CICLO]]*0</f>
        <v>0</v>
      </c>
      <c r="AD74" s="141">
        <f>TabCuotasIMSS[[#This Row],[PATRON9]]+TabCuotasIMSS[[#This Row],[OBRERO10]]</f>
        <v>55.443894</v>
      </c>
      <c r="AE74" s="233">
        <f>TabCuotasIMSS[[#This Row],[PATRON]]+TabCuotasIMSS[[#This Row],[EXCED.
PATRON]]+TabCuotasIMSS[[#This Row],[PATRON2]]+TabCuotasIMSS[[#This Row],[PATRON3]]+TabCuotasIMSS[[#This Row],[PATRON
0.50%]]+TabCuotasIMSS[[#This Row],[PATRON6]]+TabCuotasIMSS[[#This Row],[PATRON9]]</f>
        <v>4523.9053304999998</v>
      </c>
      <c r="AF74" s="233">
        <f>TabCuotasIMSS[[#This Row],[EXCED.
OBRERO]]+TabCuotasIMSS[[#This Row],[OBRERO]]+TabCuotasIMSS[[#This Row],[OBRERO4]]+TabCuotasIMSS[[#This Row],[OBRERO7]]+TabCuotasIMSS[[#This Row],[OBRERO10]]</f>
        <v>0</v>
      </c>
      <c r="AG74" s="233">
        <f>TabCuotasIMSS[[#This Row],[TOTAL
PATRONAL]]+TabCuotasIMSS[[#This Row],[TOTAL
OBRERO]]</f>
        <v>4523.9053304999998</v>
      </c>
      <c r="AH74" s="141">
        <f>((TabCuotasIMSS[[#This Row],[SALARIO
DEL CICLO]]-(TabCuotasIMSS[[#This Row],[S.B.C./S.D.I.]]*TabCuotasIMSS[[#This Row],[AUS]]))*R_)</f>
        <v>110.887788</v>
      </c>
      <c r="AI74">
        <f>IF(TabCuotasIMSS[[#This Row],[S.B.C./S.D.I.]]&lt;=SMGI,((TabCuotasIMSS[[#This Row],[SALARIO
DEL CICLO]]-(TabCuotasIMSS[[#This Row],[S.B.C./S.D.I.]]*(TabCuotasIMSS[[#This Row],[INC]]+TabCuotasIMSS[[#This Row],[AUS]]))))*CV,((TabCuotasIMSS[[#This Row],[SALARIO
DEL CICLO]]-(TabCuotasIMSS[[#This Row],[S.B.C./S.D.I.]]*(TabCuotasIMSS[[#This Row],[INC]]+TabCuotasIMSS[[#This Row],[AUS]]))))*CVP)</f>
        <v>237.02264685000003</v>
      </c>
      <c r="AJ74">
        <f>IF(TabCuotasIMSS[[#This Row],[S.B.C./S.D.I.]]&lt;=SMGI,0,((TabCuotasIMSS[[#This Row],[SALARIO
DEL CICLO]]-(TabCuotasIMSS[[#This Row],[S.B.C./S.D.I.]]*(TabCuotasIMSS[[#This Row],[INC]]+TabCuotasIMSS[[#This Row],[AUS]]))))*CVO)</f>
        <v>0</v>
      </c>
      <c r="AK74">
        <f>SUM(TabCuotasIMSS[[#This Row],[2%]]:TabCuotasIMSS[[#This Row],[OBRERO14]])</f>
        <v>347.91043485</v>
      </c>
      <c r="AL74" s="141">
        <f>((TabCuotasIMSS[[#This Row],[SALARIO
DEL CICLO]]-(TabCuotasIMSS[[#This Row],[S.B.C./S.D.I.]]*(TabCuotasIMSS[[#This Row],[AUS]])))*I)</f>
        <v>277.21947</v>
      </c>
      <c r="AM74" s="141">
        <f>TabCuotasIMSS[[#This Row],[TOTAL
O.P.11]]+TabCuotasIMSS[[#This Row],[2%]]+TabCuotasIMSS[[#This Row],[PATRON13]]+TabCuotasIMSS[[#This Row],[5%]]</f>
        <v>680.57379885</v>
      </c>
      <c r="AN74" s="141">
        <f>TabCuotasIMSS[[#This Row],[TOTAL
OBRERO]]+TabCuotasIMSS[[#This Row],[OBRERO14]]</f>
        <v>0</v>
      </c>
    </row>
    <row r="75" spans="1:40" x14ac:dyDescent="0.25">
      <c r="A75" s="2">
        <v>67</v>
      </c>
      <c r="B75" s="1" cm="1">
        <f t="array" ref="B75">VLOOKUP(TabCuotasIMSS[[#This Row],[ID]],TabEmpleados[],COLUMN(TabEmpleados[Fecha de alta NSS]),FALSE)</f>
        <v>44509</v>
      </c>
      <c r="C75" t="str" cm="1">
        <f t="array" ref="C75">VLOOKUP(TabCuotasIMSS[[#This Row],[ID]],TabEmpleados[],COLUMN(TabEmpleados[Nombre]),FALSE)</f>
        <v>MORALES JIMENEZ JOSE IGNACIO</v>
      </c>
      <c r="D75" cm="1">
        <f t="array" ref="D75">IF(VLOOKUP(TabCuotasIMSS[[#This Row],[ID]],TabEmpleados[],COLUMN(TabEmpleados[Fecha de alta NSS]),FALSE)&lt;&gt;"",VLOOKUP(TabCuotasIMSS[[#This Row],[ID]],TabAsistencias[],COLUMN(TabAsistencias[''Total de dias laborados]),FALSE),0)</f>
        <v>73</v>
      </c>
      <c r="E75" cm="1">
        <f t="array" ref="E75">IF(VLOOKUP(TabCuotasIMSS[[#This Row],[ID]],TabEmpleados[],COLUMN(TabEmpleados[Fecha de alta NSS]),FALSE)&lt;&gt;"",IF(DATEDIF((VLOOKUP(TabCuotasIMSS[[#This Row],[ID]],TabEmpleados[],COLUMN(TabEmpleados[Fecha de alta NSS]),FALSE)),'Tablas de informacion'!N$8,"Y")=0,1,DATEDIF((VLOOKUP(TabCuotasIMSS[[#This Row],[ID]],TabEmpleados[],COLUMN(TabEmpleados[Fecha de alta NSS]),FALSE)),'Tablas de informacion'!N$8,"Y")),0)</f>
        <v>1</v>
      </c>
      <c r="F75" s="55" cm="1">
        <f t="array" ref="F75">VLOOKUP(TabCuotasIMSS[[#This Row],[ID]],TabEmpleados[],COLUMN(TabEmpleados[SD Fiscal]),FALSE)</f>
        <v>60</v>
      </c>
      <c r="G75" s="55" cm="1">
        <f t="array" ref="G75">IFERROR((VLOOKUP((VLOOKUP(TabCuotasIMSS[[#This Row],[ID]],TabEmpleados[],COLUMN(TabEmpleados[Puesto]),FALSE)),TabPuestos[],COLUMN(TabPuestos[N° ALIMENTOS]),FALSE))*TabCuotasIMSS[[#This Row],[Salario Diario]]*(VLOOKUP(TabCuotasIMSS[[#This Row],[Años]],TabFactorIntegracion[],COLUMN(TabFactorIntegracion[% por alimento]))),0)</f>
        <v>4.9980000000000002</v>
      </c>
      <c r="H75" s="55" cm="1">
        <f t="array" ref="H75">IFERROR((VLOOKUP((VLOOKUP(TabCuotasIMSS[[#This Row],[ID]],TabEmpleados[],COLUMN(TabEmpleados[Puesto]),FALSE)),TabPuestos[],COLUMN(TabPuestos[PRIMA DOMINICAL]),FALSE))*TabCuotasIMSS[[#This Row],[Salario Diario]]*(VLOOKUP(TabCuotasIMSS[[#This Row],[Años]],TabFactorIntegracion[],COLUMN(TabFactorIntegracion[PRIMA
DOMINICAL]))),0)</f>
        <v>1.0890410958904109</v>
      </c>
      <c r="I75" s="55" cm="1">
        <f t="array" ref="I75">IFERROR(TabCuotasIMSS[[#This Row],[Salario Diario]]*(VLOOKUP(TabCuotasIMSS[[#This Row],[Años]],TabFactorIntegracion[],COLUMN(TabFactorIntegracion[FACTOR DE
INTEGRACIÓN]))),0)</f>
        <v>2.9589041095890409</v>
      </c>
      <c r="J75" s="174">
        <f>IFERROR(TabCuotasIMSS[[#This Row],[Salario Diario]]+TabCuotasIMSS[[#This Row],[Alimentos]]+TabCuotasIMSS[[#This Row],[Prima Dominical]]+TabCuotasIMSS[[#This Row],[Factor de Integracion]],0)</f>
        <v>69.045945205479455</v>
      </c>
      <c r="K75" cm="1">
        <f t="array" ref="K75">VLOOKUP(TabCuotasIMSS[[#This Row],[ID]],TabAsistencias[],COLUMN(TabAsistencias[''I]),FALSE)+VLOOKUP(TabCuotasIMSS[[#This Row],[ID]],TabAsistencias[],COLUMN(TabAsistencias[''IG]),FALSE)</f>
        <v>0</v>
      </c>
      <c r="L75" cm="1">
        <f t="array" ref="L75">VLOOKUP(TabCuotasIMSS[[#This Row],[ID]],TabAsistencias[],COLUMN(TabAsistencias[''F]),FALSE)</f>
        <v>0</v>
      </c>
      <c r="M75" s="141">
        <f>TabCuotasIMSS[[#This Row],[S.B.C./S.D.I.]]*TabCuotasIMSS[[#This Row],[DÍAS
LAB.]]</f>
        <v>5040.3540000000003</v>
      </c>
      <c r="N75" s="141">
        <f>(SMDF*CF*(TabCuotasIMSS[[#This Row],[DÍAS
LAB.]]-TabCuotasIMSS[[#This Row],[INC]]))</f>
        <v>1432.90824</v>
      </c>
      <c r="O75" s="55">
        <f>IF(TabCuotasIMSS[[#This Row],[S.B.C./S.D.I.]]&gt;SMDF3,((TabCuotasIMSS[[#This Row],[S.B.C./S.D.I.]]-SMDF3)*CFP*(TabCuotasIMSS[[#This Row],[DÍAS
LAB.]]-TabCuotasIMSS[[#This Row],[INC]])),0)</f>
        <v>0</v>
      </c>
      <c r="P75" s="55">
        <f>IF(TabCuotasIMSS[[#This Row],[S.B.C./S.D.I.]]&gt;SMDF3,((TabCuotasIMSS[[#This Row],[S.B.C./S.D.I.]]-SMDF3)*CFO*(TabCuotasIMSS[[#This Row],[DÍAS
LAB.]]-TabCuotasIMSS[[#This Row],[INC]])),0)</f>
        <v>0</v>
      </c>
      <c r="Q75" s="55">
        <f>TabCuotasIMSS[[#This Row],[EXCED.
PATRON]]+TabCuotasIMSS[[#This Row],[EXCED.
OBRERO]]</f>
        <v>0</v>
      </c>
      <c r="R75" s="55">
        <f>IF(TabCuotasIMSS[[#This Row],[S.B.C./S.D.I.]]&lt;=SMGI,((TabCuotasIMSS[[#This Row],[SALARIO
DEL CICLO]]-(TabCuotasIMSS[[#This Row],[S.B.C./S.D.I.]]*TabCuotasIMSS[[#This Row],[INC]])))*PD,((TabCuotasIMSS[[#This Row],[SALARIO
DEL CICLO]]-(TabCuotasIMSS[[#This Row],[S.B.C./S.D.I.]]*TabCuotasIMSS[[#This Row],[INC]]))*PDP))</f>
        <v>47.883363000000003</v>
      </c>
      <c r="S75" s="55">
        <f>IF(TabCuotasIMSS[[#This Row],[S.B.C./S.D.I.]]&lt;=SMGI,0,((TabCuotasIMSS[[#This Row],[SALARIO
DEL CICLO]]-(TabCuotasIMSS[[#This Row],[S.B.C./S.D.I.]]*TabCuotasIMSS[[#This Row],[INC]]))*PDO))</f>
        <v>0</v>
      </c>
      <c r="T75" s="55">
        <f>TabCuotasIMSS[[#This Row],[PATRON2]]+TabCuotasIMSS[[#This Row],[OBRERO]]</f>
        <v>47.883363000000003</v>
      </c>
      <c r="U75" s="55">
        <f>IF(TabCuotasIMSS[[#This Row],[S.B.C./S.D.I.]]&lt;=SMGI,((TabCuotasIMSS[[#This Row],[SALARIO
DEL CICLO]]-(TabCuotasIMSS[[#This Row],[S.B.C./S.D.I.]]*TabCuotasIMSS[[#This Row],[INC]])))*GMP,((TabCuotasIMSS[[#This Row],[SALARIO
DEL CICLO]]-(TabCuotasIMSS[[#This Row],[S.B.C./S.D.I.]]*TabCuotasIMSS[[#This Row],[INC]])))*GMPP)</f>
        <v>71.825044500000004</v>
      </c>
      <c r="V75" s="55">
        <f>IF(TabCuotasIMSS[[#This Row],[S.B.C./S.D.I.]]&lt;=SMGI,0,((TabCuotasIMSS[[#This Row],[SALARIO
DEL CICLO]]-(TabCuotasIMSS[[#This Row],[S.B.C./S.D.I.]]*TabCuotasIMSS[[#This Row],[INC]])))*GMPO)</f>
        <v>0</v>
      </c>
      <c r="W75" s="55">
        <f>TabCuotasIMSS[[#This Row],[PATRON3]]+TabCuotasIMSS[[#This Row],[OBRERO4]]</f>
        <v>71.825044500000004</v>
      </c>
      <c r="X75" s="141">
        <f>((TabCuotasIMSS[[#This Row],[SALARIO
DEL CICLO]]-(TabCuotasIMSS[[#This Row],[S.B.C./S.D.I.]]*(TabCuotasIMSS[[#This Row],[INC]]+TabCuotasIMSS[[#This Row],[AUS]]))))*PRTP</f>
        <v>2520.1770000000001</v>
      </c>
      <c r="Y75" s="55">
        <f>IF(TabCuotasIMSS[[#This Row],[S.B.C./S.D.I.]]&lt;=SMGI,((TabCuotasIMSS[[#This Row],[SALARIO
DEL CICLO]]-(TabCuotasIMSS[[#This Row],[S.B.C./S.D.I.]]*(TabCuotasIMSS[[#This Row],[INC]]+TabCuotasIMSS[[#This Row],[AUS]]))))*IV,((TabCuotasIMSS[[#This Row],[SALARIO
DEL CICLO]]-(TabCuotasIMSS[[#This Row],[S.B.C./S.D.I.]]*(TabCuotasIMSS[[#This Row],[INC]]+TabCuotasIMSS[[#This Row],[AUS]]))))*IVP)</f>
        <v>119.70840750000001</v>
      </c>
      <c r="Z75" s="55">
        <f>IF(TabCuotasIMSS[[#This Row],[S.B.C./S.D.I.]]&lt;=SMGI,0,((TabCuotasIMSS[[#This Row],[SALARIO
DEL CICLO]]-(TabCuotasIMSS[[#This Row],[S.B.C./S.D.I.]]*(TabCuotasIMSS[[#This Row],[INC]]+TabCuotasIMSS[[#This Row],[AUS]]))))*IVO)</f>
        <v>0</v>
      </c>
      <c r="AA75" s="55">
        <f>TabCuotasIMSS[[#This Row],[PATRON6]]+TabCuotasIMSS[[#This Row],[OBRERO7]]</f>
        <v>119.70840750000001</v>
      </c>
      <c r="AB75" s="141">
        <f>((TabCuotasIMSS[[#This Row],[SALARIO
DEL CICLO]]-(TabCuotasIMSS[[#This Row],[S.B.C./S.D.I.]]*(TabCuotasIMSS[[#This Row],[INC]]+TabCuotasIMSS[[#This Row],[AUS]]))))*GPS</f>
        <v>50.403540000000007</v>
      </c>
      <c r="AC75" s="141">
        <f>TabCuotasIMSS[[#This Row],[SALARIO
DEL CICLO]]*0</f>
        <v>0</v>
      </c>
      <c r="AD75" s="141">
        <f>TabCuotasIMSS[[#This Row],[PATRON9]]+TabCuotasIMSS[[#This Row],[OBRERO10]]</f>
        <v>50.403540000000007</v>
      </c>
      <c r="AE75" s="233">
        <f>TabCuotasIMSS[[#This Row],[PATRON]]+TabCuotasIMSS[[#This Row],[EXCED.
PATRON]]+TabCuotasIMSS[[#This Row],[PATRON2]]+TabCuotasIMSS[[#This Row],[PATRON3]]+TabCuotasIMSS[[#This Row],[PATRON
0.50%]]+TabCuotasIMSS[[#This Row],[PATRON6]]+TabCuotasIMSS[[#This Row],[PATRON9]]</f>
        <v>4242.9055950000002</v>
      </c>
      <c r="AF75" s="233">
        <f>TabCuotasIMSS[[#This Row],[EXCED.
OBRERO]]+TabCuotasIMSS[[#This Row],[OBRERO]]+TabCuotasIMSS[[#This Row],[OBRERO4]]+TabCuotasIMSS[[#This Row],[OBRERO7]]+TabCuotasIMSS[[#This Row],[OBRERO10]]</f>
        <v>0</v>
      </c>
      <c r="AG75" s="233">
        <f>TabCuotasIMSS[[#This Row],[TOTAL
PATRONAL]]+TabCuotasIMSS[[#This Row],[TOTAL
OBRERO]]</f>
        <v>4242.9055950000002</v>
      </c>
      <c r="AH75" s="141">
        <f>((TabCuotasIMSS[[#This Row],[SALARIO
DEL CICLO]]-(TabCuotasIMSS[[#This Row],[S.B.C./S.D.I.]]*TabCuotasIMSS[[#This Row],[AUS]]))*R_)</f>
        <v>100.80708000000001</v>
      </c>
      <c r="AI75">
        <f>IF(TabCuotasIMSS[[#This Row],[S.B.C./S.D.I.]]&lt;=SMGI,((TabCuotasIMSS[[#This Row],[SALARIO
DEL CICLO]]-(TabCuotasIMSS[[#This Row],[S.B.C./S.D.I.]]*(TabCuotasIMSS[[#This Row],[INC]]+TabCuotasIMSS[[#This Row],[AUS]]))))*CV,((TabCuotasIMSS[[#This Row],[SALARIO
DEL CICLO]]-(TabCuotasIMSS[[#This Row],[S.B.C./S.D.I.]]*(TabCuotasIMSS[[#This Row],[INC]]+TabCuotasIMSS[[#This Row],[AUS]]))))*CVP)</f>
        <v>215.47513350000003</v>
      </c>
      <c r="AJ75">
        <f>IF(TabCuotasIMSS[[#This Row],[S.B.C./S.D.I.]]&lt;=SMGI,0,((TabCuotasIMSS[[#This Row],[SALARIO
DEL CICLO]]-(TabCuotasIMSS[[#This Row],[S.B.C./S.D.I.]]*(TabCuotasIMSS[[#This Row],[INC]]+TabCuotasIMSS[[#This Row],[AUS]]))))*CVO)</f>
        <v>0</v>
      </c>
      <c r="AK75">
        <f>SUM(TabCuotasIMSS[[#This Row],[2%]]:TabCuotasIMSS[[#This Row],[OBRERO14]])</f>
        <v>316.28221350000001</v>
      </c>
      <c r="AL75" s="141">
        <f>((TabCuotasIMSS[[#This Row],[SALARIO
DEL CICLO]]-(TabCuotasIMSS[[#This Row],[S.B.C./S.D.I.]]*(TabCuotasIMSS[[#This Row],[AUS]])))*I)</f>
        <v>252.01770000000002</v>
      </c>
      <c r="AM75" s="141">
        <f>TabCuotasIMSS[[#This Row],[TOTAL
O.P.11]]+TabCuotasIMSS[[#This Row],[2%]]+TabCuotasIMSS[[#This Row],[PATRON13]]+TabCuotasIMSS[[#This Row],[5%]]</f>
        <v>618.70345350000002</v>
      </c>
      <c r="AN75" s="141">
        <f>TabCuotasIMSS[[#This Row],[TOTAL
OBRERO]]+TabCuotasIMSS[[#This Row],[OBRERO14]]</f>
        <v>0</v>
      </c>
    </row>
    <row r="76" spans="1:40" x14ac:dyDescent="0.25">
      <c r="A76" s="2">
        <v>68</v>
      </c>
      <c r="B76" s="1" cm="1">
        <f t="array" ref="B76">VLOOKUP(TabCuotasIMSS[[#This Row],[ID]],TabEmpleados[],COLUMN(TabEmpleados[Fecha de alta NSS]),FALSE)</f>
        <v>44509</v>
      </c>
      <c r="C76" t="str" cm="1">
        <f t="array" ref="C76">VLOOKUP(TabCuotasIMSS[[#This Row],[ID]],TabEmpleados[],COLUMN(TabEmpleados[Nombre]),FALSE)</f>
        <v>LOPEZ VALENCIA ZOSIMO</v>
      </c>
      <c r="D76" cm="1">
        <f t="array" ref="D76">IF(VLOOKUP(TabCuotasIMSS[[#This Row],[ID]],TabEmpleados[],COLUMN(TabEmpleados[Fecha de alta NSS]),FALSE)&lt;&gt;"",VLOOKUP(TabCuotasIMSS[[#This Row],[ID]],TabAsistencias[],COLUMN(TabAsistencias[''Total de dias laborados]),FALSE),0)</f>
        <v>73</v>
      </c>
      <c r="E76" cm="1">
        <f t="array" ref="E76">IF(VLOOKUP(TabCuotasIMSS[[#This Row],[ID]],TabEmpleados[],COLUMN(TabEmpleados[Fecha de alta NSS]),FALSE)&lt;&gt;"",IF(DATEDIF((VLOOKUP(TabCuotasIMSS[[#This Row],[ID]],TabEmpleados[],COLUMN(TabEmpleados[Fecha de alta NSS]),FALSE)),'Tablas de informacion'!N$8,"Y")=0,1,DATEDIF((VLOOKUP(TabCuotasIMSS[[#This Row],[ID]],TabEmpleados[],COLUMN(TabEmpleados[Fecha de alta NSS]),FALSE)),'Tablas de informacion'!N$8,"Y")),0)</f>
        <v>1</v>
      </c>
      <c r="F76" s="55" cm="1">
        <f t="array" ref="F76">VLOOKUP(TabCuotasIMSS[[#This Row],[ID]],TabEmpleados[],COLUMN(TabEmpleados[SD Fiscal]),FALSE)</f>
        <v>66</v>
      </c>
      <c r="G76" s="55" cm="1">
        <f t="array" ref="G76">IFERROR((VLOOKUP((VLOOKUP(TabCuotasIMSS[[#This Row],[ID]],TabEmpleados[],COLUMN(TabEmpleados[Puesto]),FALSE)),TabPuestos[],COLUMN(TabPuestos[N° ALIMENTOS]),FALSE))*TabCuotasIMSS[[#This Row],[Salario Diario]]*(VLOOKUP(TabCuotasIMSS[[#This Row],[Años]],TabFactorIntegracion[],COLUMN(TabFactorIntegracion[% por alimento]))),0)</f>
        <v>5.4977999999999998</v>
      </c>
      <c r="H76" s="55" cm="1">
        <f t="array" ref="H76">IFERROR((VLOOKUP((VLOOKUP(TabCuotasIMSS[[#This Row],[ID]],TabEmpleados[],COLUMN(TabEmpleados[Puesto]),FALSE)),TabPuestos[],COLUMN(TabPuestos[PRIMA DOMINICAL]),FALSE))*TabCuotasIMSS[[#This Row],[Salario Diario]]*(VLOOKUP(TabCuotasIMSS[[#This Row],[Años]],TabFactorIntegracion[],COLUMN(TabFactorIntegracion[PRIMA
DOMINICAL]))),0)</f>
        <v>1.1979452054794519</v>
      </c>
      <c r="I76" s="55" cm="1">
        <f t="array" ref="I76">IFERROR(TabCuotasIMSS[[#This Row],[Salario Diario]]*(VLOOKUP(TabCuotasIMSS[[#This Row],[Años]],TabFactorIntegracion[],COLUMN(TabFactorIntegracion[FACTOR DE
INTEGRACIÓN]))),0)</f>
        <v>3.2547945205479452</v>
      </c>
      <c r="J76" s="174">
        <f>IFERROR(TabCuotasIMSS[[#This Row],[Salario Diario]]+TabCuotasIMSS[[#This Row],[Alimentos]]+TabCuotasIMSS[[#This Row],[Prima Dominical]]+TabCuotasIMSS[[#This Row],[Factor de Integracion]],0)</f>
        <v>75.950539726027401</v>
      </c>
      <c r="K76" cm="1">
        <f t="array" ref="K76">VLOOKUP(TabCuotasIMSS[[#This Row],[ID]],TabAsistencias[],COLUMN(TabAsistencias[''I]),FALSE)+VLOOKUP(TabCuotasIMSS[[#This Row],[ID]],TabAsistencias[],COLUMN(TabAsistencias[''IG]),FALSE)</f>
        <v>0</v>
      </c>
      <c r="L76" cm="1">
        <f t="array" ref="L76">VLOOKUP(TabCuotasIMSS[[#This Row],[ID]],TabAsistencias[],COLUMN(TabAsistencias[''F]),FALSE)</f>
        <v>0</v>
      </c>
      <c r="M76" s="141">
        <f>TabCuotasIMSS[[#This Row],[S.B.C./S.D.I.]]*TabCuotasIMSS[[#This Row],[DÍAS
LAB.]]</f>
        <v>5544.3894</v>
      </c>
      <c r="N76" s="141">
        <f>(SMDF*CF*(TabCuotasIMSS[[#This Row],[DÍAS
LAB.]]-TabCuotasIMSS[[#This Row],[INC]]))</f>
        <v>1432.90824</v>
      </c>
      <c r="O76" s="55">
        <f>IF(TabCuotasIMSS[[#This Row],[S.B.C./S.D.I.]]&gt;SMDF3,((TabCuotasIMSS[[#This Row],[S.B.C./S.D.I.]]-SMDF3)*CFP*(TabCuotasIMSS[[#This Row],[DÍAS
LAB.]]-TabCuotasIMSS[[#This Row],[INC]])),0)</f>
        <v>0</v>
      </c>
      <c r="P76" s="55">
        <f>IF(TabCuotasIMSS[[#This Row],[S.B.C./S.D.I.]]&gt;SMDF3,((TabCuotasIMSS[[#This Row],[S.B.C./S.D.I.]]-SMDF3)*CFO*(TabCuotasIMSS[[#This Row],[DÍAS
LAB.]]-TabCuotasIMSS[[#This Row],[INC]])),0)</f>
        <v>0</v>
      </c>
      <c r="Q76" s="55">
        <f>TabCuotasIMSS[[#This Row],[EXCED.
PATRON]]+TabCuotasIMSS[[#This Row],[EXCED.
OBRERO]]</f>
        <v>0</v>
      </c>
      <c r="R76" s="55">
        <f>IF(TabCuotasIMSS[[#This Row],[S.B.C./S.D.I.]]&lt;=SMGI,((TabCuotasIMSS[[#This Row],[SALARIO
DEL CICLO]]-(TabCuotasIMSS[[#This Row],[S.B.C./S.D.I.]]*TabCuotasIMSS[[#This Row],[INC]])))*PD,((TabCuotasIMSS[[#This Row],[SALARIO
DEL CICLO]]-(TabCuotasIMSS[[#This Row],[S.B.C./S.D.I.]]*TabCuotasIMSS[[#This Row],[INC]]))*PDP))</f>
        <v>52.6716993</v>
      </c>
      <c r="S76" s="55">
        <f>IF(TabCuotasIMSS[[#This Row],[S.B.C./S.D.I.]]&lt;=SMGI,0,((TabCuotasIMSS[[#This Row],[SALARIO
DEL CICLO]]-(TabCuotasIMSS[[#This Row],[S.B.C./S.D.I.]]*TabCuotasIMSS[[#This Row],[INC]]))*PDO))</f>
        <v>0</v>
      </c>
      <c r="T76" s="55">
        <f>TabCuotasIMSS[[#This Row],[PATRON2]]+TabCuotasIMSS[[#This Row],[OBRERO]]</f>
        <v>52.6716993</v>
      </c>
      <c r="U76" s="55">
        <f>IF(TabCuotasIMSS[[#This Row],[S.B.C./S.D.I.]]&lt;=SMGI,((TabCuotasIMSS[[#This Row],[SALARIO
DEL CICLO]]-(TabCuotasIMSS[[#This Row],[S.B.C./S.D.I.]]*TabCuotasIMSS[[#This Row],[INC]])))*GMP,((TabCuotasIMSS[[#This Row],[SALARIO
DEL CICLO]]-(TabCuotasIMSS[[#This Row],[S.B.C./S.D.I.]]*TabCuotasIMSS[[#This Row],[INC]])))*GMPP)</f>
        <v>79.00754895</v>
      </c>
      <c r="V76" s="55">
        <f>IF(TabCuotasIMSS[[#This Row],[S.B.C./S.D.I.]]&lt;=SMGI,0,((TabCuotasIMSS[[#This Row],[SALARIO
DEL CICLO]]-(TabCuotasIMSS[[#This Row],[S.B.C./S.D.I.]]*TabCuotasIMSS[[#This Row],[INC]])))*GMPO)</f>
        <v>0</v>
      </c>
      <c r="W76" s="55">
        <f>TabCuotasIMSS[[#This Row],[PATRON3]]+TabCuotasIMSS[[#This Row],[OBRERO4]]</f>
        <v>79.00754895</v>
      </c>
      <c r="X76" s="141">
        <f>((TabCuotasIMSS[[#This Row],[SALARIO
DEL CICLO]]-(TabCuotasIMSS[[#This Row],[S.B.C./S.D.I.]]*(TabCuotasIMSS[[#This Row],[INC]]+TabCuotasIMSS[[#This Row],[AUS]]))))*PRTP</f>
        <v>2772.1947</v>
      </c>
      <c r="Y76" s="55">
        <f>IF(TabCuotasIMSS[[#This Row],[S.B.C./S.D.I.]]&lt;=SMGI,((TabCuotasIMSS[[#This Row],[SALARIO
DEL CICLO]]-(TabCuotasIMSS[[#This Row],[S.B.C./S.D.I.]]*(TabCuotasIMSS[[#This Row],[INC]]+TabCuotasIMSS[[#This Row],[AUS]]))))*IV,((TabCuotasIMSS[[#This Row],[SALARIO
DEL CICLO]]-(TabCuotasIMSS[[#This Row],[S.B.C./S.D.I.]]*(TabCuotasIMSS[[#This Row],[INC]]+TabCuotasIMSS[[#This Row],[AUS]]))))*IVP)</f>
        <v>131.67924825</v>
      </c>
      <c r="Z76" s="55">
        <f>IF(TabCuotasIMSS[[#This Row],[S.B.C./S.D.I.]]&lt;=SMGI,0,((TabCuotasIMSS[[#This Row],[SALARIO
DEL CICLO]]-(TabCuotasIMSS[[#This Row],[S.B.C./S.D.I.]]*(TabCuotasIMSS[[#This Row],[INC]]+TabCuotasIMSS[[#This Row],[AUS]]))))*IVO)</f>
        <v>0</v>
      </c>
      <c r="AA76" s="55">
        <f>TabCuotasIMSS[[#This Row],[PATRON6]]+TabCuotasIMSS[[#This Row],[OBRERO7]]</f>
        <v>131.67924825</v>
      </c>
      <c r="AB76" s="141">
        <f>((TabCuotasIMSS[[#This Row],[SALARIO
DEL CICLO]]-(TabCuotasIMSS[[#This Row],[S.B.C./S.D.I.]]*(TabCuotasIMSS[[#This Row],[INC]]+TabCuotasIMSS[[#This Row],[AUS]]))))*GPS</f>
        <v>55.443894</v>
      </c>
      <c r="AC76" s="141">
        <f>TabCuotasIMSS[[#This Row],[SALARIO
DEL CICLO]]*0</f>
        <v>0</v>
      </c>
      <c r="AD76" s="141">
        <f>TabCuotasIMSS[[#This Row],[PATRON9]]+TabCuotasIMSS[[#This Row],[OBRERO10]]</f>
        <v>55.443894</v>
      </c>
      <c r="AE76" s="233">
        <f>TabCuotasIMSS[[#This Row],[PATRON]]+TabCuotasIMSS[[#This Row],[EXCED.
PATRON]]+TabCuotasIMSS[[#This Row],[PATRON2]]+TabCuotasIMSS[[#This Row],[PATRON3]]+TabCuotasIMSS[[#This Row],[PATRON
0.50%]]+TabCuotasIMSS[[#This Row],[PATRON6]]+TabCuotasIMSS[[#This Row],[PATRON9]]</f>
        <v>4523.9053304999998</v>
      </c>
      <c r="AF76" s="233">
        <f>TabCuotasIMSS[[#This Row],[EXCED.
OBRERO]]+TabCuotasIMSS[[#This Row],[OBRERO]]+TabCuotasIMSS[[#This Row],[OBRERO4]]+TabCuotasIMSS[[#This Row],[OBRERO7]]+TabCuotasIMSS[[#This Row],[OBRERO10]]</f>
        <v>0</v>
      </c>
      <c r="AG76" s="233">
        <f>TabCuotasIMSS[[#This Row],[TOTAL
PATRONAL]]+TabCuotasIMSS[[#This Row],[TOTAL
OBRERO]]</f>
        <v>4523.9053304999998</v>
      </c>
      <c r="AH76" s="141">
        <f>((TabCuotasIMSS[[#This Row],[SALARIO
DEL CICLO]]-(TabCuotasIMSS[[#This Row],[S.B.C./S.D.I.]]*TabCuotasIMSS[[#This Row],[AUS]]))*R_)</f>
        <v>110.887788</v>
      </c>
      <c r="AI76">
        <f>IF(TabCuotasIMSS[[#This Row],[S.B.C./S.D.I.]]&lt;=SMGI,((TabCuotasIMSS[[#This Row],[SALARIO
DEL CICLO]]-(TabCuotasIMSS[[#This Row],[S.B.C./S.D.I.]]*(TabCuotasIMSS[[#This Row],[INC]]+TabCuotasIMSS[[#This Row],[AUS]]))))*CV,((TabCuotasIMSS[[#This Row],[SALARIO
DEL CICLO]]-(TabCuotasIMSS[[#This Row],[S.B.C./S.D.I.]]*(TabCuotasIMSS[[#This Row],[INC]]+TabCuotasIMSS[[#This Row],[AUS]]))))*CVP)</f>
        <v>237.02264685000003</v>
      </c>
      <c r="AJ76">
        <f>IF(TabCuotasIMSS[[#This Row],[S.B.C./S.D.I.]]&lt;=SMGI,0,((TabCuotasIMSS[[#This Row],[SALARIO
DEL CICLO]]-(TabCuotasIMSS[[#This Row],[S.B.C./S.D.I.]]*(TabCuotasIMSS[[#This Row],[INC]]+TabCuotasIMSS[[#This Row],[AUS]]))))*CVO)</f>
        <v>0</v>
      </c>
      <c r="AK76">
        <f>SUM(TabCuotasIMSS[[#This Row],[2%]]:TabCuotasIMSS[[#This Row],[OBRERO14]])</f>
        <v>347.91043485</v>
      </c>
      <c r="AL76" s="141">
        <f>((TabCuotasIMSS[[#This Row],[SALARIO
DEL CICLO]]-(TabCuotasIMSS[[#This Row],[S.B.C./S.D.I.]]*(TabCuotasIMSS[[#This Row],[AUS]])))*I)</f>
        <v>277.21947</v>
      </c>
      <c r="AM76" s="141">
        <f>TabCuotasIMSS[[#This Row],[TOTAL
O.P.11]]+TabCuotasIMSS[[#This Row],[2%]]+TabCuotasIMSS[[#This Row],[PATRON13]]+TabCuotasIMSS[[#This Row],[5%]]</f>
        <v>680.57379885</v>
      </c>
      <c r="AN76" s="141">
        <f>TabCuotasIMSS[[#This Row],[TOTAL
OBRERO]]+TabCuotasIMSS[[#This Row],[OBRERO14]]</f>
        <v>0</v>
      </c>
    </row>
    <row r="77" spans="1:40" x14ac:dyDescent="0.25">
      <c r="A77" s="2">
        <v>69</v>
      </c>
      <c r="B77" s="1" cm="1">
        <f t="array" ref="B77">VLOOKUP(TabCuotasIMSS[[#This Row],[ID]],TabEmpleados[],COLUMN(TabEmpleados[Fecha de alta NSS]),FALSE)</f>
        <v>44509</v>
      </c>
      <c r="C77" t="str" cm="1">
        <f t="array" ref="C77">VLOOKUP(TabCuotasIMSS[[#This Row],[ID]],TabEmpleados[],COLUMN(TabEmpleados[Nombre]),FALSE)</f>
        <v xml:space="preserve">RUIZ CRUZ CESAR DANIEL </v>
      </c>
      <c r="D77" cm="1">
        <f t="array" ref="D77">IF(VLOOKUP(TabCuotasIMSS[[#This Row],[ID]],TabEmpleados[],COLUMN(TabEmpleados[Fecha de alta NSS]),FALSE)&lt;&gt;"",VLOOKUP(TabCuotasIMSS[[#This Row],[ID]],TabAsistencias[],COLUMN(TabAsistencias[''Total de dias laborados]),FALSE),0)</f>
        <v>73</v>
      </c>
      <c r="E77" cm="1">
        <f t="array" ref="E77">IF(VLOOKUP(TabCuotasIMSS[[#This Row],[ID]],TabEmpleados[],COLUMN(TabEmpleados[Fecha de alta NSS]),FALSE)&lt;&gt;"",IF(DATEDIF((VLOOKUP(TabCuotasIMSS[[#This Row],[ID]],TabEmpleados[],COLUMN(TabEmpleados[Fecha de alta NSS]),FALSE)),'Tablas de informacion'!N$8,"Y")=0,1,DATEDIF((VLOOKUP(TabCuotasIMSS[[#This Row],[ID]],TabEmpleados[],COLUMN(TabEmpleados[Fecha de alta NSS]),FALSE)),'Tablas de informacion'!N$8,"Y")),0)</f>
        <v>1</v>
      </c>
      <c r="F77" s="55" cm="1">
        <f t="array" ref="F77">VLOOKUP(TabCuotasIMSS[[#This Row],[ID]],TabEmpleados[],COLUMN(TabEmpleados[SD Fiscal]),FALSE)</f>
        <v>60</v>
      </c>
      <c r="G77" s="55" cm="1">
        <f t="array" ref="G77">IFERROR((VLOOKUP((VLOOKUP(TabCuotasIMSS[[#This Row],[ID]],TabEmpleados[],COLUMN(TabEmpleados[Puesto]),FALSE)),TabPuestos[],COLUMN(TabPuestos[N° ALIMENTOS]),FALSE))*TabCuotasIMSS[[#This Row],[Salario Diario]]*(VLOOKUP(TabCuotasIMSS[[#This Row],[Años]],TabFactorIntegracion[],COLUMN(TabFactorIntegracion[% por alimento]))),0)</f>
        <v>4.9980000000000002</v>
      </c>
      <c r="H77" s="55" cm="1">
        <f t="array" ref="H77">IFERROR((VLOOKUP((VLOOKUP(TabCuotasIMSS[[#This Row],[ID]],TabEmpleados[],COLUMN(TabEmpleados[Puesto]),FALSE)),TabPuestos[],COLUMN(TabPuestos[PRIMA DOMINICAL]),FALSE))*TabCuotasIMSS[[#This Row],[Salario Diario]]*(VLOOKUP(TabCuotasIMSS[[#This Row],[Años]],TabFactorIntegracion[],COLUMN(TabFactorIntegracion[PRIMA
DOMINICAL]))),0)</f>
        <v>0</v>
      </c>
      <c r="I77" s="55" cm="1">
        <f t="array" ref="I77">IFERROR(TabCuotasIMSS[[#This Row],[Salario Diario]]*(VLOOKUP(TabCuotasIMSS[[#This Row],[Años]],TabFactorIntegracion[],COLUMN(TabFactorIntegracion[FACTOR DE
INTEGRACIÓN]))),0)</f>
        <v>2.9589041095890409</v>
      </c>
      <c r="J77" s="174">
        <f>IFERROR(TabCuotasIMSS[[#This Row],[Salario Diario]]+TabCuotasIMSS[[#This Row],[Alimentos]]+TabCuotasIMSS[[#This Row],[Prima Dominical]]+TabCuotasIMSS[[#This Row],[Factor de Integracion]],0)</f>
        <v>67.956904109589047</v>
      </c>
      <c r="K77" cm="1">
        <f t="array" ref="K77">VLOOKUP(TabCuotasIMSS[[#This Row],[ID]],TabAsistencias[],COLUMN(TabAsistencias[''I]),FALSE)+VLOOKUP(TabCuotasIMSS[[#This Row],[ID]],TabAsistencias[],COLUMN(TabAsistencias[''IG]),FALSE)</f>
        <v>0</v>
      </c>
      <c r="L77" cm="1">
        <f t="array" ref="L77">VLOOKUP(TabCuotasIMSS[[#This Row],[ID]],TabAsistencias[],COLUMN(TabAsistencias[''F]),FALSE)</f>
        <v>0</v>
      </c>
      <c r="M77" s="141">
        <f>TabCuotasIMSS[[#This Row],[S.B.C./S.D.I.]]*TabCuotasIMSS[[#This Row],[DÍAS
LAB.]]</f>
        <v>4960.8540000000003</v>
      </c>
      <c r="N77" s="141">
        <f>(SMDF*CF*(TabCuotasIMSS[[#This Row],[DÍAS
LAB.]]-TabCuotasIMSS[[#This Row],[INC]]))</f>
        <v>1432.90824</v>
      </c>
      <c r="O77" s="55">
        <f>IF(TabCuotasIMSS[[#This Row],[S.B.C./S.D.I.]]&gt;SMDF3,((TabCuotasIMSS[[#This Row],[S.B.C./S.D.I.]]-SMDF3)*CFP*(TabCuotasIMSS[[#This Row],[DÍAS
LAB.]]-TabCuotasIMSS[[#This Row],[INC]])),0)</f>
        <v>0</v>
      </c>
      <c r="P77" s="55">
        <f>IF(TabCuotasIMSS[[#This Row],[S.B.C./S.D.I.]]&gt;SMDF3,((TabCuotasIMSS[[#This Row],[S.B.C./S.D.I.]]-SMDF3)*CFO*(TabCuotasIMSS[[#This Row],[DÍAS
LAB.]]-TabCuotasIMSS[[#This Row],[INC]])),0)</f>
        <v>0</v>
      </c>
      <c r="Q77" s="55">
        <f>TabCuotasIMSS[[#This Row],[EXCED.
PATRON]]+TabCuotasIMSS[[#This Row],[EXCED.
OBRERO]]</f>
        <v>0</v>
      </c>
      <c r="R77" s="55">
        <f>IF(TabCuotasIMSS[[#This Row],[S.B.C./S.D.I.]]&lt;=SMGI,((TabCuotasIMSS[[#This Row],[SALARIO
DEL CICLO]]-(TabCuotasIMSS[[#This Row],[S.B.C./S.D.I.]]*TabCuotasIMSS[[#This Row],[INC]])))*PD,((TabCuotasIMSS[[#This Row],[SALARIO
DEL CICLO]]-(TabCuotasIMSS[[#This Row],[S.B.C./S.D.I.]]*TabCuotasIMSS[[#This Row],[INC]]))*PDP))</f>
        <v>47.128112999999999</v>
      </c>
      <c r="S77" s="55">
        <f>IF(TabCuotasIMSS[[#This Row],[S.B.C./S.D.I.]]&lt;=SMGI,0,((TabCuotasIMSS[[#This Row],[SALARIO
DEL CICLO]]-(TabCuotasIMSS[[#This Row],[S.B.C./S.D.I.]]*TabCuotasIMSS[[#This Row],[INC]]))*PDO))</f>
        <v>0</v>
      </c>
      <c r="T77" s="55">
        <f>TabCuotasIMSS[[#This Row],[PATRON2]]+TabCuotasIMSS[[#This Row],[OBRERO]]</f>
        <v>47.128112999999999</v>
      </c>
      <c r="U77" s="55">
        <f>IF(TabCuotasIMSS[[#This Row],[S.B.C./S.D.I.]]&lt;=SMGI,((TabCuotasIMSS[[#This Row],[SALARIO
DEL CICLO]]-(TabCuotasIMSS[[#This Row],[S.B.C./S.D.I.]]*TabCuotasIMSS[[#This Row],[INC]])))*GMP,((TabCuotasIMSS[[#This Row],[SALARIO
DEL CICLO]]-(TabCuotasIMSS[[#This Row],[S.B.C./S.D.I.]]*TabCuotasIMSS[[#This Row],[INC]])))*GMPP)</f>
        <v>70.692169500000006</v>
      </c>
      <c r="V77" s="55">
        <f>IF(TabCuotasIMSS[[#This Row],[S.B.C./S.D.I.]]&lt;=SMGI,0,((TabCuotasIMSS[[#This Row],[SALARIO
DEL CICLO]]-(TabCuotasIMSS[[#This Row],[S.B.C./S.D.I.]]*TabCuotasIMSS[[#This Row],[INC]])))*GMPO)</f>
        <v>0</v>
      </c>
      <c r="W77" s="55">
        <f>TabCuotasIMSS[[#This Row],[PATRON3]]+TabCuotasIMSS[[#This Row],[OBRERO4]]</f>
        <v>70.692169500000006</v>
      </c>
      <c r="X77" s="141">
        <f>((TabCuotasIMSS[[#This Row],[SALARIO
DEL CICLO]]-(TabCuotasIMSS[[#This Row],[S.B.C./S.D.I.]]*(TabCuotasIMSS[[#This Row],[INC]]+TabCuotasIMSS[[#This Row],[AUS]]))))*PRTP</f>
        <v>2480.4270000000001</v>
      </c>
      <c r="Y77" s="55">
        <f>IF(TabCuotasIMSS[[#This Row],[S.B.C./S.D.I.]]&lt;=SMGI,((TabCuotasIMSS[[#This Row],[SALARIO
DEL CICLO]]-(TabCuotasIMSS[[#This Row],[S.B.C./S.D.I.]]*(TabCuotasIMSS[[#This Row],[INC]]+TabCuotasIMSS[[#This Row],[AUS]]))))*IV,((TabCuotasIMSS[[#This Row],[SALARIO
DEL CICLO]]-(TabCuotasIMSS[[#This Row],[S.B.C./S.D.I.]]*(TabCuotasIMSS[[#This Row],[INC]]+TabCuotasIMSS[[#This Row],[AUS]]))))*IVP)</f>
        <v>117.8202825</v>
      </c>
      <c r="Z77" s="55">
        <f>IF(TabCuotasIMSS[[#This Row],[S.B.C./S.D.I.]]&lt;=SMGI,0,((TabCuotasIMSS[[#This Row],[SALARIO
DEL CICLO]]-(TabCuotasIMSS[[#This Row],[S.B.C./S.D.I.]]*(TabCuotasIMSS[[#This Row],[INC]]+TabCuotasIMSS[[#This Row],[AUS]]))))*IVO)</f>
        <v>0</v>
      </c>
      <c r="AA77" s="55">
        <f>TabCuotasIMSS[[#This Row],[PATRON6]]+TabCuotasIMSS[[#This Row],[OBRERO7]]</f>
        <v>117.8202825</v>
      </c>
      <c r="AB77" s="141">
        <f>((TabCuotasIMSS[[#This Row],[SALARIO
DEL CICLO]]-(TabCuotasIMSS[[#This Row],[S.B.C./S.D.I.]]*(TabCuotasIMSS[[#This Row],[INC]]+TabCuotasIMSS[[#This Row],[AUS]]))))*GPS</f>
        <v>49.608540000000005</v>
      </c>
      <c r="AC77" s="141">
        <f>TabCuotasIMSS[[#This Row],[SALARIO
DEL CICLO]]*0</f>
        <v>0</v>
      </c>
      <c r="AD77" s="141">
        <f>TabCuotasIMSS[[#This Row],[PATRON9]]+TabCuotasIMSS[[#This Row],[OBRERO10]]</f>
        <v>49.608540000000005</v>
      </c>
      <c r="AE77" s="233">
        <f>TabCuotasIMSS[[#This Row],[PATRON]]+TabCuotasIMSS[[#This Row],[EXCED.
PATRON]]+TabCuotasIMSS[[#This Row],[PATRON2]]+TabCuotasIMSS[[#This Row],[PATRON3]]+TabCuotasIMSS[[#This Row],[PATRON
0.50%]]+TabCuotasIMSS[[#This Row],[PATRON6]]+TabCuotasIMSS[[#This Row],[PATRON9]]</f>
        <v>4198.5843450000002</v>
      </c>
      <c r="AF77" s="233">
        <f>TabCuotasIMSS[[#This Row],[EXCED.
OBRERO]]+TabCuotasIMSS[[#This Row],[OBRERO]]+TabCuotasIMSS[[#This Row],[OBRERO4]]+TabCuotasIMSS[[#This Row],[OBRERO7]]+TabCuotasIMSS[[#This Row],[OBRERO10]]</f>
        <v>0</v>
      </c>
      <c r="AG77" s="233">
        <f>TabCuotasIMSS[[#This Row],[TOTAL
PATRONAL]]+TabCuotasIMSS[[#This Row],[TOTAL
OBRERO]]</f>
        <v>4198.5843450000002</v>
      </c>
      <c r="AH77" s="141">
        <f>((TabCuotasIMSS[[#This Row],[SALARIO
DEL CICLO]]-(TabCuotasIMSS[[#This Row],[S.B.C./S.D.I.]]*TabCuotasIMSS[[#This Row],[AUS]]))*R_)</f>
        <v>99.21708000000001</v>
      </c>
      <c r="AI77">
        <f>IF(TabCuotasIMSS[[#This Row],[S.B.C./S.D.I.]]&lt;=SMGI,((TabCuotasIMSS[[#This Row],[SALARIO
DEL CICLO]]-(TabCuotasIMSS[[#This Row],[S.B.C./S.D.I.]]*(TabCuotasIMSS[[#This Row],[INC]]+TabCuotasIMSS[[#This Row],[AUS]]))))*CV,((TabCuotasIMSS[[#This Row],[SALARIO
DEL CICLO]]-(TabCuotasIMSS[[#This Row],[S.B.C./S.D.I.]]*(TabCuotasIMSS[[#This Row],[INC]]+TabCuotasIMSS[[#This Row],[AUS]]))))*CVP)</f>
        <v>212.07650850000002</v>
      </c>
      <c r="AJ77">
        <f>IF(TabCuotasIMSS[[#This Row],[S.B.C./S.D.I.]]&lt;=SMGI,0,((TabCuotasIMSS[[#This Row],[SALARIO
DEL CICLO]]-(TabCuotasIMSS[[#This Row],[S.B.C./S.D.I.]]*(TabCuotasIMSS[[#This Row],[INC]]+TabCuotasIMSS[[#This Row],[AUS]]))))*CVO)</f>
        <v>0</v>
      </c>
      <c r="AK77">
        <f>SUM(TabCuotasIMSS[[#This Row],[2%]]:TabCuotasIMSS[[#This Row],[OBRERO14]])</f>
        <v>311.29358850000006</v>
      </c>
      <c r="AL77" s="141">
        <f>((TabCuotasIMSS[[#This Row],[SALARIO
DEL CICLO]]-(TabCuotasIMSS[[#This Row],[S.B.C./S.D.I.]]*(TabCuotasIMSS[[#This Row],[AUS]])))*I)</f>
        <v>248.04270000000002</v>
      </c>
      <c r="AM77" s="141">
        <f>TabCuotasIMSS[[#This Row],[TOTAL
O.P.11]]+TabCuotasIMSS[[#This Row],[2%]]+TabCuotasIMSS[[#This Row],[PATRON13]]+TabCuotasIMSS[[#This Row],[5%]]</f>
        <v>608.94482850000009</v>
      </c>
      <c r="AN77" s="141">
        <f>TabCuotasIMSS[[#This Row],[TOTAL
OBRERO]]+TabCuotasIMSS[[#This Row],[OBRERO14]]</f>
        <v>0</v>
      </c>
    </row>
    <row r="78" spans="1:40" x14ac:dyDescent="0.25">
      <c r="A78" s="2">
        <v>70</v>
      </c>
      <c r="B78" s="1" cm="1">
        <f t="array" ref="B78">VLOOKUP(TabCuotasIMSS[[#This Row],[ID]],TabEmpleados[],COLUMN(TabEmpleados[Fecha de alta NSS]),FALSE)</f>
        <v>44509</v>
      </c>
      <c r="C78" t="str" cm="1">
        <f t="array" ref="C78">VLOOKUP(TabCuotasIMSS[[#This Row],[ID]],TabEmpleados[],COLUMN(TabEmpleados[Nombre]),FALSE)</f>
        <v>GONZALEZ LEYVA ADRIAN EDUARDO</v>
      </c>
      <c r="D78" cm="1">
        <f t="array" ref="D78">IF(VLOOKUP(TabCuotasIMSS[[#This Row],[ID]],TabEmpleados[],COLUMN(TabEmpleados[Fecha de alta NSS]),FALSE)&lt;&gt;"",VLOOKUP(TabCuotasIMSS[[#This Row],[ID]],TabAsistencias[],COLUMN(TabAsistencias[''Total de dias laborados]),FALSE),0)</f>
        <v>73</v>
      </c>
      <c r="E78" cm="1">
        <f t="array" ref="E78">IF(VLOOKUP(TabCuotasIMSS[[#This Row],[ID]],TabEmpleados[],COLUMN(TabEmpleados[Fecha de alta NSS]),FALSE)&lt;&gt;"",IF(DATEDIF((VLOOKUP(TabCuotasIMSS[[#This Row],[ID]],TabEmpleados[],COLUMN(TabEmpleados[Fecha de alta NSS]),FALSE)),'Tablas de informacion'!N$8,"Y")=0,1,DATEDIF((VLOOKUP(TabCuotasIMSS[[#This Row],[ID]],TabEmpleados[],COLUMN(TabEmpleados[Fecha de alta NSS]),FALSE)),'Tablas de informacion'!N$8,"Y")),0)</f>
        <v>1</v>
      </c>
      <c r="F78" s="55" cm="1">
        <f t="array" ref="F78">VLOOKUP(TabCuotasIMSS[[#This Row],[ID]],TabEmpleados[],COLUMN(TabEmpleados[SD Fiscal]),FALSE)</f>
        <v>60</v>
      </c>
      <c r="G78" s="55" cm="1">
        <f t="array" ref="G78">IFERROR((VLOOKUP((VLOOKUP(TabCuotasIMSS[[#This Row],[ID]],TabEmpleados[],COLUMN(TabEmpleados[Puesto]),FALSE)),TabPuestos[],COLUMN(TabPuestos[N° ALIMENTOS]),FALSE))*TabCuotasIMSS[[#This Row],[Salario Diario]]*(VLOOKUP(TabCuotasIMSS[[#This Row],[Años]],TabFactorIntegracion[],COLUMN(TabFactorIntegracion[% por alimento]))),0)</f>
        <v>4.9980000000000002</v>
      </c>
      <c r="H78" s="55" cm="1">
        <f t="array" ref="H78">IFERROR((VLOOKUP((VLOOKUP(TabCuotasIMSS[[#This Row],[ID]],TabEmpleados[],COLUMN(TabEmpleados[Puesto]),FALSE)),TabPuestos[],COLUMN(TabPuestos[PRIMA DOMINICAL]),FALSE))*TabCuotasIMSS[[#This Row],[Salario Diario]]*(VLOOKUP(TabCuotasIMSS[[#This Row],[Años]],TabFactorIntegracion[],COLUMN(TabFactorIntegracion[PRIMA
DOMINICAL]))),0)</f>
        <v>1.0890410958904109</v>
      </c>
      <c r="I78" s="55" cm="1">
        <f t="array" ref="I78">IFERROR(TabCuotasIMSS[[#This Row],[Salario Diario]]*(VLOOKUP(TabCuotasIMSS[[#This Row],[Años]],TabFactorIntegracion[],COLUMN(TabFactorIntegracion[FACTOR DE
INTEGRACIÓN]))),0)</f>
        <v>2.9589041095890409</v>
      </c>
      <c r="J78" s="174">
        <f>IFERROR(TabCuotasIMSS[[#This Row],[Salario Diario]]+TabCuotasIMSS[[#This Row],[Alimentos]]+TabCuotasIMSS[[#This Row],[Prima Dominical]]+TabCuotasIMSS[[#This Row],[Factor de Integracion]],0)</f>
        <v>69.045945205479455</v>
      </c>
      <c r="K78" cm="1">
        <f t="array" ref="K78">VLOOKUP(TabCuotasIMSS[[#This Row],[ID]],TabAsistencias[],COLUMN(TabAsistencias[''I]),FALSE)+VLOOKUP(TabCuotasIMSS[[#This Row],[ID]],TabAsistencias[],COLUMN(TabAsistencias[''IG]),FALSE)</f>
        <v>0</v>
      </c>
      <c r="L78" cm="1">
        <f t="array" ref="L78">VLOOKUP(TabCuotasIMSS[[#This Row],[ID]],TabAsistencias[],COLUMN(TabAsistencias[''F]),FALSE)</f>
        <v>0</v>
      </c>
      <c r="M78" s="141">
        <f>TabCuotasIMSS[[#This Row],[S.B.C./S.D.I.]]*TabCuotasIMSS[[#This Row],[DÍAS
LAB.]]</f>
        <v>5040.3540000000003</v>
      </c>
      <c r="N78" s="141">
        <f>(SMDF*CF*(TabCuotasIMSS[[#This Row],[DÍAS
LAB.]]-TabCuotasIMSS[[#This Row],[INC]]))</f>
        <v>1432.90824</v>
      </c>
      <c r="O78" s="55">
        <f>IF(TabCuotasIMSS[[#This Row],[S.B.C./S.D.I.]]&gt;SMDF3,((TabCuotasIMSS[[#This Row],[S.B.C./S.D.I.]]-SMDF3)*CFP*(TabCuotasIMSS[[#This Row],[DÍAS
LAB.]]-TabCuotasIMSS[[#This Row],[INC]])),0)</f>
        <v>0</v>
      </c>
      <c r="P78" s="55">
        <f>IF(TabCuotasIMSS[[#This Row],[S.B.C./S.D.I.]]&gt;SMDF3,((TabCuotasIMSS[[#This Row],[S.B.C./S.D.I.]]-SMDF3)*CFO*(TabCuotasIMSS[[#This Row],[DÍAS
LAB.]]-TabCuotasIMSS[[#This Row],[INC]])),0)</f>
        <v>0</v>
      </c>
      <c r="Q78" s="55">
        <f>TabCuotasIMSS[[#This Row],[EXCED.
PATRON]]+TabCuotasIMSS[[#This Row],[EXCED.
OBRERO]]</f>
        <v>0</v>
      </c>
      <c r="R78" s="55">
        <f>IF(TabCuotasIMSS[[#This Row],[S.B.C./S.D.I.]]&lt;=SMGI,((TabCuotasIMSS[[#This Row],[SALARIO
DEL CICLO]]-(TabCuotasIMSS[[#This Row],[S.B.C./S.D.I.]]*TabCuotasIMSS[[#This Row],[INC]])))*PD,((TabCuotasIMSS[[#This Row],[SALARIO
DEL CICLO]]-(TabCuotasIMSS[[#This Row],[S.B.C./S.D.I.]]*TabCuotasIMSS[[#This Row],[INC]]))*PDP))</f>
        <v>47.883363000000003</v>
      </c>
      <c r="S78" s="55">
        <f>IF(TabCuotasIMSS[[#This Row],[S.B.C./S.D.I.]]&lt;=SMGI,0,((TabCuotasIMSS[[#This Row],[SALARIO
DEL CICLO]]-(TabCuotasIMSS[[#This Row],[S.B.C./S.D.I.]]*TabCuotasIMSS[[#This Row],[INC]]))*PDO))</f>
        <v>0</v>
      </c>
      <c r="T78" s="55">
        <f>TabCuotasIMSS[[#This Row],[PATRON2]]+TabCuotasIMSS[[#This Row],[OBRERO]]</f>
        <v>47.883363000000003</v>
      </c>
      <c r="U78" s="55">
        <f>IF(TabCuotasIMSS[[#This Row],[S.B.C./S.D.I.]]&lt;=SMGI,((TabCuotasIMSS[[#This Row],[SALARIO
DEL CICLO]]-(TabCuotasIMSS[[#This Row],[S.B.C./S.D.I.]]*TabCuotasIMSS[[#This Row],[INC]])))*GMP,((TabCuotasIMSS[[#This Row],[SALARIO
DEL CICLO]]-(TabCuotasIMSS[[#This Row],[S.B.C./S.D.I.]]*TabCuotasIMSS[[#This Row],[INC]])))*GMPP)</f>
        <v>71.825044500000004</v>
      </c>
      <c r="V78" s="55">
        <f>IF(TabCuotasIMSS[[#This Row],[S.B.C./S.D.I.]]&lt;=SMGI,0,((TabCuotasIMSS[[#This Row],[SALARIO
DEL CICLO]]-(TabCuotasIMSS[[#This Row],[S.B.C./S.D.I.]]*TabCuotasIMSS[[#This Row],[INC]])))*GMPO)</f>
        <v>0</v>
      </c>
      <c r="W78" s="55">
        <f>TabCuotasIMSS[[#This Row],[PATRON3]]+TabCuotasIMSS[[#This Row],[OBRERO4]]</f>
        <v>71.825044500000004</v>
      </c>
      <c r="X78" s="141">
        <f>((TabCuotasIMSS[[#This Row],[SALARIO
DEL CICLO]]-(TabCuotasIMSS[[#This Row],[S.B.C./S.D.I.]]*(TabCuotasIMSS[[#This Row],[INC]]+TabCuotasIMSS[[#This Row],[AUS]]))))*PRTP</f>
        <v>2520.1770000000001</v>
      </c>
      <c r="Y78" s="55">
        <f>IF(TabCuotasIMSS[[#This Row],[S.B.C./S.D.I.]]&lt;=SMGI,((TabCuotasIMSS[[#This Row],[SALARIO
DEL CICLO]]-(TabCuotasIMSS[[#This Row],[S.B.C./S.D.I.]]*(TabCuotasIMSS[[#This Row],[INC]]+TabCuotasIMSS[[#This Row],[AUS]]))))*IV,((TabCuotasIMSS[[#This Row],[SALARIO
DEL CICLO]]-(TabCuotasIMSS[[#This Row],[S.B.C./S.D.I.]]*(TabCuotasIMSS[[#This Row],[INC]]+TabCuotasIMSS[[#This Row],[AUS]]))))*IVP)</f>
        <v>119.70840750000001</v>
      </c>
      <c r="Z78" s="55">
        <f>IF(TabCuotasIMSS[[#This Row],[S.B.C./S.D.I.]]&lt;=SMGI,0,((TabCuotasIMSS[[#This Row],[SALARIO
DEL CICLO]]-(TabCuotasIMSS[[#This Row],[S.B.C./S.D.I.]]*(TabCuotasIMSS[[#This Row],[INC]]+TabCuotasIMSS[[#This Row],[AUS]]))))*IVO)</f>
        <v>0</v>
      </c>
      <c r="AA78" s="55">
        <f>TabCuotasIMSS[[#This Row],[PATRON6]]+TabCuotasIMSS[[#This Row],[OBRERO7]]</f>
        <v>119.70840750000001</v>
      </c>
      <c r="AB78" s="141">
        <f>((TabCuotasIMSS[[#This Row],[SALARIO
DEL CICLO]]-(TabCuotasIMSS[[#This Row],[S.B.C./S.D.I.]]*(TabCuotasIMSS[[#This Row],[INC]]+TabCuotasIMSS[[#This Row],[AUS]]))))*GPS</f>
        <v>50.403540000000007</v>
      </c>
      <c r="AC78" s="141">
        <f>TabCuotasIMSS[[#This Row],[SALARIO
DEL CICLO]]*0</f>
        <v>0</v>
      </c>
      <c r="AD78" s="141">
        <f>TabCuotasIMSS[[#This Row],[PATRON9]]+TabCuotasIMSS[[#This Row],[OBRERO10]]</f>
        <v>50.403540000000007</v>
      </c>
      <c r="AE78" s="233">
        <f>TabCuotasIMSS[[#This Row],[PATRON]]+TabCuotasIMSS[[#This Row],[EXCED.
PATRON]]+TabCuotasIMSS[[#This Row],[PATRON2]]+TabCuotasIMSS[[#This Row],[PATRON3]]+TabCuotasIMSS[[#This Row],[PATRON
0.50%]]+TabCuotasIMSS[[#This Row],[PATRON6]]+TabCuotasIMSS[[#This Row],[PATRON9]]</f>
        <v>4242.9055950000002</v>
      </c>
      <c r="AF78" s="233">
        <f>TabCuotasIMSS[[#This Row],[EXCED.
OBRERO]]+TabCuotasIMSS[[#This Row],[OBRERO]]+TabCuotasIMSS[[#This Row],[OBRERO4]]+TabCuotasIMSS[[#This Row],[OBRERO7]]+TabCuotasIMSS[[#This Row],[OBRERO10]]</f>
        <v>0</v>
      </c>
      <c r="AG78" s="233">
        <f>TabCuotasIMSS[[#This Row],[TOTAL
PATRONAL]]+TabCuotasIMSS[[#This Row],[TOTAL
OBRERO]]</f>
        <v>4242.9055950000002</v>
      </c>
      <c r="AH78" s="141">
        <f>((TabCuotasIMSS[[#This Row],[SALARIO
DEL CICLO]]-(TabCuotasIMSS[[#This Row],[S.B.C./S.D.I.]]*TabCuotasIMSS[[#This Row],[AUS]]))*R_)</f>
        <v>100.80708000000001</v>
      </c>
      <c r="AI78">
        <f>IF(TabCuotasIMSS[[#This Row],[S.B.C./S.D.I.]]&lt;=SMGI,((TabCuotasIMSS[[#This Row],[SALARIO
DEL CICLO]]-(TabCuotasIMSS[[#This Row],[S.B.C./S.D.I.]]*(TabCuotasIMSS[[#This Row],[INC]]+TabCuotasIMSS[[#This Row],[AUS]]))))*CV,((TabCuotasIMSS[[#This Row],[SALARIO
DEL CICLO]]-(TabCuotasIMSS[[#This Row],[S.B.C./S.D.I.]]*(TabCuotasIMSS[[#This Row],[INC]]+TabCuotasIMSS[[#This Row],[AUS]]))))*CVP)</f>
        <v>215.47513350000003</v>
      </c>
      <c r="AJ78">
        <f>IF(TabCuotasIMSS[[#This Row],[S.B.C./S.D.I.]]&lt;=SMGI,0,((TabCuotasIMSS[[#This Row],[SALARIO
DEL CICLO]]-(TabCuotasIMSS[[#This Row],[S.B.C./S.D.I.]]*(TabCuotasIMSS[[#This Row],[INC]]+TabCuotasIMSS[[#This Row],[AUS]]))))*CVO)</f>
        <v>0</v>
      </c>
      <c r="AK78">
        <f>SUM(TabCuotasIMSS[[#This Row],[2%]]:TabCuotasIMSS[[#This Row],[OBRERO14]])</f>
        <v>316.28221350000001</v>
      </c>
      <c r="AL78" s="141">
        <f>((TabCuotasIMSS[[#This Row],[SALARIO
DEL CICLO]]-(TabCuotasIMSS[[#This Row],[S.B.C./S.D.I.]]*(TabCuotasIMSS[[#This Row],[AUS]])))*I)</f>
        <v>252.01770000000002</v>
      </c>
      <c r="AM78" s="141">
        <f>TabCuotasIMSS[[#This Row],[TOTAL
O.P.11]]+TabCuotasIMSS[[#This Row],[2%]]+TabCuotasIMSS[[#This Row],[PATRON13]]+TabCuotasIMSS[[#This Row],[5%]]</f>
        <v>618.70345350000002</v>
      </c>
      <c r="AN78" s="141">
        <f>TabCuotasIMSS[[#This Row],[TOTAL
OBRERO]]+TabCuotasIMSS[[#This Row],[OBRERO14]]</f>
        <v>0</v>
      </c>
    </row>
    <row r="79" spans="1:40" x14ac:dyDescent="0.25">
      <c r="A79" s="2">
        <v>71</v>
      </c>
      <c r="B79" s="1" cm="1">
        <f t="array" ref="B79">VLOOKUP(TabCuotasIMSS[[#This Row],[ID]],TabEmpleados[],COLUMN(TabEmpleados[Fecha de alta NSS]),FALSE)</f>
        <v>44509</v>
      </c>
      <c r="C79" t="str" cm="1">
        <f t="array" ref="C79">VLOOKUP(TabCuotasIMSS[[#This Row],[ID]],TabEmpleados[],COLUMN(TabEmpleados[Nombre]),FALSE)</f>
        <v>GARCIA ALONZO ANGEL MARTIN</v>
      </c>
      <c r="D79" cm="1">
        <f t="array" ref="D79">IF(VLOOKUP(TabCuotasIMSS[[#This Row],[ID]],TabEmpleados[],COLUMN(TabEmpleados[Fecha de alta NSS]),FALSE)&lt;&gt;"",VLOOKUP(TabCuotasIMSS[[#This Row],[ID]],TabAsistencias[],COLUMN(TabAsistencias[''Total de dias laborados]),FALSE),0)</f>
        <v>73</v>
      </c>
      <c r="E79" cm="1">
        <f t="array" ref="E79">IF(VLOOKUP(TabCuotasIMSS[[#This Row],[ID]],TabEmpleados[],COLUMN(TabEmpleados[Fecha de alta NSS]),FALSE)&lt;&gt;"",IF(DATEDIF((VLOOKUP(TabCuotasIMSS[[#This Row],[ID]],TabEmpleados[],COLUMN(TabEmpleados[Fecha de alta NSS]),FALSE)),'Tablas de informacion'!N$8,"Y")=0,1,DATEDIF((VLOOKUP(TabCuotasIMSS[[#This Row],[ID]],TabEmpleados[],COLUMN(TabEmpleados[Fecha de alta NSS]),FALSE)),'Tablas de informacion'!N$8,"Y")),0)</f>
        <v>1</v>
      </c>
      <c r="F79" s="55" cm="1">
        <f t="array" ref="F79">VLOOKUP(TabCuotasIMSS[[#This Row],[ID]],TabEmpleados[],COLUMN(TabEmpleados[SD Fiscal]),FALSE)</f>
        <v>60</v>
      </c>
      <c r="G79" s="55" cm="1">
        <f t="array" ref="G79">IFERROR((VLOOKUP((VLOOKUP(TabCuotasIMSS[[#This Row],[ID]],TabEmpleados[],COLUMN(TabEmpleados[Puesto]),FALSE)),TabPuestos[],COLUMN(TabPuestos[N° ALIMENTOS]),FALSE))*TabCuotasIMSS[[#This Row],[Salario Diario]]*(VLOOKUP(TabCuotasIMSS[[#This Row],[Años]],TabFactorIntegracion[],COLUMN(TabFactorIntegracion[% por alimento]))),0)</f>
        <v>4.9980000000000002</v>
      </c>
      <c r="H79" s="55" cm="1">
        <f t="array" ref="H79">IFERROR((VLOOKUP((VLOOKUP(TabCuotasIMSS[[#This Row],[ID]],TabEmpleados[],COLUMN(TabEmpleados[Puesto]),FALSE)),TabPuestos[],COLUMN(TabPuestos[PRIMA DOMINICAL]),FALSE))*TabCuotasIMSS[[#This Row],[Salario Diario]]*(VLOOKUP(TabCuotasIMSS[[#This Row],[Años]],TabFactorIntegracion[],COLUMN(TabFactorIntegracion[PRIMA
DOMINICAL]))),0)</f>
        <v>1.0890410958904109</v>
      </c>
      <c r="I79" s="55" cm="1">
        <f t="array" ref="I79">IFERROR(TabCuotasIMSS[[#This Row],[Salario Diario]]*(VLOOKUP(TabCuotasIMSS[[#This Row],[Años]],TabFactorIntegracion[],COLUMN(TabFactorIntegracion[FACTOR DE
INTEGRACIÓN]))),0)</f>
        <v>2.9589041095890409</v>
      </c>
      <c r="J79" s="174">
        <f>IFERROR(TabCuotasIMSS[[#This Row],[Salario Diario]]+TabCuotasIMSS[[#This Row],[Alimentos]]+TabCuotasIMSS[[#This Row],[Prima Dominical]]+TabCuotasIMSS[[#This Row],[Factor de Integracion]],0)</f>
        <v>69.045945205479455</v>
      </c>
      <c r="K79" cm="1">
        <f t="array" ref="K79">VLOOKUP(TabCuotasIMSS[[#This Row],[ID]],TabAsistencias[],COLUMN(TabAsistencias[''I]),FALSE)+VLOOKUP(TabCuotasIMSS[[#This Row],[ID]],TabAsistencias[],COLUMN(TabAsistencias[''IG]),FALSE)</f>
        <v>0</v>
      </c>
      <c r="L79" cm="1">
        <f t="array" ref="L79">VLOOKUP(TabCuotasIMSS[[#This Row],[ID]],TabAsistencias[],COLUMN(TabAsistencias[''F]),FALSE)</f>
        <v>0</v>
      </c>
      <c r="M79" s="141">
        <f>TabCuotasIMSS[[#This Row],[S.B.C./S.D.I.]]*TabCuotasIMSS[[#This Row],[DÍAS
LAB.]]</f>
        <v>5040.3540000000003</v>
      </c>
      <c r="N79" s="141">
        <f>(SMDF*CF*(TabCuotasIMSS[[#This Row],[DÍAS
LAB.]]-TabCuotasIMSS[[#This Row],[INC]]))</f>
        <v>1432.90824</v>
      </c>
      <c r="O79" s="55">
        <f>IF(TabCuotasIMSS[[#This Row],[S.B.C./S.D.I.]]&gt;SMDF3,((TabCuotasIMSS[[#This Row],[S.B.C./S.D.I.]]-SMDF3)*CFP*(TabCuotasIMSS[[#This Row],[DÍAS
LAB.]]-TabCuotasIMSS[[#This Row],[INC]])),0)</f>
        <v>0</v>
      </c>
      <c r="P79" s="55">
        <f>IF(TabCuotasIMSS[[#This Row],[S.B.C./S.D.I.]]&gt;SMDF3,((TabCuotasIMSS[[#This Row],[S.B.C./S.D.I.]]-SMDF3)*CFO*(TabCuotasIMSS[[#This Row],[DÍAS
LAB.]]-TabCuotasIMSS[[#This Row],[INC]])),0)</f>
        <v>0</v>
      </c>
      <c r="Q79" s="55">
        <f>TabCuotasIMSS[[#This Row],[EXCED.
PATRON]]+TabCuotasIMSS[[#This Row],[EXCED.
OBRERO]]</f>
        <v>0</v>
      </c>
      <c r="R79" s="55">
        <f>IF(TabCuotasIMSS[[#This Row],[S.B.C./S.D.I.]]&lt;=SMGI,((TabCuotasIMSS[[#This Row],[SALARIO
DEL CICLO]]-(TabCuotasIMSS[[#This Row],[S.B.C./S.D.I.]]*TabCuotasIMSS[[#This Row],[INC]])))*PD,((TabCuotasIMSS[[#This Row],[SALARIO
DEL CICLO]]-(TabCuotasIMSS[[#This Row],[S.B.C./S.D.I.]]*TabCuotasIMSS[[#This Row],[INC]]))*PDP))</f>
        <v>47.883363000000003</v>
      </c>
      <c r="S79" s="55">
        <f>IF(TabCuotasIMSS[[#This Row],[S.B.C./S.D.I.]]&lt;=SMGI,0,((TabCuotasIMSS[[#This Row],[SALARIO
DEL CICLO]]-(TabCuotasIMSS[[#This Row],[S.B.C./S.D.I.]]*TabCuotasIMSS[[#This Row],[INC]]))*PDO))</f>
        <v>0</v>
      </c>
      <c r="T79" s="55">
        <f>TabCuotasIMSS[[#This Row],[PATRON2]]+TabCuotasIMSS[[#This Row],[OBRERO]]</f>
        <v>47.883363000000003</v>
      </c>
      <c r="U79" s="55">
        <f>IF(TabCuotasIMSS[[#This Row],[S.B.C./S.D.I.]]&lt;=SMGI,((TabCuotasIMSS[[#This Row],[SALARIO
DEL CICLO]]-(TabCuotasIMSS[[#This Row],[S.B.C./S.D.I.]]*TabCuotasIMSS[[#This Row],[INC]])))*GMP,((TabCuotasIMSS[[#This Row],[SALARIO
DEL CICLO]]-(TabCuotasIMSS[[#This Row],[S.B.C./S.D.I.]]*TabCuotasIMSS[[#This Row],[INC]])))*GMPP)</f>
        <v>71.825044500000004</v>
      </c>
      <c r="V79" s="55">
        <f>IF(TabCuotasIMSS[[#This Row],[S.B.C./S.D.I.]]&lt;=SMGI,0,((TabCuotasIMSS[[#This Row],[SALARIO
DEL CICLO]]-(TabCuotasIMSS[[#This Row],[S.B.C./S.D.I.]]*TabCuotasIMSS[[#This Row],[INC]])))*GMPO)</f>
        <v>0</v>
      </c>
      <c r="W79" s="55">
        <f>TabCuotasIMSS[[#This Row],[PATRON3]]+TabCuotasIMSS[[#This Row],[OBRERO4]]</f>
        <v>71.825044500000004</v>
      </c>
      <c r="X79" s="141">
        <f>((TabCuotasIMSS[[#This Row],[SALARIO
DEL CICLO]]-(TabCuotasIMSS[[#This Row],[S.B.C./S.D.I.]]*(TabCuotasIMSS[[#This Row],[INC]]+TabCuotasIMSS[[#This Row],[AUS]]))))*PRTP</f>
        <v>2520.1770000000001</v>
      </c>
      <c r="Y79" s="55">
        <f>IF(TabCuotasIMSS[[#This Row],[S.B.C./S.D.I.]]&lt;=SMGI,((TabCuotasIMSS[[#This Row],[SALARIO
DEL CICLO]]-(TabCuotasIMSS[[#This Row],[S.B.C./S.D.I.]]*(TabCuotasIMSS[[#This Row],[INC]]+TabCuotasIMSS[[#This Row],[AUS]]))))*IV,((TabCuotasIMSS[[#This Row],[SALARIO
DEL CICLO]]-(TabCuotasIMSS[[#This Row],[S.B.C./S.D.I.]]*(TabCuotasIMSS[[#This Row],[INC]]+TabCuotasIMSS[[#This Row],[AUS]]))))*IVP)</f>
        <v>119.70840750000001</v>
      </c>
      <c r="Z79" s="55">
        <f>IF(TabCuotasIMSS[[#This Row],[S.B.C./S.D.I.]]&lt;=SMGI,0,((TabCuotasIMSS[[#This Row],[SALARIO
DEL CICLO]]-(TabCuotasIMSS[[#This Row],[S.B.C./S.D.I.]]*(TabCuotasIMSS[[#This Row],[INC]]+TabCuotasIMSS[[#This Row],[AUS]]))))*IVO)</f>
        <v>0</v>
      </c>
      <c r="AA79" s="55">
        <f>TabCuotasIMSS[[#This Row],[PATRON6]]+TabCuotasIMSS[[#This Row],[OBRERO7]]</f>
        <v>119.70840750000001</v>
      </c>
      <c r="AB79" s="141">
        <f>((TabCuotasIMSS[[#This Row],[SALARIO
DEL CICLO]]-(TabCuotasIMSS[[#This Row],[S.B.C./S.D.I.]]*(TabCuotasIMSS[[#This Row],[INC]]+TabCuotasIMSS[[#This Row],[AUS]]))))*GPS</f>
        <v>50.403540000000007</v>
      </c>
      <c r="AC79" s="141">
        <f>TabCuotasIMSS[[#This Row],[SALARIO
DEL CICLO]]*0</f>
        <v>0</v>
      </c>
      <c r="AD79" s="141">
        <f>TabCuotasIMSS[[#This Row],[PATRON9]]+TabCuotasIMSS[[#This Row],[OBRERO10]]</f>
        <v>50.403540000000007</v>
      </c>
      <c r="AE79" s="233">
        <f>TabCuotasIMSS[[#This Row],[PATRON]]+TabCuotasIMSS[[#This Row],[EXCED.
PATRON]]+TabCuotasIMSS[[#This Row],[PATRON2]]+TabCuotasIMSS[[#This Row],[PATRON3]]+TabCuotasIMSS[[#This Row],[PATRON
0.50%]]+TabCuotasIMSS[[#This Row],[PATRON6]]+TabCuotasIMSS[[#This Row],[PATRON9]]</f>
        <v>4242.9055950000002</v>
      </c>
      <c r="AF79" s="233">
        <f>TabCuotasIMSS[[#This Row],[EXCED.
OBRERO]]+TabCuotasIMSS[[#This Row],[OBRERO]]+TabCuotasIMSS[[#This Row],[OBRERO4]]+TabCuotasIMSS[[#This Row],[OBRERO7]]+TabCuotasIMSS[[#This Row],[OBRERO10]]</f>
        <v>0</v>
      </c>
      <c r="AG79" s="233">
        <f>TabCuotasIMSS[[#This Row],[TOTAL
PATRONAL]]+TabCuotasIMSS[[#This Row],[TOTAL
OBRERO]]</f>
        <v>4242.9055950000002</v>
      </c>
      <c r="AH79" s="141">
        <f>((TabCuotasIMSS[[#This Row],[SALARIO
DEL CICLO]]-(TabCuotasIMSS[[#This Row],[S.B.C./S.D.I.]]*TabCuotasIMSS[[#This Row],[AUS]]))*R_)</f>
        <v>100.80708000000001</v>
      </c>
      <c r="AI79">
        <f>IF(TabCuotasIMSS[[#This Row],[S.B.C./S.D.I.]]&lt;=SMGI,((TabCuotasIMSS[[#This Row],[SALARIO
DEL CICLO]]-(TabCuotasIMSS[[#This Row],[S.B.C./S.D.I.]]*(TabCuotasIMSS[[#This Row],[INC]]+TabCuotasIMSS[[#This Row],[AUS]]))))*CV,((TabCuotasIMSS[[#This Row],[SALARIO
DEL CICLO]]-(TabCuotasIMSS[[#This Row],[S.B.C./S.D.I.]]*(TabCuotasIMSS[[#This Row],[INC]]+TabCuotasIMSS[[#This Row],[AUS]]))))*CVP)</f>
        <v>215.47513350000003</v>
      </c>
      <c r="AJ79">
        <f>IF(TabCuotasIMSS[[#This Row],[S.B.C./S.D.I.]]&lt;=SMGI,0,((TabCuotasIMSS[[#This Row],[SALARIO
DEL CICLO]]-(TabCuotasIMSS[[#This Row],[S.B.C./S.D.I.]]*(TabCuotasIMSS[[#This Row],[INC]]+TabCuotasIMSS[[#This Row],[AUS]]))))*CVO)</f>
        <v>0</v>
      </c>
      <c r="AK79">
        <f>SUM(TabCuotasIMSS[[#This Row],[2%]]:TabCuotasIMSS[[#This Row],[OBRERO14]])</f>
        <v>316.28221350000001</v>
      </c>
      <c r="AL79" s="141">
        <f>((TabCuotasIMSS[[#This Row],[SALARIO
DEL CICLO]]-(TabCuotasIMSS[[#This Row],[S.B.C./S.D.I.]]*(TabCuotasIMSS[[#This Row],[AUS]])))*I)</f>
        <v>252.01770000000002</v>
      </c>
      <c r="AM79" s="141">
        <f>TabCuotasIMSS[[#This Row],[TOTAL
O.P.11]]+TabCuotasIMSS[[#This Row],[2%]]+TabCuotasIMSS[[#This Row],[PATRON13]]+TabCuotasIMSS[[#This Row],[5%]]</f>
        <v>618.70345350000002</v>
      </c>
      <c r="AN79" s="141">
        <f>TabCuotasIMSS[[#This Row],[TOTAL
OBRERO]]+TabCuotasIMSS[[#This Row],[OBRERO14]]</f>
        <v>0</v>
      </c>
    </row>
    <row r="80" spans="1:40" x14ac:dyDescent="0.25">
      <c r="A80" s="2">
        <v>72</v>
      </c>
      <c r="B80" s="1" cm="1">
        <f t="array" ref="B80">VLOOKUP(TabCuotasIMSS[[#This Row],[ID]],TabEmpleados[],COLUMN(TabEmpleados[Fecha de alta NSS]),FALSE)</f>
        <v>44509</v>
      </c>
      <c r="C80" t="str" cm="1">
        <f t="array" ref="C80">VLOOKUP(TabCuotasIMSS[[#This Row],[ID]],TabEmpleados[],COLUMN(TabEmpleados[Nombre]),FALSE)</f>
        <v>JIMENEZ GODINEZ GABRIELA</v>
      </c>
      <c r="D80" cm="1">
        <f t="array" ref="D80">IF(VLOOKUP(TabCuotasIMSS[[#This Row],[ID]],TabEmpleados[],COLUMN(TabEmpleados[Fecha de alta NSS]),FALSE)&lt;&gt;"",VLOOKUP(TabCuotasIMSS[[#This Row],[ID]],TabAsistencias[],COLUMN(TabAsistencias[''Total de dias laborados]),FALSE),0)</f>
        <v>73</v>
      </c>
      <c r="E80" cm="1">
        <f t="array" ref="E80">IF(VLOOKUP(TabCuotasIMSS[[#This Row],[ID]],TabEmpleados[],COLUMN(TabEmpleados[Fecha de alta NSS]),FALSE)&lt;&gt;"",IF(DATEDIF((VLOOKUP(TabCuotasIMSS[[#This Row],[ID]],TabEmpleados[],COLUMN(TabEmpleados[Fecha de alta NSS]),FALSE)),'Tablas de informacion'!N$8,"Y")=0,1,DATEDIF((VLOOKUP(TabCuotasIMSS[[#This Row],[ID]],TabEmpleados[],COLUMN(TabEmpleados[Fecha de alta NSS]),FALSE)),'Tablas de informacion'!N$8,"Y")),0)</f>
        <v>1</v>
      </c>
      <c r="F80" s="55" cm="1">
        <f t="array" ref="F80">VLOOKUP(TabCuotasIMSS[[#This Row],[ID]],TabEmpleados[],COLUMN(TabEmpleados[SD Fiscal]),FALSE)</f>
        <v>90</v>
      </c>
      <c r="G80" s="55" cm="1">
        <f t="array" ref="G80">IFERROR((VLOOKUP((VLOOKUP(TabCuotasIMSS[[#This Row],[ID]],TabEmpleados[],COLUMN(TabEmpleados[Puesto]),FALSE)),TabPuestos[],COLUMN(TabPuestos[N° ALIMENTOS]),FALSE))*TabCuotasIMSS[[#This Row],[Salario Diario]]*(VLOOKUP(TabCuotasIMSS[[#This Row],[Años]],TabFactorIntegracion[],COLUMN(TabFactorIntegracion[% por alimento]))),0)</f>
        <v>7.4969999999999999</v>
      </c>
      <c r="H80" s="55" cm="1">
        <f t="array" ref="H80">IFERROR((VLOOKUP((VLOOKUP(TabCuotasIMSS[[#This Row],[ID]],TabEmpleados[],COLUMN(TabEmpleados[Puesto]),FALSE)),TabPuestos[],COLUMN(TabPuestos[PRIMA DOMINICAL]),FALSE))*TabCuotasIMSS[[#This Row],[Salario Diario]]*(VLOOKUP(TabCuotasIMSS[[#This Row],[Años]],TabFactorIntegracion[],COLUMN(TabFactorIntegracion[PRIMA
DOMINICAL]))),0)</f>
        <v>1.6335616438356162</v>
      </c>
      <c r="I80" s="55" cm="1">
        <f t="array" ref="I80">IFERROR(TabCuotasIMSS[[#This Row],[Salario Diario]]*(VLOOKUP(TabCuotasIMSS[[#This Row],[Años]],TabFactorIntegracion[],COLUMN(TabFactorIntegracion[FACTOR DE
INTEGRACIÓN]))),0)</f>
        <v>4.4383561643835616</v>
      </c>
      <c r="J80" s="174">
        <f>IFERROR(TabCuotasIMSS[[#This Row],[Salario Diario]]+TabCuotasIMSS[[#This Row],[Alimentos]]+TabCuotasIMSS[[#This Row],[Prima Dominical]]+TabCuotasIMSS[[#This Row],[Factor de Integracion]],0)</f>
        <v>103.56891780821918</v>
      </c>
      <c r="K80" cm="1">
        <f t="array" ref="K80">VLOOKUP(TabCuotasIMSS[[#This Row],[ID]],TabAsistencias[],COLUMN(TabAsistencias[''I]),FALSE)+VLOOKUP(TabCuotasIMSS[[#This Row],[ID]],TabAsistencias[],COLUMN(TabAsistencias[''IG]),FALSE)</f>
        <v>0</v>
      </c>
      <c r="L80" cm="1">
        <f t="array" ref="L80">VLOOKUP(TabCuotasIMSS[[#This Row],[ID]],TabAsistencias[],COLUMN(TabAsistencias[''F]),FALSE)</f>
        <v>0</v>
      </c>
      <c r="M80" s="141">
        <f>TabCuotasIMSS[[#This Row],[S.B.C./S.D.I.]]*TabCuotasIMSS[[#This Row],[DÍAS
LAB.]]</f>
        <v>7560.5309999999999</v>
      </c>
      <c r="N80" s="141">
        <f>(SMDF*CF*(TabCuotasIMSS[[#This Row],[DÍAS
LAB.]]-TabCuotasIMSS[[#This Row],[INC]]))</f>
        <v>1432.90824</v>
      </c>
      <c r="O80" s="55">
        <f>IF(TabCuotasIMSS[[#This Row],[S.B.C./S.D.I.]]&gt;SMDF3,((TabCuotasIMSS[[#This Row],[S.B.C./S.D.I.]]-SMDF3)*CFP*(TabCuotasIMSS[[#This Row],[DÍAS
LAB.]]-TabCuotasIMSS[[#This Row],[INC]])),0)</f>
        <v>0</v>
      </c>
      <c r="P80" s="55">
        <f>IF(TabCuotasIMSS[[#This Row],[S.B.C./S.D.I.]]&gt;SMDF3,((TabCuotasIMSS[[#This Row],[S.B.C./S.D.I.]]-SMDF3)*CFO*(TabCuotasIMSS[[#This Row],[DÍAS
LAB.]]-TabCuotasIMSS[[#This Row],[INC]])),0)</f>
        <v>0</v>
      </c>
      <c r="Q80" s="55">
        <f>TabCuotasIMSS[[#This Row],[EXCED.
PATRON]]+TabCuotasIMSS[[#This Row],[EXCED.
OBRERO]]</f>
        <v>0</v>
      </c>
      <c r="R80" s="55">
        <f>IF(TabCuotasIMSS[[#This Row],[S.B.C./S.D.I.]]&lt;=SMGI,((TabCuotasIMSS[[#This Row],[SALARIO
DEL CICLO]]-(TabCuotasIMSS[[#This Row],[S.B.C./S.D.I.]]*TabCuotasIMSS[[#This Row],[INC]])))*PD,((TabCuotasIMSS[[#This Row],[SALARIO
DEL CICLO]]-(TabCuotasIMSS[[#This Row],[S.B.C./S.D.I.]]*TabCuotasIMSS[[#This Row],[INC]]))*PDP))</f>
        <v>71.825044500000004</v>
      </c>
      <c r="S80" s="55">
        <f>IF(TabCuotasIMSS[[#This Row],[S.B.C./S.D.I.]]&lt;=SMGI,0,((TabCuotasIMSS[[#This Row],[SALARIO
DEL CICLO]]-(TabCuotasIMSS[[#This Row],[S.B.C./S.D.I.]]*TabCuotasIMSS[[#This Row],[INC]]))*PDO))</f>
        <v>0</v>
      </c>
      <c r="T80" s="55">
        <f>TabCuotasIMSS[[#This Row],[PATRON2]]+TabCuotasIMSS[[#This Row],[OBRERO]]</f>
        <v>71.825044500000004</v>
      </c>
      <c r="U80" s="55">
        <f>IF(TabCuotasIMSS[[#This Row],[S.B.C./S.D.I.]]&lt;=SMGI,((TabCuotasIMSS[[#This Row],[SALARIO
DEL CICLO]]-(TabCuotasIMSS[[#This Row],[S.B.C./S.D.I.]]*TabCuotasIMSS[[#This Row],[INC]])))*GMP,((TabCuotasIMSS[[#This Row],[SALARIO
DEL CICLO]]-(TabCuotasIMSS[[#This Row],[S.B.C./S.D.I.]]*TabCuotasIMSS[[#This Row],[INC]])))*GMPP)</f>
        <v>107.73756675</v>
      </c>
      <c r="V80" s="55">
        <f>IF(TabCuotasIMSS[[#This Row],[S.B.C./S.D.I.]]&lt;=SMGI,0,((TabCuotasIMSS[[#This Row],[SALARIO
DEL CICLO]]-(TabCuotasIMSS[[#This Row],[S.B.C./S.D.I.]]*TabCuotasIMSS[[#This Row],[INC]])))*GMPO)</f>
        <v>0</v>
      </c>
      <c r="W80" s="55">
        <f>TabCuotasIMSS[[#This Row],[PATRON3]]+TabCuotasIMSS[[#This Row],[OBRERO4]]</f>
        <v>107.73756675</v>
      </c>
      <c r="X80" s="141">
        <f>((TabCuotasIMSS[[#This Row],[SALARIO
DEL CICLO]]-(TabCuotasIMSS[[#This Row],[S.B.C./S.D.I.]]*(TabCuotasIMSS[[#This Row],[INC]]+TabCuotasIMSS[[#This Row],[AUS]]))))*PRTP</f>
        <v>3780.2655</v>
      </c>
      <c r="Y80" s="55">
        <f>IF(TabCuotasIMSS[[#This Row],[S.B.C./S.D.I.]]&lt;=SMGI,((TabCuotasIMSS[[#This Row],[SALARIO
DEL CICLO]]-(TabCuotasIMSS[[#This Row],[S.B.C./S.D.I.]]*(TabCuotasIMSS[[#This Row],[INC]]+TabCuotasIMSS[[#This Row],[AUS]]))))*IV,((TabCuotasIMSS[[#This Row],[SALARIO
DEL CICLO]]-(TabCuotasIMSS[[#This Row],[S.B.C./S.D.I.]]*(TabCuotasIMSS[[#This Row],[INC]]+TabCuotasIMSS[[#This Row],[AUS]]))))*IVP)</f>
        <v>179.56261125</v>
      </c>
      <c r="Z80" s="55">
        <f>IF(TabCuotasIMSS[[#This Row],[S.B.C./S.D.I.]]&lt;=SMGI,0,((TabCuotasIMSS[[#This Row],[SALARIO
DEL CICLO]]-(TabCuotasIMSS[[#This Row],[S.B.C./S.D.I.]]*(TabCuotasIMSS[[#This Row],[INC]]+TabCuotasIMSS[[#This Row],[AUS]]))))*IVO)</f>
        <v>0</v>
      </c>
      <c r="AA80" s="55">
        <f>TabCuotasIMSS[[#This Row],[PATRON6]]+TabCuotasIMSS[[#This Row],[OBRERO7]]</f>
        <v>179.56261125</v>
      </c>
      <c r="AB80" s="141">
        <f>((TabCuotasIMSS[[#This Row],[SALARIO
DEL CICLO]]-(TabCuotasIMSS[[#This Row],[S.B.C./S.D.I.]]*(TabCuotasIMSS[[#This Row],[INC]]+TabCuotasIMSS[[#This Row],[AUS]]))))*GPS</f>
        <v>75.605310000000003</v>
      </c>
      <c r="AC80" s="141">
        <f>TabCuotasIMSS[[#This Row],[SALARIO
DEL CICLO]]*0</f>
        <v>0</v>
      </c>
      <c r="AD80" s="141">
        <f>TabCuotasIMSS[[#This Row],[PATRON9]]+TabCuotasIMSS[[#This Row],[OBRERO10]]</f>
        <v>75.605310000000003</v>
      </c>
      <c r="AE80" s="233">
        <f>TabCuotasIMSS[[#This Row],[PATRON]]+TabCuotasIMSS[[#This Row],[EXCED.
PATRON]]+TabCuotasIMSS[[#This Row],[PATRON2]]+TabCuotasIMSS[[#This Row],[PATRON3]]+TabCuotasIMSS[[#This Row],[PATRON
0.50%]]+TabCuotasIMSS[[#This Row],[PATRON6]]+TabCuotasIMSS[[#This Row],[PATRON9]]</f>
        <v>5647.9042724999999</v>
      </c>
      <c r="AF80" s="233">
        <f>TabCuotasIMSS[[#This Row],[EXCED.
OBRERO]]+TabCuotasIMSS[[#This Row],[OBRERO]]+TabCuotasIMSS[[#This Row],[OBRERO4]]+TabCuotasIMSS[[#This Row],[OBRERO7]]+TabCuotasIMSS[[#This Row],[OBRERO10]]</f>
        <v>0</v>
      </c>
      <c r="AG80" s="233">
        <f>TabCuotasIMSS[[#This Row],[TOTAL
PATRONAL]]+TabCuotasIMSS[[#This Row],[TOTAL
OBRERO]]</f>
        <v>5647.9042724999999</v>
      </c>
      <c r="AH80" s="141">
        <f>((TabCuotasIMSS[[#This Row],[SALARIO
DEL CICLO]]-(TabCuotasIMSS[[#This Row],[S.B.C./S.D.I.]]*TabCuotasIMSS[[#This Row],[AUS]]))*R_)</f>
        <v>151.21062000000001</v>
      </c>
      <c r="AI80">
        <f>IF(TabCuotasIMSS[[#This Row],[S.B.C./S.D.I.]]&lt;=SMGI,((TabCuotasIMSS[[#This Row],[SALARIO
DEL CICLO]]-(TabCuotasIMSS[[#This Row],[S.B.C./S.D.I.]]*(TabCuotasIMSS[[#This Row],[INC]]+TabCuotasIMSS[[#This Row],[AUS]]))))*CV,((TabCuotasIMSS[[#This Row],[SALARIO
DEL CICLO]]-(TabCuotasIMSS[[#This Row],[S.B.C./S.D.I.]]*(TabCuotasIMSS[[#This Row],[INC]]+TabCuotasIMSS[[#This Row],[AUS]]))))*CVP)</f>
        <v>323.21270025000001</v>
      </c>
      <c r="AJ80">
        <f>IF(TabCuotasIMSS[[#This Row],[S.B.C./S.D.I.]]&lt;=SMGI,0,((TabCuotasIMSS[[#This Row],[SALARIO
DEL CICLO]]-(TabCuotasIMSS[[#This Row],[S.B.C./S.D.I.]]*(TabCuotasIMSS[[#This Row],[INC]]+TabCuotasIMSS[[#This Row],[AUS]]))))*CVO)</f>
        <v>0</v>
      </c>
      <c r="AK80">
        <f>SUM(TabCuotasIMSS[[#This Row],[2%]]:TabCuotasIMSS[[#This Row],[OBRERO14]])</f>
        <v>474.42332025000002</v>
      </c>
      <c r="AL80" s="141">
        <f>((TabCuotasIMSS[[#This Row],[SALARIO
DEL CICLO]]-(TabCuotasIMSS[[#This Row],[S.B.C./S.D.I.]]*(TabCuotasIMSS[[#This Row],[AUS]])))*I)</f>
        <v>378.02655000000004</v>
      </c>
      <c r="AM80" s="141">
        <f>TabCuotasIMSS[[#This Row],[TOTAL
O.P.11]]+TabCuotasIMSS[[#This Row],[2%]]+TabCuotasIMSS[[#This Row],[PATRON13]]+TabCuotasIMSS[[#This Row],[5%]]</f>
        <v>928.05518025000003</v>
      </c>
      <c r="AN80" s="141">
        <f>TabCuotasIMSS[[#This Row],[TOTAL
OBRERO]]+TabCuotasIMSS[[#This Row],[OBRERO14]]</f>
        <v>0</v>
      </c>
    </row>
    <row r="81" spans="1:40" x14ac:dyDescent="0.25">
      <c r="A81" s="2">
        <v>73</v>
      </c>
      <c r="B81" s="1" cm="1">
        <f t="array" ref="B81">VLOOKUP(TabCuotasIMSS[[#This Row],[ID]],TabEmpleados[],COLUMN(TabEmpleados[Fecha de alta NSS]),FALSE)</f>
        <v>44509</v>
      </c>
      <c r="C81" t="str" cm="1">
        <f t="array" ref="C81">VLOOKUP(TabCuotasIMSS[[#This Row],[ID]],TabEmpleados[],COLUMN(TabEmpleados[Nombre]),FALSE)</f>
        <v>CORTES SILVA MONICA</v>
      </c>
      <c r="D81" cm="1">
        <f t="array" ref="D81">IF(VLOOKUP(TabCuotasIMSS[[#This Row],[ID]],TabEmpleados[],COLUMN(TabEmpleados[Fecha de alta NSS]),FALSE)&lt;&gt;"",VLOOKUP(TabCuotasIMSS[[#This Row],[ID]],TabAsistencias[],COLUMN(TabAsistencias[''Total de dias laborados]),FALSE),0)</f>
        <v>73</v>
      </c>
      <c r="E81" cm="1">
        <f t="array" ref="E81">IF(VLOOKUP(TabCuotasIMSS[[#This Row],[ID]],TabEmpleados[],COLUMN(TabEmpleados[Fecha de alta NSS]),FALSE)&lt;&gt;"",IF(DATEDIF((VLOOKUP(TabCuotasIMSS[[#This Row],[ID]],TabEmpleados[],COLUMN(TabEmpleados[Fecha de alta NSS]),FALSE)),'Tablas de informacion'!N$8,"Y")=0,1,DATEDIF((VLOOKUP(TabCuotasIMSS[[#This Row],[ID]],TabEmpleados[],COLUMN(TabEmpleados[Fecha de alta NSS]),FALSE)),'Tablas de informacion'!N$8,"Y")),0)</f>
        <v>1</v>
      </c>
      <c r="F81" s="55" cm="1">
        <f t="array" ref="F81">VLOOKUP(TabCuotasIMSS[[#This Row],[ID]],TabEmpleados[],COLUMN(TabEmpleados[SD Fiscal]),FALSE)</f>
        <v>90</v>
      </c>
      <c r="G81" s="55" cm="1">
        <f t="array" ref="G81">IFERROR((VLOOKUP((VLOOKUP(TabCuotasIMSS[[#This Row],[ID]],TabEmpleados[],COLUMN(TabEmpleados[Puesto]),FALSE)),TabPuestos[],COLUMN(TabPuestos[N° ALIMENTOS]),FALSE))*TabCuotasIMSS[[#This Row],[Salario Diario]]*(VLOOKUP(TabCuotasIMSS[[#This Row],[Años]],TabFactorIntegracion[],COLUMN(TabFactorIntegracion[% por alimento]))),0)</f>
        <v>7.4969999999999999</v>
      </c>
      <c r="H81" s="55" cm="1">
        <f t="array" ref="H81">IFERROR((VLOOKUP((VLOOKUP(TabCuotasIMSS[[#This Row],[ID]],TabEmpleados[],COLUMN(TabEmpleados[Puesto]),FALSE)),TabPuestos[],COLUMN(TabPuestos[PRIMA DOMINICAL]),FALSE))*TabCuotasIMSS[[#This Row],[Salario Diario]]*(VLOOKUP(TabCuotasIMSS[[#This Row],[Años]],TabFactorIntegracion[],COLUMN(TabFactorIntegracion[PRIMA
DOMINICAL]))),0)</f>
        <v>1.6335616438356162</v>
      </c>
      <c r="I81" s="55" cm="1">
        <f t="array" ref="I81">IFERROR(TabCuotasIMSS[[#This Row],[Salario Diario]]*(VLOOKUP(TabCuotasIMSS[[#This Row],[Años]],TabFactorIntegracion[],COLUMN(TabFactorIntegracion[FACTOR DE
INTEGRACIÓN]))),0)</f>
        <v>4.4383561643835616</v>
      </c>
      <c r="J81" s="174">
        <f>IFERROR(TabCuotasIMSS[[#This Row],[Salario Diario]]+TabCuotasIMSS[[#This Row],[Alimentos]]+TabCuotasIMSS[[#This Row],[Prima Dominical]]+TabCuotasIMSS[[#This Row],[Factor de Integracion]],0)</f>
        <v>103.56891780821918</v>
      </c>
      <c r="K81" cm="1">
        <f t="array" ref="K81">VLOOKUP(TabCuotasIMSS[[#This Row],[ID]],TabAsistencias[],COLUMN(TabAsistencias[''I]),FALSE)+VLOOKUP(TabCuotasIMSS[[#This Row],[ID]],TabAsistencias[],COLUMN(TabAsistencias[''IG]),FALSE)</f>
        <v>0</v>
      </c>
      <c r="L81" cm="1">
        <f t="array" ref="L81">VLOOKUP(TabCuotasIMSS[[#This Row],[ID]],TabAsistencias[],COLUMN(TabAsistencias[''F]),FALSE)</f>
        <v>0</v>
      </c>
      <c r="M81" s="141">
        <f>TabCuotasIMSS[[#This Row],[S.B.C./S.D.I.]]*TabCuotasIMSS[[#This Row],[DÍAS
LAB.]]</f>
        <v>7560.5309999999999</v>
      </c>
      <c r="N81" s="141">
        <f>(SMDF*CF*(TabCuotasIMSS[[#This Row],[DÍAS
LAB.]]-TabCuotasIMSS[[#This Row],[INC]]))</f>
        <v>1432.90824</v>
      </c>
      <c r="O81" s="55">
        <f>IF(TabCuotasIMSS[[#This Row],[S.B.C./S.D.I.]]&gt;SMDF3,((TabCuotasIMSS[[#This Row],[S.B.C./S.D.I.]]-SMDF3)*CFP*(TabCuotasIMSS[[#This Row],[DÍAS
LAB.]]-TabCuotasIMSS[[#This Row],[INC]])),0)</f>
        <v>0</v>
      </c>
      <c r="P81" s="55">
        <f>IF(TabCuotasIMSS[[#This Row],[S.B.C./S.D.I.]]&gt;SMDF3,((TabCuotasIMSS[[#This Row],[S.B.C./S.D.I.]]-SMDF3)*CFO*(TabCuotasIMSS[[#This Row],[DÍAS
LAB.]]-TabCuotasIMSS[[#This Row],[INC]])),0)</f>
        <v>0</v>
      </c>
      <c r="Q81" s="55">
        <f>TabCuotasIMSS[[#This Row],[EXCED.
PATRON]]+TabCuotasIMSS[[#This Row],[EXCED.
OBRERO]]</f>
        <v>0</v>
      </c>
      <c r="R81" s="55">
        <f>IF(TabCuotasIMSS[[#This Row],[S.B.C./S.D.I.]]&lt;=SMGI,((TabCuotasIMSS[[#This Row],[SALARIO
DEL CICLO]]-(TabCuotasIMSS[[#This Row],[S.B.C./S.D.I.]]*TabCuotasIMSS[[#This Row],[INC]])))*PD,((TabCuotasIMSS[[#This Row],[SALARIO
DEL CICLO]]-(TabCuotasIMSS[[#This Row],[S.B.C./S.D.I.]]*TabCuotasIMSS[[#This Row],[INC]]))*PDP))</f>
        <v>71.825044500000004</v>
      </c>
      <c r="S81" s="55">
        <f>IF(TabCuotasIMSS[[#This Row],[S.B.C./S.D.I.]]&lt;=SMGI,0,((TabCuotasIMSS[[#This Row],[SALARIO
DEL CICLO]]-(TabCuotasIMSS[[#This Row],[S.B.C./S.D.I.]]*TabCuotasIMSS[[#This Row],[INC]]))*PDO))</f>
        <v>0</v>
      </c>
      <c r="T81" s="55">
        <f>TabCuotasIMSS[[#This Row],[PATRON2]]+TabCuotasIMSS[[#This Row],[OBRERO]]</f>
        <v>71.825044500000004</v>
      </c>
      <c r="U81" s="55">
        <f>IF(TabCuotasIMSS[[#This Row],[S.B.C./S.D.I.]]&lt;=SMGI,((TabCuotasIMSS[[#This Row],[SALARIO
DEL CICLO]]-(TabCuotasIMSS[[#This Row],[S.B.C./S.D.I.]]*TabCuotasIMSS[[#This Row],[INC]])))*GMP,((TabCuotasIMSS[[#This Row],[SALARIO
DEL CICLO]]-(TabCuotasIMSS[[#This Row],[S.B.C./S.D.I.]]*TabCuotasIMSS[[#This Row],[INC]])))*GMPP)</f>
        <v>107.73756675</v>
      </c>
      <c r="V81" s="55">
        <f>IF(TabCuotasIMSS[[#This Row],[S.B.C./S.D.I.]]&lt;=SMGI,0,((TabCuotasIMSS[[#This Row],[SALARIO
DEL CICLO]]-(TabCuotasIMSS[[#This Row],[S.B.C./S.D.I.]]*TabCuotasIMSS[[#This Row],[INC]])))*GMPO)</f>
        <v>0</v>
      </c>
      <c r="W81" s="55">
        <f>TabCuotasIMSS[[#This Row],[PATRON3]]+TabCuotasIMSS[[#This Row],[OBRERO4]]</f>
        <v>107.73756675</v>
      </c>
      <c r="X81" s="141">
        <f>((TabCuotasIMSS[[#This Row],[SALARIO
DEL CICLO]]-(TabCuotasIMSS[[#This Row],[S.B.C./S.D.I.]]*(TabCuotasIMSS[[#This Row],[INC]]+TabCuotasIMSS[[#This Row],[AUS]]))))*PRTP</f>
        <v>3780.2655</v>
      </c>
      <c r="Y81" s="55">
        <f>IF(TabCuotasIMSS[[#This Row],[S.B.C./S.D.I.]]&lt;=SMGI,((TabCuotasIMSS[[#This Row],[SALARIO
DEL CICLO]]-(TabCuotasIMSS[[#This Row],[S.B.C./S.D.I.]]*(TabCuotasIMSS[[#This Row],[INC]]+TabCuotasIMSS[[#This Row],[AUS]]))))*IV,((TabCuotasIMSS[[#This Row],[SALARIO
DEL CICLO]]-(TabCuotasIMSS[[#This Row],[S.B.C./S.D.I.]]*(TabCuotasIMSS[[#This Row],[INC]]+TabCuotasIMSS[[#This Row],[AUS]]))))*IVP)</f>
        <v>179.56261125</v>
      </c>
      <c r="Z81" s="55">
        <f>IF(TabCuotasIMSS[[#This Row],[S.B.C./S.D.I.]]&lt;=SMGI,0,((TabCuotasIMSS[[#This Row],[SALARIO
DEL CICLO]]-(TabCuotasIMSS[[#This Row],[S.B.C./S.D.I.]]*(TabCuotasIMSS[[#This Row],[INC]]+TabCuotasIMSS[[#This Row],[AUS]]))))*IVO)</f>
        <v>0</v>
      </c>
      <c r="AA81" s="55">
        <f>TabCuotasIMSS[[#This Row],[PATRON6]]+TabCuotasIMSS[[#This Row],[OBRERO7]]</f>
        <v>179.56261125</v>
      </c>
      <c r="AB81" s="141">
        <f>((TabCuotasIMSS[[#This Row],[SALARIO
DEL CICLO]]-(TabCuotasIMSS[[#This Row],[S.B.C./S.D.I.]]*(TabCuotasIMSS[[#This Row],[INC]]+TabCuotasIMSS[[#This Row],[AUS]]))))*GPS</f>
        <v>75.605310000000003</v>
      </c>
      <c r="AC81" s="141">
        <f>TabCuotasIMSS[[#This Row],[SALARIO
DEL CICLO]]*0</f>
        <v>0</v>
      </c>
      <c r="AD81" s="141">
        <f>TabCuotasIMSS[[#This Row],[PATRON9]]+TabCuotasIMSS[[#This Row],[OBRERO10]]</f>
        <v>75.605310000000003</v>
      </c>
      <c r="AE81" s="233">
        <f>TabCuotasIMSS[[#This Row],[PATRON]]+TabCuotasIMSS[[#This Row],[EXCED.
PATRON]]+TabCuotasIMSS[[#This Row],[PATRON2]]+TabCuotasIMSS[[#This Row],[PATRON3]]+TabCuotasIMSS[[#This Row],[PATRON
0.50%]]+TabCuotasIMSS[[#This Row],[PATRON6]]+TabCuotasIMSS[[#This Row],[PATRON9]]</f>
        <v>5647.9042724999999</v>
      </c>
      <c r="AF81" s="233">
        <f>TabCuotasIMSS[[#This Row],[EXCED.
OBRERO]]+TabCuotasIMSS[[#This Row],[OBRERO]]+TabCuotasIMSS[[#This Row],[OBRERO4]]+TabCuotasIMSS[[#This Row],[OBRERO7]]+TabCuotasIMSS[[#This Row],[OBRERO10]]</f>
        <v>0</v>
      </c>
      <c r="AG81" s="233">
        <f>TabCuotasIMSS[[#This Row],[TOTAL
PATRONAL]]+TabCuotasIMSS[[#This Row],[TOTAL
OBRERO]]</f>
        <v>5647.9042724999999</v>
      </c>
      <c r="AH81" s="141">
        <f>((TabCuotasIMSS[[#This Row],[SALARIO
DEL CICLO]]-(TabCuotasIMSS[[#This Row],[S.B.C./S.D.I.]]*TabCuotasIMSS[[#This Row],[AUS]]))*R_)</f>
        <v>151.21062000000001</v>
      </c>
      <c r="AI81">
        <f>IF(TabCuotasIMSS[[#This Row],[S.B.C./S.D.I.]]&lt;=SMGI,((TabCuotasIMSS[[#This Row],[SALARIO
DEL CICLO]]-(TabCuotasIMSS[[#This Row],[S.B.C./S.D.I.]]*(TabCuotasIMSS[[#This Row],[INC]]+TabCuotasIMSS[[#This Row],[AUS]]))))*CV,((TabCuotasIMSS[[#This Row],[SALARIO
DEL CICLO]]-(TabCuotasIMSS[[#This Row],[S.B.C./S.D.I.]]*(TabCuotasIMSS[[#This Row],[INC]]+TabCuotasIMSS[[#This Row],[AUS]]))))*CVP)</f>
        <v>323.21270025000001</v>
      </c>
      <c r="AJ81">
        <f>IF(TabCuotasIMSS[[#This Row],[S.B.C./S.D.I.]]&lt;=SMGI,0,((TabCuotasIMSS[[#This Row],[SALARIO
DEL CICLO]]-(TabCuotasIMSS[[#This Row],[S.B.C./S.D.I.]]*(TabCuotasIMSS[[#This Row],[INC]]+TabCuotasIMSS[[#This Row],[AUS]]))))*CVO)</f>
        <v>0</v>
      </c>
      <c r="AK81">
        <f>SUM(TabCuotasIMSS[[#This Row],[2%]]:TabCuotasIMSS[[#This Row],[OBRERO14]])</f>
        <v>474.42332025000002</v>
      </c>
      <c r="AL81" s="141">
        <f>((TabCuotasIMSS[[#This Row],[SALARIO
DEL CICLO]]-(TabCuotasIMSS[[#This Row],[S.B.C./S.D.I.]]*(TabCuotasIMSS[[#This Row],[AUS]])))*I)</f>
        <v>378.02655000000004</v>
      </c>
      <c r="AM81" s="141">
        <f>TabCuotasIMSS[[#This Row],[TOTAL
O.P.11]]+TabCuotasIMSS[[#This Row],[2%]]+TabCuotasIMSS[[#This Row],[PATRON13]]+TabCuotasIMSS[[#This Row],[5%]]</f>
        <v>928.05518025000003</v>
      </c>
      <c r="AN81" s="141">
        <f>TabCuotasIMSS[[#This Row],[TOTAL
OBRERO]]+TabCuotasIMSS[[#This Row],[OBRERO14]]</f>
        <v>0</v>
      </c>
    </row>
    <row r="82" spans="1:40" x14ac:dyDescent="0.25">
      <c r="A82" s="2">
        <v>74</v>
      </c>
      <c r="B82" s="1" cm="1">
        <f t="array" ref="B82">VLOOKUP(TabCuotasIMSS[[#This Row],[ID]],TabEmpleados[],COLUMN(TabEmpleados[Fecha de alta NSS]),FALSE)</f>
        <v>44509</v>
      </c>
      <c r="C82" t="str" cm="1">
        <f t="array" ref="C82">VLOOKUP(TabCuotasIMSS[[#This Row],[ID]],TabEmpleados[],COLUMN(TabEmpleados[Nombre]),FALSE)</f>
        <v>SAMARIO PEREZ JESUS FELIPE</v>
      </c>
      <c r="D82" cm="1">
        <f t="array" ref="D82">IF(VLOOKUP(TabCuotasIMSS[[#This Row],[ID]],TabEmpleados[],COLUMN(TabEmpleados[Fecha de alta NSS]),FALSE)&lt;&gt;"",VLOOKUP(TabCuotasIMSS[[#This Row],[ID]],TabAsistencias[],COLUMN(TabAsistencias[''Total de dias laborados]),FALSE),0)</f>
        <v>73</v>
      </c>
      <c r="E82" cm="1">
        <f t="array" ref="E82">IF(VLOOKUP(TabCuotasIMSS[[#This Row],[ID]],TabEmpleados[],COLUMN(TabEmpleados[Fecha de alta NSS]),FALSE)&lt;&gt;"",IF(DATEDIF((VLOOKUP(TabCuotasIMSS[[#This Row],[ID]],TabEmpleados[],COLUMN(TabEmpleados[Fecha de alta NSS]),FALSE)),'Tablas de informacion'!N$8,"Y")=0,1,DATEDIF((VLOOKUP(TabCuotasIMSS[[#This Row],[ID]],TabEmpleados[],COLUMN(TabEmpleados[Fecha de alta NSS]),FALSE)),'Tablas de informacion'!N$8,"Y")),0)</f>
        <v>1</v>
      </c>
      <c r="F82" s="55" cm="1">
        <f t="array" ref="F82">VLOOKUP(TabCuotasIMSS[[#This Row],[ID]],TabEmpleados[],COLUMN(TabEmpleados[SD Fiscal]),FALSE)</f>
        <v>60</v>
      </c>
      <c r="G82" s="55" cm="1">
        <f t="array" ref="G82">IFERROR((VLOOKUP((VLOOKUP(TabCuotasIMSS[[#This Row],[ID]],TabEmpleados[],COLUMN(TabEmpleados[Puesto]),FALSE)),TabPuestos[],COLUMN(TabPuestos[N° ALIMENTOS]),FALSE))*TabCuotasIMSS[[#This Row],[Salario Diario]]*(VLOOKUP(TabCuotasIMSS[[#This Row],[Años]],TabFactorIntegracion[],COLUMN(TabFactorIntegracion[% por alimento]))),0)</f>
        <v>4.9980000000000002</v>
      </c>
      <c r="H82" s="55" cm="1">
        <f t="array" ref="H82">IFERROR((VLOOKUP((VLOOKUP(TabCuotasIMSS[[#This Row],[ID]],TabEmpleados[],COLUMN(TabEmpleados[Puesto]),FALSE)),TabPuestos[],COLUMN(TabPuestos[PRIMA DOMINICAL]),FALSE))*TabCuotasIMSS[[#This Row],[Salario Diario]]*(VLOOKUP(TabCuotasIMSS[[#This Row],[Años]],TabFactorIntegracion[],COLUMN(TabFactorIntegracion[PRIMA
DOMINICAL]))),0)</f>
        <v>1.0890410958904109</v>
      </c>
      <c r="I82" s="55" cm="1">
        <f t="array" ref="I82">IFERROR(TabCuotasIMSS[[#This Row],[Salario Diario]]*(VLOOKUP(TabCuotasIMSS[[#This Row],[Años]],TabFactorIntegracion[],COLUMN(TabFactorIntegracion[FACTOR DE
INTEGRACIÓN]))),0)</f>
        <v>2.9589041095890409</v>
      </c>
      <c r="J82" s="174">
        <f>IFERROR(TabCuotasIMSS[[#This Row],[Salario Diario]]+TabCuotasIMSS[[#This Row],[Alimentos]]+TabCuotasIMSS[[#This Row],[Prima Dominical]]+TabCuotasIMSS[[#This Row],[Factor de Integracion]],0)</f>
        <v>69.045945205479455</v>
      </c>
      <c r="K82" cm="1">
        <f t="array" ref="K82">VLOOKUP(TabCuotasIMSS[[#This Row],[ID]],TabAsistencias[],COLUMN(TabAsistencias[''I]),FALSE)+VLOOKUP(TabCuotasIMSS[[#This Row],[ID]],TabAsistencias[],COLUMN(TabAsistencias[''IG]),FALSE)</f>
        <v>0</v>
      </c>
      <c r="L82" cm="1">
        <f t="array" ref="L82">VLOOKUP(TabCuotasIMSS[[#This Row],[ID]],TabAsistencias[],COLUMN(TabAsistencias[''F]),FALSE)</f>
        <v>0</v>
      </c>
      <c r="M82" s="141">
        <f>TabCuotasIMSS[[#This Row],[S.B.C./S.D.I.]]*TabCuotasIMSS[[#This Row],[DÍAS
LAB.]]</f>
        <v>5040.3540000000003</v>
      </c>
      <c r="N82" s="141">
        <f>(SMDF*CF*(TabCuotasIMSS[[#This Row],[DÍAS
LAB.]]-TabCuotasIMSS[[#This Row],[INC]]))</f>
        <v>1432.90824</v>
      </c>
      <c r="O82" s="55">
        <f>IF(TabCuotasIMSS[[#This Row],[S.B.C./S.D.I.]]&gt;SMDF3,((TabCuotasIMSS[[#This Row],[S.B.C./S.D.I.]]-SMDF3)*CFP*(TabCuotasIMSS[[#This Row],[DÍAS
LAB.]]-TabCuotasIMSS[[#This Row],[INC]])),0)</f>
        <v>0</v>
      </c>
      <c r="P82" s="55">
        <f>IF(TabCuotasIMSS[[#This Row],[S.B.C./S.D.I.]]&gt;SMDF3,((TabCuotasIMSS[[#This Row],[S.B.C./S.D.I.]]-SMDF3)*CFO*(TabCuotasIMSS[[#This Row],[DÍAS
LAB.]]-TabCuotasIMSS[[#This Row],[INC]])),0)</f>
        <v>0</v>
      </c>
      <c r="Q82" s="55">
        <f>TabCuotasIMSS[[#This Row],[EXCED.
PATRON]]+TabCuotasIMSS[[#This Row],[EXCED.
OBRERO]]</f>
        <v>0</v>
      </c>
      <c r="R82" s="55">
        <f>IF(TabCuotasIMSS[[#This Row],[S.B.C./S.D.I.]]&lt;=SMGI,((TabCuotasIMSS[[#This Row],[SALARIO
DEL CICLO]]-(TabCuotasIMSS[[#This Row],[S.B.C./S.D.I.]]*TabCuotasIMSS[[#This Row],[INC]])))*PD,((TabCuotasIMSS[[#This Row],[SALARIO
DEL CICLO]]-(TabCuotasIMSS[[#This Row],[S.B.C./S.D.I.]]*TabCuotasIMSS[[#This Row],[INC]]))*PDP))</f>
        <v>47.883363000000003</v>
      </c>
      <c r="S82" s="55">
        <f>IF(TabCuotasIMSS[[#This Row],[S.B.C./S.D.I.]]&lt;=SMGI,0,((TabCuotasIMSS[[#This Row],[SALARIO
DEL CICLO]]-(TabCuotasIMSS[[#This Row],[S.B.C./S.D.I.]]*TabCuotasIMSS[[#This Row],[INC]]))*PDO))</f>
        <v>0</v>
      </c>
      <c r="T82" s="55">
        <f>TabCuotasIMSS[[#This Row],[PATRON2]]+TabCuotasIMSS[[#This Row],[OBRERO]]</f>
        <v>47.883363000000003</v>
      </c>
      <c r="U82" s="55">
        <f>IF(TabCuotasIMSS[[#This Row],[S.B.C./S.D.I.]]&lt;=SMGI,((TabCuotasIMSS[[#This Row],[SALARIO
DEL CICLO]]-(TabCuotasIMSS[[#This Row],[S.B.C./S.D.I.]]*TabCuotasIMSS[[#This Row],[INC]])))*GMP,((TabCuotasIMSS[[#This Row],[SALARIO
DEL CICLO]]-(TabCuotasIMSS[[#This Row],[S.B.C./S.D.I.]]*TabCuotasIMSS[[#This Row],[INC]])))*GMPP)</f>
        <v>71.825044500000004</v>
      </c>
      <c r="V82" s="55">
        <f>IF(TabCuotasIMSS[[#This Row],[S.B.C./S.D.I.]]&lt;=SMGI,0,((TabCuotasIMSS[[#This Row],[SALARIO
DEL CICLO]]-(TabCuotasIMSS[[#This Row],[S.B.C./S.D.I.]]*TabCuotasIMSS[[#This Row],[INC]])))*GMPO)</f>
        <v>0</v>
      </c>
      <c r="W82" s="55">
        <f>TabCuotasIMSS[[#This Row],[PATRON3]]+TabCuotasIMSS[[#This Row],[OBRERO4]]</f>
        <v>71.825044500000004</v>
      </c>
      <c r="X82" s="141">
        <f>((TabCuotasIMSS[[#This Row],[SALARIO
DEL CICLO]]-(TabCuotasIMSS[[#This Row],[S.B.C./S.D.I.]]*(TabCuotasIMSS[[#This Row],[INC]]+TabCuotasIMSS[[#This Row],[AUS]]))))*PRTP</f>
        <v>2520.1770000000001</v>
      </c>
      <c r="Y82" s="55">
        <f>IF(TabCuotasIMSS[[#This Row],[S.B.C./S.D.I.]]&lt;=SMGI,((TabCuotasIMSS[[#This Row],[SALARIO
DEL CICLO]]-(TabCuotasIMSS[[#This Row],[S.B.C./S.D.I.]]*(TabCuotasIMSS[[#This Row],[INC]]+TabCuotasIMSS[[#This Row],[AUS]]))))*IV,((TabCuotasIMSS[[#This Row],[SALARIO
DEL CICLO]]-(TabCuotasIMSS[[#This Row],[S.B.C./S.D.I.]]*(TabCuotasIMSS[[#This Row],[INC]]+TabCuotasIMSS[[#This Row],[AUS]]))))*IVP)</f>
        <v>119.70840750000001</v>
      </c>
      <c r="Z82" s="55">
        <f>IF(TabCuotasIMSS[[#This Row],[S.B.C./S.D.I.]]&lt;=SMGI,0,((TabCuotasIMSS[[#This Row],[SALARIO
DEL CICLO]]-(TabCuotasIMSS[[#This Row],[S.B.C./S.D.I.]]*(TabCuotasIMSS[[#This Row],[INC]]+TabCuotasIMSS[[#This Row],[AUS]]))))*IVO)</f>
        <v>0</v>
      </c>
      <c r="AA82" s="55">
        <f>TabCuotasIMSS[[#This Row],[PATRON6]]+TabCuotasIMSS[[#This Row],[OBRERO7]]</f>
        <v>119.70840750000001</v>
      </c>
      <c r="AB82" s="141">
        <f>((TabCuotasIMSS[[#This Row],[SALARIO
DEL CICLO]]-(TabCuotasIMSS[[#This Row],[S.B.C./S.D.I.]]*(TabCuotasIMSS[[#This Row],[INC]]+TabCuotasIMSS[[#This Row],[AUS]]))))*GPS</f>
        <v>50.403540000000007</v>
      </c>
      <c r="AC82" s="141">
        <f>TabCuotasIMSS[[#This Row],[SALARIO
DEL CICLO]]*0</f>
        <v>0</v>
      </c>
      <c r="AD82" s="141">
        <f>TabCuotasIMSS[[#This Row],[PATRON9]]+TabCuotasIMSS[[#This Row],[OBRERO10]]</f>
        <v>50.403540000000007</v>
      </c>
      <c r="AE82" s="233">
        <f>TabCuotasIMSS[[#This Row],[PATRON]]+TabCuotasIMSS[[#This Row],[EXCED.
PATRON]]+TabCuotasIMSS[[#This Row],[PATRON2]]+TabCuotasIMSS[[#This Row],[PATRON3]]+TabCuotasIMSS[[#This Row],[PATRON
0.50%]]+TabCuotasIMSS[[#This Row],[PATRON6]]+TabCuotasIMSS[[#This Row],[PATRON9]]</f>
        <v>4242.9055950000002</v>
      </c>
      <c r="AF82" s="233">
        <f>TabCuotasIMSS[[#This Row],[EXCED.
OBRERO]]+TabCuotasIMSS[[#This Row],[OBRERO]]+TabCuotasIMSS[[#This Row],[OBRERO4]]+TabCuotasIMSS[[#This Row],[OBRERO7]]+TabCuotasIMSS[[#This Row],[OBRERO10]]</f>
        <v>0</v>
      </c>
      <c r="AG82" s="233">
        <f>TabCuotasIMSS[[#This Row],[TOTAL
PATRONAL]]+TabCuotasIMSS[[#This Row],[TOTAL
OBRERO]]</f>
        <v>4242.9055950000002</v>
      </c>
      <c r="AH82" s="141">
        <f>((TabCuotasIMSS[[#This Row],[SALARIO
DEL CICLO]]-(TabCuotasIMSS[[#This Row],[S.B.C./S.D.I.]]*TabCuotasIMSS[[#This Row],[AUS]]))*R_)</f>
        <v>100.80708000000001</v>
      </c>
      <c r="AI82">
        <f>IF(TabCuotasIMSS[[#This Row],[S.B.C./S.D.I.]]&lt;=SMGI,((TabCuotasIMSS[[#This Row],[SALARIO
DEL CICLO]]-(TabCuotasIMSS[[#This Row],[S.B.C./S.D.I.]]*(TabCuotasIMSS[[#This Row],[INC]]+TabCuotasIMSS[[#This Row],[AUS]]))))*CV,((TabCuotasIMSS[[#This Row],[SALARIO
DEL CICLO]]-(TabCuotasIMSS[[#This Row],[S.B.C./S.D.I.]]*(TabCuotasIMSS[[#This Row],[INC]]+TabCuotasIMSS[[#This Row],[AUS]]))))*CVP)</f>
        <v>215.47513350000003</v>
      </c>
      <c r="AJ82">
        <f>IF(TabCuotasIMSS[[#This Row],[S.B.C./S.D.I.]]&lt;=SMGI,0,((TabCuotasIMSS[[#This Row],[SALARIO
DEL CICLO]]-(TabCuotasIMSS[[#This Row],[S.B.C./S.D.I.]]*(TabCuotasIMSS[[#This Row],[INC]]+TabCuotasIMSS[[#This Row],[AUS]]))))*CVO)</f>
        <v>0</v>
      </c>
      <c r="AK82">
        <f>SUM(TabCuotasIMSS[[#This Row],[2%]]:TabCuotasIMSS[[#This Row],[OBRERO14]])</f>
        <v>316.28221350000001</v>
      </c>
      <c r="AL82" s="141">
        <f>((TabCuotasIMSS[[#This Row],[SALARIO
DEL CICLO]]-(TabCuotasIMSS[[#This Row],[S.B.C./S.D.I.]]*(TabCuotasIMSS[[#This Row],[AUS]])))*I)</f>
        <v>252.01770000000002</v>
      </c>
      <c r="AM82" s="141">
        <f>TabCuotasIMSS[[#This Row],[TOTAL
O.P.11]]+TabCuotasIMSS[[#This Row],[2%]]+TabCuotasIMSS[[#This Row],[PATRON13]]+TabCuotasIMSS[[#This Row],[5%]]</f>
        <v>618.70345350000002</v>
      </c>
      <c r="AN82" s="141">
        <f>TabCuotasIMSS[[#This Row],[TOTAL
OBRERO]]+TabCuotasIMSS[[#This Row],[OBRERO14]]</f>
        <v>0</v>
      </c>
    </row>
    <row r="83" spans="1:40" x14ac:dyDescent="0.25">
      <c r="A83" s="2">
        <v>75</v>
      </c>
      <c r="B83" s="1" cm="1">
        <f t="array" ref="B83">VLOOKUP(TabCuotasIMSS[[#This Row],[ID]],TabEmpleados[],COLUMN(TabEmpleados[Fecha de alta NSS]),FALSE)</f>
        <v>44874</v>
      </c>
      <c r="C83" t="str" cm="1">
        <f t="array" ref="C83">VLOOKUP(TabCuotasIMSS[[#This Row],[ID]],TabEmpleados[],COLUMN(TabEmpleados[Nombre]),FALSE)</f>
        <v xml:space="preserve">RUIZ MIJANGOS ISABEL </v>
      </c>
      <c r="D83" cm="1">
        <f t="array" ref="D83">IF(VLOOKUP(TabCuotasIMSS[[#This Row],[ID]],TabEmpleados[],COLUMN(TabEmpleados[Fecha de alta NSS]),FALSE)&lt;&gt;"",VLOOKUP(TabCuotasIMSS[[#This Row],[ID]],TabAsistencias[],COLUMN(TabAsistencias[''Total de dias laborados]),FALSE),0)</f>
        <v>73</v>
      </c>
      <c r="E83" cm="1">
        <f t="array" ref="E83">IF(VLOOKUP(TabCuotasIMSS[[#This Row],[ID]],TabEmpleados[],COLUMN(TabEmpleados[Fecha de alta NSS]),FALSE)&lt;&gt;"",IF(DATEDIF((VLOOKUP(TabCuotasIMSS[[#This Row],[ID]],TabEmpleados[],COLUMN(TabEmpleados[Fecha de alta NSS]),FALSE)),'Tablas de informacion'!N$8,"Y")=0,1,DATEDIF((VLOOKUP(TabCuotasIMSS[[#This Row],[ID]],TabEmpleados[],COLUMN(TabEmpleados[Fecha de alta NSS]),FALSE)),'Tablas de informacion'!N$8,"Y")),0)</f>
        <v>1</v>
      </c>
      <c r="F83" s="55" cm="1">
        <f t="array" ref="F83">VLOOKUP(TabCuotasIMSS[[#This Row],[ID]],TabEmpleados[],COLUMN(TabEmpleados[SD Fiscal]),FALSE)</f>
        <v>206</v>
      </c>
      <c r="G83" s="55" cm="1">
        <f t="array" ref="G83">IFERROR((VLOOKUP((VLOOKUP(TabCuotasIMSS[[#This Row],[ID]],TabEmpleados[],COLUMN(TabEmpleados[Puesto]),FALSE)),TabPuestos[],COLUMN(TabPuestos[N° ALIMENTOS]),FALSE))*TabCuotasIMSS[[#This Row],[Salario Diario]]*(VLOOKUP(TabCuotasIMSS[[#This Row],[Años]],TabFactorIntegracion[],COLUMN(TabFactorIntegracion[% por alimento]))),0)</f>
        <v>17.159800000000001</v>
      </c>
      <c r="H83" s="55" cm="1">
        <f t="array" ref="H83">IFERROR((VLOOKUP((VLOOKUP(TabCuotasIMSS[[#This Row],[ID]],TabEmpleados[],COLUMN(TabEmpleados[Puesto]),FALSE)),TabPuestos[],COLUMN(TabPuestos[PRIMA DOMINICAL]),FALSE))*TabCuotasIMSS[[#This Row],[Salario Diario]]*(VLOOKUP(TabCuotasIMSS[[#This Row],[Años]],TabFactorIntegracion[],COLUMN(TabFactorIntegracion[PRIMA
DOMINICAL]))),0)</f>
        <v>3.7390410958904106</v>
      </c>
      <c r="I83" s="55" cm="1">
        <f t="array" ref="I83">IFERROR(TabCuotasIMSS[[#This Row],[Salario Diario]]*(VLOOKUP(TabCuotasIMSS[[#This Row],[Años]],TabFactorIntegracion[],COLUMN(TabFactorIntegracion[FACTOR DE
INTEGRACIÓN]))),0)</f>
        <v>10.158904109589042</v>
      </c>
      <c r="J83" s="174">
        <f>IFERROR(TabCuotasIMSS[[#This Row],[Salario Diario]]+TabCuotasIMSS[[#This Row],[Alimentos]]+TabCuotasIMSS[[#This Row],[Prima Dominical]]+TabCuotasIMSS[[#This Row],[Factor de Integracion]],0)</f>
        <v>237.05774520547942</v>
      </c>
      <c r="K83" cm="1">
        <f t="array" ref="K83">VLOOKUP(TabCuotasIMSS[[#This Row],[ID]],TabAsistencias[],COLUMN(TabAsistencias[''I]),FALSE)+VLOOKUP(TabCuotasIMSS[[#This Row],[ID]],TabAsistencias[],COLUMN(TabAsistencias[''IG]),FALSE)</f>
        <v>0</v>
      </c>
      <c r="L83" cm="1">
        <f t="array" ref="L83">VLOOKUP(TabCuotasIMSS[[#This Row],[ID]],TabAsistencias[],COLUMN(TabAsistencias[''F]),FALSE)</f>
        <v>0</v>
      </c>
      <c r="M83" s="141">
        <f>TabCuotasIMSS[[#This Row],[S.B.C./S.D.I.]]*TabCuotasIMSS[[#This Row],[DÍAS
LAB.]]</f>
        <v>17305.215399999997</v>
      </c>
      <c r="N83" s="141">
        <f>(SMDF*CF*(TabCuotasIMSS[[#This Row],[DÍAS
LAB.]]-TabCuotasIMSS[[#This Row],[INC]]))</f>
        <v>1432.90824</v>
      </c>
      <c r="O83" s="55">
        <f>IF(TabCuotasIMSS[[#This Row],[S.B.C./S.D.I.]]&gt;SMDF3,((TabCuotasIMSS[[#This Row],[S.B.C./S.D.I.]]-SMDF3)*CFP*(TabCuotasIMSS[[#This Row],[DÍAS
LAB.]]-TabCuotasIMSS[[#This Row],[INC]])),0)</f>
        <v>0</v>
      </c>
      <c r="P83" s="55">
        <f>IF(TabCuotasIMSS[[#This Row],[S.B.C./S.D.I.]]&gt;SMDF3,((TabCuotasIMSS[[#This Row],[S.B.C./S.D.I.]]-SMDF3)*CFO*(TabCuotasIMSS[[#This Row],[DÍAS
LAB.]]-TabCuotasIMSS[[#This Row],[INC]])),0)</f>
        <v>0</v>
      </c>
      <c r="Q83" s="55">
        <f>TabCuotasIMSS[[#This Row],[EXCED.
PATRON]]+TabCuotasIMSS[[#This Row],[EXCED.
OBRERO]]</f>
        <v>0</v>
      </c>
      <c r="R83" s="55">
        <f>IF(TabCuotasIMSS[[#This Row],[S.B.C./S.D.I.]]&lt;=SMGI,((TabCuotasIMSS[[#This Row],[SALARIO
DEL CICLO]]-(TabCuotasIMSS[[#This Row],[S.B.C./S.D.I.]]*TabCuotasIMSS[[#This Row],[INC]])))*PD,((TabCuotasIMSS[[#This Row],[SALARIO
DEL CICLO]]-(TabCuotasIMSS[[#This Row],[S.B.C./S.D.I.]]*TabCuotasIMSS[[#This Row],[INC]]))*PDP))</f>
        <v>121.13650779999999</v>
      </c>
      <c r="S83" s="55">
        <f>IF(TabCuotasIMSS[[#This Row],[S.B.C./S.D.I.]]&lt;=SMGI,0,((TabCuotasIMSS[[#This Row],[SALARIO
DEL CICLO]]-(TabCuotasIMSS[[#This Row],[S.B.C./S.D.I.]]*TabCuotasIMSS[[#This Row],[INC]]))*PDO))</f>
        <v>43.263038499999993</v>
      </c>
      <c r="T83" s="55">
        <f>TabCuotasIMSS[[#This Row],[PATRON2]]+TabCuotasIMSS[[#This Row],[OBRERO]]</f>
        <v>164.3995463</v>
      </c>
      <c r="U83" s="55">
        <f>IF(TabCuotasIMSS[[#This Row],[S.B.C./S.D.I.]]&lt;=SMGI,((TabCuotasIMSS[[#This Row],[SALARIO
DEL CICLO]]-(TabCuotasIMSS[[#This Row],[S.B.C./S.D.I.]]*TabCuotasIMSS[[#This Row],[INC]])))*GMP,((TabCuotasIMSS[[#This Row],[SALARIO
DEL CICLO]]-(TabCuotasIMSS[[#This Row],[S.B.C./S.D.I.]]*TabCuotasIMSS[[#This Row],[INC]])))*GMPP)</f>
        <v>181.70476169999998</v>
      </c>
      <c r="V83" s="55">
        <f>IF(TabCuotasIMSS[[#This Row],[S.B.C./S.D.I.]]&lt;=SMGI,0,((TabCuotasIMSS[[#This Row],[SALARIO
DEL CICLO]]-(TabCuotasIMSS[[#This Row],[S.B.C./S.D.I.]]*TabCuotasIMSS[[#This Row],[INC]])))*GMPO)</f>
        <v>64.89455774999999</v>
      </c>
      <c r="W83" s="55">
        <f>TabCuotasIMSS[[#This Row],[PATRON3]]+TabCuotasIMSS[[#This Row],[OBRERO4]]</f>
        <v>246.59931944999997</v>
      </c>
      <c r="X83" s="141">
        <f>((TabCuotasIMSS[[#This Row],[SALARIO
DEL CICLO]]-(TabCuotasIMSS[[#This Row],[S.B.C./S.D.I.]]*(TabCuotasIMSS[[#This Row],[INC]]+TabCuotasIMSS[[#This Row],[AUS]]))))*PRTP</f>
        <v>8652.6076999999987</v>
      </c>
      <c r="Y83" s="55">
        <f>IF(TabCuotasIMSS[[#This Row],[S.B.C./S.D.I.]]&lt;=SMGI,((TabCuotasIMSS[[#This Row],[SALARIO
DEL CICLO]]-(TabCuotasIMSS[[#This Row],[S.B.C./S.D.I.]]*(TabCuotasIMSS[[#This Row],[INC]]+TabCuotasIMSS[[#This Row],[AUS]]))))*IV,((TabCuotasIMSS[[#This Row],[SALARIO
DEL CICLO]]-(TabCuotasIMSS[[#This Row],[S.B.C./S.D.I.]]*(TabCuotasIMSS[[#This Row],[INC]]+TabCuotasIMSS[[#This Row],[AUS]]))))*IVP)</f>
        <v>302.84126950000001</v>
      </c>
      <c r="Z83" s="55">
        <f>IF(TabCuotasIMSS[[#This Row],[S.B.C./S.D.I.]]&lt;=SMGI,0,((TabCuotasIMSS[[#This Row],[SALARIO
DEL CICLO]]-(TabCuotasIMSS[[#This Row],[S.B.C./S.D.I.]]*(TabCuotasIMSS[[#This Row],[INC]]+TabCuotasIMSS[[#This Row],[AUS]]))))*IVO)</f>
        <v>108.15759624999998</v>
      </c>
      <c r="AA83" s="55">
        <f>TabCuotasIMSS[[#This Row],[PATRON6]]+TabCuotasIMSS[[#This Row],[OBRERO7]]</f>
        <v>410.99886574999999</v>
      </c>
      <c r="AB83" s="141">
        <f>((TabCuotasIMSS[[#This Row],[SALARIO
DEL CICLO]]-(TabCuotasIMSS[[#This Row],[S.B.C./S.D.I.]]*(TabCuotasIMSS[[#This Row],[INC]]+TabCuotasIMSS[[#This Row],[AUS]]))))*GPS</f>
        <v>173.05215399999997</v>
      </c>
      <c r="AC83" s="141">
        <f>TabCuotasIMSS[[#This Row],[SALARIO
DEL CICLO]]*0</f>
        <v>0</v>
      </c>
      <c r="AD83" s="141">
        <f>TabCuotasIMSS[[#This Row],[PATRON9]]+TabCuotasIMSS[[#This Row],[OBRERO10]]</f>
        <v>173.05215399999997</v>
      </c>
      <c r="AE83" s="233">
        <f>TabCuotasIMSS[[#This Row],[PATRON]]+TabCuotasIMSS[[#This Row],[EXCED.
PATRON]]+TabCuotasIMSS[[#This Row],[PATRON2]]+TabCuotasIMSS[[#This Row],[PATRON3]]+TabCuotasIMSS[[#This Row],[PATRON
0.50%]]+TabCuotasIMSS[[#This Row],[PATRON6]]+TabCuotasIMSS[[#This Row],[PATRON9]]</f>
        <v>10864.250633</v>
      </c>
      <c r="AF83" s="233">
        <f>TabCuotasIMSS[[#This Row],[EXCED.
OBRERO]]+TabCuotasIMSS[[#This Row],[OBRERO]]+TabCuotasIMSS[[#This Row],[OBRERO4]]+TabCuotasIMSS[[#This Row],[OBRERO7]]+TabCuotasIMSS[[#This Row],[OBRERO10]]</f>
        <v>216.31519249999997</v>
      </c>
      <c r="AG83" s="233">
        <f>TabCuotasIMSS[[#This Row],[TOTAL
PATRONAL]]+TabCuotasIMSS[[#This Row],[TOTAL
OBRERO]]</f>
        <v>11080.5658255</v>
      </c>
      <c r="AH83" s="141">
        <f>((TabCuotasIMSS[[#This Row],[SALARIO
DEL CICLO]]-(TabCuotasIMSS[[#This Row],[S.B.C./S.D.I.]]*TabCuotasIMSS[[#This Row],[AUS]]))*R_)</f>
        <v>346.10430799999995</v>
      </c>
      <c r="AI83">
        <f>IF(TabCuotasIMSS[[#This Row],[S.B.C./S.D.I.]]&lt;=SMGI,((TabCuotasIMSS[[#This Row],[SALARIO
DEL CICLO]]-(TabCuotasIMSS[[#This Row],[S.B.C./S.D.I.]]*(TabCuotasIMSS[[#This Row],[INC]]+TabCuotasIMSS[[#This Row],[AUS]]))))*CV,((TabCuotasIMSS[[#This Row],[SALARIO
DEL CICLO]]-(TabCuotasIMSS[[#This Row],[S.B.C./S.D.I.]]*(TabCuotasIMSS[[#This Row],[INC]]+TabCuotasIMSS[[#This Row],[AUS]]))))*CVP)</f>
        <v>545.11428509999996</v>
      </c>
      <c r="AJ83">
        <f>IF(TabCuotasIMSS[[#This Row],[S.B.C./S.D.I.]]&lt;=SMGI,0,((TabCuotasIMSS[[#This Row],[SALARIO
DEL CICLO]]-(TabCuotasIMSS[[#This Row],[S.B.C./S.D.I.]]*(TabCuotasIMSS[[#This Row],[INC]]+TabCuotasIMSS[[#This Row],[AUS]]))))*CVO)</f>
        <v>194.68367324999997</v>
      </c>
      <c r="AK83">
        <f>SUM(TabCuotasIMSS[[#This Row],[2%]]:TabCuotasIMSS[[#This Row],[OBRERO14]])</f>
        <v>1085.90226635</v>
      </c>
      <c r="AL83" s="141">
        <f>((TabCuotasIMSS[[#This Row],[SALARIO
DEL CICLO]]-(TabCuotasIMSS[[#This Row],[S.B.C./S.D.I.]]*(TabCuotasIMSS[[#This Row],[AUS]])))*I)</f>
        <v>865.26076999999987</v>
      </c>
      <c r="AM83" s="141">
        <f>TabCuotasIMSS[[#This Row],[TOTAL
O.P.11]]+TabCuotasIMSS[[#This Row],[2%]]+TabCuotasIMSS[[#This Row],[PATRON13]]+TabCuotasIMSS[[#This Row],[5%]]</f>
        <v>1929.5315170999997</v>
      </c>
      <c r="AN83" s="141">
        <f>TabCuotasIMSS[[#This Row],[TOTAL
OBRERO]]+TabCuotasIMSS[[#This Row],[OBRERO14]]</f>
        <v>410.99886574999994</v>
      </c>
    </row>
  </sheetData>
  <mergeCells count="10">
    <mergeCell ref="N6:Q7"/>
    <mergeCell ref="R6:T7"/>
    <mergeCell ref="U6:W7"/>
    <mergeCell ref="Y5:AA7"/>
    <mergeCell ref="AM3:AM4"/>
    <mergeCell ref="E1:AL4"/>
    <mergeCell ref="N5:W5"/>
    <mergeCell ref="AI5:AK7"/>
    <mergeCell ref="AM5:AN7"/>
    <mergeCell ref="AB5:AD7"/>
  </mergeCells>
  <phoneticPr fontId="7" type="noConversion"/>
  <conditionalFormatting sqref="A9:A83">
    <cfRule type="duplicateValues" dxfId="66" priority="1"/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D9D38E-CA46-4133-BBFD-946330124F3F}">
  <sheetPr codeName="Hoja8">
    <tabColor rgb="FFFFFF00"/>
  </sheetPr>
  <dimension ref="A1:Z77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E16" sqref="E16"/>
    </sheetView>
  </sheetViews>
  <sheetFormatPr baseColWidth="10" defaultRowHeight="15" x14ac:dyDescent="0.25"/>
  <cols>
    <col min="1" max="1" width="5.7109375" customWidth="1"/>
    <col min="2" max="2" width="39.7109375" bestFit="1" customWidth="1"/>
    <col min="3" max="9" width="12" customWidth="1"/>
    <col min="10" max="10" width="11.85546875" customWidth="1"/>
    <col min="11" max="11" width="8" style="43" customWidth="1"/>
    <col min="12" max="12" width="12.28515625" customWidth="1"/>
    <col min="13" max="13" width="10.85546875" customWidth="1"/>
    <col min="14" max="14" width="12.42578125" customWidth="1"/>
    <col min="15" max="15" width="9" customWidth="1"/>
    <col min="16" max="16" width="14.85546875" customWidth="1"/>
    <col min="17" max="18" width="14.85546875" hidden="1" customWidth="1"/>
    <col min="19" max="19" width="12.7109375" customWidth="1"/>
    <col min="20" max="25" width="12.7109375" hidden="1" customWidth="1"/>
    <col min="26" max="26" width="15.42578125" customWidth="1"/>
    <col min="27" max="27" width="24.7109375" bestFit="1" customWidth="1"/>
    <col min="28" max="379" width="11.5703125" customWidth="1"/>
  </cols>
  <sheetData>
    <row r="1" spans="1:26" ht="32.450000000000003" customHeight="1" thickBot="1" x14ac:dyDescent="0.3">
      <c r="A1" s="401" t="s">
        <v>366</v>
      </c>
      <c r="B1" s="401"/>
      <c r="C1" s="401"/>
      <c r="D1" s="401"/>
      <c r="E1" s="401"/>
      <c r="F1" s="401"/>
      <c r="G1" s="401"/>
      <c r="H1" s="401"/>
      <c r="I1" s="401"/>
      <c r="J1" s="401"/>
      <c r="K1" s="401"/>
      <c r="L1" s="401"/>
      <c r="M1" s="401"/>
      <c r="N1" s="401"/>
      <c r="O1" s="401"/>
      <c r="P1" s="401"/>
      <c r="Q1" s="401"/>
      <c r="R1" s="401"/>
      <c r="S1" s="401"/>
      <c r="T1" s="235"/>
      <c r="U1" s="235"/>
      <c r="V1" s="235"/>
      <c r="W1" s="235"/>
      <c r="X1" s="235"/>
      <c r="Y1" s="235"/>
      <c r="Z1" s="242"/>
    </row>
    <row r="2" spans="1:26" ht="47.45" customHeight="1" thickBot="1" x14ac:dyDescent="0.3">
      <c r="A2" s="199" t="s">
        <v>103</v>
      </c>
      <c r="B2" s="200" t="s">
        <v>0</v>
      </c>
      <c r="C2" s="200" t="s">
        <v>184</v>
      </c>
      <c r="D2" s="200" t="s">
        <v>391</v>
      </c>
      <c r="E2" s="200" t="s">
        <v>390</v>
      </c>
      <c r="F2" s="200" t="s">
        <v>362</v>
      </c>
      <c r="G2" s="200" t="s">
        <v>393</v>
      </c>
      <c r="H2" s="200" t="s">
        <v>392</v>
      </c>
      <c r="I2" s="200" t="s">
        <v>185</v>
      </c>
      <c r="J2" s="200" t="s">
        <v>186</v>
      </c>
      <c r="K2" s="208" t="s">
        <v>187</v>
      </c>
      <c r="L2" s="200" t="s">
        <v>188</v>
      </c>
      <c r="M2" s="200" t="s">
        <v>189</v>
      </c>
      <c r="N2" s="200" t="s">
        <v>410</v>
      </c>
      <c r="O2" s="200" t="s">
        <v>190</v>
      </c>
      <c r="P2" s="243" t="s">
        <v>394</v>
      </c>
      <c r="Q2" s="237" t="s">
        <v>398</v>
      </c>
      <c r="R2" s="238" t="s">
        <v>399</v>
      </c>
      <c r="S2" s="239" t="s">
        <v>400</v>
      </c>
      <c r="T2" s="237" t="s">
        <v>402</v>
      </c>
      <c r="U2" s="238" t="s">
        <v>403</v>
      </c>
      <c r="V2" s="238" t="s">
        <v>404</v>
      </c>
      <c r="W2" s="238" t="s">
        <v>405</v>
      </c>
      <c r="X2" s="238" t="s">
        <v>406</v>
      </c>
      <c r="Y2" s="238" t="s">
        <v>407</v>
      </c>
      <c r="Z2" s="239" t="s">
        <v>401</v>
      </c>
    </row>
    <row r="3" spans="1:26" x14ac:dyDescent="0.25">
      <c r="A3" s="30">
        <v>1</v>
      </c>
      <c r="B3" s="30" t="str" cm="1">
        <f t="array" ref="B3">VLOOKUP(A3,TabEmpleados[],COLUMN(TabEmpleados[Nombre]),FALSE)</f>
        <v>RUIZ OLMEDO ALEJANDRO AMADO</v>
      </c>
      <c r="C3" s="54" cm="1">
        <f t="array" ref="C3">(VLOOKUP(TabImpuestos[[#This Row],[ID]],TabEmpleados[],COLUMN(TabEmpleados[SD Fiscal]))*VLOOKUP(TabImpuestos[[#This Row],[ID]],TabAsistencias[],COLUMN(TabAsistencias[''Total de dias laborados])))+
TabImpuestos[[#This Row],[Bono Asistencia]]+TabImpuestos[[#This Row],[Bono Puntualidad]]+TabImpuestos[[#This Row],[Prima Dominical]]+TabImpuestos[[#This Row],[Prima Vacacional]]+TabImpuestos[[#This Row],[Bono Festivo/ Descanso]]</f>
        <v>161184</v>
      </c>
      <c r="D3" s="54" cm="1">
        <f t="array" ref="D3">VLOOKUP(TabImpuestos[[#This Row],[ID]],TabDesSalariosFiscal[],COLUMN(TabDesSalariosFiscal[Bono Asistencia]),FALSE)</f>
        <v>13979.5</v>
      </c>
      <c r="E3" s="54" cm="1">
        <f t="array" ref="E3">VLOOKUP(TabImpuestos[[#This Row],[ID]],TabDesSalariosFiscal[],COLUMN(TabDesSalariosFiscal[Bono Puntualidad]),FALSE)</f>
        <v>13979.5</v>
      </c>
      <c r="F3" s="54" cm="1">
        <f t="array" ref="F3">IF(VLOOKUP(TabImpuestos[[#This Row],[ID]],TabDesSalariosFiscal[],COLUMN(TabDesSalariosFiscal[Prima dominical]),FALSE)-SMDF&lt;0,0,VLOOKUP(TabImpuestos[[#This Row],[ID]],TabDesSalariosFiscal[],COLUMN(TabDesSalariosFiscal[Prima dominical]),FALSE)-SMDF)</f>
        <v>0</v>
      </c>
      <c r="G3" s="54" cm="1">
        <f t="array" ref="G3">IF(VLOOKUP(TabImpuestos[[#This Row],[ID]],TabDesSalariosFiscal[],COLUMN(TabDesSalariosFiscal[Prima vacacional]),FALSE)-(15*SMDF)&lt;0,0,VLOOKUP(TabImpuestos[[#This Row],[ID]],TabDesSalariosFiscal[],COLUMN(TabDesSalariosFiscal[Prima vacacional]),FALSE)-(15*SMDF))</f>
        <v>0</v>
      </c>
      <c r="H3" s="54" cm="1">
        <f t="array" ref="H3">(VLOOKUP(TabImpuestos[[#This Row],[ID]],TabDesSalariosFiscal[],COLUMN(TabDesSalariosFiscal[Dia Festivo/ Descanso]),FALSE)*50%)</f>
        <v>0</v>
      </c>
      <c r="I3" s="54" cm="1">
        <f t="array" ref="I3">IFERROR(VLOOKUP(TabImpuestos[[#This Row],[Base Gravable]],TabISR[],COLUMN(TabISR[Límite inferior])),0)</f>
        <v>61838.11</v>
      </c>
      <c r="J3" s="54">
        <f>IFERROR(TabImpuestos[[#This Row],[Base Gravable]]-TabImpuestos[[#This Row],[(-) Lim. Inferior]],0)</f>
        <v>99345.89</v>
      </c>
      <c r="K3" s="236" cm="1">
        <f t="array" ref="K3">IFERROR(VLOOKUP(TabImpuestos[[#This Row],[Base Gravable]],TabISR[],COLUMN(TabISR[Por ciento para aplicarse sobre el excedente del límite inferior])),0)</f>
        <v>0.34</v>
      </c>
      <c r="L3" s="54">
        <f>IFERROR(TabImpuestos[[#This Row],[EXC. Lim. Inferior]]*TabImpuestos[[#This Row],[(*) % Lim. Inf.]],0)</f>
        <v>33777.602600000006</v>
      </c>
      <c r="M3" s="54" cm="1">
        <f t="array" ref="M3">IFERROR(VLOOKUP(TabImpuestos[[#This Row],[Base Gravable]],TabISR[],COLUMN(TabISR[Cuota fija])),0)</f>
        <v>16130.55</v>
      </c>
      <c r="N3" s="54">
        <f>IFERROR(TabImpuestos[[#This Row],[Impuesto marginal]]+TabImpuestos[[#This Row],[(+) Cuota Fija]],0)</f>
        <v>49908.152600000001</v>
      </c>
      <c r="O3" s="54" cm="1">
        <f t="array" ref="O3">IFERROR(VLOOKUP(TabImpuestos[[#This Row],[Base Gravable]],TabSubsidio[],COLUMN(TabSubsidio[SUBSIDIO])),0)</f>
        <v>0</v>
      </c>
      <c r="P3" s="54">
        <f>IFERROR(TabImpuestos[[#This Row],[Imp. Art. 96 ISR]]-TabImpuestos[[#This Row],[(-) Subsidio para el empleo]],0)</f>
        <v>49908.152600000001</v>
      </c>
      <c r="Q3" s="54" cm="1">
        <f t="array" ref="Q3">IF('Desglose Salarios Fiscal'!$Q$1=1,TabImpuestos[[#This Row],[Ingreso ordinario]]+((15*VLOOKUP(TabImpuestos[[#This Row],[ID]],TabEmpleados[],COLUMN(TabEmpleados[SD Fiscal]),FALSE))-(30*SMDF)),0)</f>
        <v>79968.399999999994</v>
      </c>
      <c r="R3" s="54" cm="1">
        <f t="array" ref="R3">IF('Desglose Salarios Fiscal'!$Q$1=1,(VLOOKUP(TabImpuestos[[#This Row],[ID]],TabEmpleados[],COLUMN(TabEmpleados[SD Fiscal]),FALSE)*30.4)-TabImpuestos[[#This Row],[(-) Subsidio para el empleo]],0)</f>
        <v>55480</v>
      </c>
      <c r="S3" s="54" cm="1">
        <f t="array" ref="S3">IFERROR(IF('Desglose Salarios Fiscal'!$Q$1=1,IFERROR((((TabImpuestos[[#This Row],[Ingreso Neto]]-(VLOOKUP(TabImpuestos[[#This Row],[Ingreso Neto]],TabISR[],COLUMN(TabISR[Límite inferior]))))*(VLOOKUP(TabImpuestos[[#This Row],[Ingreso Neto]],TabISR[],COLUMN(TabISR[Por ciento para aplicarse sobre el excedente del límite inferior]))))+(VLOOKUP(TabImpuestos[[#This Row],[Ingreso Neto]],TabISR[],COLUMN(TabISR[Cuota fija]))))-(((TabImpuestos[[#This Row],[Ingreso ordinario]]-(VLOOKUP(TabImpuestos[[#This Row],[Ingreso ordinario]],TabISR[],COLUMN(TabISR[Límite inferior]))))*(VLOOKUP(TabImpuestos[[#This Row],[Ingreso ordinario]],TabISR[],COLUMN(TabISR[Por ciento para aplicarse sobre el excedente del límite inferior]))))+(VLOOKUP(TabImpuestos[[#This Row],[Ingreso ordinario]],TabISR[],COLUMN(TabISR[Cuota fija])))),0),0),0)</f>
        <v>8198.9717999999993</v>
      </c>
      <c r="T3" s="54" cm="1">
        <f t="array" ref="T3">((15*VLOOKUP(TabImpuestos[[#This Row],[ID]],TabEmpleados[],COLUMN(TabEmpleados[SD Fiscal]),FALSE))-(30*SMDF))/365*30.4</f>
        <v>2039.5818082191779</v>
      </c>
      <c r="U3" s="54">
        <f>TabImpuestos[[#This Row],[Ingreso ordinario]]+TabImpuestos[[#This Row],[Aguinaldo Gravado Mensual]]</f>
        <v>57519.581808219176</v>
      </c>
      <c r="V3" s="54" cm="1">
        <f t="array" ref="V3">(((TabImpuestos[[#This Row],[Ingresos totales]]-(VLOOKUP(TabImpuestos[[#This Row],[Ingresos totales]],TabISR[],COLUMN(TabISR[Límite inferior]))))*(VLOOKUP(TabImpuestos[[#This Row],[Ingresos totales]],TabISR[],COLUMN(TabISR[Por ciento para aplicarse sobre el excedente del límite inferior]))))+(VLOOKUP(TabImpuestos[[#This Row],[Ingresos totales]],TabISR[],COLUMN(TabISR[Cuota fija]))))</f>
        <v>14748.542978630136</v>
      </c>
      <c r="W3" s="54" cm="1">
        <f t="array" ref="W3">(((TabImpuestos[[#This Row],[Ingreso ordinario]]-(VLOOKUP(TabImpuestos[[#This Row],[Ingreso ordinario]],TabISR[],COLUMN(TabISR[Límite inferior]))))*(VLOOKUP(TabImpuestos[[#This Row],[Ingreso ordinario]],TabISR[],COLUMN(TabISR[Por ciento para aplicarse sobre el excedente del límite inferior]))))+(VLOOKUP(TabImpuestos[[#This Row],[Ingreso ordinario]],TabISR[],COLUMN(TabISR[Cuota fija]))))</f>
        <v>14095.876799999998</v>
      </c>
      <c r="X3" s="54">
        <f>TabImpuestos[[#This Row],[ISR Por ingresos totales]]-TabImpuestos[[#This Row],[ISR por ingreso ordinario]]</f>
        <v>652.66617863013744</v>
      </c>
      <c r="Y3" s="236">
        <f>TabImpuestos[[#This Row],[Diferencia de ISR''s]]/TabImpuestos[[#This Row],[Aguinaldo Gravado Mensual]]</f>
        <v>0.32000000000000023</v>
      </c>
      <c r="Z3" s="54" cm="1">
        <f t="array" ref="Z3">IFERROR(IF('Desglose Salarios Fiscal'!$Q$1=1,((15*VLOOKUP(TabImpuestos[[#This Row],[ID]],TabEmpleados[],COLUMN(TabEmpleados[SD Fiscal]),FALSE))-(30*SMDF))*TabImpuestos[[#This Row],[Tasa D %]],0),0)</f>
        <v>7836.2880000000059</v>
      </c>
    </row>
    <row r="4" spans="1:26" x14ac:dyDescent="0.25">
      <c r="A4">
        <f>A3+1</f>
        <v>2</v>
      </c>
      <c r="B4" t="str" cm="1">
        <f t="array" ref="B4">VLOOKUP(A4,TabEmpleados[],COLUMN(TabEmpleados[Nombre]),FALSE)</f>
        <v>RUIZ OLMEDO MARCO ANTONIO</v>
      </c>
      <c r="C4" s="54" cm="1">
        <f t="array" ref="C4">(VLOOKUP(TabImpuestos[[#This Row],[ID]],TabEmpleados[],COLUMN(TabEmpleados[SD Fiscal]))*VLOOKUP(TabImpuestos[[#This Row],[ID]],TabAsistencias[],COLUMN(TabAsistencias[''Total de dias laborados])))+
TabImpuestos[[#This Row],[Bono Asistencia]]+TabImpuestos[[#This Row],[Bono Puntualidad]]+TabImpuestos[[#This Row],[Prima Dominical]]+TabImpuestos[[#This Row],[Prima Vacacional]]+TabImpuestos[[#This Row],[Bono Festivo/ Descanso]]</f>
        <v>163549.52850000001</v>
      </c>
      <c r="D4" s="54" cm="1">
        <f t="array" ref="D4">VLOOKUP(TabImpuestos[[#This Row],[ID]],TabDesSalariosFiscal[],COLUMN(TabDesSalariosFiscal[Bono Asistencia]),FALSE)</f>
        <v>15162.264250000002</v>
      </c>
      <c r="E4" s="54" cm="1">
        <f t="array" ref="E4">VLOOKUP(TabImpuestos[[#This Row],[ID]],TabDesSalariosFiscal[],COLUMN(TabDesSalariosFiscal[Bono Puntualidad]),FALSE)</f>
        <v>15162.264250000002</v>
      </c>
      <c r="F4" s="54" cm="1">
        <f t="array" ref="F4">IF(VLOOKUP(TabImpuestos[[#This Row],[ID]],TabDesSalariosFiscal[],COLUMN(TabDesSalariosFiscal[Prima dominical]),FALSE)-SMDF&lt;0,0,VLOOKUP(TabImpuestos[[#This Row],[ID]],TabDesSalariosFiscal[],COLUMN(TabDesSalariosFiscal[Prima dominical]),FALSE)-SMDF)</f>
        <v>0</v>
      </c>
      <c r="G4" s="54" cm="1">
        <f t="array" ref="G4">IF(VLOOKUP(TabImpuestos[[#This Row],[ID]],TabDesSalariosFiscal[],COLUMN(TabDesSalariosFiscal[Prima vacacional]),FALSE)-(15*SMDF)&lt;0,0,VLOOKUP(TabImpuestos[[#This Row],[ID]],TabDesSalariosFiscal[],COLUMN(TabDesSalariosFiscal[Prima vacacional]),FALSE)-(15*SMDF))</f>
        <v>0</v>
      </c>
      <c r="H4" s="54" cm="1">
        <f t="array" ref="H4">(VLOOKUP(TabImpuestos[[#This Row],[ID]],TabDesSalariosFiscal[],COLUMN(TabDesSalariosFiscal[Dia Festivo/ Descanso]),FALSE)*50%)</f>
        <v>0</v>
      </c>
      <c r="I4" s="54" cm="1">
        <f t="array" ref="I4">IFERROR(VLOOKUP(TabImpuestos[[#This Row],[Base Gravable]],TabISR[],COLUMN(TabISR[Límite inferior])),0)</f>
        <v>61838.11</v>
      </c>
      <c r="J4" s="54">
        <f>IFERROR(TabImpuestos[[#This Row],[Base Gravable]]-TabImpuestos[[#This Row],[(-) Lim. Inferior]],0)</f>
        <v>101711.41850000001</v>
      </c>
      <c r="K4" s="236" cm="1">
        <f t="array" ref="K4">IFERROR(VLOOKUP(TabImpuestos[[#This Row],[Base Gravable]],TabISR[],COLUMN(TabISR[Por ciento para aplicarse sobre el excedente del límite inferior])),0)</f>
        <v>0.34</v>
      </c>
      <c r="L4" s="54">
        <f>IFERROR(TabImpuestos[[#This Row],[EXC. Lim. Inferior]]*TabImpuestos[[#This Row],[(*) % Lim. Inf.]],0)</f>
        <v>34581.882290000009</v>
      </c>
      <c r="M4" s="54" cm="1">
        <f t="array" ref="M4">IFERROR(VLOOKUP(TabImpuestos[[#This Row],[Base Gravable]],TabISR[],COLUMN(TabISR[Cuota fija])),0)</f>
        <v>16130.55</v>
      </c>
      <c r="N4" s="54">
        <f>IFERROR(TabImpuestos[[#This Row],[Impuesto marginal]]+TabImpuestos[[#This Row],[(+) Cuota Fija]],0)</f>
        <v>50712.432290000012</v>
      </c>
      <c r="O4" s="54" cm="1">
        <f t="array" ref="O4">IFERROR(VLOOKUP(TabImpuestos[[#This Row],[Base Gravable]],TabSubsidio[],COLUMN(TabSubsidio[SUBSIDIO])),0)</f>
        <v>0</v>
      </c>
      <c r="P4" s="54">
        <f>IFERROR(TabImpuestos[[#This Row],[Imp. Art. 96 ISR]]-TabImpuestos[[#This Row],[(-) Subsidio para el empleo]],0)</f>
        <v>50712.432290000012</v>
      </c>
      <c r="Q4" s="54" cm="1">
        <f t="array" ref="Q4">IF('Desglose Salarios Fiscal'!$Q$1=1,TabImpuestos[[#This Row],[Ingreso ordinario]]+((15*VLOOKUP(TabImpuestos[[#This Row],[ID]],TabEmpleados[],COLUMN(TabEmpleados[SD Fiscal]),FALSE))-(30*SMDF)),0)</f>
        <v>79968.399999999994</v>
      </c>
      <c r="R4" s="54" cm="1">
        <f t="array" ref="R4">IF('Desglose Salarios Fiscal'!$Q$1=1,(VLOOKUP(TabImpuestos[[#This Row],[ID]],TabEmpleados[],COLUMN(TabEmpleados[SD Fiscal]),FALSE)*30.4)-TabImpuestos[[#This Row],[(-) Subsidio para el empleo]],0)</f>
        <v>55480</v>
      </c>
      <c r="S4" s="54" cm="1">
        <f t="array" ref="S4">IFERROR(IF('Desglose Salarios Fiscal'!$Q$1=1,IFERROR((((TabImpuestos[[#This Row],[Ingreso Neto]]-(VLOOKUP(TabImpuestos[[#This Row],[Ingreso Neto]],TabISR[],COLUMN(TabISR[Límite inferior]))))*(VLOOKUP(TabImpuestos[[#This Row],[Ingreso Neto]],TabISR[],COLUMN(TabISR[Por ciento para aplicarse sobre el excedente del límite inferior]))))+(VLOOKUP(TabImpuestos[[#This Row],[Ingreso Neto]],TabISR[],COLUMN(TabISR[Cuota fija]))))-(((TabImpuestos[[#This Row],[Ingreso ordinario]]-(VLOOKUP(TabImpuestos[[#This Row],[Ingreso ordinario]],TabISR[],COLUMN(TabISR[Límite inferior]))))*(VLOOKUP(TabImpuestos[[#This Row],[Ingreso ordinario]],TabISR[],COLUMN(TabISR[Por ciento para aplicarse sobre el excedente del límite inferior]))))+(VLOOKUP(TabImpuestos[[#This Row],[Ingreso ordinario]],TabISR[],COLUMN(TabISR[Cuota fija])))),0),0),0)</f>
        <v>8198.9717999999993</v>
      </c>
      <c r="T4" s="54" cm="1">
        <f t="array" ref="T4">((15*VLOOKUP(TabImpuestos[[#This Row],[ID]],TabEmpleados[],COLUMN(TabEmpleados[SD Fiscal]),FALSE))-(30*SMDF))/365*30.4</f>
        <v>2039.5818082191779</v>
      </c>
      <c r="U4" s="54">
        <f>TabImpuestos[[#This Row],[Ingreso ordinario]]+TabImpuestos[[#This Row],[Aguinaldo Gravado Mensual]]</f>
        <v>57519.581808219176</v>
      </c>
      <c r="V4" s="54" cm="1">
        <f t="array" ref="V4">(((TabImpuestos[[#This Row],[Ingresos totales]]-(VLOOKUP(TabImpuestos[[#This Row],[Ingresos totales]],TabISR[],COLUMN(TabISR[Límite inferior]))))*(VLOOKUP(TabImpuestos[[#This Row],[Ingresos totales]],TabISR[],COLUMN(TabISR[Por ciento para aplicarse sobre el excedente del límite inferior]))))+(VLOOKUP(TabImpuestos[[#This Row],[Ingresos totales]],TabISR[],COLUMN(TabISR[Cuota fija]))))</f>
        <v>14748.542978630136</v>
      </c>
      <c r="W4" s="54" cm="1">
        <f t="array" ref="W4">(((TabImpuestos[[#This Row],[Ingreso ordinario]]-(VLOOKUP(TabImpuestos[[#This Row],[Ingreso ordinario]],TabISR[],COLUMN(TabISR[Límite inferior]))))*(VLOOKUP(TabImpuestos[[#This Row],[Ingreso ordinario]],TabISR[],COLUMN(TabISR[Por ciento para aplicarse sobre el excedente del límite inferior]))))+(VLOOKUP(TabImpuestos[[#This Row],[Ingreso ordinario]],TabISR[],COLUMN(TabISR[Cuota fija]))))</f>
        <v>14095.876799999998</v>
      </c>
      <c r="X4" s="54">
        <f>TabImpuestos[[#This Row],[ISR Por ingresos totales]]-TabImpuestos[[#This Row],[ISR por ingreso ordinario]]</f>
        <v>652.66617863013744</v>
      </c>
      <c r="Y4" s="236">
        <f>TabImpuestos[[#This Row],[Diferencia de ISR''s]]/TabImpuestos[[#This Row],[Aguinaldo Gravado Mensual]]</f>
        <v>0.32000000000000023</v>
      </c>
      <c r="Z4" s="54" cm="1">
        <f t="array" ref="Z4">IFERROR(IF('Desglose Salarios Fiscal'!$Q$1=1,((15*VLOOKUP(TabImpuestos[[#This Row],[ID]],TabEmpleados[],COLUMN(TabEmpleados[SD Fiscal]),FALSE))-(30*SMDF))*TabImpuestos[[#This Row],[Tasa D %]],0),0)</f>
        <v>7836.2880000000059</v>
      </c>
    </row>
    <row r="5" spans="1:26" x14ac:dyDescent="0.25">
      <c r="A5" s="31">
        <f t="shared" ref="A5:A68" si="0">A4+1</f>
        <v>3</v>
      </c>
      <c r="B5" s="30" t="str" cm="1">
        <f t="array" ref="B5">VLOOKUP(A5,TabEmpleados[],COLUMN(TabEmpleados[Nombre]),FALSE)</f>
        <v xml:space="preserve">GALAN SANCHEZ BRENDA LETICIA </v>
      </c>
      <c r="C5" s="54" cm="1">
        <f t="array" ref="C5">(VLOOKUP(TabImpuestos[[#This Row],[ID]],TabEmpleados[],COLUMN(TabEmpleados[SD Fiscal]))*VLOOKUP(TabImpuestos[[#This Row],[ID]],TabAsistencias[],COLUMN(TabAsistencias[''Total de dias laborados])))+
TabImpuestos[[#This Row],[Bono Asistencia]]+TabImpuestos[[#This Row],[Bono Puntualidad]]+TabImpuestos[[#This Row],[Prima Dominical]]+TabImpuestos[[#This Row],[Prima Vacacional]]+TabImpuestos[[#This Row],[Bono Festivo/ Descanso]]</f>
        <v>22968.400000000001</v>
      </c>
      <c r="D5" s="54" cm="1">
        <f t="array" ref="D5">VLOOKUP(TabImpuestos[[#This Row],[ID]],TabDesSalariosFiscal[],COLUMN(TabDesSalariosFiscal[Bono Asistencia]),FALSE)</f>
        <v>1994.2000000000003</v>
      </c>
      <c r="E5" s="54" cm="1">
        <f t="array" ref="E5">VLOOKUP(TabImpuestos[[#This Row],[ID]],TabDesSalariosFiscal[],COLUMN(TabDesSalariosFiscal[Bono Puntualidad]),FALSE)</f>
        <v>1994.2000000000003</v>
      </c>
      <c r="F5" s="54" cm="1">
        <f t="array" ref="F5">IF(VLOOKUP(TabImpuestos[[#This Row],[ID]],TabDesSalariosFiscal[],COLUMN(TabDesSalariosFiscal[Prima dominical]),FALSE)-SMDF&lt;0,0,VLOOKUP(TabImpuestos[[#This Row],[ID]],TabDesSalariosFiscal[],COLUMN(TabDesSalariosFiscal[Prima dominical]),FALSE)-SMDF)</f>
        <v>0</v>
      </c>
      <c r="G5" s="54" cm="1">
        <f t="array" ref="G5">IF(VLOOKUP(TabImpuestos[[#This Row],[ID]],TabDesSalariosFiscal[],COLUMN(TabDesSalariosFiscal[Prima vacacional]),FALSE)-(15*SMDF)&lt;0,0,VLOOKUP(TabImpuestos[[#This Row],[ID]],TabDesSalariosFiscal[],COLUMN(TabDesSalariosFiscal[Prima vacacional]),FALSE)-(15*SMDF))</f>
        <v>0</v>
      </c>
      <c r="H5" s="54" cm="1">
        <f t="array" ref="H5">(VLOOKUP(TabImpuestos[[#This Row],[ID]],TabDesSalariosFiscal[],COLUMN(TabDesSalariosFiscal[Dia Festivo/ Descanso]),FALSE)*50%)</f>
        <v>0</v>
      </c>
      <c r="I5" s="54" cm="1">
        <f t="array" ref="I5">IFERROR(VLOOKUP(TabImpuestos[[#This Row],[Base Gravable]],TabISR[],COLUMN(TabISR[Límite inferior])),0)</f>
        <v>15412.81</v>
      </c>
      <c r="J5" s="54">
        <f>IFERROR(TabImpuestos[[#This Row],[Base Gravable]]-TabImpuestos[[#This Row],[(-) Lim. Inferior]],0)</f>
        <v>7555.590000000002</v>
      </c>
      <c r="K5" s="236" cm="1">
        <f t="array" ref="K5">IFERROR(VLOOKUP(TabImpuestos[[#This Row],[Base Gravable]],TabISR[],COLUMN(TabISR[Por ciento para aplicarse sobre el excedente del límite inferior])),0)</f>
        <v>0.23519999999999999</v>
      </c>
      <c r="L5" s="54">
        <f>IFERROR(TabImpuestos[[#This Row],[EXC. Lim. Inferior]]*TabImpuestos[[#This Row],[(*) % Lim. Inf.]],0)</f>
        <v>1777.0747680000004</v>
      </c>
      <c r="M5" s="54" cm="1">
        <f t="array" ref="M5">IFERROR(VLOOKUP(TabImpuestos[[#This Row],[Base Gravable]],TabISR[],COLUMN(TabISR[Cuota fija])),0)</f>
        <v>2469.15</v>
      </c>
      <c r="N5" s="54">
        <f>IFERROR(TabImpuestos[[#This Row],[Impuesto marginal]]+TabImpuestos[[#This Row],[(+) Cuota Fija]],0)</f>
        <v>4246.224768</v>
      </c>
      <c r="O5" s="54" cm="1">
        <f t="array" ref="O5">IFERROR(VLOOKUP(TabImpuestos[[#This Row],[Base Gravable]],TabSubsidio[],COLUMN(TabSubsidio[SUBSIDIO])),0)</f>
        <v>0</v>
      </c>
      <c r="P5" s="54">
        <f>IFERROR(TabImpuestos[[#This Row],[Imp. Art. 96 ISR]]-TabImpuestos[[#This Row],[(-) Subsidio para el empleo]],0)</f>
        <v>4246.224768</v>
      </c>
      <c r="Q5" s="54" cm="1">
        <f t="array" ref="Q5">IF('Desglose Salarios Fiscal'!$Q$1=1,TabImpuestos[[#This Row],[Ingreso ordinario]]+((15*VLOOKUP(TabImpuestos[[#This Row],[ID]],TabEmpleados[],COLUMN(TabEmpleados[SD Fiscal]),FALSE))-(30*SMDF)),0)</f>
        <v>8917.4</v>
      </c>
      <c r="R5" s="54" cm="1">
        <f t="array" ref="R5">IF('Desglose Salarios Fiscal'!$Q$1=1,(VLOOKUP(TabImpuestos[[#This Row],[ID]],TabEmpleados[],COLUMN(TabEmpleados[SD Fiscal]),FALSE)*30.4)-TabImpuestos[[#This Row],[(-) Subsidio para el empleo]],0)</f>
        <v>7904</v>
      </c>
      <c r="S5" s="54" cm="1">
        <f t="array" ref="S5">IFERROR(IF('Desglose Salarios Fiscal'!$Q$1=1,IFERROR((((TabImpuestos[[#This Row],[Ingreso Neto]]-(VLOOKUP(TabImpuestos[[#This Row],[Ingreso Neto]],TabISR[],COLUMN(TabISR[Límite inferior]))))*(VLOOKUP(TabImpuestos[[#This Row],[Ingreso Neto]],TabISR[],COLUMN(TabISR[Por ciento para aplicarse sobre el excedente del límite inferior]))))+(VLOOKUP(TabImpuestos[[#This Row],[Ingreso Neto]],TabISR[],COLUMN(TabISR[Cuota fija]))))-(((TabImpuestos[[#This Row],[Ingreso ordinario]]-(VLOOKUP(TabImpuestos[[#This Row],[Ingreso ordinario]],TabISR[],COLUMN(TabISR[Límite inferior]))))*(VLOOKUP(TabImpuestos[[#This Row],[Ingreso ordinario]],TabISR[],COLUMN(TabISR[Por ciento para aplicarse sobre el excedente del límite inferior]))))+(VLOOKUP(TabImpuestos[[#This Row],[Ingreso ordinario]],TabISR[],COLUMN(TabISR[Cuota fija])))),0),0),0)</f>
        <v>216.46224000000007</v>
      </c>
      <c r="T5" s="54" cm="1">
        <f t="array" ref="T5">((15*VLOOKUP(TabImpuestos[[#This Row],[ID]],TabEmpleados[],COLUMN(TabEmpleados[SD Fiscal]),FALSE))-(30*SMDF))/365*30.4</f>
        <v>84.403726027397269</v>
      </c>
      <c r="U5" s="54">
        <f>TabImpuestos[[#This Row],[Ingreso ordinario]]+TabImpuestos[[#This Row],[Aguinaldo Gravado Mensual]]</f>
        <v>7988.4037260273972</v>
      </c>
      <c r="V5" s="54" cm="1">
        <f t="array" ref="V5">(((TabImpuestos[[#This Row],[Ingresos totales]]-(VLOOKUP(TabImpuestos[[#This Row],[Ingresos totales]],TabISR[],COLUMN(TabISR[Límite inferior]))))*(VLOOKUP(TabImpuestos[[#This Row],[Ingresos totales]],TabISR[],COLUMN(TabISR[Por ciento para aplicarse sobre el excedente del límite inferior]))))+(VLOOKUP(TabImpuestos[[#This Row],[Ingresos totales]],TabISR[],COLUMN(TabISR[Cuota fija]))))</f>
        <v>883.26105987945209</v>
      </c>
      <c r="W5" s="54" cm="1">
        <f t="array" ref="W5">(((TabImpuestos[[#This Row],[Ingreso ordinario]]-(VLOOKUP(TabImpuestos[[#This Row],[Ingreso ordinario]],TabISR[],COLUMN(TabISR[Límite inferior]))))*(VLOOKUP(TabImpuestos[[#This Row],[Ingreso ordinario]],TabISR[],COLUMN(TabISR[Por ciento para aplicarse sobre el excedente del límite inferior]))))+(VLOOKUP(TabImpuestos[[#This Row],[Ingreso ordinario]],TabISR[],COLUMN(TabISR[Cuota fija]))))</f>
        <v>865.23242400000004</v>
      </c>
      <c r="X5" s="54">
        <f>TabImpuestos[[#This Row],[ISR Por ingresos totales]]-TabImpuestos[[#This Row],[ISR por ingreso ordinario]]</f>
        <v>18.028635879452054</v>
      </c>
      <c r="Y5" s="236">
        <f>TabImpuestos[[#This Row],[Diferencia de ISR''s]]/TabImpuestos[[#This Row],[Aguinaldo Gravado Mensual]]</f>
        <v>0.21359999999999996</v>
      </c>
      <c r="Z5" s="54" cm="1">
        <f t="array" ref="Z5">IFERROR(IF('Desglose Salarios Fiscal'!$Q$1=1,((15*VLOOKUP(TabImpuestos[[#This Row],[ID]],TabEmpleados[],COLUMN(TabEmpleados[SD Fiscal]),FALSE))-(30*SMDF))*TabImpuestos[[#This Row],[Tasa D %]],0),0)</f>
        <v>216.46223999999998</v>
      </c>
    </row>
    <row r="6" spans="1:26" x14ac:dyDescent="0.25">
      <c r="A6">
        <f t="shared" si="0"/>
        <v>4</v>
      </c>
      <c r="B6" t="str" cm="1">
        <f t="array" ref="B6">VLOOKUP(A6,TabEmpleados[],COLUMN(TabEmpleados[Nombre]),FALSE)</f>
        <v>HERNANDEZ MORALES CITLALI ITZEL</v>
      </c>
      <c r="C6" s="54" cm="1">
        <f t="array" ref="C6">(VLOOKUP(TabImpuestos[[#This Row],[ID]],TabEmpleados[],COLUMN(TabEmpleados[SD Fiscal]))*VLOOKUP(TabImpuestos[[#This Row],[ID]],TabAsistencias[],COLUMN(TabAsistencias[''Total de dias laborados])))+
TabImpuestos[[#This Row],[Bono Asistencia]]+TabImpuestos[[#This Row],[Bono Puntualidad]]+TabImpuestos[[#This Row],[Prima Dominical]]+TabImpuestos[[#This Row],[Prima Vacacional]]+TabImpuestos[[#This Row],[Bono Festivo/ Descanso]]</f>
        <v>18436.407089030137</v>
      </c>
      <c r="D6" s="54" cm="1">
        <f t="array" ref="D6">VLOOKUP(TabImpuestos[[#This Row],[ID]],TabDesSalariosFiscal[],COLUMN(TabDesSalariosFiscal[Bono Asistencia]),FALSE)</f>
        <v>1702.4835445150688</v>
      </c>
      <c r="E6" s="54" cm="1">
        <f t="array" ref="E6">VLOOKUP(TabImpuestos[[#This Row],[ID]],TabDesSalariosFiscal[],COLUMN(TabDesSalariosFiscal[Bono Puntualidad]),FALSE)</f>
        <v>1702.4835445150688</v>
      </c>
      <c r="F6" s="54" cm="1">
        <f t="array" ref="F6">IF(VLOOKUP(TabImpuestos[[#This Row],[ID]],TabDesSalariosFiscal[],COLUMN(TabDesSalariosFiscal[Prima dominical]),FALSE)-SMDF&lt;0,0,VLOOKUP(TabImpuestos[[#This Row],[ID]],TabDesSalariosFiscal[],COLUMN(TabDesSalariosFiscal[Prima dominical]),FALSE)-SMDF)</f>
        <v>0</v>
      </c>
      <c r="G6" s="54" cm="1">
        <f t="array" ref="G6">IF(VLOOKUP(TabImpuestos[[#This Row],[ID]],TabDesSalariosFiscal[],COLUMN(TabDesSalariosFiscal[Prima vacacional]),FALSE)-(15*SMDF)&lt;0,0,VLOOKUP(TabImpuestos[[#This Row],[ID]],TabDesSalariosFiscal[],COLUMN(TabDesSalariosFiscal[Prima vacacional]),FALSE)-(15*SMDF))</f>
        <v>0</v>
      </c>
      <c r="H6" s="54" cm="1">
        <f t="array" ref="H6">(VLOOKUP(TabImpuestos[[#This Row],[ID]],TabDesSalariosFiscal[],COLUMN(TabDesSalariosFiscal[Dia Festivo/ Descanso]),FALSE)*50%)</f>
        <v>0</v>
      </c>
      <c r="I6" s="54" cm="1">
        <f t="array" ref="I6">IFERROR(VLOOKUP(TabImpuestos[[#This Row],[Base Gravable]],TabISR[],COLUMN(TabISR[Límite inferior])),0)</f>
        <v>15412.81</v>
      </c>
      <c r="J6" s="54">
        <f>IFERROR(TabImpuestos[[#This Row],[Base Gravable]]-TabImpuestos[[#This Row],[(-) Lim. Inferior]],0)</f>
        <v>3023.5970890301378</v>
      </c>
      <c r="K6" s="236" cm="1">
        <f t="array" ref="K6">IFERROR(VLOOKUP(TabImpuestos[[#This Row],[Base Gravable]],TabISR[],COLUMN(TabISR[Por ciento para aplicarse sobre el excedente del límite inferior])),0)</f>
        <v>0.23519999999999999</v>
      </c>
      <c r="L6" s="54">
        <f>IFERROR(TabImpuestos[[#This Row],[EXC. Lim. Inferior]]*TabImpuestos[[#This Row],[(*) % Lim. Inf.]],0)</f>
        <v>711.1500353398884</v>
      </c>
      <c r="M6" s="54" cm="1">
        <f t="array" ref="M6">IFERROR(VLOOKUP(TabImpuestos[[#This Row],[Base Gravable]],TabISR[],COLUMN(TabISR[Cuota fija])),0)</f>
        <v>2469.15</v>
      </c>
      <c r="N6" s="54">
        <f>IFERROR(TabImpuestos[[#This Row],[Impuesto marginal]]+TabImpuestos[[#This Row],[(+) Cuota Fija]],0)</f>
        <v>3180.3000353398884</v>
      </c>
      <c r="O6" s="54" cm="1">
        <f t="array" ref="O6">IFERROR(VLOOKUP(TabImpuestos[[#This Row],[Base Gravable]],TabSubsidio[],COLUMN(TabSubsidio[SUBSIDIO])),0)</f>
        <v>0</v>
      </c>
      <c r="P6" s="54">
        <f>IFERROR(TabImpuestos[[#This Row],[Imp. Art. 96 ISR]]-TabImpuestos[[#This Row],[(-) Subsidio para el empleo]],0)</f>
        <v>3180.3000353398884</v>
      </c>
      <c r="Q6" s="54" cm="1">
        <f t="array" ref="Q6">IF('Desglose Salarios Fiscal'!$Q$1=1,TabImpuestos[[#This Row],[Ingreso ordinario]]+((15*VLOOKUP(TabImpuestos[[#This Row],[ID]],TabEmpleados[],COLUMN(TabEmpleados[SD Fiscal]),FALSE))-(30*SMDF)),0)</f>
        <v>6591.5580000000009</v>
      </c>
      <c r="R6" s="54" cm="1">
        <f t="array" ref="R6">IF('Desglose Salarios Fiscal'!$Q$1=1,(VLOOKUP(TabImpuestos[[#This Row],[ID]],TabEmpleados[],COLUMN(TabEmpleados[SD Fiscal]),FALSE)*30.4)-TabImpuestos[[#This Row],[(-) Subsidio para el empleo]],0)</f>
        <v>6346.6080000000002</v>
      </c>
      <c r="S6" s="54" cm="1">
        <f t="array" ref="S6">IFERROR(IF('Desglose Salarios Fiscal'!$Q$1=1,IFERROR((((TabImpuestos[[#This Row],[Ingreso Neto]]-(VLOOKUP(TabImpuestos[[#This Row],[Ingreso Neto]],TabISR[],COLUMN(TabISR[Límite inferior]))))*(VLOOKUP(TabImpuestos[[#This Row],[Ingreso Neto]],TabISR[],COLUMN(TabISR[Por ciento para aplicarse sobre el excedente del límite inferior]))))+(VLOOKUP(TabImpuestos[[#This Row],[Ingreso Neto]],TabISR[],COLUMN(TabISR[Cuota fija]))))-(((TabImpuestos[[#This Row],[Ingreso ordinario]]-(VLOOKUP(TabImpuestos[[#This Row],[Ingreso ordinario]],TabISR[],COLUMN(TabISR[Límite inferior]))))*(VLOOKUP(TabImpuestos[[#This Row],[Ingreso ordinario]],TabISR[],COLUMN(TabISR[Por ciento para aplicarse sobre el excedente del límite inferior]))))+(VLOOKUP(TabImpuestos[[#This Row],[Ingreso ordinario]],TabISR[],COLUMN(TabISR[Cuota fija])))),0),0),0)</f>
        <v>43.121961600000077</v>
      </c>
      <c r="T6" s="54" cm="1">
        <f t="array" ref="T6">((15*VLOOKUP(TabImpuestos[[#This Row],[ID]],TabEmpleados[],COLUMN(TabEmpleados[SD Fiscal]),FALSE))-(30*SMDF))/365*30.4</f>
        <v>20.401315068493172</v>
      </c>
      <c r="U6" s="54">
        <f>TabImpuestos[[#This Row],[Ingreso ordinario]]+TabImpuestos[[#This Row],[Aguinaldo Gravado Mensual]]</f>
        <v>6367.0093150684934</v>
      </c>
      <c r="V6" s="54" cm="1">
        <f t="array" ref="V6">(((TabImpuestos[[#This Row],[Ingresos totales]]-(VLOOKUP(TabImpuestos[[#This Row],[Ingresos totales]],TabISR[],COLUMN(TabISR[Límite inferior]))))*(VLOOKUP(TabImpuestos[[#This Row],[Ingresos totales]],TabISR[],COLUMN(TabISR[Por ciento para aplicarse sobre el excedente del límite inferior]))))+(VLOOKUP(TabImpuestos[[#This Row],[Ingresos totales]],TabISR[],COLUMN(TabISR[Cuota fija]))))</f>
        <v>581.19989041095891</v>
      </c>
      <c r="W6" s="54" cm="1">
        <f t="array" ref="W6">(((TabImpuestos[[#This Row],[Ingreso ordinario]]-(VLOOKUP(TabImpuestos[[#This Row],[Ingreso ordinario]],TabISR[],COLUMN(TabISR[Límite inferior]))))*(VLOOKUP(TabImpuestos[[#This Row],[Ingreso ordinario]],TabISR[],COLUMN(TabISR[Por ciento para aplicarse sobre el excedente del límite inferior]))))+(VLOOKUP(TabImpuestos[[#This Row],[Ingreso ordinario]],TabISR[],COLUMN(TabISR[Cuota fija]))))</f>
        <v>577.93568000000005</v>
      </c>
      <c r="X6" s="54">
        <f>TabImpuestos[[#This Row],[ISR Por ingresos totales]]-TabImpuestos[[#This Row],[ISR por ingreso ordinario]]</f>
        <v>3.2642104109588672</v>
      </c>
      <c r="Y6" s="236">
        <f>TabImpuestos[[#This Row],[Diferencia de ISR''s]]/TabImpuestos[[#This Row],[Aguinaldo Gravado Mensual]]</f>
        <v>0.15999999999999803</v>
      </c>
      <c r="Z6" s="54" cm="1">
        <f t="array" ref="Z6">IFERROR(IF('Desglose Salarios Fiscal'!$Q$1=1,((15*VLOOKUP(TabImpuestos[[#This Row],[ID]],TabEmpleados[],COLUMN(TabEmpleados[SD Fiscal]),FALSE))-(30*SMDF))*TabImpuestos[[#This Row],[Tasa D %]],0),0)</f>
        <v>39.19199999999956</v>
      </c>
    </row>
    <row r="7" spans="1:26" x14ac:dyDescent="0.25">
      <c r="A7" s="31">
        <f t="shared" si="0"/>
        <v>5</v>
      </c>
      <c r="B7" s="30" t="str" cm="1">
        <f t="array" ref="B7">VLOOKUP(A7,TabEmpleados[],COLUMN(TabEmpleados[Nombre]),FALSE)</f>
        <v>LOPEZ CRUZ LAURA</v>
      </c>
      <c r="C7" s="54" cm="1">
        <f t="array" ref="C7">(VLOOKUP(TabImpuestos[[#This Row],[ID]],TabEmpleados[],COLUMN(TabEmpleados[SD Fiscal]))*VLOOKUP(TabImpuestos[[#This Row],[ID]],TabAsistencias[],COLUMN(TabAsistencias[''Total de dias laborados])))+
TabImpuestos[[#This Row],[Bono Asistencia]]+TabImpuestos[[#This Row],[Bono Puntualidad]]+TabImpuestos[[#This Row],[Prima Dominical]]+TabImpuestos[[#This Row],[Prima Vacacional]]+TabImpuestos[[#This Row],[Bono Festivo/ Descanso]]</f>
        <v>19489.965632876716</v>
      </c>
      <c r="D7" s="54" cm="1">
        <f t="array" ref="D7">VLOOKUP(TabImpuestos[[#This Row],[ID]],TabDesSalariosFiscal[],COLUMN(TabDesSalariosFiscal[Bono Asistencia]),FALSE)</f>
        <v>1824.9828164383562</v>
      </c>
      <c r="E7" s="54" cm="1">
        <f t="array" ref="E7">VLOOKUP(TabImpuestos[[#This Row],[ID]],TabDesSalariosFiscal[],COLUMN(TabDesSalariosFiscal[Bono Puntualidad]),FALSE)</f>
        <v>1824.9828164383562</v>
      </c>
      <c r="F7" s="54" cm="1">
        <f t="array" ref="F7">IF(VLOOKUP(TabImpuestos[[#This Row],[ID]],TabDesSalariosFiscal[],COLUMN(TabDesSalariosFiscal[Prima dominical]),FALSE)-SMDF&lt;0,0,VLOOKUP(TabImpuestos[[#This Row],[ID]],TabDesSalariosFiscal[],COLUMN(TabDesSalariosFiscal[Prima dominical]),FALSE)-SMDF)</f>
        <v>0</v>
      </c>
      <c r="G7" s="54" cm="1">
        <f t="array" ref="G7">IF(VLOOKUP(TabImpuestos[[#This Row],[ID]],TabDesSalariosFiscal[],COLUMN(TabDesSalariosFiscal[Prima vacacional]),FALSE)-(15*SMDF)&lt;0,0,VLOOKUP(TabImpuestos[[#This Row],[ID]],TabDesSalariosFiscal[],COLUMN(TabDesSalariosFiscal[Prima vacacional]),FALSE)-(15*SMDF))</f>
        <v>0</v>
      </c>
      <c r="H7" s="54" cm="1">
        <f t="array" ref="H7">(VLOOKUP(TabImpuestos[[#This Row],[ID]],TabDesSalariosFiscal[],COLUMN(TabDesSalariosFiscal[Dia Festivo/ Descanso]),FALSE)*50%)</f>
        <v>0</v>
      </c>
      <c r="I7" s="54" cm="1">
        <f t="array" ref="I7">IFERROR(VLOOKUP(TabImpuestos[[#This Row],[Base Gravable]],TabISR[],COLUMN(TabISR[Límite inferior])),0)</f>
        <v>15412.81</v>
      </c>
      <c r="J7" s="54">
        <f>IFERROR(TabImpuestos[[#This Row],[Base Gravable]]-TabImpuestos[[#This Row],[(-) Lim. Inferior]],0)</f>
        <v>4077.1556328767165</v>
      </c>
      <c r="K7" s="236" cm="1">
        <f t="array" ref="K7">IFERROR(VLOOKUP(TabImpuestos[[#This Row],[Base Gravable]],TabISR[],COLUMN(TabISR[Por ciento para aplicarse sobre el excedente del límite inferior])),0)</f>
        <v>0.23519999999999999</v>
      </c>
      <c r="L7" s="54">
        <f>IFERROR(TabImpuestos[[#This Row],[EXC. Lim. Inferior]]*TabImpuestos[[#This Row],[(*) % Lim. Inf.]],0)</f>
        <v>958.94700485260364</v>
      </c>
      <c r="M7" s="54" cm="1">
        <f t="array" ref="M7">IFERROR(VLOOKUP(TabImpuestos[[#This Row],[Base Gravable]],TabISR[],COLUMN(TabISR[Cuota fija])),0)</f>
        <v>2469.15</v>
      </c>
      <c r="N7" s="54">
        <f>IFERROR(TabImpuestos[[#This Row],[Impuesto marginal]]+TabImpuestos[[#This Row],[(+) Cuota Fija]],0)</f>
        <v>3428.0970048526037</v>
      </c>
      <c r="O7" s="54" cm="1">
        <f t="array" ref="O7">IFERROR(VLOOKUP(TabImpuestos[[#This Row],[Base Gravable]],TabSubsidio[],COLUMN(TabSubsidio[SUBSIDIO])),0)</f>
        <v>0</v>
      </c>
      <c r="P7" s="54">
        <f>IFERROR(TabImpuestos[[#This Row],[Imp. Art. 96 ISR]]-TabImpuestos[[#This Row],[(-) Subsidio para el empleo]],0)</f>
        <v>3428.0970048526037</v>
      </c>
      <c r="Q7" s="54" cm="1">
        <f t="array" ref="Q7">IF('Desglose Salarios Fiscal'!$Q$1=1,TabImpuestos[[#This Row],[Ingreso ordinario]]+((15*VLOOKUP(TabImpuestos[[#This Row],[ID]],TabEmpleados[],COLUMN(TabEmpleados[SD Fiscal]),FALSE))-(30*SMDF)),0)</f>
        <v>7101.4</v>
      </c>
      <c r="R7" s="54" cm="1">
        <f t="array" ref="R7">IF('Desglose Salarios Fiscal'!$Q$1=1,(VLOOKUP(TabImpuestos[[#This Row],[ID]],TabEmpleados[],COLUMN(TabEmpleados[SD Fiscal]),FALSE)*30.4)-TabImpuestos[[#This Row],[(-) Subsidio para el empleo]],0)</f>
        <v>6688</v>
      </c>
      <c r="S7" s="54" cm="1">
        <f t="array" ref="S7">IFERROR(IF('Desglose Salarios Fiscal'!$Q$1=1,IFERROR((((TabImpuestos[[#This Row],[Ingreso Neto]]-(VLOOKUP(TabImpuestos[[#This Row],[Ingreso Neto]],TabISR[],COLUMN(TabISR[Límite inferior]))))*(VLOOKUP(TabImpuestos[[#This Row],[Ingreso Neto]],TabISR[],COLUMN(TabISR[Por ciento para aplicarse sobre el excedente del límite inferior]))))+(VLOOKUP(TabImpuestos[[#This Row],[Ingreso Neto]],TabISR[],COLUMN(TabISR[Cuota fija]))))-(((TabImpuestos[[#This Row],[Ingreso ordinario]]-(VLOOKUP(TabImpuestos[[#This Row],[Ingreso ordinario]],TabISR[],COLUMN(TabISR[Límite inferior]))))*(VLOOKUP(TabImpuestos[[#This Row],[Ingreso ordinario]],TabISR[],COLUMN(TabISR[Por ciento para aplicarse sobre el excedente del límite inferior]))))+(VLOOKUP(TabImpuestos[[#This Row],[Ingreso ordinario]],TabISR[],COLUMN(TabISR[Cuota fija])))),0),0),0)</f>
        <v>74.081279999999992</v>
      </c>
      <c r="T7" s="54" cm="1">
        <f t="array" ref="T7">((15*VLOOKUP(TabImpuestos[[#This Row],[ID]],TabEmpleados[],COLUMN(TabEmpleados[SD Fiscal]),FALSE))-(30*SMDF))/365*30.4</f>
        <v>34.431123287671241</v>
      </c>
      <c r="U7" s="54">
        <f>TabImpuestos[[#This Row],[Ingreso ordinario]]+TabImpuestos[[#This Row],[Aguinaldo Gravado Mensual]]</f>
        <v>6722.4311232876717</v>
      </c>
      <c r="V7" s="54" cm="1">
        <f t="array" ref="V7">(((TabImpuestos[[#This Row],[Ingresos totales]]-(VLOOKUP(TabImpuestos[[#This Row],[Ingresos totales]],TabISR[],COLUMN(TabISR[Límite inferior]))))*(VLOOKUP(TabImpuestos[[#This Row],[Ingresos totales]],TabISR[],COLUMN(TabISR[Por ciento para aplicarse sobre el excedente del límite inferior]))))+(VLOOKUP(TabImpuestos[[#This Row],[Ingresos totales]],TabISR[],COLUMN(TabISR[Cuota fija]))))</f>
        <v>644.51010529315067</v>
      </c>
      <c r="W7" s="54" cm="1">
        <f t="array" ref="W7">(((TabImpuestos[[#This Row],[Ingreso ordinario]]-(VLOOKUP(TabImpuestos[[#This Row],[Ingreso ordinario]],TabISR[],COLUMN(TabISR[Límite inferior]))))*(VLOOKUP(TabImpuestos[[#This Row],[Ingreso ordinario]],TabISR[],COLUMN(TabISR[Por ciento para aplicarse sobre el excedente del límite inferior]))))+(VLOOKUP(TabImpuestos[[#This Row],[Ingreso ordinario]],TabISR[],COLUMN(TabISR[Cuota fija]))))</f>
        <v>638.34004799999991</v>
      </c>
      <c r="X7" s="54">
        <f>TabImpuestos[[#This Row],[ISR Por ingresos totales]]-TabImpuestos[[#This Row],[ISR por ingreso ordinario]]</f>
        <v>6.1700572931507622</v>
      </c>
      <c r="Y7" s="236">
        <f>TabImpuestos[[#This Row],[Diferencia de ISR''s]]/TabImpuestos[[#This Row],[Aguinaldo Gravado Mensual]]</f>
        <v>0.17920000000000219</v>
      </c>
      <c r="Z7" s="54" cm="1">
        <f t="array" ref="Z7">IFERROR(IF('Desglose Salarios Fiscal'!$Q$1=1,((15*VLOOKUP(TabImpuestos[[#This Row],[ID]],TabEmpleados[],COLUMN(TabEmpleados[SD Fiscal]),FALSE))-(30*SMDF))*TabImpuestos[[#This Row],[Tasa D %]],0),0)</f>
        <v>74.081280000000916</v>
      </c>
    </row>
    <row r="8" spans="1:26" x14ac:dyDescent="0.25">
      <c r="A8">
        <f t="shared" si="0"/>
        <v>6</v>
      </c>
      <c r="B8" t="str" cm="1">
        <f t="array" ref="B8">VLOOKUP(A8,TabEmpleados[],COLUMN(TabEmpleados[Nombre]),FALSE)</f>
        <v>CAMACHO RAMIREZ ARELI</v>
      </c>
      <c r="C8" s="54" cm="1">
        <f t="array" ref="C8">(VLOOKUP(TabImpuestos[[#This Row],[ID]],TabEmpleados[],COLUMN(TabEmpleados[SD Fiscal]))*VLOOKUP(TabImpuestos[[#This Row],[ID]],TabAsistencias[],COLUMN(TabAsistencias[''Total de dias laborados])))+
TabImpuestos[[#This Row],[Bono Asistencia]]+TabImpuestos[[#This Row],[Bono Puntualidad]]+TabImpuestos[[#This Row],[Prima Dominical]]+TabImpuestos[[#This Row],[Prima Vacacional]]+TabImpuestos[[#This Row],[Bono Festivo/ Descanso]]</f>
        <v>18436.407089030137</v>
      </c>
      <c r="D8" s="54" cm="1">
        <f t="array" ref="D8">VLOOKUP(TabImpuestos[[#This Row],[ID]],TabDesSalariosFiscal[],COLUMN(TabDesSalariosFiscal[Bono Asistencia]),FALSE)</f>
        <v>1702.4835445150688</v>
      </c>
      <c r="E8" s="54" cm="1">
        <f t="array" ref="E8">VLOOKUP(TabImpuestos[[#This Row],[ID]],TabDesSalariosFiscal[],COLUMN(TabDesSalariosFiscal[Bono Puntualidad]),FALSE)</f>
        <v>1702.4835445150688</v>
      </c>
      <c r="F8" s="54" cm="1">
        <f t="array" ref="F8">IF(VLOOKUP(TabImpuestos[[#This Row],[ID]],TabDesSalariosFiscal[],COLUMN(TabDesSalariosFiscal[Prima dominical]),FALSE)-SMDF&lt;0,0,VLOOKUP(TabImpuestos[[#This Row],[ID]],TabDesSalariosFiscal[],COLUMN(TabDesSalariosFiscal[Prima dominical]),FALSE)-SMDF)</f>
        <v>0</v>
      </c>
      <c r="G8" s="54" cm="1">
        <f t="array" ref="G8">IF(VLOOKUP(TabImpuestos[[#This Row],[ID]],TabDesSalariosFiscal[],COLUMN(TabDesSalariosFiscal[Prima vacacional]),FALSE)-(15*SMDF)&lt;0,0,VLOOKUP(TabImpuestos[[#This Row],[ID]],TabDesSalariosFiscal[],COLUMN(TabDesSalariosFiscal[Prima vacacional]),FALSE)-(15*SMDF))</f>
        <v>0</v>
      </c>
      <c r="H8" s="54" cm="1">
        <f t="array" ref="H8">(VLOOKUP(TabImpuestos[[#This Row],[ID]],TabDesSalariosFiscal[],COLUMN(TabDesSalariosFiscal[Dia Festivo/ Descanso]),FALSE)*50%)</f>
        <v>0</v>
      </c>
      <c r="I8" s="54" cm="1">
        <f t="array" ref="I8">IFERROR(VLOOKUP(TabImpuestos[[#This Row],[Base Gravable]],TabISR[],COLUMN(TabISR[Límite inferior])),0)</f>
        <v>15412.81</v>
      </c>
      <c r="J8" s="54">
        <f>IFERROR(TabImpuestos[[#This Row],[Base Gravable]]-TabImpuestos[[#This Row],[(-) Lim. Inferior]],0)</f>
        <v>3023.5970890301378</v>
      </c>
      <c r="K8" s="236" cm="1">
        <f t="array" ref="K8">IFERROR(VLOOKUP(TabImpuestos[[#This Row],[Base Gravable]],TabISR[],COLUMN(TabISR[Por ciento para aplicarse sobre el excedente del límite inferior])),0)</f>
        <v>0.23519999999999999</v>
      </c>
      <c r="L8" s="54">
        <f>IFERROR(TabImpuestos[[#This Row],[EXC. Lim. Inferior]]*TabImpuestos[[#This Row],[(*) % Lim. Inf.]],0)</f>
        <v>711.1500353398884</v>
      </c>
      <c r="M8" s="54" cm="1">
        <f t="array" ref="M8">IFERROR(VLOOKUP(TabImpuestos[[#This Row],[Base Gravable]],TabISR[],COLUMN(TabISR[Cuota fija])),0)</f>
        <v>2469.15</v>
      </c>
      <c r="N8" s="54">
        <f>IFERROR(TabImpuestos[[#This Row],[Impuesto marginal]]+TabImpuestos[[#This Row],[(+) Cuota Fija]],0)</f>
        <v>3180.3000353398884</v>
      </c>
      <c r="O8" s="54" cm="1">
        <f t="array" ref="O8">IFERROR(VLOOKUP(TabImpuestos[[#This Row],[Base Gravable]],TabSubsidio[],COLUMN(TabSubsidio[SUBSIDIO])),0)</f>
        <v>0</v>
      </c>
      <c r="P8" s="54">
        <f>IFERROR(TabImpuestos[[#This Row],[Imp. Art. 96 ISR]]-TabImpuestos[[#This Row],[(-) Subsidio para el empleo]],0)</f>
        <v>3180.3000353398884</v>
      </c>
      <c r="Q8" s="54" cm="1">
        <f t="array" ref="Q8">IF('Desglose Salarios Fiscal'!$Q$1=1,TabImpuestos[[#This Row],[Ingreso ordinario]]+((15*VLOOKUP(TabImpuestos[[#This Row],[ID]],TabEmpleados[],COLUMN(TabEmpleados[SD Fiscal]),FALSE))-(30*SMDF)),0)</f>
        <v>6591.5580000000009</v>
      </c>
      <c r="R8" s="54" cm="1">
        <f t="array" ref="R8">IF('Desglose Salarios Fiscal'!$Q$1=1,(VLOOKUP(TabImpuestos[[#This Row],[ID]],TabEmpleados[],COLUMN(TabEmpleados[SD Fiscal]),FALSE)*30.4)-TabImpuestos[[#This Row],[(-) Subsidio para el empleo]],0)</f>
        <v>6346.6080000000002</v>
      </c>
      <c r="S8" s="54" cm="1">
        <f t="array" ref="S8">IFERROR(IF('Desglose Salarios Fiscal'!$Q$1=1,IFERROR((((TabImpuestos[[#This Row],[Ingreso Neto]]-(VLOOKUP(TabImpuestos[[#This Row],[Ingreso Neto]],TabISR[],COLUMN(TabISR[Límite inferior]))))*(VLOOKUP(TabImpuestos[[#This Row],[Ingreso Neto]],TabISR[],COLUMN(TabISR[Por ciento para aplicarse sobre el excedente del límite inferior]))))+(VLOOKUP(TabImpuestos[[#This Row],[Ingreso Neto]],TabISR[],COLUMN(TabISR[Cuota fija]))))-(((TabImpuestos[[#This Row],[Ingreso ordinario]]-(VLOOKUP(TabImpuestos[[#This Row],[Ingreso ordinario]],TabISR[],COLUMN(TabISR[Límite inferior]))))*(VLOOKUP(TabImpuestos[[#This Row],[Ingreso ordinario]],TabISR[],COLUMN(TabISR[Por ciento para aplicarse sobre el excedente del límite inferior]))))+(VLOOKUP(TabImpuestos[[#This Row],[Ingreso ordinario]],TabISR[],COLUMN(TabISR[Cuota fija])))),0),0),0)</f>
        <v>43.121961600000077</v>
      </c>
      <c r="T8" s="54" cm="1">
        <f t="array" ref="T8">((15*VLOOKUP(TabImpuestos[[#This Row],[ID]],TabEmpleados[],COLUMN(TabEmpleados[SD Fiscal]),FALSE))-(30*SMDF))/365*30.4</f>
        <v>20.401315068493172</v>
      </c>
      <c r="U8" s="54">
        <f>TabImpuestos[[#This Row],[Ingreso ordinario]]+TabImpuestos[[#This Row],[Aguinaldo Gravado Mensual]]</f>
        <v>6367.0093150684934</v>
      </c>
      <c r="V8" s="54" cm="1">
        <f t="array" ref="V8">(((TabImpuestos[[#This Row],[Ingresos totales]]-(VLOOKUP(TabImpuestos[[#This Row],[Ingresos totales]],TabISR[],COLUMN(TabISR[Límite inferior]))))*(VLOOKUP(TabImpuestos[[#This Row],[Ingresos totales]],TabISR[],COLUMN(TabISR[Por ciento para aplicarse sobre el excedente del límite inferior]))))+(VLOOKUP(TabImpuestos[[#This Row],[Ingresos totales]],TabISR[],COLUMN(TabISR[Cuota fija]))))</f>
        <v>581.19989041095891</v>
      </c>
      <c r="W8" s="54" cm="1">
        <f t="array" ref="W8">(((TabImpuestos[[#This Row],[Ingreso ordinario]]-(VLOOKUP(TabImpuestos[[#This Row],[Ingreso ordinario]],TabISR[],COLUMN(TabISR[Límite inferior]))))*(VLOOKUP(TabImpuestos[[#This Row],[Ingreso ordinario]],TabISR[],COLUMN(TabISR[Por ciento para aplicarse sobre el excedente del límite inferior]))))+(VLOOKUP(TabImpuestos[[#This Row],[Ingreso ordinario]],TabISR[],COLUMN(TabISR[Cuota fija]))))</f>
        <v>577.93568000000005</v>
      </c>
      <c r="X8" s="54">
        <f>TabImpuestos[[#This Row],[ISR Por ingresos totales]]-TabImpuestos[[#This Row],[ISR por ingreso ordinario]]</f>
        <v>3.2642104109588672</v>
      </c>
      <c r="Y8" s="236">
        <f>TabImpuestos[[#This Row],[Diferencia de ISR''s]]/TabImpuestos[[#This Row],[Aguinaldo Gravado Mensual]]</f>
        <v>0.15999999999999803</v>
      </c>
      <c r="Z8" s="54" cm="1">
        <f t="array" ref="Z8">IFERROR(IF('Desglose Salarios Fiscal'!$Q$1=1,((15*VLOOKUP(TabImpuestos[[#This Row],[ID]],TabEmpleados[],COLUMN(TabEmpleados[SD Fiscal]),FALSE))-(30*SMDF))*TabImpuestos[[#This Row],[Tasa D %]],0),0)</f>
        <v>39.19199999999956</v>
      </c>
    </row>
    <row r="9" spans="1:26" x14ac:dyDescent="0.25">
      <c r="A9" s="31">
        <f t="shared" si="0"/>
        <v>7</v>
      </c>
      <c r="B9" s="30" t="str" cm="1">
        <f t="array" ref="B9">VLOOKUP(A9,TabEmpleados[],COLUMN(TabEmpleados[Nombre]),FALSE)</f>
        <v>GONZALEZ DURAN EDER</v>
      </c>
      <c r="C9" s="54" cm="1">
        <f t="array" ref="C9">(VLOOKUP(TabImpuestos[[#This Row],[ID]],TabEmpleados[],COLUMN(TabEmpleados[SD Fiscal]))*VLOOKUP(TabImpuestos[[#This Row],[ID]],TabAsistencias[],COLUMN(TabAsistencias[''Total de dias laborados])))+
TabImpuestos[[#This Row],[Bono Asistencia]]+TabImpuestos[[#This Row],[Bono Puntualidad]]+TabImpuestos[[#This Row],[Prima Dominical]]+TabImpuestos[[#This Row],[Prima Vacacional]]+TabImpuestos[[#This Row],[Bono Festivo/ Descanso]]</f>
        <v>9715.1999823360002</v>
      </c>
      <c r="D9" s="54" cm="1">
        <f t="array" ref="D9">VLOOKUP(TabImpuestos[[#This Row],[ID]],TabDesSalariosFiscal[],COLUMN(TabDesSalariosFiscal[Bono Asistencia]),FALSE)</f>
        <v>842.59999846800019</v>
      </c>
      <c r="E9" s="54" cm="1">
        <f t="array" ref="E9">VLOOKUP(TabImpuestos[[#This Row],[ID]],TabDesSalariosFiscal[],COLUMN(TabDesSalariosFiscal[Bono Puntualidad]),FALSE)</f>
        <v>842.59999846800019</v>
      </c>
      <c r="F9" s="54" cm="1">
        <f t="array" ref="F9">IF(VLOOKUP(TabImpuestos[[#This Row],[ID]],TabDesSalariosFiscal[],COLUMN(TabDesSalariosFiscal[Prima dominical]),FALSE)-SMDF&lt;0,0,VLOOKUP(TabImpuestos[[#This Row],[ID]],TabDesSalariosFiscal[],COLUMN(TabDesSalariosFiscal[Prima dominical]),FALSE)-SMDF)</f>
        <v>0</v>
      </c>
      <c r="G9" s="54" cm="1">
        <f t="array" ref="G9">IF(VLOOKUP(TabImpuestos[[#This Row],[ID]],TabDesSalariosFiscal[],COLUMN(TabDesSalariosFiscal[Prima vacacional]),FALSE)-(15*SMDF)&lt;0,0,VLOOKUP(TabImpuestos[[#This Row],[ID]],TabDesSalariosFiscal[],COLUMN(TabDesSalariosFiscal[Prima vacacional]),FALSE)-(15*SMDF))</f>
        <v>0</v>
      </c>
      <c r="H9" s="54" cm="1">
        <f t="array" ref="H9">(VLOOKUP(TabImpuestos[[#This Row],[ID]],TabDesSalariosFiscal[],COLUMN(TabDesSalariosFiscal[Dia Festivo/ Descanso]),FALSE)*50%)</f>
        <v>0</v>
      </c>
      <c r="I9" s="54" cm="1">
        <f t="array" ref="I9">IFERROR(VLOOKUP(TabImpuestos[[#This Row],[Base Gravable]],TabISR[],COLUMN(TabISR[Límite inferior])),0)</f>
        <v>7641.91</v>
      </c>
      <c r="J9" s="54">
        <f>IFERROR(TabImpuestos[[#This Row],[Base Gravable]]-TabImpuestos[[#This Row],[(-) Lim. Inferior]],0)</f>
        <v>2073.2899823360003</v>
      </c>
      <c r="K9" s="236" cm="1">
        <f t="array" ref="K9">IFERROR(VLOOKUP(TabImpuestos[[#This Row],[Base Gravable]],TabISR[],COLUMN(TabISR[Por ciento para aplicarse sobre el excedente del límite inferior])),0)</f>
        <v>0.21360000000000001</v>
      </c>
      <c r="L9" s="54">
        <f>IFERROR(TabImpuestos[[#This Row],[EXC. Lim. Inferior]]*TabImpuestos[[#This Row],[(*) % Lim. Inf.]],0)</f>
        <v>442.85474022696968</v>
      </c>
      <c r="M9" s="54" cm="1">
        <f t="array" ref="M9">IFERROR(VLOOKUP(TabImpuestos[[#This Row],[Base Gravable]],TabISR[],COLUMN(TabISR[Cuota fija])),0)</f>
        <v>809.25</v>
      </c>
      <c r="N9" s="54">
        <f>IFERROR(TabImpuestos[[#This Row],[Impuesto marginal]]+TabImpuestos[[#This Row],[(+) Cuota Fija]],0)</f>
        <v>1252.1047402269696</v>
      </c>
      <c r="O9" s="54" cm="1">
        <f t="array" ref="O9">IFERROR(VLOOKUP(TabImpuestos[[#This Row],[Base Gravable]],TabSubsidio[],COLUMN(TabSubsidio[SUBSIDIO])),0)</f>
        <v>0</v>
      </c>
      <c r="P9" s="54">
        <f>IFERROR(TabImpuestos[[#This Row],[Imp. Art. 96 ISR]]-TabImpuestos[[#This Row],[(-) Subsidio para el empleo]],0)</f>
        <v>1252.1047402269696</v>
      </c>
      <c r="Q9" s="54" cm="1">
        <f t="array" ref="Q9">IF('Desglose Salarios Fiscal'!$Q$1=1,TabImpuestos[[#This Row],[Ingreso ordinario]]+((15*VLOOKUP(TabImpuestos[[#This Row],[ID]],TabEmpleados[],COLUMN(TabEmpleados[SD Fiscal]),FALSE))-(30*SMDF)),0)</f>
        <v>2107.3999909200002</v>
      </c>
      <c r="R9" s="54" cm="1">
        <f t="array" ref="R9">IF('Desglose Salarios Fiscal'!$Q$1=1,(VLOOKUP(TabImpuestos[[#This Row],[ID]],TabEmpleados[],COLUMN(TabEmpleados[SD Fiscal]),FALSE)*30.4)-TabImpuestos[[#This Row],[(-) Subsidio para el empleo]],0)</f>
        <v>3343.9999939200002</v>
      </c>
      <c r="S9" s="54" cm="1">
        <f t="array" ref="S9">IFERROR(IF('Desglose Salarios Fiscal'!$Q$1=1,IFERROR((((TabImpuestos[[#This Row],[Ingreso Neto]]-(VLOOKUP(TabImpuestos[[#This Row],[Ingreso Neto]],TabISR[],COLUMN(TabISR[Límite inferior]))))*(VLOOKUP(TabImpuestos[[#This Row],[Ingreso Neto]],TabISR[],COLUMN(TabISR[Por ciento para aplicarse sobre el excedente del límite inferior]))))+(VLOOKUP(TabImpuestos[[#This Row],[Ingreso Neto]],TabISR[],COLUMN(TabISR[Cuota fija]))))-(((TabImpuestos[[#This Row],[Ingreso ordinario]]-(VLOOKUP(TabImpuestos[[#This Row],[Ingreso ordinario]],TabISR[],COLUMN(TabISR[Límite inferior]))))*(VLOOKUP(TabImpuestos[[#This Row],[Ingreso ordinario]],TabISR[],COLUMN(TabISR[Por ciento para aplicarse sobre el excedente del límite inferior]))))+(VLOOKUP(TabImpuestos[[#This Row],[Ingreso ordinario]],TabISR[],COLUMN(TabISR[Cuota fija])))),0),0),0)</f>
        <v>-88.982271919615997</v>
      </c>
      <c r="T9" s="54" cm="1">
        <f t="array" ref="T9">((15*VLOOKUP(TabImpuestos[[#This Row],[ID]],TabEmpleados[],COLUMN(TabEmpleados[SD Fiscal]),FALSE))-(30*SMDF))/365*30.4</f>
        <v>-102.99353449643834</v>
      </c>
      <c r="U9" s="54">
        <f>TabImpuestos[[#This Row],[Ingreso ordinario]]+TabImpuestos[[#This Row],[Aguinaldo Gravado Mensual]]</f>
        <v>3241.0064594235619</v>
      </c>
      <c r="V9" s="54" cm="1">
        <f t="array" ref="V9">(((TabImpuestos[[#This Row],[Ingresos totales]]-(VLOOKUP(TabImpuestos[[#This Row],[Ingresos totales]],TabISR[],COLUMN(TabISR[Límite inferior]))))*(VLOOKUP(TabImpuestos[[#This Row],[Ingresos totales]],TabISR[],COLUMN(TabISR[Por ciento para aplicarse sobre el excedente del límite inferior]))))+(VLOOKUP(TabImpuestos[[#This Row],[Ingresos totales]],TabISR[],COLUMN(TabISR[Cuota fija]))))</f>
        <v>196.1411347852835</v>
      </c>
      <c r="W9" s="54" cm="1">
        <f t="array" ref="W9">(((TabImpuestos[[#This Row],[Ingreso ordinario]]-(VLOOKUP(TabImpuestos[[#This Row],[Ingreso ordinario]],TabISR[],COLUMN(TabISR[Límite inferior]))))*(VLOOKUP(TabImpuestos[[#This Row],[Ingreso ordinario]],TabISR[],COLUMN(TabISR[Por ciento para aplicarse sobre el excedente del límite inferior]))))+(VLOOKUP(TabImpuestos[[#This Row],[Ingreso ordinario]],TabISR[],COLUMN(TabISR[Cuota fija]))))</f>
        <v>207.346831338496</v>
      </c>
      <c r="X9" s="54">
        <f>TabImpuestos[[#This Row],[ISR Por ingresos totales]]-TabImpuestos[[#This Row],[ISR por ingreso ordinario]]</f>
        <v>-11.205696553212505</v>
      </c>
      <c r="Y9" s="236">
        <f>TabImpuestos[[#This Row],[Diferencia de ISR''s]]/TabImpuestos[[#This Row],[Aguinaldo Gravado Mensual]]</f>
        <v>0.10880000000000013</v>
      </c>
      <c r="Z9" s="54" cm="1">
        <f t="array" ref="Z9">IFERROR(IF('Desglose Salarios Fiscal'!$Q$1=1,((15*VLOOKUP(TabImpuestos[[#This Row],[ID]],TabEmpleados[],COLUMN(TabEmpleados[SD Fiscal]),FALSE))-(30*SMDF))*TabImpuestos[[#This Row],[Tasa D %]],0),0)</f>
        <v>-134.54208032640014</v>
      </c>
    </row>
    <row r="10" spans="1:26" x14ac:dyDescent="0.25">
      <c r="A10">
        <f t="shared" si="0"/>
        <v>8</v>
      </c>
      <c r="B10" t="str" cm="1">
        <f t="array" ref="B10">VLOOKUP(A10,TabEmpleados[],COLUMN(TabEmpleados[Nombre]),FALSE)</f>
        <v>REYES JARQUIN DANIEL</v>
      </c>
      <c r="C10" s="54" cm="1">
        <f t="array" ref="C10">(VLOOKUP(TabImpuestos[[#This Row],[ID]],TabEmpleados[],COLUMN(TabEmpleados[SD Fiscal]))*VLOOKUP(TabImpuestos[[#This Row],[ID]],TabAsistencias[],COLUMN(TabAsistencias[''Total de dias laborados])))+
TabImpuestos[[#This Row],[Bono Asistencia]]+TabImpuestos[[#This Row],[Bono Puntualidad]]+TabImpuestos[[#This Row],[Prima Dominical]]+TabImpuestos[[#This Row],[Prima Vacacional]]+TabImpuestos[[#This Row],[Bono Festivo/ Descanso]]</f>
        <v>7507.1999991167995</v>
      </c>
      <c r="D10" s="54" cm="1">
        <f t="array" ref="D10">VLOOKUP(TabImpuestos[[#This Row],[ID]],TabDesSalariosFiscal[],COLUMN(TabDesSalariosFiscal[Bono Asistencia]),FALSE)</f>
        <v>651.09999992339999</v>
      </c>
      <c r="E10" s="54" cm="1">
        <f t="array" ref="E10">VLOOKUP(TabImpuestos[[#This Row],[ID]],TabDesSalariosFiscal[],COLUMN(TabDesSalariosFiscal[Bono Puntualidad]),FALSE)</f>
        <v>651.09999992339999</v>
      </c>
      <c r="F10" s="54" cm="1">
        <f t="array" ref="F10">IF(VLOOKUP(TabImpuestos[[#This Row],[ID]],TabDesSalariosFiscal[],COLUMN(TabDesSalariosFiscal[Prima dominical]),FALSE)-SMDF&lt;0,0,VLOOKUP(TabImpuestos[[#This Row],[ID]],TabDesSalariosFiscal[],COLUMN(TabDesSalariosFiscal[Prima dominical]),FALSE)-SMDF)</f>
        <v>0</v>
      </c>
      <c r="G10" s="54" cm="1">
        <f t="array" ref="G10">IF(VLOOKUP(TabImpuestos[[#This Row],[ID]],TabDesSalariosFiscal[],COLUMN(TabDesSalariosFiscal[Prima vacacional]),FALSE)-(15*SMDF)&lt;0,0,VLOOKUP(TabImpuestos[[#This Row],[ID]],TabDesSalariosFiscal[],COLUMN(TabDesSalariosFiscal[Prima vacacional]),FALSE)-(15*SMDF))</f>
        <v>0</v>
      </c>
      <c r="H10" s="54" cm="1">
        <f t="array" ref="H10">(VLOOKUP(TabImpuestos[[#This Row],[ID]],TabDesSalariosFiscal[],COLUMN(TabDesSalariosFiscal[Dia Festivo/ Descanso]),FALSE)*50%)</f>
        <v>0</v>
      </c>
      <c r="I10" s="54" cm="1">
        <f t="array" ref="I10">IFERROR(VLOOKUP(TabImpuestos[[#This Row],[Base Gravable]],TabISR[],COLUMN(TabISR[Límite inferior])),0)</f>
        <v>6382.81</v>
      </c>
      <c r="J10" s="54">
        <f>IFERROR(TabImpuestos[[#This Row],[Base Gravable]]-TabImpuestos[[#This Row],[(-) Lim. Inferior]],0)</f>
        <v>1124.3899991167991</v>
      </c>
      <c r="K10" s="236" cm="1">
        <f t="array" ref="K10">IFERROR(VLOOKUP(TabImpuestos[[#This Row],[Base Gravable]],TabISR[],COLUMN(TabISR[Por ciento para aplicarse sobre el excedente del límite inferior])),0)</f>
        <v>0.1792</v>
      </c>
      <c r="L10" s="54">
        <f>IFERROR(TabImpuestos[[#This Row],[EXC. Lim. Inferior]]*TabImpuestos[[#This Row],[(*) % Lim. Inf.]],0)</f>
        <v>201.49068784173039</v>
      </c>
      <c r="M10" s="54" cm="1">
        <f t="array" ref="M10">IFERROR(VLOOKUP(TabImpuestos[[#This Row],[Base Gravable]],TabISR[],COLUMN(TabISR[Cuota fija])),0)</f>
        <v>583.65</v>
      </c>
      <c r="N10" s="54">
        <f>IFERROR(TabImpuestos[[#This Row],[Impuesto marginal]]+TabImpuestos[[#This Row],[(+) Cuota Fija]],0)</f>
        <v>785.14068784173037</v>
      </c>
      <c r="O10" s="54" cm="1">
        <f t="array" ref="O10">IFERROR(VLOOKUP(TabImpuestos[[#This Row],[Base Gravable]],TabSubsidio[],COLUMN(TabSubsidio[SUBSIDIO])),0)</f>
        <v>0</v>
      </c>
      <c r="P10" s="54">
        <f>IFERROR(TabImpuestos[[#This Row],[Imp. Art. 96 ISR]]-TabImpuestos[[#This Row],[(-) Subsidio para el empleo]],0)</f>
        <v>785.14068784173037</v>
      </c>
      <c r="Q10" s="54" cm="1">
        <f t="array" ref="Q10">IF('Desglose Salarios Fiscal'!$Q$1=1,TabImpuestos[[#This Row],[Ingreso ordinario]]+((15*VLOOKUP(TabImpuestos[[#This Row],[ID]],TabEmpleados[],COLUMN(TabEmpleados[SD Fiscal]),FALSE))-(30*SMDF)),0)</f>
        <v>972.39999954599944</v>
      </c>
      <c r="R10" s="54" cm="1">
        <f t="array" ref="R10">IF('Desglose Salarios Fiscal'!$Q$1=1,(VLOOKUP(TabImpuestos[[#This Row],[ID]],TabEmpleados[],COLUMN(TabEmpleados[SD Fiscal]),FALSE)*30.4)-TabImpuestos[[#This Row],[(-) Subsidio para el empleo]],0)</f>
        <v>2583.9999996959996</v>
      </c>
      <c r="S10" s="54" cm="1">
        <f t="array" ref="S10">IFERROR(IF('Desglose Salarios Fiscal'!$Q$1=1,IFERROR((((TabImpuestos[[#This Row],[Ingreso Neto]]-(VLOOKUP(TabImpuestos[[#This Row],[Ingreso Neto]],TabISR[],COLUMN(TabISR[Límite inferior]))))*(VLOOKUP(TabImpuestos[[#This Row],[Ingreso Neto]],TabISR[],COLUMN(TabISR[Por ciento para aplicarse sobre el excedente del límite inferior]))))+(VLOOKUP(TabImpuestos[[#This Row],[Ingreso Neto]],TabISR[],COLUMN(TabISR[Cuota fija]))))-(((TabImpuestos[[#This Row],[Ingreso ordinario]]-(VLOOKUP(TabImpuestos[[#This Row],[Ingreso ordinario]],TabISR[],COLUMN(TabISR[Límite inferior]))))*(VLOOKUP(TabImpuestos[[#This Row],[Ingreso ordinario]],TabISR[],COLUMN(TabISR[Por ciento para aplicarse sobre el excedente del límite inferior]))))+(VLOOKUP(TabImpuestos[[#This Row],[Ingreso ordinario]],TabISR[],COLUMN(TabISR[Cuota fija])))),0),0),0)</f>
        <v>-103.14240000960002</v>
      </c>
      <c r="T10" s="54" cm="1">
        <f t="array" ref="T10">((15*VLOOKUP(TabImpuestos[[#This Row],[ID]],TabEmpleados[],COLUMN(TabEmpleados[SD Fiscal]),FALSE))-(30*SMDF))/365*30.4</f>
        <v>-134.22641097139729</v>
      </c>
      <c r="U10" s="54">
        <f>TabImpuestos[[#This Row],[Ingreso ordinario]]+TabImpuestos[[#This Row],[Aguinaldo Gravado Mensual]]</f>
        <v>2449.7735887246022</v>
      </c>
      <c r="V10" s="54" cm="1">
        <f t="array" ref="V10">(((TabImpuestos[[#This Row],[Ingresos totales]]-(VLOOKUP(TabImpuestos[[#This Row],[Ingresos totales]],TabISR[],COLUMN(TabISR[Límite inferior]))))*(VLOOKUP(TabImpuestos[[#This Row],[Ingresos totales]],TabISR[],COLUMN(TabISR[Por ciento para aplicarse sobre el excedente del límite inferior]))))+(VLOOKUP(TabImpuestos[[#This Row],[Ingresos totales]],TabISR[],COLUMN(TabISR[Cuota fija]))))</f>
        <v>140.27646967837455</v>
      </c>
      <c r="W10" s="54" cm="1">
        <f t="array" ref="W10">(((TabImpuestos[[#This Row],[Ingreso ordinario]]-(VLOOKUP(TabImpuestos[[#This Row],[Ingreso ordinario]],TabISR[],COLUMN(TabISR[Límite inferior]))))*(VLOOKUP(TabImpuestos[[#This Row],[Ingreso ordinario]],TabISR[],COLUMN(TabISR[Por ciento para aplicarse sobre el excedente del límite inferior]))))+(VLOOKUP(TabImpuestos[[#This Row],[Ingreso ordinario]],TabISR[],COLUMN(TabISR[Cuota fija]))))</f>
        <v>148.86695998054398</v>
      </c>
      <c r="X10" s="54">
        <f>TabImpuestos[[#This Row],[ISR Por ingresos totales]]-TabImpuestos[[#This Row],[ISR por ingreso ordinario]]</f>
        <v>-8.5904903021694281</v>
      </c>
      <c r="Y10" s="236">
        <f>TabImpuestos[[#This Row],[Diferencia de ISR''s]]/TabImpuestos[[#This Row],[Aguinaldo Gravado Mensual]]</f>
        <v>6.4000000000000015E-2</v>
      </c>
      <c r="Z10" s="54" cm="1">
        <f t="array" ref="Z10">IFERROR(IF('Desglose Salarios Fiscal'!$Q$1=1,((15*VLOOKUP(TabImpuestos[[#This Row],[ID]],TabEmpleados[],COLUMN(TabEmpleados[SD Fiscal]),FALSE))-(30*SMDF))*TabImpuestos[[#This Row],[Tasa D %]],0),0)</f>
        <v>-103.14240000960004</v>
      </c>
    </row>
    <row r="11" spans="1:26" x14ac:dyDescent="0.25">
      <c r="A11" s="31">
        <f t="shared" si="0"/>
        <v>9</v>
      </c>
      <c r="B11" s="30" t="str" cm="1">
        <f t="array" ref="B11">VLOOKUP(A11,TabEmpleados[],COLUMN(TabEmpleados[Nombre]),FALSE)</f>
        <v xml:space="preserve">ANTONIO LOPEZ JAVIER </v>
      </c>
      <c r="C11" s="54" cm="1">
        <f t="array" ref="C11">(VLOOKUP(TabImpuestos[[#This Row],[ID]],TabEmpleados[],COLUMN(TabEmpleados[SD Fiscal]))*VLOOKUP(TabImpuestos[[#This Row],[ID]],TabAsistencias[],COLUMN(TabAsistencias[''Total de dias laborados])))+
TabImpuestos[[#This Row],[Bono Asistencia]]+TabImpuestos[[#This Row],[Bono Puntualidad]]+TabImpuestos[[#This Row],[Prima Dominical]]+TabImpuestos[[#This Row],[Prima Vacacional]]+TabImpuestos[[#This Row],[Bono Festivo/ Descanso]]</f>
        <v>0</v>
      </c>
      <c r="D11" s="54" cm="1">
        <f t="array" ref="D11">VLOOKUP(TabImpuestos[[#This Row],[ID]],TabDesSalariosFiscal[],COLUMN(TabDesSalariosFiscal[Bono Asistencia]),FALSE)</f>
        <v>0</v>
      </c>
      <c r="E11" s="54" cm="1">
        <f t="array" ref="E11">VLOOKUP(TabImpuestos[[#This Row],[ID]],TabDesSalariosFiscal[],COLUMN(TabDesSalariosFiscal[Bono Puntualidad]),FALSE)</f>
        <v>0</v>
      </c>
      <c r="F11" s="54" cm="1">
        <f t="array" ref="F11">IF(VLOOKUP(TabImpuestos[[#This Row],[ID]],TabDesSalariosFiscal[],COLUMN(TabDesSalariosFiscal[Prima dominical]),FALSE)-SMDF&lt;0,0,VLOOKUP(TabImpuestos[[#This Row],[ID]],TabDesSalariosFiscal[],COLUMN(TabDesSalariosFiscal[Prima dominical]),FALSE)-SMDF)</f>
        <v>0</v>
      </c>
      <c r="G11" s="54" cm="1">
        <f t="array" ref="G11">IF(VLOOKUP(TabImpuestos[[#This Row],[ID]],TabDesSalariosFiscal[],COLUMN(TabDesSalariosFiscal[Prima vacacional]),FALSE)-(15*SMDF)&lt;0,0,VLOOKUP(TabImpuestos[[#This Row],[ID]],TabDesSalariosFiscal[],COLUMN(TabDesSalariosFiscal[Prima vacacional]),FALSE)-(15*SMDF))</f>
        <v>0</v>
      </c>
      <c r="H11" s="54" cm="1">
        <f t="array" ref="H11">(VLOOKUP(TabImpuestos[[#This Row],[ID]],TabDesSalariosFiscal[],COLUMN(TabDesSalariosFiscal[Dia Festivo/ Descanso]),FALSE)*50%)</f>
        <v>0</v>
      </c>
      <c r="I11" s="54" cm="1">
        <f t="array" ref="I11">IFERROR(VLOOKUP(TabImpuestos[[#This Row],[Base Gravable]],TabISR[],COLUMN(TabISR[Límite inferior])),0)</f>
        <v>0</v>
      </c>
      <c r="J11" s="54">
        <f>IFERROR(TabImpuestos[[#This Row],[Base Gravable]]-TabImpuestos[[#This Row],[(-) Lim. Inferior]],0)</f>
        <v>0</v>
      </c>
      <c r="K11" s="236" cm="1">
        <f t="array" ref="K11">IFERROR(VLOOKUP(TabImpuestos[[#This Row],[Base Gravable]],TabISR[],COLUMN(TabISR[Por ciento para aplicarse sobre el excedente del límite inferior])),0)</f>
        <v>0</v>
      </c>
      <c r="L11" s="54">
        <f>IFERROR(TabImpuestos[[#This Row],[EXC. Lim. Inferior]]*TabImpuestos[[#This Row],[(*) % Lim. Inf.]],0)</f>
        <v>0</v>
      </c>
      <c r="M11" s="54" cm="1">
        <f t="array" ref="M11">IFERROR(VLOOKUP(TabImpuestos[[#This Row],[Base Gravable]],TabISR[],COLUMN(TabISR[Cuota fija])),0)</f>
        <v>0</v>
      </c>
      <c r="N11" s="54">
        <f>IFERROR(TabImpuestos[[#This Row],[Impuesto marginal]]+TabImpuestos[[#This Row],[(+) Cuota Fija]],0)</f>
        <v>0</v>
      </c>
      <c r="O11" s="54" cm="1">
        <f t="array" ref="O11">IFERROR(VLOOKUP(TabImpuestos[[#This Row],[Base Gravable]],TabSubsidio[],COLUMN(TabSubsidio[SUBSIDIO])),0)</f>
        <v>0</v>
      </c>
      <c r="P11" s="54">
        <f>IFERROR(TabImpuestos[[#This Row],[Imp. Art. 96 ISR]]-TabImpuestos[[#This Row],[(-) Subsidio para el empleo]],0)</f>
        <v>0</v>
      </c>
      <c r="Q11" s="54" cm="1">
        <f t="array" ref="Q11">IF('Desglose Salarios Fiscal'!$Q$1=1,TabImpuestos[[#This Row],[Ingreso ordinario]]+((15*VLOOKUP(TabImpuestos[[#This Row],[ID]],TabEmpleados[],COLUMN(TabEmpleados[SD Fiscal]),FALSE))-(30*SMDF)),0)</f>
        <v>-2886.6</v>
      </c>
      <c r="R11" s="54" cm="1">
        <f t="array" ref="R11">IF('Desglose Salarios Fiscal'!$Q$1=1,(VLOOKUP(TabImpuestos[[#This Row],[ID]],TabEmpleados[],COLUMN(TabEmpleados[SD Fiscal]),FALSE)*30.4)-TabImpuestos[[#This Row],[(-) Subsidio para el empleo]],0)</f>
        <v>0</v>
      </c>
      <c r="S11" s="54" cm="1">
        <f t="array" ref="S11">IFERROR(IF('Desglose Salarios Fiscal'!$Q$1=1,IFERROR((((TabImpuestos[[#This Row],[Ingreso Neto]]-(VLOOKUP(TabImpuestos[[#This Row],[Ingreso Neto]],TabISR[],COLUMN(TabISR[Límite inferior]))))*(VLOOKUP(TabImpuestos[[#This Row],[Ingreso Neto]],TabISR[],COLUMN(TabISR[Por ciento para aplicarse sobre el excedente del límite inferior]))))+(VLOOKUP(TabImpuestos[[#This Row],[Ingreso Neto]],TabISR[],COLUMN(TabISR[Cuota fija]))))-(((TabImpuestos[[#This Row],[Ingreso ordinario]]-(VLOOKUP(TabImpuestos[[#This Row],[Ingreso ordinario]],TabISR[],COLUMN(TabISR[Límite inferior]))))*(VLOOKUP(TabImpuestos[[#This Row],[Ingreso ordinario]],TabISR[],COLUMN(TabISR[Por ciento para aplicarse sobre el excedente del límite inferior]))))+(VLOOKUP(TabImpuestos[[#This Row],[Ingreso ordinario]],TabISR[],COLUMN(TabISR[Cuota fija])))),0),0),0)</f>
        <v>0</v>
      </c>
      <c r="T11" s="54" cm="1">
        <f t="array" ref="T11">((15*VLOOKUP(TabImpuestos[[#This Row],[ID]],TabEmpleados[],COLUMN(TabEmpleados[SD Fiscal]),FALSE))-(30*SMDF))/365*30.4</f>
        <v>-240.4181917808219</v>
      </c>
      <c r="U11" s="54">
        <f>TabImpuestos[[#This Row],[Ingreso ordinario]]+TabImpuestos[[#This Row],[Aguinaldo Gravado Mensual]]</f>
        <v>-240.4181917808219</v>
      </c>
      <c r="V11" s="54" t="e" cm="1">
        <f t="array" ref="V11">(((TabImpuestos[[#This Row],[Ingresos totales]]-(VLOOKUP(TabImpuestos[[#This Row],[Ingresos totales]],TabISR[],COLUMN(TabISR[Límite inferior]))))*(VLOOKUP(TabImpuestos[[#This Row],[Ingresos totales]],TabISR[],COLUMN(TabISR[Por ciento para aplicarse sobre el excedente del límite inferior]))))+(VLOOKUP(TabImpuestos[[#This Row],[Ingresos totales]],TabISR[],COLUMN(TabISR[Cuota fija]))))</f>
        <v>#N/A</v>
      </c>
      <c r="W11" s="54" t="e" cm="1">
        <f t="array" ref="W11">(((TabImpuestos[[#This Row],[Ingreso ordinario]]-(VLOOKUP(TabImpuestos[[#This Row],[Ingreso ordinario]],TabISR[],COLUMN(TabISR[Límite inferior]))))*(VLOOKUP(TabImpuestos[[#This Row],[Ingreso ordinario]],TabISR[],COLUMN(TabISR[Por ciento para aplicarse sobre el excedente del límite inferior]))))+(VLOOKUP(TabImpuestos[[#This Row],[Ingreso ordinario]],TabISR[],COLUMN(TabISR[Cuota fija]))))</f>
        <v>#N/A</v>
      </c>
      <c r="X11" s="54" t="e">
        <f>TabImpuestos[[#This Row],[ISR Por ingresos totales]]-TabImpuestos[[#This Row],[ISR por ingreso ordinario]]</f>
        <v>#N/A</v>
      </c>
      <c r="Y11" s="236" t="e">
        <f>TabImpuestos[[#This Row],[Diferencia de ISR''s]]/TabImpuestos[[#This Row],[Aguinaldo Gravado Mensual]]</f>
        <v>#N/A</v>
      </c>
      <c r="Z11" s="54" cm="1">
        <f t="array" ref="Z11">IFERROR(IF('Desglose Salarios Fiscal'!$Q$1=1,((15*VLOOKUP(TabImpuestos[[#This Row],[ID]],TabEmpleados[],COLUMN(TabEmpleados[SD Fiscal]),FALSE))-(30*SMDF))*TabImpuestos[[#This Row],[Tasa D %]],0),0)</f>
        <v>0</v>
      </c>
    </row>
    <row r="12" spans="1:26" x14ac:dyDescent="0.25">
      <c r="A12">
        <f t="shared" si="0"/>
        <v>10</v>
      </c>
      <c r="B12" t="str" cm="1">
        <f t="array" ref="B12">VLOOKUP(A12,TabEmpleados[],COLUMN(TabEmpleados[Nombre]),FALSE)</f>
        <v>GALVAN HERNANDEZ FLOR SILVANA</v>
      </c>
      <c r="C12" s="54" cm="1">
        <f t="array" ref="C12">(VLOOKUP(TabImpuestos[[#This Row],[ID]],TabEmpleados[],COLUMN(TabEmpleados[SD Fiscal]))*VLOOKUP(TabImpuestos[[#This Row],[ID]],TabAsistencias[],COLUMN(TabAsistencias[''Total de dias laborados])))+
TabImpuestos[[#This Row],[Bono Asistencia]]+TabImpuestos[[#This Row],[Bono Puntualidad]]+TabImpuestos[[#This Row],[Prima Dominical]]+TabImpuestos[[#This Row],[Prima Vacacional]]+TabImpuestos[[#This Row],[Bono Festivo/ Descanso]]</f>
        <v>6735.0884999999998</v>
      </c>
      <c r="D12" s="54" cm="1">
        <f t="array" ref="D12">VLOOKUP(TabImpuestos[[#This Row],[ID]],TabDesSalariosFiscal[],COLUMN(TabDesSalariosFiscal[Bono Asistencia]),FALSE)</f>
        <v>630.04425000000003</v>
      </c>
      <c r="E12" s="54" cm="1">
        <f t="array" ref="E12">VLOOKUP(TabImpuestos[[#This Row],[ID]],TabDesSalariosFiscal[],COLUMN(TabDesSalariosFiscal[Bono Puntualidad]),FALSE)</f>
        <v>630.04425000000003</v>
      </c>
      <c r="F12" s="54" cm="1">
        <f t="array" ref="F12">IF(VLOOKUP(TabImpuestos[[#This Row],[ID]],TabDesSalariosFiscal[],COLUMN(TabDesSalariosFiscal[Prima dominical]),FALSE)-SMDF&lt;0,0,VLOOKUP(TabImpuestos[[#This Row],[ID]],TabDesSalariosFiscal[],COLUMN(TabDesSalariosFiscal[Prima dominical]),FALSE)-SMDF)</f>
        <v>0</v>
      </c>
      <c r="G12" s="54" cm="1">
        <f t="array" ref="G12">IF(VLOOKUP(TabImpuestos[[#This Row],[ID]],TabDesSalariosFiscal[],COLUMN(TabDesSalariosFiscal[Prima vacacional]),FALSE)-(15*SMDF)&lt;0,0,VLOOKUP(TabImpuestos[[#This Row],[ID]],TabDesSalariosFiscal[],COLUMN(TabDesSalariosFiscal[Prima vacacional]),FALSE)-(15*SMDF))</f>
        <v>0</v>
      </c>
      <c r="H12" s="54" cm="1">
        <f t="array" ref="H12">(VLOOKUP(TabImpuestos[[#This Row],[ID]],TabDesSalariosFiscal[],COLUMN(TabDesSalariosFiscal[Dia Festivo/ Descanso]),FALSE)*50%)</f>
        <v>0</v>
      </c>
      <c r="I12" s="54" cm="1">
        <f t="array" ref="I12">IFERROR(VLOOKUP(TabImpuestos[[#This Row],[Base Gravable]],TabISR[],COLUMN(TabISR[Límite inferior])),0)</f>
        <v>6382.81</v>
      </c>
      <c r="J12" s="54">
        <f>IFERROR(TabImpuestos[[#This Row],[Base Gravable]]-TabImpuestos[[#This Row],[(-) Lim. Inferior]],0)</f>
        <v>352.27849999999944</v>
      </c>
      <c r="K12" s="236" cm="1">
        <f t="array" ref="K12">IFERROR(VLOOKUP(TabImpuestos[[#This Row],[Base Gravable]],TabISR[],COLUMN(TabISR[Por ciento para aplicarse sobre el excedente del límite inferior])),0)</f>
        <v>0.1792</v>
      </c>
      <c r="L12" s="54">
        <f>IFERROR(TabImpuestos[[#This Row],[EXC. Lim. Inferior]]*TabImpuestos[[#This Row],[(*) % Lim. Inf.]],0)</f>
        <v>63.128307199999902</v>
      </c>
      <c r="M12" s="54" cm="1">
        <f t="array" ref="M12">IFERROR(VLOOKUP(TabImpuestos[[#This Row],[Base Gravable]],TabISR[],COLUMN(TabISR[Cuota fija])),0)</f>
        <v>583.65</v>
      </c>
      <c r="N12" s="54">
        <f>IFERROR(TabImpuestos[[#This Row],[Impuesto marginal]]+TabImpuestos[[#This Row],[(+) Cuota Fija]],0)</f>
        <v>646.77830719999986</v>
      </c>
      <c r="O12" s="54" cm="1">
        <f t="array" ref="O12">IFERROR(VLOOKUP(TabImpuestos[[#This Row],[Base Gravable]],TabSubsidio[],COLUMN(TabSubsidio[SUBSIDIO])),0)</f>
        <v>0</v>
      </c>
      <c r="P12" s="54">
        <f>IFERROR(TabImpuestos[[#This Row],[Imp. Art. 96 ISR]]-TabImpuestos[[#This Row],[(-) Subsidio para el empleo]],0)</f>
        <v>646.77830719999986</v>
      </c>
      <c r="Q12" s="54" cm="1">
        <f t="array" ref="Q12">IF('Desglose Salarios Fiscal'!$Q$1=1,TabImpuestos[[#This Row],[Ingreso ordinario]]+((15*VLOOKUP(TabImpuestos[[#This Row],[ID]],TabEmpleados[],COLUMN(TabEmpleados[SD Fiscal]),FALSE))-(30*SMDF)),0)</f>
        <v>518.40000000000009</v>
      </c>
      <c r="R12" s="54" cm="1">
        <f t="array" ref="R12">IF('Desglose Salarios Fiscal'!$Q$1=1,(VLOOKUP(TabImpuestos[[#This Row],[ID]],TabEmpleados[],COLUMN(TabEmpleados[SD Fiscal]),FALSE)*30.4)-TabImpuestos[[#This Row],[(-) Subsidio para el empleo]],0)</f>
        <v>2280</v>
      </c>
      <c r="S12" s="54" cm="1">
        <f t="array" ref="S12">IFERROR(IF('Desglose Salarios Fiscal'!$Q$1=1,IFERROR((((TabImpuestos[[#This Row],[Ingreso Neto]]-(VLOOKUP(TabImpuestos[[#This Row],[Ingreso Neto]],TabISR[],COLUMN(TabISR[Límite inferior]))))*(VLOOKUP(TabImpuestos[[#This Row],[Ingreso Neto]],TabISR[],COLUMN(TabISR[Por ciento para aplicarse sobre el excedente del límite inferior]))))+(VLOOKUP(TabImpuestos[[#This Row],[Ingreso Neto]],TabISR[],COLUMN(TabISR[Cuota fija]))))-(((TabImpuestos[[#This Row],[Ingreso ordinario]]-(VLOOKUP(TabImpuestos[[#This Row],[Ingreso ordinario]],TabISR[],COLUMN(TabISR[Límite inferior]))))*(VLOOKUP(TabImpuestos[[#This Row],[Ingreso ordinario]],TabISR[],COLUMN(TabISR[Por ciento para aplicarse sobre el excedente del límite inferior]))))+(VLOOKUP(TabImpuestos[[#This Row],[Ingreso ordinario]],TabISR[],COLUMN(TabISR[Cuota fija])))),0),0),0)</f>
        <v>-112.74239999999998</v>
      </c>
      <c r="T12" s="54" cm="1">
        <f t="array" ref="T12">((15*VLOOKUP(TabImpuestos[[#This Row],[ID]],TabEmpleados[],COLUMN(TabEmpleados[SD Fiscal]),FALSE))-(30*SMDF))/365*30.4</f>
        <v>-146.71956164383559</v>
      </c>
      <c r="U12" s="54">
        <f>TabImpuestos[[#This Row],[Ingreso ordinario]]+TabImpuestos[[#This Row],[Aguinaldo Gravado Mensual]]</f>
        <v>2133.2804383561643</v>
      </c>
      <c r="V12" s="54" cm="1">
        <f t="array" ref="V12">(((TabImpuestos[[#This Row],[Ingresos totales]]-(VLOOKUP(TabImpuestos[[#This Row],[Ingresos totales]],TabISR[],COLUMN(TabISR[Límite inferior]))))*(VLOOKUP(TabImpuestos[[#This Row],[Ingresos totales]],TabISR[],COLUMN(TabISR[Por ciento para aplicarse sobre el excedente del límite inferior]))))+(VLOOKUP(TabImpuestos[[#This Row],[Ingresos totales]],TabISR[],COLUMN(TabISR[Cuota fija]))))</f>
        <v>120.0209080547945</v>
      </c>
      <c r="W12" s="54" cm="1">
        <f t="array" ref="W12">(((TabImpuestos[[#This Row],[Ingreso ordinario]]-(VLOOKUP(TabImpuestos[[#This Row],[Ingreso ordinario]],TabISR[],COLUMN(TabISR[Límite inferior]))))*(VLOOKUP(TabImpuestos[[#This Row],[Ingreso ordinario]],TabISR[],COLUMN(TabISR[Por ciento para aplicarse sobre el excedente del límite inferior]))))+(VLOOKUP(TabImpuestos[[#This Row],[Ingreso ordinario]],TabISR[],COLUMN(TabISR[Cuota fija]))))</f>
        <v>129.41095999999999</v>
      </c>
      <c r="X12" s="54">
        <f>TabImpuestos[[#This Row],[ISR Por ingresos totales]]-TabImpuestos[[#This Row],[ISR por ingreso ordinario]]</f>
        <v>-9.3900519452054851</v>
      </c>
      <c r="Y12" s="236">
        <f>TabImpuestos[[#This Row],[Diferencia de ISR''s]]/TabImpuestos[[#This Row],[Aguinaldo Gravado Mensual]]</f>
        <v>6.4000000000000057E-2</v>
      </c>
      <c r="Z12" s="54" cm="1">
        <f t="array" ref="Z12">IFERROR(IF('Desglose Salarios Fiscal'!$Q$1=1,((15*VLOOKUP(TabImpuestos[[#This Row],[ID]],TabEmpleados[],COLUMN(TabEmpleados[SD Fiscal]),FALSE))-(30*SMDF))*TabImpuestos[[#This Row],[Tasa D %]],0),0)</f>
        <v>-112.74240000000009</v>
      </c>
    </row>
    <row r="13" spans="1:26" x14ac:dyDescent="0.25">
      <c r="A13" s="31">
        <f t="shared" si="0"/>
        <v>11</v>
      </c>
      <c r="B13" s="30" t="str" cm="1">
        <f t="array" ref="B13">VLOOKUP(A13,TabEmpleados[],COLUMN(TabEmpleados[Nombre]),FALSE)</f>
        <v>VELASCO TEAHULOS MARIA ASUNCION</v>
      </c>
      <c r="C13" s="54" cm="1">
        <f t="array" ref="C13">(VLOOKUP(TabImpuestos[[#This Row],[ID]],TabEmpleados[],COLUMN(TabEmpleados[SD Fiscal]))*VLOOKUP(TabImpuestos[[#This Row],[ID]],TabAsistencias[],COLUMN(TabAsistencias[''Total de dias laborados])))+
TabImpuestos[[#This Row],[Bono Asistencia]]+TabImpuestos[[#This Row],[Bono Puntualidad]]+TabImpuestos[[#This Row],[Prima Dominical]]+TabImpuestos[[#This Row],[Prima Vacacional]]+TabImpuestos[[#This Row],[Bono Festivo/ Descanso]]</f>
        <v>12123.159299999999</v>
      </c>
      <c r="D13" s="54" cm="1">
        <f t="array" ref="D13">VLOOKUP(TabImpuestos[[#This Row],[ID]],TabDesSalariosFiscal[],COLUMN(TabDesSalariosFiscal[Bono Asistencia]),FALSE)</f>
        <v>1134.0796500000001</v>
      </c>
      <c r="E13" s="54" cm="1">
        <f t="array" ref="E13">VLOOKUP(TabImpuestos[[#This Row],[ID]],TabDesSalariosFiscal[],COLUMN(TabDesSalariosFiscal[Bono Puntualidad]),FALSE)</f>
        <v>1134.0796500000001</v>
      </c>
      <c r="F13" s="54" cm="1">
        <f t="array" ref="F13">IF(VLOOKUP(TabImpuestos[[#This Row],[ID]],TabDesSalariosFiscal[],COLUMN(TabDesSalariosFiscal[Prima dominical]),FALSE)-SMDF&lt;0,0,VLOOKUP(TabImpuestos[[#This Row],[ID]],TabDesSalariosFiscal[],COLUMN(TabDesSalariosFiscal[Prima dominical]),FALSE)-SMDF)</f>
        <v>0</v>
      </c>
      <c r="G13" s="54" cm="1">
        <f t="array" ref="G13">IF(VLOOKUP(TabImpuestos[[#This Row],[ID]],TabDesSalariosFiscal[],COLUMN(TabDesSalariosFiscal[Prima vacacional]),FALSE)-(15*SMDF)&lt;0,0,VLOOKUP(TabImpuestos[[#This Row],[ID]],TabDesSalariosFiscal[],COLUMN(TabDesSalariosFiscal[Prima vacacional]),FALSE)-(15*SMDF))</f>
        <v>0</v>
      </c>
      <c r="H13" s="54" cm="1">
        <f t="array" ref="H13">(VLOOKUP(TabImpuestos[[#This Row],[ID]],TabDesSalariosFiscal[],COLUMN(TabDesSalariosFiscal[Dia Festivo/ Descanso]),FALSE)*50%)</f>
        <v>0</v>
      </c>
      <c r="I13" s="54" cm="1">
        <f t="array" ref="I13">IFERROR(VLOOKUP(TabImpuestos[[#This Row],[Base Gravable]],TabISR[],COLUMN(TabISR[Límite inferior])),0)</f>
        <v>7641.91</v>
      </c>
      <c r="J13" s="54">
        <f>IFERROR(TabImpuestos[[#This Row],[Base Gravable]]-TabImpuestos[[#This Row],[(-) Lim. Inferior]],0)</f>
        <v>4481.2492999999995</v>
      </c>
      <c r="K13" s="236" cm="1">
        <f t="array" ref="K13">IFERROR(VLOOKUP(TabImpuestos[[#This Row],[Base Gravable]],TabISR[],COLUMN(TabISR[Por ciento para aplicarse sobre el excedente del límite inferior])),0)</f>
        <v>0.21360000000000001</v>
      </c>
      <c r="L13" s="54">
        <f>IFERROR(TabImpuestos[[#This Row],[EXC. Lim. Inferior]]*TabImpuestos[[#This Row],[(*) % Lim. Inf.]],0)</f>
        <v>957.1948504799999</v>
      </c>
      <c r="M13" s="54" cm="1">
        <f t="array" ref="M13">IFERROR(VLOOKUP(TabImpuestos[[#This Row],[Base Gravable]],TabISR[],COLUMN(TabISR[Cuota fija])),0)</f>
        <v>809.25</v>
      </c>
      <c r="N13" s="54">
        <f>IFERROR(TabImpuestos[[#This Row],[Impuesto marginal]]+TabImpuestos[[#This Row],[(+) Cuota Fija]],0)</f>
        <v>1766.4448504799998</v>
      </c>
      <c r="O13" s="54" cm="1">
        <f t="array" ref="O13">IFERROR(VLOOKUP(TabImpuestos[[#This Row],[Base Gravable]],TabSubsidio[],COLUMN(TabSubsidio[SUBSIDIO])),0)</f>
        <v>0</v>
      </c>
      <c r="P13" s="54">
        <f>IFERROR(TabImpuestos[[#This Row],[Imp. Art. 96 ISR]]-TabImpuestos[[#This Row],[(-) Subsidio para el empleo]],0)</f>
        <v>1766.4448504799998</v>
      </c>
      <c r="Q13" s="54" cm="1">
        <f t="array" ref="Q13">IF('Desglose Salarios Fiscal'!$Q$1=1,TabImpuestos[[#This Row],[Ingreso ordinario]]+((15*VLOOKUP(TabImpuestos[[#This Row],[ID]],TabEmpleados[],COLUMN(TabEmpleados[SD Fiscal]),FALSE))-(30*SMDF)),0)</f>
        <v>3242.4</v>
      </c>
      <c r="R13" s="54" cm="1">
        <f t="array" ref="R13">IF('Desglose Salarios Fiscal'!$Q$1=1,(VLOOKUP(TabImpuestos[[#This Row],[ID]],TabEmpleados[],COLUMN(TabEmpleados[SD Fiscal]),FALSE)*30.4)-TabImpuestos[[#This Row],[(-) Subsidio para el empleo]],0)</f>
        <v>4104</v>
      </c>
      <c r="S13" s="54" cm="1">
        <f t="array" ref="S13">IFERROR(IF('Desglose Salarios Fiscal'!$Q$1=1,IFERROR((((TabImpuestos[[#This Row],[Ingreso Neto]]-(VLOOKUP(TabImpuestos[[#This Row],[Ingreso Neto]],TabISR[],COLUMN(TabISR[Límite inferior]))))*(VLOOKUP(TabImpuestos[[#This Row],[Ingreso Neto]],TabISR[],COLUMN(TabISR[Por ciento para aplicarse sobre el excedente del límite inferior]))))+(VLOOKUP(TabImpuestos[[#This Row],[Ingreso Neto]],TabISR[],COLUMN(TabISR[Cuota fija]))))-(((TabImpuestos[[#This Row],[Ingreso ordinario]]-(VLOOKUP(TabImpuestos[[#This Row],[Ingreso ordinario]],TabISR[],COLUMN(TabISR[Límite inferior]))))*(VLOOKUP(TabImpuestos[[#This Row],[Ingreso ordinario]],TabISR[],COLUMN(TabISR[Por ciento para aplicarse sobre el excedente del límite inferior]))))+(VLOOKUP(TabImpuestos[[#This Row],[Ingreso ordinario]],TabISR[],COLUMN(TabISR[Cuota fija])))),0),0),0)</f>
        <v>-93.742079999999959</v>
      </c>
      <c r="T13" s="54" cm="1">
        <f t="array" ref="T13">((15*VLOOKUP(TabImpuestos[[#This Row],[ID]],TabEmpleados[],COLUMN(TabEmpleados[SD Fiscal]),FALSE))-(30*SMDF))/365*30.4</f>
        <v>-71.760657534246562</v>
      </c>
      <c r="U13" s="54">
        <f>TabImpuestos[[#This Row],[Ingreso ordinario]]+TabImpuestos[[#This Row],[Aguinaldo Gravado Mensual]]</f>
        <v>4032.2393424657535</v>
      </c>
      <c r="V13" s="54" cm="1">
        <f t="array" ref="V13">(((TabImpuestos[[#This Row],[Ingresos totales]]-(VLOOKUP(TabImpuestos[[#This Row],[Ingresos totales]],TabISR[],COLUMN(TabISR[Límite inferior]))))*(VLOOKUP(TabImpuestos[[#This Row],[Ingresos totales]],TabISR[],COLUMN(TabISR[Por ciento para aplicarse sobre el excedente del límite inferior]))))+(VLOOKUP(TabImpuestos[[#This Row],[Ingresos totales]],TabISR[],COLUMN(TabISR[Cuota fija]))))</f>
        <v>282.22727246027398</v>
      </c>
      <c r="W13" s="54" cm="1">
        <f t="array" ref="W13">(((TabImpuestos[[#This Row],[Ingreso ordinario]]-(VLOOKUP(TabImpuestos[[#This Row],[Ingreso ordinario]],TabISR[],COLUMN(TabISR[Límite inferior]))))*(VLOOKUP(TabImpuestos[[#This Row],[Ingreso ordinario]],TabISR[],COLUMN(TabISR[Por ciento para aplicarse sobre el excedente del límite inferior]))))+(VLOOKUP(TabImpuestos[[#This Row],[Ingreso ordinario]],TabISR[],COLUMN(TabISR[Cuota fija]))))</f>
        <v>290.03483199999994</v>
      </c>
      <c r="X13" s="54">
        <f>TabImpuestos[[#This Row],[ISR Por ingresos totales]]-TabImpuestos[[#This Row],[ISR por ingreso ordinario]]</f>
        <v>-7.8075595397259576</v>
      </c>
      <c r="Y13" s="236">
        <f>TabImpuestos[[#This Row],[Diferencia de ISR''s]]/TabImpuestos[[#This Row],[Aguinaldo Gravado Mensual]]</f>
        <v>0.10879999999999905</v>
      </c>
      <c r="Z13" s="54" cm="1">
        <f t="array" ref="Z13">IFERROR(IF('Desglose Salarios Fiscal'!$Q$1=1,((15*VLOOKUP(TabImpuestos[[#This Row],[ID]],TabEmpleados[],COLUMN(TabEmpleados[SD Fiscal]),FALSE))-(30*SMDF))*TabImpuestos[[#This Row],[Tasa D %]],0),0)</f>
        <v>-93.742079999999177</v>
      </c>
    </row>
    <row r="14" spans="1:26" x14ac:dyDescent="0.25">
      <c r="A14">
        <f t="shared" si="0"/>
        <v>12</v>
      </c>
      <c r="B14" t="str" cm="1">
        <f t="array" ref="B14">VLOOKUP(A14,TabEmpleados[],COLUMN(TabEmpleados[Nombre]),FALSE)</f>
        <v>GARCIA MARTINEZ JORGE MANUEL</v>
      </c>
      <c r="C14" s="54" cm="1">
        <f t="array" ref="C14">(VLOOKUP(TabImpuestos[[#This Row],[ID]],TabEmpleados[],COLUMN(TabEmpleados[SD Fiscal]))*VLOOKUP(TabImpuestos[[#This Row],[ID]],TabAsistencias[],COLUMN(TabAsistencias[''Total de dias laborados])))+
TabImpuestos[[#This Row],[Bono Asistencia]]+TabImpuestos[[#This Row],[Bono Puntualidad]]+TabImpuestos[[#This Row],[Prima Dominical]]+TabImpuestos[[#This Row],[Prima Vacacional]]+TabImpuestos[[#This Row],[Bono Festivo/ Descanso]]</f>
        <v>17511.230100000001</v>
      </c>
      <c r="D14" s="54" cm="1">
        <f t="array" ref="D14">VLOOKUP(TabImpuestos[[#This Row],[ID]],TabDesSalariosFiscal[],COLUMN(TabDesSalariosFiscal[Bono Asistencia]),FALSE)</f>
        <v>1638.1150500000003</v>
      </c>
      <c r="E14" s="54" cm="1">
        <f t="array" ref="E14">VLOOKUP(TabImpuestos[[#This Row],[ID]],TabDesSalariosFiscal[],COLUMN(TabDesSalariosFiscal[Bono Puntualidad]),FALSE)</f>
        <v>1638.1150500000003</v>
      </c>
      <c r="F14" s="54" cm="1">
        <f t="array" ref="F14">IF(VLOOKUP(TabImpuestos[[#This Row],[ID]],TabDesSalariosFiscal[],COLUMN(TabDesSalariosFiscal[Prima dominical]),FALSE)-SMDF&lt;0,0,VLOOKUP(TabImpuestos[[#This Row],[ID]],TabDesSalariosFiscal[],COLUMN(TabDesSalariosFiscal[Prima dominical]),FALSE)-SMDF)</f>
        <v>0</v>
      </c>
      <c r="G14" s="54" cm="1">
        <f t="array" ref="G14">IF(VLOOKUP(TabImpuestos[[#This Row],[ID]],TabDesSalariosFiscal[],COLUMN(TabDesSalariosFiscal[Prima vacacional]),FALSE)-(15*SMDF)&lt;0,0,VLOOKUP(TabImpuestos[[#This Row],[ID]],TabDesSalariosFiscal[],COLUMN(TabDesSalariosFiscal[Prima vacacional]),FALSE)-(15*SMDF))</f>
        <v>0</v>
      </c>
      <c r="H14" s="54" cm="1">
        <f t="array" ref="H14">(VLOOKUP(TabImpuestos[[#This Row],[ID]],TabDesSalariosFiscal[],COLUMN(TabDesSalariosFiscal[Dia Festivo/ Descanso]),FALSE)*50%)</f>
        <v>0</v>
      </c>
      <c r="I14" s="54" cm="1">
        <f t="array" ref="I14">IFERROR(VLOOKUP(TabImpuestos[[#This Row],[Base Gravable]],TabISR[],COLUMN(TabISR[Límite inferior])),0)</f>
        <v>15412.81</v>
      </c>
      <c r="J14" s="54">
        <f>IFERROR(TabImpuestos[[#This Row],[Base Gravable]]-TabImpuestos[[#This Row],[(-) Lim. Inferior]],0)</f>
        <v>2098.4201000000012</v>
      </c>
      <c r="K14" s="236" cm="1">
        <f t="array" ref="K14">IFERROR(VLOOKUP(TabImpuestos[[#This Row],[Base Gravable]],TabISR[],COLUMN(TabISR[Por ciento para aplicarse sobre el excedente del límite inferior])),0)</f>
        <v>0.23519999999999999</v>
      </c>
      <c r="L14" s="54">
        <f>IFERROR(TabImpuestos[[#This Row],[EXC. Lim. Inferior]]*TabImpuestos[[#This Row],[(*) % Lim. Inf.]],0)</f>
        <v>493.54840752000024</v>
      </c>
      <c r="M14" s="54" cm="1">
        <f t="array" ref="M14">IFERROR(VLOOKUP(TabImpuestos[[#This Row],[Base Gravable]],TabISR[],COLUMN(TabISR[Cuota fija])),0)</f>
        <v>2469.15</v>
      </c>
      <c r="N14" s="54">
        <f>IFERROR(TabImpuestos[[#This Row],[Impuesto marginal]]+TabImpuestos[[#This Row],[(+) Cuota Fija]],0)</f>
        <v>2962.6984075200003</v>
      </c>
      <c r="O14" s="54" cm="1">
        <f t="array" ref="O14">IFERROR(VLOOKUP(TabImpuestos[[#This Row],[Base Gravable]],TabSubsidio[],COLUMN(TabSubsidio[SUBSIDIO])),0)</f>
        <v>0</v>
      </c>
      <c r="P14" s="54">
        <f>IFERROR(TabImpuestos[[#This Row],[Imp. Art. 96 ISR]]-TabImpuestos[[#This Row],[(-) Subsidio para el empleo]],0)</f>
        <v>2962.6984075200003</v>
      </c>
      <c r="Q14" s="54" cm="1">
        <f t="array" ref="Q14">IF('Desglose Salarios Fiscal'!$Q$1=1,TabImpuestos[[#This Row],[Ingreso ordinario]]+((15*VLOOKUP(TabImpuestos[[#This Row],[ID]],TabEmpleados[],COLUMN(TabEmpleados[SD Fiscal]),FALSE))-(30*SMDF)),0)</f>
        <v>5966.4</v>
      </c>
      <c r="R14" s="54" cm="1">
        <f t="array" ref="R14">IF('Desglose Salarios Fiscal'!$Q$1=1,(VLOOKUP(TabImpuestos[[#This Row],[ID]],TabEmpleados[],COLUMN(TabEmpleados[SD Fiscal]),FALSE)*30.4)-TabImpuestos[[#This Row],[(-) Subsidio para el empleo]],0)</f>
        <v>5928</v>
      </c>
      <c r="S14" s="54" cm="1">
        <f t="array" ref="S14">IFERROR(IF('Desglose Salarios Fiscal'!$Q$1=1,IFERROR((((TabImpuestos[[#This Row],[Ingreso Neto]]-(VLOOKUP(TabImpuestos[[#This Row],[Ingreso Neto]],TabISR[],COLUMN(TabISR[Límite inferior]))))*(VLOOKUP(TabImpuestos[[#This Row],[Ingreso Neto]],TabISR[],COLUMN(TabISR[Por ciento para aplicarse sobre el excedente del límite inferior]))))+(VLOOKUP(TabImpuestos[[#This Row],[Ingreso Neto]],TabISR[],COLUMN(TabISR[Cuota fija]))))-(((TabImpuestos[[#This Row],[Ingreso ordinario]]-(VLOOKUP(TabImpuestos[[#This Row],[Ingreso ordinario]],TabISR[],COLUMN(TabISR[Límite inferior]))))*(VLOOKUP(TabImpuestos[[#This Row],[Ingreso ordinario]],TabISR[],COLUMN(TabISR[Por ciento para aplicarse sobre el excedente del límite inferior]))))+(VLOOKUP(TabImpuestos[[#This Row],[Ingreso ordinario]],TabISR[],COLUMN(TabISR[Cuota fija])))),0),0),0)</f>
        <v>6.1439999999998918</v>
      </c>
      <c r="T14" s="54" cm="1">
        <f t="array" ref="T14">((15*VLOOKUP(TabImpuestos[[#This Row],[ID]],TabEmpleados[],COLUMN(TabEmpleados[SD Fiscal]),FALSE))-(30*SMDF))/365*30.4</f>
        <v>3.1982465753424729</v>
      </c>
      <c r="U14" s="54">
        <f>TabImpuestos[[#This Row],[Ingreso ordinario]]+TabImpuestos[[#This Row],[Aguinaldo Gravado Mensual]]</f>
        <v>5931.1982465753426</v>
      </c>
      <c r="V14" s="54" cm="1">
        <f t="array" ref="V14">(((TabImpuestos[[#This Row],[Ingresos totales]]-(VLOOKUP(TabImpuestos[[#This Row],[Ingresos totales]],TabISR[],COLUMN(TabISR[Límite inferior]))))*(VLOOKUP(TabImpuestos[[#This Row],[Ingresos totales]],TabISR[],COLUMN(TabISR[Por ciento para aplicarse sobre el excedente del límite inferior]))))+(VLOOKUP(TabImpuestos[[#This Row],[Ingresos totales]],TabISR[],COLUMN(TabISR[Cuota fija]))))</f>
        <v>511.4701194520548</v>
      </c>
      <c r="W14" s="54" cm="1">
        <f t="array" ref="W14">(((TabImpuestos[[#This Row],[Ingreso ordinario]]-(VLOOKUP(TabImpuestos[[#This Row],[Ingreso ordinario]],TabISR[],COLUMN(TabISR[Límite inferior]))))*(VLOOKUP(TabImpuestos[[#This Row],[Ingreso ordinario]],TabISR[],COLUMN(TabISR[Por ciento para aplicarse sobre el excedente del límite inferior]))))+(VLOOKUP(TabImpuestos[[#This Row],[Ingreso ordinario]],TabISR[],COLUMN(TabISR[Cuota fija]))))</f>
        <v>510.95839999999998</v>
      </c>
      <c r="X14" s="54">
        <f>TabImpuestos[[#This Row],[ISR Por ingresos totales]]-TabImpuestos[[#This Row],[ISR por ingreso ordinario]]</f>
        <v>0.51171945205481961</v>
      </c>
      <c r="Y14" s="236">
        <f>TabImpuestos[[#This Row],[Diferencia de ISR''s]]/TabImpuestos[[#This Row],[Aguinaldo Gravado Mensual]]</f>
        <v>0.1600000000000075</v>
      </c>
      <c r="Z14" s="54" cm="1">
        <f t="array" ref="Z14">IFERROR(IF('Desglose Salarios Fiscal'!$Q$1=1,((15*VLOOKUP(TabImpuestos[[#This Row],[ID]],TabEmpleados[],COLUMN(TabEmpleados[SD Fiscal]),FALSE))-(30*SMDF))*TabImpuestos[[#This Row],[Tasa D %]],0),0)</f>
        <v>6.1440000000003021</v>
      </c>
    </row>
    <row r="15" spans="1:26" x14ac:dyDescent="0.25">
      <c r="A15" s="31">
        <f t="shared" si="0"/>
        <v>13</v>
      </c>
      <c r="B15" s="30" t="str" cm="1">
        <f t="array" ref="B15">VLOOKUP(A15,TabEmpleados[],COLUMN(TabEmpleados[Nombre]),FALSE)</f>
        <v>APARICIO MORALES EFRAIN</v>
      </c>
      <c r="C15" s="54" cm="1">
        <f t="array" ref="C15">(VLOOKUP(TabImpuestos[[#This Row],[ID]],TabEmpleados[],COLUMN(TabEmpleados[SD Fiscal]))*VLOOKUP(TabImpuestos[[#This Row],[ID]],TabAsistencias[],COLUMN(TabAsistencias[''Total de dias laborados])))+
TabImpuestos[[#This Row],[Bono Asistencia]]+TabImpuestos[[#This Row],[Bono Puntualidad]]+TabImpuestos[[#This Row],[Prima Dominical]]+TabImpuestos[[#This Row],[Prima Vacacional]]+TabImpuestos[[#This Row],[Bono Festivo/ Descanso]]</f>
        <v>16164.2124</v>
      </c>
      <c r="D15" s="54" cm="1">
        <f t="array" ref="D15">VLOOKUP(TabImpuestos[[#This Row],[ID]],TabDesSalariosFiscal[],COLUMN(TabDesSalariosFiscal[Bono Asistencia]),FALSE)</f>
        <v>1512.1062000000002</v>
      </c>
      <c r="E15" s="54" cm="1">
        <f t="array" ref="E15">VLOOKUP(TabImpuestos[[#This Row],[ID]],TabDesSalariosFiscal[],COLUMN(TabDesSalariosFiscal[Bono Puntualidad]),FALSE)</f>
        <v>1512.1062000000002</v>
      </c>
      <c r="F15" s="54" cm="1">
        <f t="array" ref="F15">IF(VLOOKUP(TabImpuestos[[#This Row],[ID]],TabDesSalariosFiscal[],COLUMN(TabDesSalariosFiscal[Prima dominical]),FALSE)-SMDF&lt;0,0,VLOOKUP(TabImpuestos[[#This Row],[ID]],TabDesSalariosFiscal[],COLUMN(TabDesSalariosFiscal[Prima dominical]),FALSE)-SMDF)</f>
        <v>0</v>
      </c>
      <c r="G15" s="54" cm="1">
        <f t="array" ref="G15">IF(VLOOKUP(TabImpuestos[[#This Row],[ID]],TabDesSalariosFiscal[],COLUMN(TabDesSalariosFiscal[Prima vacacional]),FALSE)-(15*SMDF)&lt;0,0,VLOOKUP(TabImpuestos[[#This Row],[ID]],TabDesSalariosFiscal[],COLUMN(TabDesSalariosFiscal[Prima vacacional]),FALSE)-(15*SMDF))</f>
        <v>0</v>
      </c>
      <c r="H15" s="54" cm="1">
        <f t="array" ref="H15">(VLOOKUP(TabImpuestos[[#This Row],[ID]],TabDesSalariosFiscal[],COLUMN(TabDesSalariosFiscal[Dia Festivo/ Descanso]),FALSE)*50%)</f>
        <v>0</v>
      </c>
      <c r="I15" s="54" cm="1">
        <f t="array" ref="I15">IFERROR(VLOOKUP(TabImpuestos[[#This Row],[Base Gravable]],TabISR[],COLUMN(TabISR[Límite inferior])),0)</f>
        <v>15412.81</v>
      </c>
      <c r="J15" s="54">
        <f>IFERROR(TabImpuestos[[#This Row],[Base Gravable]]-TabImpuestos[[#This Row],[(-) Lim. Inferior]],0)</f>
        <v>751.40240000000085</v>
      </c>
      <c r="K15" s="236" cm="1">
        <f t="array" ref="K15">IFERROR(VLOOKUP(TabImpuestos[[#This Row],[Base Gravable]],TabISR[],COLUMN(TabISR[Por ciento para aplicarse sobre el excedente del límite inferior])),0)</f>
        <v>0.23519999999999999</v>
      </c>
      <c r="L15" s="54">
        <f>IFERROR(TabImpuestos[[#This Row],[EXC. Lim. Inferior]]*TabImpuestos[[#This Row],[(*) % Lim. Inf.]],0)</f>
        <v>176.7298444800002</v>
      </c>
      <c r="M15" s="54" cm="1">
        <f t="array" ref="M15">IFERROR(VLOOKUP(TabImpuestos[[#This Row],[Base Gravable]],TabISR[],COLUMN(TabISR[Cuota fija])),0)</f>
        <v>2469.15</v>
      </c>
      <c r="N15" s="54">
        <f>IFERROR(TabImpuestos[[#This Row],[Impuesto marginal]]+TabImpuestos[[#This Row],[(+) Cuota Fija]],0)</f>
        <v>2645.8798444800004</v>
      </c>
      <c r="O15" s="54" cm="1">
        <f t="array" ref="O15">IFERROR(VLOOKUP(TabImpuestos[[#This Row],[Base Gravable]],TabSubsidio[],COLUMN(TabSubsidio[SUBSIDIO])),0)</f>
        <v>0</v>
      </c>
      <c r="P15" s="54">
        <f>IFERROR(TabImpuestos[[#This Row],[Imp. Art. 96 ISR]]-TabImpuestos[[#This Row],[(-) Subsidio para el empleo]],0)</f>
        <v>2645.8798444800004</v>
      </c>
      <c r="Q15" s="54" cm="1">
        <f t="array" ref="Q15">IF('Desglose Salarios Fiscal'!$Q$1=1,TabImpuestos[[#This Row],[Ingreso ordinario]]+((15*VLOOKUP(TabImpuestos[[#This Row],[ID]],TabEmpleados[],COLUMN(TabEmpleados[SD Fiscal]),FALSE))-(30*SMDF)),0)</f>
        <v>5285.4</v>
      </c>
      <c r="R15" s="54" cm="1">
        <f t="array" ref="R15">IF('Desglose Salarios Fiscal'!$Q$1=1,(VLOOKUP(TabImpuestos[[#This Row],[ID]],TabEmpleados[],COLUMN(TabEmpleados[SD Fiscal]),FALSE)*30.4)-TabImpuestos[[#This Row],[(-) Subsidio para el empleo]],0)</f>
        <v>5472</v>
      </c>
      <c r="S15" s="54" cm="1">
        <f t="array" ref="S15">IFERROR(IF('Desglose Salarios Fiscal'!$Q$1=1,IFERROR((((TabImpuestos[[#This Row],[Ingreso Neto]]-(VLOOKUP(TabImpuestos[[#This Row],[Ingreso Neto]],TabISR[],COLUMN(TabISR[Límite inferior]))))*(VLOOKUP(TabImpuestos[[#This Row],[Ingreso Neto]],TabISR[],COLUMN(TabISR[Por ciento para aplicarse sobre el excedente del límite inferior]))))+(VLOOKUP(TabImpuestos[[#This Row],[Ingreso Neto]],TabISR[],COLUMN(TabISR[Cuota fija]))))-(((TabImpuestos[[#This Row],[Ingreso ordinario]]-(VLOOKUP(TabImpuestos[[#This Row],[Ingreso ordinario]],TabISR[],COLUMN(TabISR[Límite inferior]))))*(VLOOKUP(TabImpuestos[[#This Row],[Ingreso ordinario]],TabISR[],COLUMN(TabISR[Por ciento para aplicarse sobre el excedente del límite inferior]))))+(VLOOKUP(TabImpuestos[[#This Row],[Ingreso ordinario]],TabISR[],COLUMN(TabISR[Cuota fija])))),0),0),0)</f>
        <v>-20.302080000000046</v>
      </c>
      <c r="T15" s="54" cm="1">
        <f t="array" ref="T15">((15*VLOOKUP(TabImpuestos[[#This Row],[ID]],TabEmpleados[],COLUMN(TabEmpleados[SD Fiscal]),FALSE))-(30*SMDF))/365*30.4</f>
        <v>-15.541479452054787</v>
      </c>
      <c r="U15" s="54">
        <f>TabImpuestos[[#This Row],[Ingreso ordinario]]+TabImpuestos[[#This Row],[Aguinaldo Gravado Mensual]]</f>
        <v>5456.4585205479452</v>
      </c>
      <c r="V15" s="54" cm="1">
        <f t="array" ref="V15">(((TabImpuestos[[#This Row],[Ingresos totales]]-(VLOOKUP(TabImpuestos[[#This Row],[Ingresos totales]],TabISR[],COLUMN(TabISR[Límite inferior]))))*(VLOOKUP(TabImpuestos[[#This Row],[Ingresos totales]],TabISR[],COLUMN(TabISR[Por ciento para aplicarse sobre el excedente del límite inferior]))))+(VLOOKUP(TabImpuestos[[#This Row],[Ingresos totales]],TabISR[],COLUMN(TabISR[Cuota fija]))))</f>
        <v>437.18231903561639</v>
      </c>
      <c r="W15" s="54" cm="1">
        <f t="array" ref="W15">(((TabImpuestos[[#This Row],[Ingreso ordinario]]-(VLOOKUP(TabImpuestos[[#This Row],[Ingreso ordinario]],TabISR[],COLUMN(TabISR[Límite inferior]))))*(VLOOKUP(TabImpuestos[[#This Row],[Ingreso ordinario]],TabISR[],COLUMN(TabISR[Por ciento para aplicarse sobre el excedente del límite inferior]))))+(VLOOKUP(TabImpuestos[[#This Row],[Ingreso ordinario]],TabISR[],COLUMN(TabISR[Cuota fija]))))</f>
        <v>438.87323199999997</v>
      </c>
      <c r="X15" s="54">
        <f>TabImpuestos[[#This Row],[ISR Por ingresos totales]]-TabImpuestos[[#This Row],[ISR por ingreso ordinario]]</f>
        <v>-1.6909129643835854</v>
      </c>
      <c r="Y15" s="236">
        <f>TabImpuestos[[#This Row],[Diferencia de ISR''s]]/TabImpuestos[[#This Row],[Aguinaldo Gravado Mensual]]</f>
        <v>0.10880000000000158</v>
      </c>
      <c r="Z15" s="54" cm="1">
        <f t="array" ref="Z15">IFERROR(IF('Desglose Salarios Fiscal'!$Q$1=1,((15*VLOOKUP(TabImpuestos[[#This Row],[ID]],TabEmpleados[],COLUMN(TabEmpleados[SD Fiscal]),FALSE))-(30*SMDF))*TabImpuestos[[#This Row],[Tasa D %]],0),0)</f>
        <v>-20.302080000000284</v>
      </c>
    </row>
    <row r="16" spans="1:26" x14ac:dyDescent="0.25">
      <c r="A16">
        <f t="shared" si="0"/>
        <v>14</v>
      </c>
      <c r="B16" t="str" cm="1">
        <f t="array" ref="B16">VLOOKUP(A16,TabEmpleados[],COLUMN(TabEmpleados[Nombre]),FALSE)</f>
        <v>MIGUEL MIGUEL CAROLINA</v>
      </c>
      <c r="C16" s="54" cm="1">
        <f t="array" ref="C16">(VLOOKUP(TabImpuestos[[#This Row],[ID]],TabEmpleados[],COLUMN(TabEmpleados[SD Fiscal]))*VLOOKUP(TabImpuestos[[#This Row],[ID]],TabAsistencias[],COLUMN(TabAsistencias[''Total de dias laborados])))+
TabImpuestos[[#This Row],[Bono Asistencia]]+TabImpuestos[[#This Row],[Bono Puntualidad]]+TabImpuestos[[#This Row],[Prima Dominical]]+TabImpuestos[[#This Row],[Prima Vacacional]]+TabImpuestos[[#This Row],[Bono Festivo/ Descanso]]</f>
        <v>8082.1062000000002</v>
      </c>
      <c r="D16" s="54" cm="1">
        <f t="array" ref="D16">VLOOKUP(TabImpuestos[[#This Row],[ID]],TabDesSalariosFiscal[],COLUMN(TabDesSalariosFiscal[Bono Asistencia]),FALSE)</f>
        <v>756.05310000000009</v>
      </c>
      <c r="E16" s="54" cm="1">
        <f t="array" ref="E16">VLOOKUP(TabImpuestos[[#This Row],[ID]],TabDesSalariosFiscal[],COLUMN(TabDesSalariosFiscal[Bono Puntualidad]),FALSE)</f>
        <v>756.05310000000009</v>
      </c>
      <c r="F16" s="54" cm="1">
        <f t="array" ref="F16">IF(VLOOKUP(TabImpuestos[[#This Row],[ID]],TabDesSalariosFiscal[],COLUMN(TabDesSalariosFiscal[Prima dominical]),FALSE)-SMDF&lt;0,0,VLOOKUP(TabImpuestos[[#This Row],[ID]],TabDesSalariosFiscal[],COLUMN(TabDesSalariosFiscal[Prima dominical]),FALSE)-SMDF)</f>
        <v>0</v>
      </c>
      <c r="G16" s="54" cm="1">
        <f t="array" ref="G16">IF(VLOOKUP(TabImpuestos[[#This Row],[ID]],TabDesSalariosFiscal[],COLUMN(TabDesSalariosFiscal[Prima vacacional]),FALSE)-(15*SMDF)&lt;0,0,VLOOKUP(TabImpuestos[[#This Row],[ID]],TabDesSalariosFiscal[],COLUMN(TabDesSalariosFiscal[Prima vacacional]),FALSE)-(15*SMDF))</f>
        <v>0</v>
      </c>
      <c r="H16" s="54" cm="1">
        <f t="array" ref="H16">(VLOOKUP(TabImpuestos[[#This Row],[ID]],TabDesSalariosFiscal[],COLUMN(TabDesSalariosFiscal[Dia Festivo/ Descanso]),FALSE)*50%)</f>
        <v>0</v>
      </c>
      <c r="I16" s="54" cm="1">
        <f t="array" ref="I16">IFERROR(VLOOKUP(TabImpuestos[[#This Row],[Base Gravable]],TabISR[],COLUMN(TabISR[Límite inferior])),0)</f>
        <v>7641.91</v>
      </c>
      <c r="J16" s="54">
        <f>IFERROR(TabImpuestos[[#This Row],[Base Gravable]]-TabImpuestos[[#This Row],[(-) Lim. Inferior]],0)</f>
        <v>440.19620000000032</v>
      </c>
      <c r="K16" s="236" cm="1">
        <f t="array" ref="K16">IFERROR(VLOOKUP(TabImpuestos[[#This Row],[Base Gravable]],TabISR[],COLUMN(TabISR[Por ciento para aplicarse sobre el excedente del límite inferior])),0)</f>
        <v>0.21360000000000001</v>
      </c>
      <c r="L16" s="54">
        <f>IFERROR(TabImpuestos[[#This Row],[EXC. Lim. Inferior]]*TabImpuestos[[#This Row],[(*) % Lim. Inf.]],0)</f>
        <v>94.02590832000007</v>
      </c>
      <c r="M16" s="54" cm="1">
        <f t="array" ref="M16">IFERROR(VLOOKUP(TabImpuestos[[#This Row],[Base Gravable]],TabISR[],COLUMN(TabISR[Cuota fija])),0)</f>
        <v>809.25</v>
      </c>
      <c r="N16" s="54">
        <f>IFERROR(TabImpuestos[[#This Row],[Impuesto marginal]]+TabImpuestos[[#This Row],[(+) Cuota Fija]],0)</f>
        <v>903.2759083200001</v>
      </c>
      <c r="O16" s="54" cm="1">
        <f t="array" ref="O16">IFERROR(VLOOKUP(TabImpuestos[[#This Row],[Base Gravable]],TabSubsidio[],COLUMN(TabSubsidio[SUBSIDIO])),0)</f>
        <v>0</v>
      </c>
      <c r="P16" s="54">
        <f>IFERROR(TabImpuestos[[#This Row],[Imp. Art. 96 ISR]]-TabImpuestos[[#This Row],[(-) Subsidio para el empleo]],0)</f>
        <v>903.2759083200001</v>
      </c>
      <c r="Q16" s="54" cm="1">
        <f t="array" ref="Q16">IF('Desglose Salarios Fiscal'!$Q$1=1,TabImpuestos[[#This Row],[Ingreso ordinario]]+((15*VLOOKUP(TabImpuestos[[#This Row],[ID]],TabEmpleados[],COLUMN(TabEmpleados[SD Fiscal]),FALSE))-(30*SMDF)),0)</f>
        <v>1199.4000000000001</v>
      </c>
      <c r="R16" s="54" cm="1">
        <f t="array" ref="R16">IF('Desglose Salarios Fiscal'!$Q$1=1,(VLOOKUP(TabImpuestos[[#This Row],[ID]],TabEmpleados[],COLUMN(TabEmpleados[SD Fiscal]),FALSE)*30.4)-TabImpuestos[[#This Row],[(-) Subsidio para el empleo]],0)</f>
        <v>2736</v>
      </c>
      <c r="S16" s="54" cm="1">
        <f t="array" ref="S16">IFERROR(IF('Desglose Salarios Fiscal'!$Q$1=1,IFERROR((((TabImpuestos[[#This Row],[Ingreso Neto]]-(VLOOKUP(TabImpuestos[[#This Row],[Ingreso Neto]],TabISR[],COLUMN(TabISR[Límite inferior]))))*(VLOOKUP(TabImpuestos[[#This Row],[Ingreso Neto]],TabISR[],COLUMN(TabISR[Por ciento para aplicarse sobre el excedente del límite inferior]))))+(VLOOKUP(TabImpuestos[[#This Row],[Ingreso Neto]],TabISR[],COLUMN(TabISR[Cuota fija]))))-(((TabImpuestos[[#This Row],[Ingreso ordinario]]-(VLOOKUP(TabImpuestos[[#This Row],[Ingreso ordinario]],TabISR[],COLUMN(TabISR[Límite inferior]))))*(VLOOKUP(TabImpuestos[[#This Row],[Ingreso ordinario]],TabISR[],COLUMN(TabISR[Por ciento para aplicarse sobre el excedente del límite inferior]))))+(VLOOKUP(TabImpuestos[[#This Row],[Ingreso ordinario]],TabISR[],COLUMN(TabISR[Cuota fija])))),0),0),0)</f>
        <v>-98.342400000000012</v>
      </c>
      <c r="T16" s="54" cm="1">
        <f t="array" ref="T16">((15*VLOOKUP(TabImpuestos[[#This Row],[ID]],TabEmpleados[],COLUMN(TabEmpleados[SD Fiscal]),FALSE))-(30*SMDF))/365*30.4</f>
        <v>-127.97983561643835</v>
      </c>
      <c r="U16" s="54">
        <f>TabImpuestos[[#This Row],[Ingreso ordinario]]+TabImpuestos[[#This Row],[Aguinaldo Gravado Mensual]]</f>
        <v>2608.0201643835617</v>
      </c>
      <c r="V16" s="54" cm="1">
        <f t="array" ref="V16">(((TabImpuestos[[#This Row],[Ingresos totales]]-(VLOOKUP(TabImpuestos[[#This Row],[Ingresos totales]],TabISR[],COLUMN(TabISR[Límite inferior]))))*(VLOOKUP(TabImpuestos[[#This Row],[Ingresos totales]],TabISR[],COLUMN(TabISR[Por ciento para aplicarse sobre el excedente del límite inferior]))))+(VLOOKUP(TabImpuestos[[#This Row],[Ingresos totales]],TabISR[],COLUMN(TabISR[Cuota fija]))))</f>
        <v>150.40425052054795</v>
      </c>
      <c r="W16" s="54" cm="1">
        <f t="array" ref="W16">(((TabImpuestos[[#This Row],[Ingreso ordinario]]-(VLOOKUP(TabImpuestos[[#This Row],[Ingreso ordinario]],TabISR[],COLUMN(TabISR[Límite inferior]))))*(VLOOKUP(TabImpuestos[[#This Row],[Ingreso ordinario]],TabISR[],COLUMN(TabISR[Por ciento para aplicarse sobre el excedente del límite inferior]))))+(VLOOKUP(TabImpuestos[[#This Row],[Ingreso ordinario]],TabISR[],COLUMN(TabISR[Cuota fija]))))</f>
        <v>158.59496000000001</v>
      </c>
      <c r="X16" s="54">
        <f>TabImpuestos[[#This Row],[ISR Por ingresos totales]]-TabImpuestos[[#This Row],[ISR por ingreso ordinario]]</f>
        <v>-8.1907094794520674</v>
      </c>
      <c r="Y16" s="236">
        <f>TabImpuestos[[#This Row],[Diferencia de ISR''s]]/TabImpuestos[[#This Row],[Aguinaldo Gravado Mensual]]</f>
        <v>6.4000000000000098E-2</v>
      </c>
      <c r="Z16" s="54" cm="1">
        <f t="array" ref="Z16">IFERROR(IF('Desglose Salarios Fiscal'!$Q$1=1,((15*VLOOKUP(TabImpuestos[[#This Row],[ID]],TabEmpleados[],COLUMN(TabEmpleados[SD Fiscal]),FALSE))-(30*SMDF))*TabImpuestos[[#This Row],[Tasa D %]],0),0)</f>
        <v>-98.34240000000014</v>
      </c>
    </row>
    <row r="17" spans="1:26" x14ac:dyDescent="0.25">
      <c r="A17" s="31">
        <f t="shared" si="0"/>
        <v>15</v>
      </c>
      <c r="B17" s="30" t="str" cm="1">
        <f t="array" ref="B17">VLOOKUP(A17,TabEmpleados[],COLUMN(TabEmpleados[Nombre]),FALSE)</f>
        <v>HERNANDEZ MARTINEZ NORMA ITZEL</v>
      </c>
      <c r="C17" s="54" cm="1">
        <f t="array" ref="C17">(VLOOKUP(TabImpuestos[[#This Row],[ID]],TabEmpleados[],COLUMN(TabEmpleados[SD Fiscal]))*VLOOKUP(TabImpuestos[[#This Row],[ID]],TabAsistencias[],COLUMN(TabAsistencias[''Total de dias laborados])))+
TabImpuestos[[#This Row],[Bono Asistencia]]+TabImpuestos[[#This Row],[Bono Puntualidad]]+TabImpuestos[[#This Row],[Prima Dominical]]+TabImpuestos[[#This Row],[Prima Vacacional]]+TabImpuestos[[#This Row],[Bono Festivo/ Descanso]]</f>
        <v>10237.33452</v>
      </c>
      <c r="D17" s="54" cm="1">
        <f t="array" ref="D17">VLOOKUP(TabImpuestos[[#This Row],[ID]],TabDesSalariosFiscal[],COLUMN(TabDesSalariosFiscal[Bono Asistencia]),FALSE)</f>
        <v>957.66725999999994</v>
      </c>
      <c r="E17" s="54" cm="1">
        <f t="array" ref="E17">VLOOKUP(TabImpuestos[[#This Row],[ID]],TabDesSalariosFiscal[],COLUMN(TabDesSalariosFiscal[Bono Puntualidad]),FALSE)</f>
        <v>957.66725999999994</v>
      </c>
      <c r="F17" s="54" cm="1">
        <f t="array" ref="F17">IF(VLOOKUP(TabImpuestos[[#This Row],[ID]],TabDesSalariosFiscal[],COLUMN(TabDesSalariosFiscal[Prima dominical]),FALSE)-SMDF&lt;0,0,VLOOKUP(TabImpuestos[[#This Row],[ID]],TabDesSalariosFiscal[],COLUMN(TabDesSalariosFiscal[Prima dominical]),FALSE)-SMDF)</f>
        <v>0</v>
      </c>
      <c r="G17" s="54" cm="1">
        <f t="array" ref="G17">IF(VLOOKUP(TabImpuestos[[#This Row],[ID]],TabDesSalariosFiscal[],COLUMN(TabDesSalariosFiscal[Prima vacacional]),FALSE)-(15*SMDF)&lt;0,0,VLOOKUP(TabImpuestos[[#This Row],[ID]],TabDesSalariosFiscal[],COLUMN(TabDesSalariosFiscal[Prima vacacional]),FALSE)-(15*SMDF))</f>
        <v>0</v>
      </c>
      <c r="H17" s="54" cm="1">
        <f t="array" ref="H17">(VLOOKUP(TabImpuestos[[#This Row],[ID]],TabDesSalariosFiscal[],COLUMN(TabDesSalariosFiscal[Dia Festivo/ Descanso]),FALSE)*50%)</f>
        <v>0</v>
      </c>
      <c r="I17" s="54" cm="1">
        <f t="array" ref="I17">IFERROR(VLOOKUP(TabImpuestos[[#This Row],[Base Gravable]],TabISR[],COLUMN(TabISR[Límite inferior])),0)</f>
        <v>7641.91</v>
      </c>
      <c r="J17" s="54">
        <f>IFERROR(TabImpuestos[[#This Row],[Base Gravable]]-TabImpuestos[[#This Row],[(-) Lim. Inferior]],0)</f>
        <v>2595.4245200000005</v>
      </c>
      <c r="K17" s="236" cm="1">
        <f t="array" ref="K17">IFERROR(VLOOKUP(TabImpuestos[[#This Row],[Base Gravable]],TabISR[],COLUMN(TabISR[Por ciento para aplicarse sobre el excedente del límite inferior])),0)</f>
        <v>0.21360000000000001</v>
      </c>
      <c r="L17" s="54">
        <f>IFERROR(TabImpuestos[[#This Row],[EXC. Lim. Inferior]]*TabImpuestos[[#This Row],[(*) % Lim. Inf.]],0)</f>
        <v>554.38267747200018</v>
      </c>
      <c r="M17" s="54" cm="1">
        <f t="array" ref="M17">IFERROR(VLOOKUP(TabImpuestos[[#This Row],[Base Gravable]],TabISR[],COLUMN(TabISR[Cuota fija])),0)</f>
        <v>809.25</v>
      </c>
      <c r="N17" s="54">
        <f>IFERROR(TabImpuestos[[#This Row],[Impuesto marginal]]+TabImpuestos[[#This Row],[(+) Cuota Fija]],0)</f>
        <v>1363.6326774720001</v>
      </c>
      <c r="O17" s="54" cm="1">
        <f t="array" ref="O17">IFERROR(VLOOKUP(TabImpuestos[[#This Row],[Base Gravable]],TabSubsidio[],COLUMN(TabSubsidio[SUBSIDIO])),0)</f>
        <v>0</v>
      </c>
      <c r="P17" s="54">
        <f>IFERROR(TabImpuestos[[#This Row],[Imp. Art. 96 ISR]]-TabImpuestos[[#This Row],[(-) Subsidio para el empleo]],0)</f>
        <v>1363.6326774720001</v>
      </c>
      <c r="Q17" s="54" cm="1">
        <f t="array" ref="Q17">IF('Desglose Salarios Fiscal'!$Q$1=1,TabImpuestos[[#This Row],[Ingreso ordinario]]+((15*VLOOKUP(TabImpuestos[[#This Row],[ID]],TabEmpleados[],COLUMN(TabEmpleados[SD Fiscal]),FALSE))-(30*SMDF)),0)</f>
        <v>2289</v>
      </c>
      <c r="R17" s="54" cm="1">
        <f t="array" ref="R17">IF('Desglose Salarios Fiscal'!$Q$1=1,(VLOOKUP(TabImpuestos[[#This Row],[ID]],TabEmpleados[],COLUMN(TabEmpleados[SD Fiscal]),FALSE)*30.4)-TabImpuestos[[#This Row],[(-) Subsidio para el empleo]],0)</f>
        <v>3465.6</v>
      </c>
      <c r="S17" s="54" cm="1">
        <f t="array" ref="S17">IFERROR(IF('Desglose Salarios Fiscal'!$Q$1=1,IFERROR((((TabImpuestos[[#This Row],[Ingreso Neto]]-(VLOOKUP(TabImpuestos[[#This Row],[Ingreso Neto]],TabISR[],COLUMN(TabISR[Límite inferior]))))*(VLOOKUP(TabImpuestos[[#This Row],[Ingreso Neto]],TabISR[],COLUMN(TabISR[Por ciento para aplicarse sobre el excedente del límite inferior]))))+(VLOOKUP(TabImpuestos[[#This Row],[Ingreso Neto]],TabISR[],COLUMN(TabISR[Cuota fija]))))-(((TabImpuestos[[#This Row],[Ingreso ordinario]]-(VLOOKUP(TabImpuestos[[#This Row],[Ingreso ordinario]],TabISR[],COLUMN(TabISR[Límite inferior]))))*(VLOOKUP(TabImpuestos[[#This Row],[Ingreso ordinario]],TabISR[],COLUMN(TabISR[Por ciento para aplicarse sobre el excedente del límite inferior]))))+(VLOOKUP(TabImpuestos[[#This Row],[Ingreso ordinario]],TabISR[],COLUMN(TabISR[Cuota fija])))),0),0),0)</f>
        <v>-90.589951999999954</v>
      </c>
      <c r="T17" s="54" cm="1">
        <f t="array" ref="T17">((15*VLOOKUP(TabImpuestos[[#This Row],[ID]],TabEmpleados[],COLUMN(TabEmpleados[SD Fiscal]),FALSE))-(30*SMDF))/365*30.4</f>
        <v>-97.996273972602722</v>
      </c>
      <c r="U17" s="54">
        <f>TabImpuestos[[#This Row],[Ingreso ordinario]]+TabImpuestos[[#This Row],[Aguinaldo Gravado Mensual]]</f>
        <v>3367.603726027397</v>
      </c>
      <c r="V17" s="54" cm="1">
        <f t="array" ref="V17">(((TabImpuestos[[#This Row],[Ingresos totales]]-(VLOOKUP(TabImpuestos[[#This Row],[Ingresos totales]],TabISR[],COLUMN(TabISR[Límite inferior]))))*(VLOOKUP(TabImpuestos[[#This Row],[Ingresos totales]],TabISR[],COLUMN(TabISR[Por ciento para aplicarse sobre el excedente del límite inferior]))))+(VLOOKUP(TabImpuestos[[#This Row],[Ingresos totales]],TabISR[],COLUMN(TabISR[Cuota fija]))))</f>
        <v>209.91491739178076</v>
      </c>
      <c r="W17" s="54" cm="1">
        <f t="array" ref="W17">(((TabImpuestos[[#This Row],[Ingreso ordinario]]-(VLOOKUP(TabImpuestos[[#This Row],[Ingreso ordinario]],TabISR[],COLUMN(TabISR[Límite inferior]))))*(VLOOKUP(TabImpuestos[[#This Row],[Ingreso ordinario]],TabISR[],COLUMN(TabISR[Por ciento para aplicarse sobre el excedente del límite inferior]))))+(VLOOKUP(TabImpuestos[[#This Row],[Ingreso ordinario]],TabISR[],COLUMN(TabISR[Cuota fija]))))</f>
        <v>220.57691199999996</v>
      </c>
      <c r="X17" s="54">
        <f>TabImpuestos[[#This Row],[ISR Por ingresos totales]]-TabImpuestos[[#This Row],[ISR por ingreso ordinario]]</f>
        <v>-10.661994608219203</v>
      </c>
      <c r="Y17" s="236">
        <f>TabImpuestos[[#This Row],[Diferencia de ISR''s]]/TabImpuestos[[#This Row],[Aguinaldo Gravado Mensual]]</f>
        <v>0.10880000000000027</v>
      </c>
      <c r="Z17" s="54" cm="1">
        <f t="array" ref="Z17">IFERROR(IF('Desglose Salarios Fiscal'!$Q$1=1,((15*VLOOKUP(TabImpuestos[[#This Row],[ID]],TabEmpleados[],COLUMN(TabEmpleados[SD Fiscal]),FALSE))-(30*SMDF))*TabImpuestos[[#This Row],[Tasa D %]],0),0)</f>
        <v>-128.01408000000032</v>
      </c>
    </row>
    <row r="18" spans="1:26" x14ac:dyDescent="0.25">
      <c r="A18">
        <f t="shared" si="0"/>
        <v>16</v>
      </c>
      <c r="B18" t="str" cm="1">
        <f t="array" ref="B18">VLOOKUP(A18,TabEmpleados[],COLUMN(TabEmpleados[Nombre]),FALSE)</f>
        <v>HERNANDEZ HERNANDEZ MODESTA</v>
      </c>
      <c r="C18" s="54" cm="1">
        <f t="array" ref="C18">(VLOOKUP(TabImpuestos[[#This Row],[ID]],TabEmpleados[],COLUMN(TabEmpleados[SD Fiscal]))*VLOOKUP(TabImpuestos[[#This Row],[ID]],TabAsistencias[],COLUMN(TabAsistencias[''Total de dias laborados])))+
TabImpuestos[[#This Row],[Bono Asistencia]]+TabImpuestos[[#This Row],[Bono Puntualidad]]+TabImpuestos[[#This Row],[Prima Dominical]]+TabImpuestos[[#This Row],[Prima Vacacional]]+TabImpuestos[[#This Row],[Bono Festivo/ Descanso]]</f>
        <v>9429.1238999999987</v>
      </c>
      <c r="D18" s="54" cm="1">
        <f t="array" ref="D18">VLOOKUP(TabImpuestos[[#This Row],[ID]],TabDesSalariosFiscal[],COLUMN(TabDesSalariosFiscal[Bono Asistencia]),FALSE)</f>
        <v>882.06195000000002</v>
      </c>
      <c r="E18" s="54" cm="1">
        <f t="array" ref="E18">VLOOKUP(TabImpuestos[[#This Row],[ID]],TabDesSalariosFiscal[],COLUMN(TabDesSalariosFiscal[Bono Puntualidad]),FALSE)</f>
        <v>882.06195000000002</v>
      </c>
      <c r="F18" s="54" cm="1">
        <f t="array" ref="F18">IF(VLOOKUP(TabImpuestos[[#This Row],[ID]],TabDesSalariosFiscal[],COLUMN(TabDesSalariosFiscal[Prima dominical]),FALSE)-SMDF&lt;0,0,VLOOKUP(TabImpuestos[[#This Row],[ID]],TabDesSalariosFiscal[],COLUMN(TabDesSalariosFiscal[Prima dominical]),FALSE)-SMDF)</f>
        <v>0</v>
      </c>
      <c r="G18" s="54" cm="1">
        <f t="array" ref="G18">IF(VLOOKUP(TabImpuestos[[#This Row],[ID]],TabDesSalariosFiscal[],COLUMN(TabDesSalariosFiscal[Prima vacacional]),FALSE)-(15*SMDF)&lt;0,0,VLOOKUP(TabImpuestos[[#This Row],[ID]],TabDesSalariosFiscal[],COLUMN(TabDesSalariosFiscal[Prima vacacional]),FALSE)-(15*SMDF))</f>
        <v>0</v>
      </c>
      <c r="H18" s="54" cm="1">
        <f t="array" ref="H18">(VLOOKUP(TabImpuestos[[#This Row],[ID]],TabDesSalariosFiscal[],COLUMN(TabDesSalariosFiscal[Dia Festivo/ Descanso]),FALSE)*50%)</f>
        <v>0</v>
      </c>
      <c r="I18" s="54" cm="1">
        <f t="array" ref="I18">IFERROR(VLOOKUP(TabImpuestos[[#This Row],[Base Gravable]],TabISR[],COLUMN(TabISR[Límite inferior])),0)</f>
        <v>7641.91</v>
      </c>
      <c r="J18" s="54">
        <f>IFERROR(TabImpuestos[[#This Row],[Base Gravable]]-TabImpuestos[[#This Row],[(-) Lim. Inferior]],0)</f>
        <v>1787.2138999999988</v>
      </c>
      <c r="K18" s="236" cm="1">
        <f t="array" ref="K18">IFERROR(VLOOKUP(TabImpuestos[[#This Row],[Base Gravable]],TabISR[],COLUMN(TabISR[Por ciento para aplicarse sobre el excedente del límite inferior])),0)</f>
        <v>0.21360000000000001</v>
      </c>
      <c r="L18" s="54">
        <f>IFERROR(TabImpuestos[[#This Row],[EXC. Lim. Inferior]]*TabImpuestos[[#This Row],[(*) % Lim. Inf.]],0)</f>
        <v>381.74888903999977</v>
      </c>
      <c r="M18" s="54" cm="1">
        <f t="array" ref="M18">IFERROR(VLOOKUP(TabImpuestos[[#This Row],[Base Gravable]],TabISR[],COLUMN(TabISR[Cuota fija])),0)</f>
        <v>809.25</v>
      </c>
      <c r="N18" s="54">
        <f>IFERROR(TabImpuestos[[#This Row],[Impuesto marginal]]+TabImpuestos[[#This Row],[(+) Cuota Fija]],0)</f>
        <v>1190.9988890399998</v>
      </c>
      <c r="O18" s="54" cm="1">
        <f t="array" ref="O18">IFERROR(VLOOKUP(TabImpuestos[[#This Row],[Base Gravable]],TabSubsidio[],COLUMN(TabSubsidio[SUBSIDIO])),0)</f>
        <v>0</v>
      </c>
      <c r="P18" s="54">
        <f>IFERROR(TabImpuestos[[#This Row],[Imp. Art. 96 ISR]]-TabImpuestos[[#This Row],[(-) Subsidio para el empleo]],0)</f>
        <v>1190.9988890399998</v>
      </c>
      <c r="Q18" s="54" cm="1">
        <f t="array" ref="Q18">IF('Desglose Salarios Fiscal'!$Q$1=1,TabImpuestos[[#This Row],[Ingreso ordinario]]+((15*VLOOKUP(TabImpuestos[[#This Row],[ID]],TabEmpleados[],COLUMN(TabEmpleados[SD Fiscal]),FALSE))-(30*SMDF)),0)</f>
        <v>1880.4</v>
      </c>
      <c r="R18" s="54" cm="1">
        <f t="array" ref="R18">IF('Desglose Salarios Fiscal'!$Q$1=1,(VLOOKUP(TabImpuestos[[#This Row],[ID]],TabEmpleados[],COLUMN(TabEmpleados[SD Fiscal]),FALSE)*30.4)-TabImpuestos[[#This Row],[(-) Subsidio para el empleo]],0)</f>
        <v>3192</v>
      </c>
      <c r="S18" s="54" cm="1">
        <f t="array" ref="S18">IFERROR(IF('Desglose Salarios Fiscal'!$Q$1=1,IFERROR((((TabImpuestos[[#This Row],[Ingreso Neto]]-(VLOOKUP(TabImpuestos[[#This Row],[Ingreso Neto]],TabISR[],COLUMN(TabISR[Límite inferior]))))*(VLOOKUP(TabImpuestos[[#This Row],[Ingreso Neto]],TabISR[],COLUMN(TabISR[Por ciento para aplicarse sobre el excedente del límite inferior]))))+(VLOOKUP(TabImpuestos[[#This Row],[Ingreso Neto]],TabISR[],COLUMN(TabISR[Cuota fija]))))-(((TabImpuestos[[#This Row],[Ingreso ordinario]]-(VLOOKUP(TabImpuestos[[#This Row],[Ingreso ordinario]],TabISR[],COLUMN(TabISR[Límite inferior]))))*(VLOOKUP(TabImpuestos[[#This Row],[Ingreso ordinario]],TabISR[],COLUMN(TabISR[Por ciento para aplicarse sobre el excedente del límite inferior]))))+(VLOOKUP(TabImpuestos[[#This Row],[Ingreso ordinario]],TabISR[],COLUMN(TabISR[Cuota fija])))),0),0),0)</f>
        <v>-86.972671999999989</v>
      </c>
      <c r="T18" s="54" cm="1">
        <f t="array" ref="T18">((15*VLOOKUP(TabImpuestos[[#This Row],[ID]],TabEmpleados[],COLUMN(TabEmpleados[SD Fiscal]),FALSE))-(30*SMDF))/365*30.4</f>
        <v>-109.24010958904108</v>
      </c>
      <c r="U18" s="54">
        <f>TabImpuestos[[#This Row],[Ingreso ordinario]]+TabImpuestos[[#This Row],[Aguinaldo Gravado Mensual]]</f>
        <v>3082.7598904109591</v>
      </c>
      <c r="V18" s="54" cm="1">
        <f t="array" ref="V18">(((TabImpuestos[[#This Row],[Ingresos totales]]-(VLOOKUP(TabImpuestos[[#This Row],[Ingresos totales]],TabISR[],COLUMN(TabISR[Límite inferior]))))*(VLOOKUP(TabImpuestos[[#This Row],[Ingresos totales]],TabISR[],COLUMN(TabISR[Por ciento para aplicarse sobre el excedente del límite inferior]))))+(VLOOKUP(TabImpuestos[[#This Row],[Ingresos totales]],TabISR[],COLUMN(TabISR[Cuota fija]))))</f>
        <v>180.78759298630138</v>
      </c>
      <c r="W18" s="54" cm="1">
        <f t="array" ref="W18">(((TabImpuestos[[#This Row],[Ingreso ordinario]]-(VLOOKUP(TabImpuestos[[#This Row],[Ingreso ordinario]],TabISR[],COLUMN(TabISR[Límite inferior]))))*(VLOOKUP(TabImpuestos[[#This Row],[Ingreso ordinario]],TabISR[],COLUMN(TabISR[Por ciento para aplicarse sobre el excedente del límite inferior]))))+(VLOOKUP(TabImpuestos[[#This Row],[Ingreso ordinario]],TabISR[],COLUMN(TabISR[Cuota fija]))))</f>
        <v>190.80923199999998</v>
      </c>
      <c r="X18" s="54">
        <f>TabImpuestos[[#This Row],[ISR Por ingresos totales]]-TabImpuestos[[#This Row],[ISR por ingreso ordinario]]</f>
        <v>-10.021639013698604</v>
      </c>
      <c r="Y18" s="236">
        <f>TabImpuestos[[#This Row],[Diferencia de ISR''s]]/TabImpuestos[[#This Row],[Aguinaldo Gravado Mensual]]</f>
        <v>9.1739554742299251E-2</v>
      </c>
      <c r="Z18" s="54" cm="1">
        <f t="array" ref="Z18">IFERROR(IF('Desglose Salarios Fiscal'!$Q$1=1,((15*VLOOKUP(TabImpuestos[[#This Row],[ID]],TabEmpleados[],COLUMN(TabEmpleados[SD Fiscal]),FALSE))-(30*SMDF))*TabImpuestos[[#This Row],[Tasa D %]],0),0)</f>
        <v>-120.3255999999997</v>
      </c>
    </row>
    <row r="19" spans="1:26" x14ac:dyDescent="0.25">
      <c r="A19" s="31">
        <f t="shared" si="0"/>
        <v>17</v>
      </c>
      <c r="B19" s="30" t="str" cm="1">
        <f t="array" ref="B19">VLOOKUP(A19,TabEmpleados[],COLUMN(TabEmpleados[Nombre]),FALSE)</f>
        <v>ANTONIO ENRIQUEZ GERMAN</v>
      </c>
      <c r="C19" s="54" cm="1">
        <f t="array" ref="C19">(VLOOKUP(TabImpuestos[[#This Row],[ID]],TabEmpleados[],COLUMN(TabEmpleados[SD Fiscal]))*VLOOKUP(TabImpuestos[[#This Row],[ID]],TabAsistencias[],COLUMN(TabAsistencias[''Total de dias laborados])))+
TabImpuestos[[#This Row],[Bono Asistencia]]+TabImpuestos[[#This Row],[Bono Puntualidad]]+TabImpuestos[[#This Row],[Prima Dominical]]+TabImpuestos[[#This Row],[Prima Vacacional]]+TabImpuestos[[#This Row],[Bono Festivo/ Descanso]]</f>
        <v>15549.44414</v>
      </c>
      <c r="D19" s="54" cm="1">
        <f t="array" ref="D19">VLOOKUP(TabImpuestos[[#This Row],[ID]],TabDesSalariosFiscal[],COLUMN(TabDesSalariosFiscal[Bono Asistencia]),FALSE)</f>
        <v>1460.22207</v>
      </c>
      <c r="E19" s="54" cm="1">
        <f t="array" ref="E19">VLOOKUP(TabImpuestos[[#This Row],[ID]],TabDesSalariosFiscal[],COLUMN(TabDesSalariosFiscal[Bono Puntualidad]),FALSE)</f>
        <v>1460.22207</v>
      </c>
      <c r="F19" s="54" cm="1">
        <f t="array" ref="F19">IF(VLOOKUP(TabImpuestos[[#This Row],[ID]],TabDesSalariosFiscal[],COLUMN(TabDesSalariosFiscal[Prima dominical]),FALSE)-SMDF&lt;0,0,VLOOKUP(TabImpuestos[[#This Row],[ID]],TabDesSalariosFiscal[],COLUMN(TabDesSalariosFiscal[Prima dominical]),FALSE)-SMDF)</f>
        <v>0</v>
      </c>
      <c r="G19" s="54" cm="1">
        <f t="array" ref="G19">IF(VLOOKUP(TabImpuestos[[#This Row],[ID]],TabDesSalariosFiscal[],COLUMN(TabDesSalariosFiscal[Prima vacacional]),FALSE)-(15*SMDF)&lt;0,0,VLOOKUP(TabImpuestos[[#This Row],[ID]],TabDesSalariosFiscal[],COLUMN(TabDesSalariosFiscal[Prima vacacional]),FALSE)-(15*SMDF))</f>
        <v>0</v>
      </c>
      <c r="H19" s="54" cm="1">
        <f t="array" ref="H19">(VLOOKUP(TabImpuestos[[#This Row],[ID]],TabDesSalariosFiscal[],COLUMN(TabDesSalariosFiscal[Dia Festivo/ Descanso]),FALSE)*50%)</f>
        <v>0</v>
      </c>
      <c r="I19" s="54" cm="1">
        <f t="array" ref="I19">IFERROR(VLOOKUP(TabImpuestos[[#This Row],[Base Gravable]],TabISR[],COLUMN(TabISR[Límite inferior])),0)</f>
        <v>15412.81</v>
      </c>
      <c r="J19" s="54">
        <f>IFERROR(TabImpuestos[[#This Row],[Base Gravable]]-TabImpuestos[[#This Row],[(-) Lim. Inferior]],0)</f>
        <v>136.63414000000012</v>
      </c>
      <c r="K19" s="236" cm="1">
        <f t="array" ref="K19">IFERROR(VLOOKUP(TabImpuestos[[#This Row],[Base Gravable]],TabISR[],COLUMN(TabISR[Por ciento para aplicarse sobre el excedente del límite inferior])),0)</f>
        <v>0.23519999999999999</v>
      </c>
      <c r="L19" s="54">
        <f>IFERROR(TabImpuestos[[#This Row],[EXC. Lim. Inferior]]*TabImpuestos[[#This Row],[(*) % Lim. Inf.]],0)</f>
        <v>32.136349728000027</v>
      </c>
      <c r="M19" s="54" cm="1">
        <f t="array" ref="M19">IFERROR(VLOOKUP(TabImpuestos[[#This Row],[Base Gravable]],TabISR[],COLUMN(TabISR[Cuota fija])),0)</f>
        <v>2469.15</v>
      </c>
      <c r="N19" s="54">
        <f>IFERROR(TabImpuestos[[#This Row],[Impuesto marginal]]+TabImpuestos[[#This Row],[(+) Cuota Fija]],0)</f>
        <v>2501.286349728</v>
      </c>
      <c r="O19" s="54" cm="1">
        <f t="array" ref="O19">IFERROR(VLOOKUP(TabImpuestos[[#This Row],[Base Gravable]],TabSubsidio[],COLUMN(TabSubsidio[SUBSIDIO])),0)</f>
        <v>0</v>
      </c>
      <c r="P19" s="54">
        <f>IFERROR(TabImpuestos[[#This Row],[Imp. Art. 96 ISR]]-TabImpuestos[[#This Row],[(-) Subsidio para el empleo]],0)</f>
        <v>2501.286349728</v>
      </c>
      <c r="Q19" s="54" cm="1">
        <f t="array" ref="Q19">IF('Desglose Salarios Fiscal'!$Q$1=1,TabImpuestos[[#This Row],[Ingreso ordinario]]+((15*VLOOKUP(TabImpuestos[[#This Row],[ID]],TabEmpleados[],COLUMN(TabEmpleados[SD Fiscal]),FALSE))-(30*SMDF)),0)</f>
        <v>4967.6000000000004</v>
      </c>
      <c r="R19" s="54" cm="1">
        <f t="array" ref="R19">IF('Desglose Salarios Fiscal'!$Q$1=1,(VLOOKUP(TabImpuestos[[#This Row],[ID]],TabEmpleados[],COLUMN(TabEmpleados[SD Fiscal]),FALSE)*30.4)-TabImpuestos[[#This Row],[(-) Subsidio para el empleo]],0)</f>
        <v>5259.2</v>
      </c>
      <c r="S19" s="54" cm="1">
        <f t="array" ref="S19">IFERROR(IF('Desglose Salarios Fiscal'!$Q$1=1,IFERROR((((TabImpuestos[[#This Row],[Ingreso Neto]]-(VLOOKUP(TabImpuestos[[#This Row],[Ingreso Neto]],TabISR[],COLUMN(TabISR[Límite inferior]))))*(VLOOKUP(TabImpuestos[[#This Row],[Ingreso Neto]],TabISR[],COLUMN(TabISR[Por ciento para aplicarse sobre el excedente del límite inferior]))))+(VLOOKUP(TabImpuestos[[#This Row],[Ingreso Neto]],TabISR[],COLUMN(TabISR[Cuota fija]))))-(((TabImpuestos[[#This Row],[Ingreso ordinario]]-(VLOOKUP(TabImpuestos[[#This Row],[Ingreso ordinario]],TabISR[],COLUMN(TabISR[Límite inferior]))))*(VLOOKUP(TabImpuestos[[#This Row],[Ingreso ordinario]],TabISR[],COLUMN(TabISR[Por ciento para aplicarse sobre el excedente del límite inferior]))))+(VLOOKUP(TabImpuestos[[#This Row],[Ingreso ordinario]],TabISR[],COLUMN(TabISR[Cuota fija])))),0),0),0)</f>
        <v>-31.726079999999968</v>
      </c>
      <c r="T19" s="54" cm="1">
        <f t="array" ref="T19">((15*VLOOKUP(TabImpuestos[[#This Row],[ID]],TabEmpleados[],COLUMN(TabEmpleados[SD Fiscal]),FALSE))-(30*SMDF))/365*30.4</f>
        <v>-24.286684931506841</v>
      </c>
      <c r="U19" s="54">
        <f>TabImpuestos[[#This Row],[Ingreso ordinario]]+TabImpuestos[[#This Row],[Aguinaldo Gravado Mensual]]</f>
        <v>5234.9133150684929</v>
      </c>
      <c r="V19" s="54" cm="1">
        <f t="array" ref="V19">(((TabImpuestos[[#This Row],[Ingresos totales]]-(VLOOKUP(TabImpuestos[[#This Row],[Ingresos totales]],TabISR[],COLUMN(TabISR[Límite inferior]))))*(VLOOKUP(TabImpuestos[[#This Row],[Ingresos totales]],TabISR[],COLUMN(TabISR[Por ciento para aplicarse sobre el excedente del límite inferior]))))+(VLOOKUP(TabImpuestos[[#This Row],[Ingresos totales]],TabISR[],COLUMN(TabISR[Cuota fija]))))</f>
        <v>413.07820067945198</v>
      </c>
      <c r="W19" s="54" cm="1">
        <f t="array" ref="W19">(((TabImpuestos[[#This Row],[Ingreso ordinario]]-(VLOOKUP(TabImpuestos[[#This Row],[Ingreso ordinario]],TabISR[],COLUMN(TabISR[Límite inferior]))))*(VLOOKUP(TabImpuestos[[#This Row],[Ingreso ordinario]],TabISR[],COLUMN(TabISR[Por ciento para aplicarse sobre el excedente del límite inferior]))))+(VLOOKUP(TabImpuestos[[#This Row],[Ingreso ordinario]],TabISR[],COLUMN(TabISR[Cuota fija]))))</f>
        <v>415.72059199999995</v>
      </c>
      <c r="X19" s="54">
        <f>TabImpuestos[[#This Row],[ISR Por ingresos totales]]-TabImpuestos[[#This Row],[ISR por ingreso ordinario]]</f>
        <v>-2.6423913205479721</v>
      </c>
      <c r="Y19" s="236">
        <f>TabImpuestos[[#This Row],[Diferencia de ISR''s]]/TabImpuestos[[#This Row],[Aguinaldo Gravado Mensual]]</f>
        <v>0.10880000000000115</v>
      </c>
      <c r="Z19" s="54" cm="1">
        <f t="array" ref="Z19">IFERROR(IF('Desglose Salarios Fiscal'!$Q$1=1,((15*VLOOKUP(TabImpuestos[[#This Row],[ID]],TabEmpleados[],COLUMN(TabEmpleados[SD Fiscal]),FALSE))-(30*SMDF))*TabImpuestos[[#This Row],[Tasa D %]],0),0)</f>
        <v>-31.726080000000323</v>
      </c>
    </row>
    <row r="20" spans="1:26" x14ac:dyDescent="0.25">
      <c r="A20">
        <f t="shared" si="0"/>
        <v>18</v>
      </c>
      <c r="B20" t="str" cm="1">
        <f t="array" ref="B20">VLOOKUP(A20,TabEmpleados[],COLUMN(TabEmpleados[Nombre]),FALSE)</f>
        <v>RAMIREZ SANTIAGO IRVIN DANIEL</v>
      </c>
      <c r="C20" s="54" cm="1">
        <f t="array" ref="C20">(VLOOKUP(TabImpuestos[[#This Row],[ID]],TabEmpleados[],COLUMN(TabEmpleados[SD Fiscal]))*VLOOKUP(TabImpuestos[[#This Row],[ID]],TabAsistencias[],COLUMN(TabAsistencias[''Total de dias laborados])))+
TabImpuestos[[#This Row],[Bono Asistencia]]+TabImpuestos[[#This Row],[Bono Puntualidad]]+TabImpuestos[[#This Row],[Prima Dominical]]+TabImpuestos[[#This Row],[Prima Vacacional]]+TabImpuestos[[#This Row],[Bono Festivo/ Descanso]]</f>
        <v>9429.1238999999987</v>
      </c>
      <c r="D20" s="54" cm="1">
        <f t="array" ref="D20">VLOOKUP(TabImpuestos[[#This Row],[ID]],TabDesSalariosFiscal[],COLUMN(TabDesSalariosFiscal[Bono Asistencia]),FALSE)</f>
        <v>882.06195000000002</v>
      </c>
      <c r="E20" s="54" cm="1">
        <f t="array" ref="E20">VLOOKUP(TabImpuestos[[#This Row],[ID]],TabDesSalariosFiscal[],COLUMN(TabDesSalariosFiscal[Bono Puntualidad]),FALSE)</f>
        <v>882.06195000000002</v>
      </c>
      <c r="F20" s="54" cm="1">
        <f t="array" ref="F20">IF(VLOOKUP(TabImpuestos[[#This Row],[ID]],TabDesSalariosFiscal[],COLUMN(TabDesSalariosFiscal[Prima dominical]),FALSE)-SMDF&lt;0,0,VLOOKUP(TabImpuestos[[#This Row],[ID]],TabDesSalariosFiscal[],COLUMN(TabDesSalariosFiscal[Prima dominical]),FALSE)-SMDF)</f>
        <v>0</v>
      </c>
      <c r="G20" s="54" cm="1">
        <f t="array" ref="G20">IF(VLOOKUP(TabImpuestos[[#This Row],[ID]],TabDesSalariosFiscal[],COLUMN(TabDesSalariosFiscal[Prima vacacional]),FALSE)-(15*SMDF)&lt;0,0,VLOOKUP(TabImpuestos[[#This Row],[ID]],TabDesSalariosFiscal[],COLUMN(TabDesSalariosFiscal[Prima vacacional]),FALSE)-(15*SMDF))</f>
        <v>0</v>
      </c>
      <c r="H20" s="54" cm="1">
        <f t="array" ref="H20">(VLOOKUP(TabImpuestos[[#This Row],[ID]],TabDesSalariosFiscal[],COLUMN(TabDesSalariosFiscal[Dia Festivo/ Descanso]),FALSE)*50%)</f>
        <v>0</v>
      </c>
      <c r="I20" s="54" cm="1">
        <f t="array" ref="I20">IFERROR(VLOOKUP(TabImpuestos[[#This Row],[Base Gravable]],TabISR[],COLUMN(TabISR[Límite inferior])),0)</f>
        <v>7641.91</v>
      </c>
      <c r="J20" s="54">
        <f>IFERROR(TabImpuestos[[#This Row],[Base Gravable]]-TabImpuestos[[#This Row],[(-) Lim. Inferior]],0)</f>
        <v>1787.2138999999988</v>
      </c>
      <c r="K20" s="236" cm="1">
        <f t="array" ref="K20">IFERROR(VLOOKUP(TabImpuestos[[#This Row],[Base Gravable]],TabISR[],COLUMN(TabISR[Por ciento para aplicarse sobre el excedente del límite inferior])),0)</f>
        <v>0.21360000000000001</v>
      </c>
      <c r="L20" s="54">
        <f>IFERROR(TabImpuestos[[#This Row],[EXC. Lim. Inferior]]*TabImpuestos[[#This Row],[(*) % Lim. Inf.]],0)</f>
        <v>381.74888903999977</v>
      </c>
      <c r="M20" s="54" cm="1">
        <f t="array" ref="M20">IFERROR(VLOOKUP(TabImpuestos[[#This Row],[Base Gravable]],TabISR[],COLUMN(TabISR[Cuota fija])),0)</f>
        <v>809.25</v>
      </c>
      <c r="N20" s="54">
        <f>IFERROR(TabImpuestos[[#This Row],[Impuesto marginal]]+TabImpuestos[[#This Row],[(+) Cuota Fija]],0)</f>
        <v>1190.9988890399998</v>
      </c>
      <c r="O20" s="54" cm="1">
        <f t="array" ref="O20">IFERROR(VLOOKUP(TabImpuestos[[#This Row],[Base Gravable]],TabSubsidio[],COLUMN(TabSubsidio[SUBSIDIO])),0)</f>
        <v>0</v>
      </c>
      <c r="P20" s="54">
        <f>IFERROR(TabImpuestos[[#This Row],[Imp. Art. 96 ISR]]-TabImpuestos[[#This Row],[(-) Subsidio para el empleo]],0)</f>
        <v>1190.9988890399998</v>
      </c>
      <c r="Q20" s="54" cm="1">
        <f t="array" ref="Q20">IF('Desglose Salarios Fiscal'!$Q$1=1,TabImpuestos[[#This Row],[Ingreso ordinario]]+((15*VLOOKUP(TabImpuestos[[#This Row],[ID]],TabEmpleados[],COLUMN(TabEmpleados[SD Fiscal]),FALSE))-(30*SMDF)),0)</f>
        <v>1880.4</v>
      </c>
      <c r="R20" s="54" cm="1">
        <f t="array" ref="R20">IF('Desglose Salarios Fiscal'!$Q$1=1,(VLOOKUP(TabImpuestos[[#This Row],[ID]],TabEmpleados[],COLUMN(TabEmpleados[SD Fiscal]),FALSE)*30.4)-TabImpuestos[[#This Row],[(-) Subsidio para el empleo]],0)</f>
        <v>3192</v>
      </c>
      <c r="S20" s="54" cm="1">
        <f t="array" ref="S20">IFERROR(IF('Desglose Salarios Fiscal'!$Q$1=1,IFERROR((((TabImpuestos[[#This Row],[Ingreso Neto]]-(VLOOKUP(TabImpuestos[[#This Row],[Ingreso Neto]],TabISR[],COLUMN(TabISR[Límite inferior]))))*(VLOOKUP(TabImpuestos[[#This Row],[Ingreso Neto]],TabISR[],COLUMN(TabISR[Por ciento para aplicarse sobre el excedente del límite inferior]))))+(VLOOKUP(TabImpuestos[[#This Row],[Ingreso Neto]],TabISR[],COLUMN(TabISR[Cuota fija]))))-(((TabImpuestos[[#This Row],[Ingreso ordinario]]-(VLOOKUP(TabImpuestos[[#This Row],[Ingreso ordinario]],TabISR[],COLUMN(TabISR[Límite inferior]))))*(VLOOKUP(TabImpuestos[[#This Row],[Ingreso ordinario]],TabISR[],COLUMN(TabISR[Por ciento para aplicarse sobre el excedente del límite inferior]))))+(VLOOKUP(TabImpuestos[[#This Row],[Ingreso ordinario]],TabISR[],COLUMN(TabISR[Cuota fija])))),0),0),0)</f>
        <v>-86.972671999999989</v>
      </c>
      <c r="T20" s="54" cm="1">
        <f t="array" ref="T20">((15*VLOOKUP(TabImpuestos[[#This Row],[ID]],TabEmpleados[],COLUMN(TabEmpleados[SD Fiscal]),FALSE))-(30*SMDF))/365*30.4</f>
        <v>-109.24010958904108</v>
      </c>
      <c r="U20" s="54">
        <f>TabImpuestos[[#This Row],[Ingreso ordinario]]+TabImpuestos[[#This Row],[Aguinaldo Gravado Mensual]]</f>
        <v>3082.7598904109591</v>
      </c>
      <c r="V20" s="54" cm="1">
        <f t="array" ref="V20">(((TabImpuestos[[#This Row],[Ingresos totales]]-(VLOOKUP(TabImpuestos[[#This Row],[Ingresos totales]],TabISR[],COLUMN(TabISR[Límite inferior]))))*(VLOOKUP(TabImpuestos[[#This Row],[Ingresos totales]],TabISR[],COLUMN(TabISR[Por ciento para aplicarse sobre el excedente del límite inferior]))))+(VLOOKUP(TabImpuestos[[#This Row],[Ingresos totales]],TabISR[],COLUMN(TabISR[Cuota fija]))))</f>
        <v>180.78759298630138</v>
      </c>
      <c r="W20" s="54" cm="1">
        <f t="array" ref="W20">(((TabImpuestos[[#This Row],[Ingreso ordinario]]-(VLOOKUP(TabImpuestos[[#This Row],[Ingreso ordinario]],TabISR[],COLUMN(TabISR[Límite inferior]))))*(VLOOKUP(TabImpuestos[[#This Row],[Ingreso ordinario]],TabISR[],COLUMN(TabISR[Por ciento para aplicarse sobre el excedente del límite inferior]))))+(VLOOKUP(TabImpuestos[[#This Row],[Ingreso ordinario]],TabISR[],COLUMN(TabISR[Cuota fija]))))</f>
        <v>190.80923199999998</v>
      </c>
      <c r="X20" s="54">
        <f>TabImpuestos[[#This Row],[ISR Por ingresos totales]]-TabImpuestos[[#This Row],[ISR por ingreso ordinario]]</f>
        <v>-10.021639013698604</v>
      </c>
      <c r="Y20" s="236">
        <f>TabImpuestos[[#This Row],[Diferencia de ISR''s]]/TabImpuestos[[#This Row],[Aguinaldo Gravado Mensual]]</f>
        <v>9.1739554742299251E-2</v>
      </c>
      <c r="Z20" s="54" cm="1">
        <f t="array" ref="Z20">IFERROR(IF('Desglose Salarios Fiscal'!$Q$1=1,((15*VLOOKUP(TabImpuestos[[#This Row],[ID]],TabEmpleados[],COLUMN(TabEmpleados[SD Fiscal]),FALSE))-(30*SMDF))*TabImpuestos[[#This Row],[Tasa D %]],0),0)</f>
        <v>-120.3255999999997</v>
      </c>
    </row>
    <row r="21" spans="1:26" x14ac:dyDescent="0.25">
      <c r="A21" s="31">
        <f t="shared" si="0"/>
        <v>19</v>
      </c>
      <c r="B21" s="30" t="str" cm="1">
        <f t="array" ref="B21">VLOOKUP(A21,TabEmpleados[],COLUMN(TabEmpleados[Nombre]),FALSE)</f>
        <v>SOSA ALCÁNTARA JOSUE</v>
      </c>
      <c r="C21" s="54" cm="1">
        <f t="array" ref="C21">(VLOOKUP(TabImpuestos[[#This Row],[ID]],TabEmpleados[],COLUMN(TabEmpleados[SD Fiscal]))*VLOOKUP(TabImpuestos[[#This Row],[ID]],TabAsistencias[],COLUMN(TabAsistencias[''Total de dias laborados])))+
TabImpuestos[[#This Row],[Bono Asistencia]]+TabImpuestos[[#This Row],[Bono Puntualidad]]+TabImpuestos[[#This Row],[Prima Dominical]]+TabImpuestos[[#This Row],[Prima Vacacional]]+TabImpuestos[[#This Row],[Bono Festivo/ Descanso]]</f>
        <v>12123.159299999999</v>
      </c>
      <c r="D21" s="54" cm="1">
        <f t="array" ref="D21">VLOOKUP(TabImpuestos[[#This Row],[ID]],TabDesSalariosFiscal[],COLUMN(TabDesSalariosFiscal[Bono Asistencia]),FALSE)</f>
        <v>1134.0796500000001</v>
      </c>
      <c r="E21" s="54" cm="1">
        <f t="array" ref="E21">VLOOKUP(TabImpuestos[[#This Row],[ID]],TabDesSalariosFiscal[],COLUMN(TabDesSalariosFiscal[Bono Puntualidad]),FALSE)</f>
        <v>1134.0796500000001</v>
      </c>
      <c r="F21" s="54" cm="1">
        <f t="array" ref="F21">IF(VLOOKUP(TabImpuestos[[#This Row],[ID]],TabDesSalariosFiscal[],COLUMN(TabDesSalariosFiscal[Prima dominical]),FALSE)-SMDF&lt;0,0,VLOOKUP(TabImpuestos[[#This Row],[ID]],TabDesSalariosFiscal[],COLUMN(TabDesSalariosFiscal[Prima dominical]),FALSE)-SMDF)</f>
        <v>0</v>
      </c>
      <c r="G21" s="54" cm="1">
        <f t="array" ref="G21">IF(VLOOKUP(TabImpuestos[[#This Row],[ID]],TabDesSalariosFiscal[],COLUMN(TabDesSalariosFiscal[Prima vacacional]),FALSE)-(15*SMDF)&lt;0,0,VLOOKUP(TabImpuestos[[#This Row],[ID]],TabDesSalariosFiscal[],COLUMN(TabDesSalariosFiscal[Prima vacacional]),FALSE)-(15*SMDF))</f>
        <v>0</v>
      </c>
      <c r="H21" s="54" cm="1">
        <f t="array" ref="H21">(VLOOKUP(TabImpuestos[[#This Row],[ID]],TabDesSalariosFiscal[],COLUMN(TabDesSalariosFiscal[Dia Festivo/ Descanso]),FALSE)*50%)</f>
        <v>0</v>
      </c>
      <c r="I21" s="54" cm="1">
        <f t="array" ref="I21">IFERROR(VLOOKUP(TabImpuestos[[#This Row],[Base Gravable]],TabISR[],COLUMN(TabISR[Límite inferior])),0)</f>
        <v>7641.91</v>
      </c>
      <c r="J21" s="54">
        <f>IFERROR(TabImpuestos[[#This Row],[Base Gravable]]-TabImpuestos[[#This Row],[(-) Lim. Inferior]],0)</f>
        <v>4481.2492999999995</v>
      </c>
      <c r="K21" s="236" cm="1">
        <f t="array" ref="K21">IFERROR(VLOOKUP(TabImpuestos[[#This Row],[Base Gravable]],TabISR[],COLUMN(TabISR[Por ciento para aplicarse sobre el excedente del límite inferior])),0)</f>
        <v>0.21360000000000001</v>
      </c>
      <c r="L21" s="54">
        <f>IFERROR(TabImpuestos[[#This Row],[EXC. Lim. Inferior]]*TabImpuestos[[#This Row],[(*) % Lim. Inf.]],0)</f>
        <v>957.1948504799999</v>
      </c>
      <c r="M21" s="54" cm="1">
        <f t="array" ref="M21">IFERROR(VLOOKUP(TabImpuestos[[#This Row],[Base Gravable]],TabISR[],COLUMN(TabISR[Cuota fija])),0)</f>
        <v>809.25</v>
      </c>
      <c r="N21" s="54">
        <f>IFERROR(TabImpuestos[[#This Row],[Impuesto marginal]]+TabImpuestos[[#This Row],[(+) Cuota Fija]],0)</f>
        <v>1766.4448504799998</v>
      </c>
      <c r="O21" s="54" cm="1">
        <f t="array" ref="O21">IFERROR(VLOOKUP(TabImpuestos[[#This Row],[Base Gravable]],TabSubsidio[],COLUMN(TabSubsidio[SUBSIDIO])),0)</f>
        <v>0</v>
      </c>
      <c r="P21" s="54">
        <f>IFERROR(TabImpuestos[[#This Row],[Imp. Art. 96 ISR]]-TabImpuestos[[#This Row],[(-) Subsidio para el empleo]],0)</f>
        <v>1766.4448504799998</v>
      </c>
      <c r="Q21" s="54" cm="1">
        <f t="array" ref="Q21">IF('Desglose Salarios Fiscal'!$Q$1=1,TabImpuestos[[#This Row],[Ingreso ordinario]]+((15*VLOOKUP(TabImpuestos[[#This Row],[ID]],TabEmpleados[],COLUMN(TabEmpleados[SD Fiscal]),FALSE))-(30*SMDF)),0)</f>
        <v>3242.4</v>
      </c>
      <c r="R21" s="54" cm="1">
        <f t="array" ref="R21">IF('Desglose Salarios Fiscal'!$Q$1=1,(VLOOKUP(TabImpuestos[[#This Row],[ID]],TabEmpleados[],COLUMN(TabEmpleados[SD Fiscal]),FALSE)*30.4)-TabImpuestos[[#This Row],[(-) Subsidio para el empleo]],0)</f>
        <v>4104</v>
      </c>
      <c r="S21" s="54" cm="1">
        <f t="array" ref="S21">IFERROR(IF('Desglose Salarios Fiscal'!$Q$1=1,IFERROR((((TabImpuestos[[#This Row],[Ingreso Neto]]-(VLOOKUP(TabImpuestos[[#This Row],[Ingreso Neto]],TabISR[],COLUMN(TabISR[Límite inferior]))))*(VLOOKUP(TabImpuestos[[#This Row],[Ingreso Neto]],TabISR[],COLUMN(TabISR[Por ciento para aplicarse sobre el excedente del límite inferior]))))+(VLOOKUP(TabImpuestos[[#This Row],[Ingreso Neto]],TabISR[],COLUMN(TabISR[Cuota fija]))))-(((TabImpuestos[[#This Row],[Ingreso ordinario]]-(VLOOKUP(TabImpuestos[[#This Row],[Ingreso ordinario]],TabISR[],COLUMN(TabISR[Límite inferior]))))*(VLOOKUP(TabImpuestos[[#This Row],[Ingreso ordinario]],TabISR[],COLUMN(TabISR[Por ciento para aplicarse sobre el excedente del límite inferior]))))+(VLOOKUP(TabImpuestos[[#This Row],[Ingreso ordinario]],TabISR[],COLUMN(TabISR[Cuota fija])))),0),0),0)</f>
        <v>-93.742079999999959</v>
      </c>
      <c r="T21" s="54" cm="1">
        <f t="array" ref="T21">((15*VLOOKUP(TabImpuestos[[#This Row],[ID]],TabEmpleados[],COLUMN(TabEmpleados[SD Fiscal]),FALSE))-(30*SMDF))/365*30.4</f>
        <v>-71.760657534246562</v>
      </c>
      <c r="U21" s="54">
        <f>TabImpuestos[[#This Row],[Ingreso ordinario]]+TabImpuestos[[#This Row],[Aguinaldo Gravado Mensual]]</f>
        <v>4032.2393424657535</v>
      </c>
      <c r="V21" s="54" cm="1">
        <f t="array" ref="V21">(((TabImpuestos[[#This Row],[Ingresos totales]]-(VLOOKUP(TabImpuestos[[#This Row],[Ingresos totales]],TabISR[],COLUMN(TabISR[Límite inferior]))))*(VLOOKUP(TabImpuestos[[#This Row],[Ingresos totales]],TabISR[],COLUMN(TabISR[Por ciento para aplicarse sobre el excedente del límite inferior]))))+(VLOOKUP(TabImpuestos[[#This Row],[Ingresos totales]],TabISR[],COLUMN(TabISR[Cuota fija]))))</f>
        <v>282.22727246027398</v>
      </c>
      <c r="W21" s="54" cm="1">
        <f t="array" ref="W21">(((TabImpuestos[[#This Row],[Ingreso ordinario]]-(VLOOKUP(TabImpuestos[[#This Row],[Ingreso ordinario]],TabISR[],COLUMN(TabISR[Límite inferior]))))*(VLOOKUP(TabImpuestos[[#This Row],[Ingreso ordinario]],TabISR[],COLUMN(TabISR[Por ciento para aplicarse sobre el excedente del límite inferior]))))+(VLOOKUP(TabImpuestos[[#This Row],[Ingreso ordinario]],TabISR[],COLUMN(TabISR[Cuota fija]))))</f>
        <v>290.03483199999994</v>
      </c>
      <c r="X21" s="54">
        <f>TabImpuestos[[#This Row],[ISR Por ingresos totales]]-TabImpuestos[[#This Row],[ISR por ingreso ordinario]]</f>
        <v>-7.8075595397259576</v>
      </c>
      <c r="Y21" s="236">
        <f>TabImpuestos[[#This Row],[Diferencia de ISR''s]]/TabImpuestos[[#This Row],[Aguinaldo Gravado Mensual]]</f>
        <v>0.10879999999999905</v>
      </c>
      <c r="Z21" s="54" cm="1">
        <f t="array" ref="Z21">IFERROR(IF('Desglose Salarios Fiscal'!$Q$1=1,((15*VLOOKUP(TabImpuestos[[#This Row],[ID]],TabEmpleados[],COLUMN(TabEmpleados[SD Fiscal]),FALSE))-(30*SMDF))*TabImpuestos[[#This Row],[Tasa D %]],0),0)</f>
        <v>-93.742079999999177</v>
      </c>
    </row>
    <row r="22" spans="1:26" x14ac:dyDescent="0.25">
      <c r="A22">
        <f t="shared" si="0"/>
        <v>20</v>
      </c>
      <c r="B22" t="str" cm="1">
        <f t="array" ref="B22">VLOOKUP(A22,TabEmpleados[],COLUMN(TabEmpleados[Nombre]),FALSE)</f>
        <v>DECIDERIO ESPINA ISMAEL</v>
      </c>
      <c r="C22" s="54" cm="1">
        <f t="array" ref="C22">(VLOOKUP(TabImpuestos[[#This Row],[ID]],TabEmpleados[],COLUMN(TabEmpleados[SD Fiscal]))*VLOOKUP(TabImpuestos[[#This Row],[ID]],TabAsistencias[],COLUMN(TabAsistencias[''Total de dias laborados])))+
TabImpuestos[[#This Row],[Bono Asistencia]]+TabImpuestos[[#This Row],[Bono Puntualidad]]+TabImpuestos[[#This Row],[Prima Dominical]]+TabImpuestos[[#This Row],[Prima Vacacional]]+TabImpuestos[[#This Row],[Bono Festivo/ Descanso]]</f>
        <v>10776.141599999999</v>
      </c>
      <c r="D22" s="54" cm="1">
        <f t="array" ref="D22">VLOOKUP(TabImpuestos[[#This Row],[ID]],TabDesSalariosFiscal[],COLUMN(TabDesSalariosFiscal[Bono Asistencia]),FALSE)</f>
        <v>1008.0708000000001</v>
      </c>
      <c r="E22" s="54" cm="1">
        <f t="array" ref="E22">VLOOKUP(TabImpuestos[[#This Row],[ID]],TabDesSalariosFiscal[],COLUMN(TabDesSalariosFiscal[Bono Puntualidad]),FALSE)</f>
        <v>1008.0708000000001</v>
      </c>
      <c r="F22" s="54" cm="1">
        <f t="array" ref="F22">IF(VLOOKUP(TabImpuestos[[#This Row],[ID]],TabDesSalariosFiscal[],COLUMN(TabDesSalariosFiscal[Prima dominical]),FALSE)-SMDF&lt;0,0,VLOOKUP(TabImpuestos[[#This Row],[ID]],TabDesSalariosFiscal[],COLUMN(TabDesSalariosFiscal[Prima dominical]),FALSE)-SMDF)</f>
        <v>0</v>
      </c>
      <c r="G22" s="54" cm="1">
        <f t="array" ref="G22">IF(VLOOKUP(TabImpuestos[[#This Row],[ID]],TabDesSalariosFiscal[],COLUMN(TabDesSalariosFiscal[Prima vacacional]),FALSE)-(15*SMDF)&lt;0,0,VLOOKUP(TabImpuestos[[#This Row],[ID]],TabDesSalariosFiscal[],COLUMN(TabDesSalariosFiscal[Prima vacacional]),FALSE)-(15*SMDF))</f>
        <v>0</v>
      </c>
      <c r="H22" s="54" cm="1">
        <f t="array" ref="H22">(VLOOKUP(TabImpuestos[[#This Row],[ID]],TabDesSalariosFiscal[],COLUMN(TabDesSalariosFiscal[Dia Festivo/ Descanso]),FALSE)*50%)</f>
        <v>0</v>
      </c>
      <c r="I22" s="54" cm="1">
        <f t="array" ref="I22">IFERROR(VLOOKUP(TabImpuestos[[#This Row],[Base Gravable]],TabISR[],COLUMN(TabISR[Límite inferior])),0)</f>
        <v>7641.91</v>
      </c>
      <c r="J22" s="54">
        <f>IFERROR(TabImpuestos[[#This Row],[Base Gravable]]-TabImpuestos[[#This Row],[(-) Lim. Inferior]],0)</f>
        <v>3134.2315999999992</v>
      </c>
      <c r="K22" s="236" cm="1">
        <f t="array" ref="K22">IFERROR(VLOOKUP(TabImpuestos[[#This Row],[Base Gravable]],TabISR[],COLUMN(TabISR[Por ciento para aplicarse sobre el excedente del límite inferior])),0)</f>
        <v>0.21360000000000001</v>
      </c>
      <c r="L22" s="54">
        <f>IFERROR(TabImpuestos[[#This Row],[EXC. Lim. Inferior]]*TabImpuestos[[#This Row],[(*) % Lim. Inf.]],0)</f>
        <v>669.47186975999989</v>
      </c>
      <c r="M22" s="54" cm="1">
        <f t="array" ref="M22">IFERROR(VLOOKUP(TabImpuestos[[#This Row],[Base Gravable]],TabISR[],COLUMN(TabISR[Cuota fija])),0)</f>
        <v>809.25</v>
      </c>
      <c r="N22" s="54">
        <f>IFERROR(TabImpuestos[[#This Row],[Impuesto marginal]]+TabImpuestos[[#This Row],[(+) Cuota Fija]],0)</f>
        <v>1478.7218697599999</v>
      </c>
      <c r="O22" s="54" cm="1">
        <f t="array" ref="O22">IFERROR(VLOOKUP(TabImpuestos[[#This Row],[Base Gravable]],TabSubsidio[],COLUMN(TabSubsidio[SUBSIDIO])),0)</f>
        <v>0</v>
      </c>
      <c r="P22" s="54">
        <f>IFERROR(TabImpuestos[[#This Row],[Imp. Art. 96 ISR]]-TabImpuestos[[#This Row],[(-) Subsidio para el empleo]],0)</f>
        <v>1478.7218697599999</v>
      </c>
      <c r="Q22" s="54" cm="1">
        <f t="array" ref="Q22">IF('Desglose Salarios Fiscal'!$Q$1=1,TabImpuestos[[#This Row],[Ingreso ordinario]]+((15*VLOOKUP(TabImpuestos[[#This Row],[ID]],TabEmpleados[],COLUMN(TabEmpleados[SD Fiscal]),FALSE))-(30*SMDF)),0)</f>
        <v>2561.4</v>
      </c>
      <c r="R22" s="54" cm="1">
        <f t="array" ref="R22">IF('Desglose Salarios Fiscal'!$Q$1=1,(VLOOKUP(TabImpuestos[[#This Row],[ID]],TabEmpleados[],COLUMN(TabEmpleados[SD Fiscal]),FALSE)*30.4)-TabImpuestos[[#This Row],[(-) Subsidio para el empleo]],0)</f>
        <v>3648</v>
      </c>
      <c r="S22" s="54" cm="1">
        <f t="array" ref="S22">IFERROR(IF('Desglose Salarios Fiscal'!$Q$1=1,IFERROR((((TabImpuestos[[#This Row],[Ingreso Neto]]-(VLOOKUP(TabImpuestos[[#This Row],[Ingreso Neto]],TabISR[],COLUMN(TabISR[Límite inferior]))))*(VLOOKUP(TabImpuestos[[#This Row],[Ingreso Neto]],TabISR[],COLUMN(TabISR[Por ciento para aplicarse sobre el excedente del límite inferior]))))+(VLOOKUP(TabImpuestos[[#This Row],[Ingreso Neto]],TabISR[],COLUMN(TabISR[Cuota fija]))))-(((TabImpuestos[[#This Row],[Ingreso ordinario]]-(VLOOKUP(TabImpuestos[[#This Row],[Ingreso ordinario]],TabISR[],COLUMN(TabISR[Límite inferior]))))*(VLOOKUP(TabImpuestos[[#This Row],[Ingreso ordinario]],TabISR[],COLUMN(TabISR[Por ciento para aplicarse sobre el excedente del límite inferior]))))+(VLOOKUP(TabImpuestos[[#This Row],[Ingreso ordinario]],TabISR[],COLUMN(TabISR[Cuota fija])))),0),0),0)</f>
        <v>-93.00147199999995</v>
      </c>
      <c r="T22" s="54" cm="1">
        <f t="array" ref="T22">((15*VLOOKUP(TabImpuestos[[#This Row],[ID]],TabEmpleados[],COLUMN(TabEmpleados[SD Fiscal]),FALSE))-(30*SMDF))/365*30.4</f>
        <v>-90.500383561643829</v>
      </c>
      <c r="U22" s="54">
        <f>TabImpuestos[[#This Row],[Ingreso ordinario]]+TabImpuestos[[#This Row],[Aguinaldo Gravado Mensual]]</f>
        <v>3557.499616438356</v>
      </c>
      <c r="V22" s="54" cm="1">
        <f t="array" ref="V22">(((TabImpuestos[[#This Row],[Ingresos totales]]-(VLOOKUP(TabImpuestos[[#This Row],[Ingresos totales]],TabISR[],COLUMN(TabISR[Límite inferior]))))*(VLOOKUP(TabImpuestos[[#This Row],[Ingresos totales]],TabISR[],COLUMN(TabISR[Por ciento para aplicarse sobre el excedente del límite inferior]))))+(VLOOKUP(TabImpuestos[[#This Row],[Ingresos totales]],TabISR[],COLUMN(TabISR[Cuota fija]))))</f>
        <v>230.5755902684931</v>
      </c>
      <c r="W22" s="54" cm="1">
        <f t="array" ref="W22">(((TabImpuestos[[#This Row],[Ingreso ordinario]]-(VLOOKUP(TabImpuestos[[#This Row],[Ingreso ordinario]],TabISR[],COLUMN(TabISR[Límite inferior]))))*(VLOOKUP(TabImpuestos[[#This Row],[Ingreso ordinario]],TabISR[],COLUMN(TabISR[Por ciento para aplicarse sobre el excedente del límite inferior]))))+(VLOOKUP(TabImpuestos[[#This Row],[Ingreso ordinario]],TabISR[],COLUMN(TabISR[Cuota fija]))))</f>
        <v>240.42203199999997</v>
      </c>
      <c r="X22" s="54">
        <f>TabImpuestos[[#This Row],[ISR Por ingresos totales]]-TabImpuestos[[#This Row],[ISR por ingreso ordinario]]</f>
        <v>-9.8464417315068715</v>
      </c>
      <c r="Y22" s="236">
        <f>TabImpuestos[[#This Row],[Diferencia de ISR''s]]/TabImpuestos[[#This Row],[Aguinaldo Gravado Mensual]]</f>
        <v>0.10880000000000026</v>
      </c>
      <c r="Z22" s="54" cm="1">
        <f t="array" ref="Z22">IFERROR(IF('Desglose Salarios Fiscal'!$Q$1=1,((15*VLOOKUP(TabImpuestos[[#This Row],[ID]],TabEmpleados[],COLUMN(TabEmpleados[SD Fiscal]),FALSE))-(30*SMDF))*TabImpuestos[[#This Row],[Tasa D %]],0),0)</f>
        <v>-118.22208000000028</v>
      </c>
    </row>
    <row r="23" spans="1:26" x14ac:dyDescent="0.25">
      <c r="A23" s="31">
        <f t="shared" si="0"/>
        <v>21</v>
      </c>
      <c r="B23" s="30" t="str" cm="1">
        <f t="array" ref="B23">VLOOKUP(A23,TabEmpleados[],COLUMN(TabEmpleados[Nombre]),FALSE)</f>
        <v>HERNANDEZ MIGUEL GRISELDA ITAHI</v>
      </c>
      <c r="C23" s="54" cm="1">
        <f t="array" ref="C23">(VLOOKUP(TabImpuestos[[#This Row],[ID]],TabEmpleados[],COLUMN(TabEmpleados[SD Fiscal]))*VLOOKUP(TabImpuestos[[#This Row],[ID]],TabAsistencias[],COLUMN(TabAsistencias[''Total de dias laborados])))+
TabImpuestos[[#This Row],[Bono Asistencia]]+TabImpuestos[[#This Row],[Bono Puntualidad]]+TabImpuestos[[#This Row],[Prima Dominical]]+TabImpuestos[[#This Row],[Prima Vacacional]]+TabImpuestos[[#This Row],[Bono Festivo/ Descanso]]</f>
        <v>7543.2991199999997</v>
      </c>
      <c r="D23" s="54" cm="1">
        <f t="array" ref="D23">VLOOKUP(TabImpuestos[[#This Row],[ID]],TabDesSalariosFiscal[],COLUMN(TabDesSalariosFiscal[Bono Asistencia]),FALSE)</f>
        <v>705.64956000000006</v>
      </c>
      <c r="E23" s="54" cm="1">
        <f t="array" ref="E23">VLOOKUP(TabImpuestos[[#This Row],[ID]],TabDesSalariosFiscal[],COLUMN(TabDesSalariosFiscal[Bono Puntualidad]),FALSE)</f>
        <v>705.64956000000006</v>
      </c>
      <c r="F23" s="54" cm="1">
        <f t="array" ref="F23">IF(VLOOKUP(TabImpuestos[[#This Row],[ID]],TabDesSalariosFiscal[],COLUMN(TabDesSalariosFiscal[Prima dominical]),FALSE)-SMDF&lt;0,0,VLOOKUP(TabImpuestos[[#This Row],[ID]],TabDesSalariosFiscal[],COLUMN(TabDesSalariosFiscal[Prima dominical]),FALSE)-SMDF)</f>
        <v>0</v>
      </c>
      <c r="G23" s="54" cm="1">
        <f t="array" ref="G23">IF(VLOOKUP(TabImpuestos[[#This Row],[ID]],TabDesSalariosFiscal[],COLUMN(TabDesSalariosFiscal[Prima vacacional]),FALSE)-(15*SMDF)&lt;0,0,VLOOKUP(TabImpuestos[[#This Row],[ID]],TabDesSalariosFiscal[],COLUMN(TabDesSalariosFiscal[Prima vacacional]),FALSE)-(15*SMDF))</f>
        <v>0</v>
      </c>
      <c r="H23" s="54" cm="1">
        <f t="array" ref="H23">(VLOOKUP(TabImpuestos[[#This Row],[ID]],TabDesSalariosFiscal[],COLUMN(TabDesSalariosFiscal[Dia Festivo/ Descanso]),FALSE)*50%)</f>
        <v>0</v>
      </c>
      <c r="I23" s="54" cm="1">
        <f t="array" ref="I23">IFERROR(VLOOKUP(TabImpuestos[[#This Row],[Base Gravable]],TabISR[],COLUMN(TabISR[Límite inferior])),0)</f>
        <v>6382.81</v>
      </c>
      <c r="J23" s="54">
        <f>IFERROR(TabImpuestos[[#This Row],[Base Gravable]]-TabImpuestos[[#This Row],[(-) Lim. Inferior]],0)</f>
        <v>1160.4891199999993</v>
      </c>
      <c r="K23" s="236" cm="1">
        <f t="array" ref="K23">IFERROR(VLOOKUP(TabImpuestos[[#This Row],[Base Gravable]],TabISR[],COLUMN(TabISR[Por ciento para aplicarse sobre el excedente del límite inferior])),0)</f>
        <v>0.1792</v>
      </c>
      <c r="L23" s="54">
        <f>IFERROR(TabImpuestos[[#This Row],[EXC. Lim. Inferior]]*TabImpuestos[[#This Row],[(*) % Lim. Inf.]],0)</f>
        <v>207.95965030399987</v>
      </c>
      <c r="M23" s="54" cm="1">
        <f t="array" ref="M23">IFERROR(VLOOKUP(TabImpuestos[[#This Row],[Base Gravable]],TabISR[],COLUMN(TabISR[Cuota fija])),0)</f>
        <v>583.65</v>
      </c>
      <c r="N23" s="54">
        <f>IFERROR(TabImpuestos[[#This Row],[Impuesto marginal]]+TabImpuestos[[#This Row],[(+) Cuota Fija]],0)</f>
        <v>791.60965030399984</v>
      </c>
      <c r="O23" s="54" cm="1">
        <f t="array" ref="O23">IFERROR(VLOOKUP(TabImpuestos[[#This Row],[Base Gravable]],TabSubsidio[],COLUMN(TabSubsidio[SUBSIDIO])),0)</f>
        <v>0</v>
      </c>
      <c r="P23" s="54">
        <f>IFERROR(TabImpuestos[[#This Row],[Imp. Art. 96 ISR]]-TabImpuestos[[#This Row],[(-) Subsidio para el empleo]],0)</f>
        <v>791.60965030399984</v>
      </c>
      <c r="Q23" s="54" cm="1">
        <f t="array" ref="Q23">IF('Desglose Salarios Fiscal'!$Q$1=1,TabImpuestos[[#This Row],[Ingreso ordinario]]+((15*VLOOKUP(TabImpuestos[[#This Row],[ID]],TabEmpleados[],COLUMN(TabEmpleados[SD Fiscal]),FALSE))-(30*SMDF)),0)</f>
        <v>927</v>
      </c>
      <c r="R23" s="54" cm="1">
        <f t="array" ref="R23">IF('Desglose Salarios Fiscal'!$Q$1=1,(VLOOKUP(TabImpuestos[[#This Row],[ID]],TabEmpleados[],COLUMN(TabEmpleados[SD Fiscal]),FALSE)*30.4)-TabImpuestos[[#This Row],[(-) Subsidio para el empleo]],0)</f>
        <v>2553.6</v>
      </c>
      <c r="S23" s="54" cm="1">
        <f t="array" ref="S23">IFERROR(IF('Desglose Salarios Fiscal'!$Q$1=1,IFERROR((((TabImpuestos[[#This Row],[Ingreso Neto]]-(VLOOKUP(TabImpuestos[[#This Row],[Ingreso Neto]],TabISR[],COLUMN(TabISR[Límite inferior]))))*(VLOOKUP(TabImpuestos[[#This Row],[Ingreso Neto]],TabISR[],COLUMN(TabISR[Por ciento para aplicarse sobre el excedente del límite inferior]))))+(VLOOKUP(TabImpuestos[[#This Row],[Ingreso Neto]],TabISR[],COLUMN(TabISR[Cuota fija]))))-(((TabImpuestos[[#This Row],[Ingreso ordinario]]-(VLOOKUP(TabImpuestos[[#This Row],[Ingreso ordinario]],TabISR[],COLUMN(TabISR[Límite inferior]))))*(VLOOKUP(TabImpuestos[[#This Row],[Ingreso ordinario]],TabISR[],COLUMN(TabISR[Por ciento para aplicarse sobre el excedente del límite inferior]))))+(VLOOKUP(TabImpuestos[[#This Row],[Ingreso ordinario]],TabISR[],COLUMN(TabISR[Cuota fija])))),0),0),0)</f>
        <v>-104.10239999999999</v>
      </c>
      <c r="T23" s="54" cm="1">
        <f t="array" ref="T23">((15*VLOOKUP(TabImpuestos[[#This Row],[ID]],TabEmpleados[],COLUMN(TabEmpleados[SD Fiscal]),FALSE))-(30*SMDF))/365*30.4</f>
        <v>-135.47572602739726</v>
      </c>
      <c r="U23" s="54">
        <f>TabImpuestos[[#This Row],[Ingreso ordinario]]+TabImpuestos[[#This Row],[Aguinaldo Gravado Mensual]]</f>
        <v>2418.1242739726026</v>
      </c>
      <c r="V23" s="54" cm="1">
        <f t="array" ref="V23">(((TabImpuestos[[#This Row],[Ingresos totales]]-(VLOOKUP(TabImpuestos[[#This Row],[Ingresos totales]],TabISR[],COLUMN(TabISR[Límite inferior]))))*(VLOOKUP(TabImpuestos[[#This Row],[Ingresos totales]],TabISR[],COLUMN(TabISR[Por ciento para aplicarse sobre el excedente del límite inferior]))))+(VLOOKUP(TabImpuestos[[#This Row],[Ingresos totales]],TabISR[],COLUMN(TabISR[Cuota fija]))))</f>
        <v>138.25091353424656</v>
      </c>
      <c r="W23" s="54" cm="1">
        <f t="array" ref="W23">(((TabImpuestos[[#This Row],[Ingreso ordinario]]-(VLOOKUP(TabImpuestos[[#This Row],[Ingreso ordinario]],TabISR[],COLUMN(TabISR[Límite inferior]))))*(VLOOKUP(TabImpuestos[[#This Row],[Ingreso ordinario]],TabISR[],COLUMN(TabISR[Por ciento para aplicarse sobre el excedente del límite inferior]))))+(VLOOKUP(TabImpuestos[[#This Row],[Ingreso ordinario]],TabISR[],COLUMN(TabISR[Cuota fija]))))</f>
        <v>146.92135999999999</v>
      </c>
      <c r="X23" s="54">
        <f>TabImpuestos[[#This Row],[ISR Por ingresos totales]]-TabImpuestos[[#This Row],[ISR por ingreso ordinario]]</f>
        <v>-8.6704464657534288</v>
      </c>
      <c r="Y23" s="236">
        <f>TabImpuestos[[#This Row],[Diferencia de ISR''s]]/TabImpuestos[[#This Row],[Aguinaldo Gravado Mensual]]</f>
        <v>6.4000000000000029E-2</v>
      </c>
      <c r="Z23" s="54" cm="1">
        <f t="array" ref="Z23">IFERROR(IF('Desglose Salarios Fiscal'!$Q$1=1,((15*VLOOKUP(TabImpuestos[[#This Row],[ID]],TabEmpleados[],COLUMN(TabEmpleados[SD Fiscal]),FALSE))-(30*SMDF))*TabImpuestos[[#This Row],[Tasa D %]],0),0)</f>
        <v>-104.10240000000005</v>
      </c>
    </row>
    <row r="24" spans="1:26" x14ac:dyDescent="0.25">
      <c r="A24">
        <f t="shared" si="0"/>
        <v>22</v>
      </c>
      <c r="B24" t="str" cm="1">
        <f t="array" ref="B24">VLOOKUP(A24,TabEmpleados[],COLUMN(TabEmpleados[Nombre]),FALSE)</f>
        <v>GONZALEZ ARAGON TANIA YURICEL</v>
      </c>
      <c r="C24" s="54" cm="1">
        <f t="array" ref="C24">(VLOOKUP(TabImpuestos[[#This Row],[ID]],TabEmpleados[],COLUMN(TabEmpleados[SD Fiscal]))*VLOOKUP(TabImpuestos[[#This Row],[ID]],TabAsistencias[],COLUMN(TabAsistencias[''Total de dias laborados])))+
TabImpuestos[[#This Row],[Bono Asistencia]]+TabImpuestos[[#This Row],[Bono Puntualidad]]+TabImpuestos[[#This Row],[Prima Dominical]]+TabImpuestos[[#This Row],[Prima Vacacional]]+TabImpuestos[[#This Row],[Bono Festivo/ Descanso]]</f>
        <v>7543.2991199999997</v>
      </c>
      <c r="D24" s="54" cm="1">
        <f t="array" ref="D24">VLOOKUP(TabImpuestos[[#This Row],[ID]],TabDesSalariosFiscal[],COLUMN(TabDesSalariosFiscal[Bono Asistencia]),FALSE)</f>
        <v>705.64956000000006</v>
      </c>
      <c r="E24" s="54" cm="1">
        <f t="array" ref="E24">VLOOKUP(TabImpuestos[[#This Row],[ID]],TabDesSalariosFiscal[],COLUMN(TabDesSalariosFiscal[Bono Puntualidad]),FALSE)</f>
        <v>705.64956000000006</v>
      </c>
      <c r="F24" s="54" cm="1">
        <f t="array" ref="F24">IF(VLOOKUP(TabImpuestos[[#This Row],[ID]],TabDesSalariosFiscal[],COLUMN(TabDesSalariosFiscal[Prima dominical]),FALSE)-SMDF&lt;0,0,VLOOKUP(TabImpuestos[[#This Row],[ID]],TabDesSalariosFiscal[],COLUMN(TabDesSalariosFiscal[Prima dominical]),FALSE)-SMDF)</f>
        <v>0</v>
      </c>
      <c r="G24" s="54" cm="1">
        <f t="array" ref="G24">IF(VLOOKUP(TabImpuestos[[#This Row],[ID]],TabDesSalariosFiscal[],COLUMN(TabDesSalariosFiscal[Prima vacacional]),FALSE)-(15*SMDF)&lt;0,0,VLOOKUP(TabImpuestos[[#This Row],[ID]],TabDesSalariosFiscal[],COLUMN(TabDesSalariosFiscal[Prima vacacional]),FALSE)-(15*SMDF))</f>
        <v>0</v>
      </c>
      <c r="H24" s="54" cm="1">
        <f t="array" ref="H24">(VLOOKUP(TabImpuestos[[#This Row],[ID]],TabDesSalariosFiscal[],COLUMN(TabDesSalariosFiscal[Dia Festivo/ Descanso]),FALSE)*50%)</f>
        <v>0</v>
      </c>
      <c r="I24" s="54" cm="1">
        <f t="array" ref="I24">IFERROR(VLOOKUP(TabImpuestos[[#This Row],[Base Gravable]],TabISR[],COLUMN(TabISR[Límite inferior])),0)</f>
        <v>6382.81</v>
      </c>
      <c r="J24" s="54">
        <f>IFERROR(TabImpuestos[[#This Row],[Base Gravable]]-TabImpuestos[[#This Row],[(-) Lim. Inferior]],0)</f>
        <v>1160.4891199999993</v>
      </c>
      <c r="K24" s="236" cm="1">
        <f t="array" ref="K24">IFERROR(VLOOKUP(TabImpuestos[[#This Row],[Base Gravable]],TabISR[],COLUMN(TabISR[Por ciento para aplicarse sobre el excedente del límite inferior])),0)</f>
        <v>0.1792</v>
      </c>
      <c r="L24" s="54">
        <f>IFERROR(TabImpuestos[[#This Row],[EXC. Lim. Inferior]]*TabImpuestos[[#This Row],[(*) % Lim. Inf.]],0)</f>
        <v>207.95965030399987</v>
      </c>
      <c r="M24" s="54" cm="1">
        <f t="array" ref="M24">IFERROR(VLOOKUP(TabImpuestos[[#This Row],[Base Gravable]],TabISR[],COLUMN(TabISR[Cuota fija])),0)</f>
        <v>583.65</v>
      </c>
      <c r="N24" s="54">
        <f>IFERROR(TabImpuestos[[#This Row],[Impuesto marginal]]+TabImpuestos[[#This Row],[(+) Cuota Fija]],0)</f>
        <v>791.60965030399984</v>
      </c>
      <c r="O24" s="54" cm="1">
        <f t="array" ref="O24">IFERROR(VLOOKUP(TabImpuestos[[#This Row],[Base Gravable]],TabSubsidio[],COLUMN(TabSubsidio[SUBSIDIO])),0)</f>
        <v>0</v>
      </c>
      <c r="P24" s="54">
        <f>IFERROR(TabImpuestos[[#This Row],[Imp. Art. 96 ISR]]-TabImpuestos[[#This Row],[(-) Subsidio para el empleo]],0)</f>
        <v>791.60965030399984</v>
      </c>
      <c r="Q24" s="54" cm="1">
        <f t="array" ref="Q24">IF('Desglose Salarios Fiscal'!$Q$1=1,TabImpuestos[[#This Row],[Ingreso ordinario]]+((15*VLOOKUP(TabImpuestos[[#This Row],[ID]],TabEmpleados[],COLUMN(TabEmpleados[SD Fiscal]),FALSE))-(30*SMDF)),0)</f>
        <v>927</v>
      </c>
      <c r="R24" s="54" cm="1">
        <f t="array" ref="R24">IF('Desglose Salarios Fiscal'!$Q$1=1,(VLOOKUP(TabImpuestos[[#This Row],[ID]],TabEmpleados[],COLUMN(TabEmpleados[SD Fiscal]),FALSE)*30.4)-TabImpuestos[[#This Row],[(-) Subsidio para el empleo]],0)</f>
        <v>2553.6</v>
      </c>
      <c r="S24" s="54" cm="1">
        <f t="array" ref="S24">IFERROR(IF('Desglose Salarios Fiscal'!$Q$1=1,IFERROR((((TabImpuestos[[#This Row],[Ingreso Neto]]-(VLOOKUP(TabImpuestos[[#This Row],[Ingreso Neto]],TabISR[],COLUMN(TabISR[Límite inferior]))))*(VLOOKUP(TabImpuestos[[#This Row],[Ingreso Neto]],TabISR[],COLUMN(TabISR[Por ciento para aplicarse sobre el excedente del límite inferior]))))+(VLOOKUP(TabImpuestos[[#This Row],[Ingreso Neto]],TabISR[],COLUMN(TabISR[Cuota fija]))))-(((TabImpuestos[[#This Row],[Ingreso ordinario]]-(VLOOKUP(TabImpuestos[[#This Row],[Ingreso ordinario]],TabISR[],COLUMN(TabISR[Límite inferior]))))*(VLOOKUP(TabImpuestos[[#This Row],[Ingreso ordinario]],TabISR[],COLUMN(TabISR[Por ciento para aplicarse sobre el excedente del límite inferior]))))+(VLOOKUP(TabImpuestos[[#This Row],[Ingreso ordinario]],TabISR[],COLUMN(TabISR[Cuota fija])))),0),0),0)</f>
        <v>-104.10239999999999</v>
      </c>
      <c r="T24" s="54" cm="1">
        <f t="array" ref="T24">((15*VLOOKUP(TabImpuestos[[#This Row],[ID]],TabEmpleados[],COLUMN(TabEmpleados[SD Fiscal]),FALSE))-(30*SMDF))/365*30.4</f>
        <v>-135.47572602739726</v>
      </c>
      <c r="U24" s="54">
        <f>TabImpuestos[[#This Row],[Ingreso ordinario]]+TabImpuestos[[#This Row],[Aguinaldo Gravado Mensual]]</f>
        <v>2418.1242739726026</v>
      </c>
      <c r="V24" s="54" cm="1">
        <f t="array" ref="V24">(((TabImpuestos[[#This Row],[Ingresos totales]]-(VLOOKUP(TabImpuestos[[#This Row],[Ingresos totales]],TabISR[],COLUMN(TabISR[Límite inferior]))))*(VLOOKUP(TabImpuestos[[#This Row],[Ingresos totales]],TabISR[],COLUMN(TabISR[Por ciento para aplicarse sobre el excedente del límite inferior]))))+(VLOOKUP(TabImpuestos[[#This Row],[Ingresos totales]],TabISR[],COLUMN(TabISR[Cuota fija]))))</f>
        <v>138.25091353424656</v>
      </c>
      <c r="W24" s="54" cm="1">
        <f t="array" ref="W24">(((TabImpuestos[[#This Row],[Ingreso ordinario]]-(VLOOKUP(TabImpuestos[[#This Row],[Ingreso ordinario]],TabISR[],COLUMN(TabISR[Límite inferior]))))*(VLOOKUP(TabImpuestos[[#This Row],[Ingreso ordinario]],TabISR[],COLUMN(TabISR[Por ciento para aplicarse sobre el excedente del límite inferior]))))+(VLOOKUP(TabImpuestos[[#This Row],[Ingreso ordinario]],TabISR[],COLUMN(TabISR[Cuota fija]))))</f>
        <v>146.92135999999999</v>
      </c>
      <c r="X24" s="54">
        <f>TabImpuestos[[#This Row],[ISR Por ingresos totales]]-TabImpuestos[[#This Row],[ISR por ingreso ordinario]]</f>
        <v>-8.6704464657534288</v>
      </c>
      <c r="Y24" s="236">
        <f>TabImpuestos[[#This Row],[Diferencia de ISR''s]]/TabImpuestos[[#This Row],[Aguinaldo Gravado Mensual]]</f>
        <v>6.4000000000000029E-2</v>
      </c>
      <c r="Z24" s="54" cm="1">
        <f t="array" ref="Z24">IFERROR(IF('Desglose Salarios Fiscal'!$Q$1=1,((15*VLOOKUP(TabImpuestos[[#This Row],[ID]],TabEmpleados[],COLUMN(TabEmpleados[SD Fiscal]),FALSE))-(30*SMDF))*TabImpuestos[[#This Row],[Tasa D %]],0),0)</f>
        <v>-104.10240000000005</v>
      </c>
    </row>
    <row r="25" spans="1:26" x14ac:dyDescent="0.25">
      <c r="A25" s="31">
        <f t="shared" si="0"/>
        <v>23</v>
      </c>
      <c r="B25" s="30" t="str" cm="1">
        <f t="array" ref="B25">VLOOKUP(A25,TabEmpleados[],COLUMN(TabEmpleados[Nombre]),FALSE)</f>
        <v>CHAVEZ HERNANDEZ DIANA IRIS</v>
      </c>
      <c r="C25" s="54" cm="1">
        <f t="array" ref="C25">(VLOOKUP(TabImpuestos[[#This Row],[ID]],TabEmpleados[],COLUMN(TabEmpleados[SD Fiscal]))*VLOOKUP(TabImpuestos[[#This Row],[ID]],TabAsistencias[],COLUMN(TabAsistencias[''Total de dias laborados])))+
TabImpuestos[[#This Row],[Bono Asistencia]]+TabImpuestos[[#This Row],[Bono Puntualidad]]+TabImpuestos[[#This Row],[Prima Dominical]]+TabImpuestos[[#This Row],[Prima Vacacional]]+TabImpuestos[[#This Row],[Bono Festivo/ Descanso]]</f>
        <v>9429.1238999999987</v>
      </c>
      <c r="D25" s="54" cm="1">
        <f t="array" ref="D25">VLOOKUP(TabImpuestos[[#This Row],[ID]],TabDesSalariosFiscal[],COLUMN(TabDesSalariosFiscal[Bono Asistencia]),FALSE)</f>
        <v>882.06195000000002</v>
      </c>
      <c r="E25" s="54" cm="1">
        <f t="array" ref="E25">VLOOKUP(TabImpuestos[[#This Row],[ID]],TabDesSalariosFiscal[],COLUMN(TabDesSalariosFiscal[Bono Puntualidad]),FALSE)</f>
        <v>882.06195000000002</v>
      </c>
      <c r="F25" s="54" cm="1">
        <f t="array" ref="F25">IF(VLOOKUP(TabImpuestos[[#This Row],[ID]],TabDesSalariosFiscal[],COLUMN(TabDesSalariosFiscal[Prima dominical]),FALSE)-SMDF&lt;0,0,VLOOKUP(TabImpuestos[[#This Row],[ID]],TabDesSalariosFiscal[],COLUMN(TabDesSalariosFiscal[Prima dominical]),FALSE)-SMDF)</f>
        <v>0</v>
      </c>
      <c r="G25" s="54" cm="1">
        <f t="array" ref="G25">IF(VLOOKUP(TabImpuestos[[#This Row],[ID]],TabDesSalariosFiscal[],COLUMN(TabDesSalariosFiscal[Prima vacacional]),FALSE)-(15*SMDF)&lt;0,0,VLOOKUP(TabImpuestos[[#This Row],[ID]],TabDesSalariosFiscal[],COLUMN(TabDesSalariosFiscal[Prima vacacional]),FALSE)-(15*SMDF))</f>
        <v>0</v>
      </c>
      <c r="H25" s="54" cm="1">
        <f t="array" ref="H25">(VLOOKUP(TabImpuestos[[#This Row],[ID]],TabDesSalariosFiscal[],COLUMN(TabDesSalariosFiscal[Dia Festivo/ Descanso]),FALSE)*50%)</f>
        <v>0</v>
      </c>
      <c r="I25" s="54" cm="1">
        <f t="array" ref="I25">IFERROR(VLOOKUP(TabImpuestos[[#This Row],[Base Gravable]],TabISR[],COLUMN(TabISR[Límite inferior])),0)</f>
        <v>7641.91</v>
      </c>
      <c r="J25" s="54">
        <f>IFERROR(TabImpuestos[[#This Row],[Base Gravable]]-TabImpuestos[[#This Row],[(-) Lim. Inferior]],0)</f>
        <v>1787.2138999999988</v>
      </c>
      <c r="K25" s="236" cm="1">
        <f t="array" ref="K25">IFERROR(VLOOKUP(TabImpuestos[[#This Row],[Base Gravable]],TabISR[],COLUMN(TabISR[Por ciento para aplicarse sobre el excedente del límite inferior])),0)</f>
        <v>0.21360000000000001</v>
      </c>
      <c r="L25" s="54">
        <f>IFERROR(TabImpuestos[[#This Row],[EXC. Lim. Inferior]]*TabImpuestos[[#This Row],[(*) % Lim. Inf.]],0)</f>
        <v>381.74888903999977</v>
      </c>
      <c r="M25" s="54" cm="1">
        <f t="array" ref="M25">IFERROR(VLOOKUP(TabImpuestos[[#This Row],[Base Gravable]],TabISR[],COLUMN(TabISR[Cuota fija])),0)</f>
        <v>809.25</v>
      </c>
      <c r="N25" s="54">
        <f>IFERROR(TabImpuestos[[#This Row],[Impuesto marginal]]+TabImpuestos[[#This Row],[(+) Cuota Fija]],0)</f>
        <v>1190.9988890399998</v>
      </c>
      <c r="O25" s="54" cm="1">
        <f t="array" ref="O25">IFERROR(VLOOKUP(TabImpuestos[[#This Row],[Base Gravable]],TabSubsidio[],COLUMN(TabSubsidio[SUBSIDIO])),0)</f>
        <v>0</v>
      </c>
      <c r="P25" s="54">
        <f>IFERROR(TabImpuestos[[#This Row],[Imp. Art. 96 ISR]]-TabImpuestos[[#This Row],[(-) Subsidio para el empleo]],0)</f>
        <v>1190.9988890399998</v>
      </c>
      <c r="Q25" s="54" cm="1">
        <f t="array" ref="Q25">IF('Desglose Salarios Fiscal'!$Q$1=1,TabImpuestos[[#This Row],[Ingreso ordinario]]+((15*VLOOKUP(TabImpuestos[[#This Row],[ID]],TabEmpleados[],COLUMN(TabEmpleados[SD Fiscal]),FALSE))-(30*SMDF)),0)</f>
        <v>1880.4</v>
      </c>
      <c r="R25" s="54" cm="1">
        <f t="array" ref="R25">IF('Desglose Salarios Fiscal'!$Q$1=1,(VLOOKUP(TabImpuestos[[#This Row],[ID]],TabEmpleados[],COLUMN(TabEmpleados[SD Fiscal]),FALSE)*30.4)-TabImpuestos[[#This Row],[(-) Subsidio para el empleo]],0)</f>
        <v>3192</v>
      </c>
      <c r="S25" s="54" cm="1">
        <f t="array" ref="S25">IFERROR(IF('Desglose Salarios Fiscal'!$Q$1=1,IFERROR((((TabImpuestos[[#This Row],[Ingreso Neto]]-(VLOOKUP(TabImpuestos[[#This Row],[Ingreso Neto]],TabISR[],COLUMN(TabISR[Límite inferior]))))*(VLOOKUP(TabImpuestos[[#This Row],[Ingreso Neto]],TabISR[],COLUMN(TabISR[Por ciento para aplicarse sobre el excedente del límite inferior]))))+(VLOOKUP(TabImpuestos[[#This Row],[Ingreso Neto]],TabISR[],COLUMN(TabISR[Cuota fija]))))-(((TabImpuestos[[#This Row],[Ingreso ordinario]]-(VLOOKUP(TabImpuestos[[#This Row],[Ingreso ordinario]],TabISR[],COLUMN(TabISR[Límite inferior]))))*(VLOOKUP(TabImpuestos[[#This Row],[Ingreso ordinario]],TabISR[],COLUMN(TabISR[Por ciento para aplicarse sobre el excedente del límite inferior]))))+(VLOOKUP(TabImpuestos[[#This Row],[Ingreso ordinario]],TabISR[],COLUMN(TabISR[Cuota fija])))),0),0),0)</f>
        <v>-86.972671999999989</v>
      </c>
      <c r="T25" s="54" cm="1">
        <f t="array" ref="T25">((15*VLOOKUP(TabImpuestos[[#This Row],[ID]],TabEmpleados[],COLUMN(TabEmpleados[SD Fiscal]),FALSE))-(30*SMDF))/365*30.4</f>
        <v>-109.24010958904108</v>
      </c>
      <c r="U25" s="54">
        <f>TabImpuestos[[#This Row],[Ingreso ordinario]]+TabImpuestos[[#This Row],[Aguinaldo Gravado Mensual]]</f>
        <v>3082.7598904109591</v>
      </c>
      <c r="V25" s="54" cm="1">
        <f t="array" ref="V25">(((TabImpuestos[[#This Row],[Ingresos totales]]-(VLOOKUP(TabImpuestos[[#This Row],[Ingresos totales]],TabISR[],COLUMN(TabISR[Límite inferior]))))*(VLOOKUP(TabImpuestos[[#This Row],[Ingresos totales]],TabISR[],COLUMN(TabISR[Por ciento para aplicarse sobre el excedente del límite inferior]))))+(VLOOKUP(TabImpuestos[[#This Row],[Ingresos totales]],TabISR[],COLUMN(TabISR[Cuota fija]))))</f>
        <v>180.78759298630138</v>
      </c>
      <c r="W25" s="54" cm="1">
        <f t="array" ref="W25">(((TabImpuestos[[#This Row],[Ingreso ordinario]]-(VLOOKUP(TabImpuestos[[#This Row],[Ingreso ordinario]],TabISR[],COLUMN(TabISR[Límite inferior]))))*(VLOOKUP(TabImpuestos[[#This Row],[Ingreso ordinario]],TabISR[],COLUMN(TabISR[Por ciento para aplicarse sobre el excedente del límite inferior]))))+(VLOOKUP(TabImpuestos[[#This Row],[Ingreso ordinario]],TabISR[],COLUMN(TabISR[Cuota fija]))))</f>
        <v>190.80923199999998</v>
      </c>
      <c r="X25" s="54">
        <f>TabImpuestos[[#This Row],[ISR Por ingresos totales]]-TabImpuestos[[#This Row],[ISR por ingreso ordinario]]</f>
        <v>-10.021639013698604</v>
      </c>
      <c r="Y25" s="236">
        <f>TabImpuestos[[#This Row],[Diferencia de ISR''s]]/TabImpuestos[[#This Row],[Aguinaldo Gravado Mensual]]</f>
        <v>9.1739554742299251E-2</v>
      </c>
      <c r="Z25" s="54" cm="1">
        <f t="array" ref="Z25">IFERROR(IF('Desglose Salarios Fiscal'!$Q$1=1,((15*VLOOKUP(TabImpuestos[[#This Row],[ID]],TabEmpleados[],COLUMN(TabEmpleados[SD Fiscal]),FALSE))-(30*SMDF))*TabImpuestos[[#This Row],[Tasa D %]],0),0)</f>
        <v>-120.3255999999997</v>
      </c>
    </row>
    <row r="26" spans="1:26" x14ac:dyDescent="0.25">
      <c r="A26">
        <f t="shared" si="0"/>
        <v>24</v>
      </c>
      <c r="B26" t="str" cm="1">
        <f t="array" ref="B26">VLOOKUP(A26,TabEmpleados[],COLUMN(TabEmpleados[Nombre]),FALSE)</f>
        <v xml:space="preserve">LOPEZ VELASCO  EDWIN URIEL </v>
      </c>
      <c r="C26" s="54" cm="1">
        <f t="array" ref="C26">(VLOOKUP(TabImpuestos[[#This Row],[ID]],TabEmpleados[],COLUMN(TabEmpleados[SD Fiscal]))*VLOOKUP(TabImpuestos[[#This Row],[ID]],TabAsistencias[],COLUMN(TabAsistencias[''Total de dias laborados])))+
TabImpuestos[[#This Row],[Bono Asistencia]]+TabImpuestos[[#This Row],[Bono Puntualidad]]+TabImpuestos[[#This Row],[Prima Dominical]]+TabImpuestos[[#This Row],[Prima Vacacional]]+TabImpuestos[[#This Row],[Bono Festivo/ Descanso]]</f>
        <v>0</v>
      </c>
      <c r="D26" s="54" cm="1">
        <f t="array" ref="D26">VLOOKUP(TabImpuestos[[#This Row],[ID]],TabDesSalariosFiscal[],COLUMN(TabDesSalariosFiscal[Bono Asistencia]),FALSE)</f>
        <v>0</v>
      </c>
      <c r="E26" s="54" cm="1">
        <f t="array" ref="E26">VLOOKUP(TabImpuestos[[#This Row],[ID]],TabDesSalariosFiscal[],COLUMN(TabDesSalariosFiscal[Bono Puntualidad]),FALSE)</f>
        <v>0</v>
      </c>
      <c r="F26" s="54" cm="1">
        <f t="array" ref="F26">IF(VLOOKUP(TabImpuestos[[#This Row],[ID]],TabDesSalariosFiscal[],COLUMN(TabDesSalariosFiscal[Prima dominical]),FALSE)-SMDF&lt;0,0,VLOOKUP(TabImpuestos[[#This Row],[ID]],TabDesSalariosFiscal[],COLUMN(TabDesSalariosFiscal[Prima dominical]),FALSE)-SMDF)</f>
        <v>0</v>
      </c>
      <c r="G26" s="54" cm="1">
        <f t="array" ref="G26">IF(VLOOKUP(TabImpuestos[[#This Row],[ID]],TabDesSalariosFiscal[],COLUMN(TabDesSalariosFiscal[Prima vacacional]),FALSE)-(15*SMDF)&lt;0,0,VLOOKUP(TabImpuestos[[#This Row],[ID]],TabDesSalariosFiscal[],COLUMN(TabDesSalariosFiscal[Prima vacacional]),FALSE)-(15*SMDF))</f>
        <v>0</v>
      </c>
      <c r="H26" s="54" cm="1">
        <f t="array" ref="H26">(VLOOKUP(TabImpuestos[[#This Row],[ID]],TabDesSalariosFiscal[],COLUMN(TabDesSalariosFiscal[Dia Festivo/ Descanso]),FALSE)*50%)</f>
        <v>0</v>
      </c>
      <c r="I26" s="54" cm="1">
        <f t="array" ref="I26">IFERROR(VLOOKUP(TabImpuestos[[#This Row],[Base Gravable]],TabISR[],COLUMN(TabISR[Límite inferior])),0)</f>
        <v>0</v>
      </c>
      <c r="J26" s="54">
        <f>IFERROR(TabImpuestos[[#This Row],[Base Gravable]]-TabImpuestos[[#This Row],[(-) Lim. Inferior]],0)</f>
        <v>0</v>
      </c>
      <c r="K26" s="236" cm="1">
        <f t="array" ref="K26">IFERROR(VLOOKUP(TabImpuestos[[#This Row],[Base Gravable]],TabISR[],COLUMN(TabISR[Por ciento para aplicarse sobre el excedente del límite inferior])),0)</f>
        <v>0</v>
      </c>
      <c r="L26" s="54">
        <f>IFERROR(TabImpuestos[[#This Row],[EXC. Lim. Inferior]]*TabImpuestos[[#This Row],[(*) % Lim. Inf.]],0)</f>
        <v>0</v>
      </c>
      <c r="M26" s="54" cm="1">
        <f t="array" ref="M26">IFERROR(VLOOKUP(TabImpuestos[[#This Row],[Base Gravable]],TabISR[],COLUMN(TabISR[Cuota fija])),0)</f>
        <v>0</v>
      </c>
      <c r="N26" s="54">
        <f>IFERROR(TabImpuestos[[#This Row],[Impuesto marginal]]+TabImpuestos[[#This Row],[(+) Cuota Fija]],0)</f>
        <v>0</v>
      </c>
      <c r="O26" s="54" cm="1">
        <f t="array" ref="O26">IFERROR(VLOOKUP(TabImpuestos[[#This Row],[Base Gravable]],TabSubsidio[],COLUMN(TabSubsidio[SUBSIDIO])),0)</f>
        <v>0</v>
      </c>
      <c r="P26" s="54">
        <f>IFERROR(TabImpuestos[[#This Row],[Imp. Art. 96 ISR]]-TabImpuestos[[#This Row],[(-) Subsidio para el empleo]],0)</f>
        <v>0</v>
      </c>
      <c r="Q26" s="54" cm="1">
        <f t="array" ref="Q26">IF('Desglose Salarios Fiscal'!$Q$1=1,TabImpuestos[[#This Row],[Ingreso ordinario]]+((15*VLOOKUP(TabImpuestos[[#This Row],[ID]],TabEmpleados[],COLUMN(TabEmpleados[SD Fiscal]),FALSE))-(30*SMDF)),0)</f>
        <v>-2886.6</v>
      </c>
      <c r="R26" s="54" cm="1">
        <f t="array" ref="R26">IF('Desglose Salarios Fiscal'!$Q$1=1,(VLOOKUP(TabImpuestos[[#This Row],[ID]],TabEmpleados[],COLUMN(TabEmpleados[SD Fiscal]),FALSE)*30.4)-TabImpuestos[[#This Row],[(-) Subsidio para el empleo]],0)</f>
        <v>0</v>
      </c>
      <c r="S26" s="54" cm="1">
        <f t="array" ref="S26">IFERROR(IF('Desglose Salarios Fiscal'!$Q$1=1,IFERROR((((TabImpuestos[[#This Row],[Ingreso Neto]]-(VLOOKUP(TabImpuestos[[#This Row],[Ingreso Neto]],TabISR[],COLUMN(TabISR[Límite inferior]))))*(VLOOKUP(TabImpuestos[[#This Row],[Ingreso Neto]],TabISR[],COLUMN(TabISR[Por ciento para aplicarse sobre el excedente del límite inferior]))))+(VLOOKUP(TabImpuestos[[#This Row],[Ingreso Neto]],TabISR[],COLUMN(TabISR[Cuota fija]))))-(((TabImpuestos[[#This Row],[Ingreso ordinario]]-(VLOOKUP(TabImpuestos[[#This Row],[Ingreso ordinario]],TabISR[],COLUMN(TabISR[Límite inferior]))))*(VLOOKUP(TabImpuestos[[#This Row],[Ingreso ordinario]],TabISR[],COLUMN(TabISR[Por ciento para aplicarse sobre el excedente del límite inferior]))))+(VLOOKUP(TabImpuestos[[#This Row],[Ingreso ordinario]],TabISR[],COLUMN(TabISR[Cuota fija])))),0),0),0)</f>
        <v>0</v>
      </c>
      <c r="T26" s="54" cm="1">
        <f t="array" ref="T26">((15*VLOOKUP(TabImpuestos[[#This Row],[ID]],TabEmpleados[],COLUMN(TabEmpleados[SD Fiscal]),FALSE))-(30*SMDF))/365*30.4</f>
        <v>-240.4181917808219</v>
      </c>
      <c r="U26" s="54">
        <f>TabImpuestos[[#This Row],[Ingreso ordinario]]+TabImpuestos[[#This Row],[Aguinaldo Gravado Mensual]]</f>
        <v>-240.4181917808219</v>
      </c>
      <c r="V26" s="54" t="e" cm="1">
        <f t="array" ref="V26">(((TabImpuestos[[#This Row],[Ingresos totales]]-(VLOOKUP(TabImpuestos[[#This Row],[Ingresos totales]],TabISR[],COLUMN(TabISR[Límite inferior]))))*(VLOOKUP(TabImpuestos[[#This Row],[Ingresos totales]],TabISR[],COLUMN(TabISR[Por ciento para aplicarse sobre el excedente del límite inferior]))))+(VLOOKUP(TabImpuestos[[#This Row],[Ingresos totales]],TabISR[],COLUMN(TabISR[Cuota fija]))))</f>
        <v>#N/A</v>
      </c>
      <c r="W26" s="54" t="e" cm="1">
        <f t="array" ref="W26">(((TabImpuestos[[#This Row],[Ingreso ordinario]]-(VLOOKUP(TabImpuestos[[#This Row],[Ingreso ordinario]],TabISR[],COLUMN(TabISR[Límite inferior]))))*(VLOOKUP(TabImpuestos[[#This Row],[Ingreso ordinario]],TabISR[],COLUMN(TabISR[Por ciento para aplicarse sobre el excedente del límite inferior]))))+(VLOOKUP(TabImpuestos[[#This Row],[Ingreso ordinario]],TabISR[],COLUMN(TabISR[Cuota fija]))))</f>
        <v>#N/A</v>
      </c>
      <c r="X26" s="54" t="e">
        <f>TabImpuestos[[#This Row],[ISR Por ingresos totales]]-TabImpuestos[[#This Row],[ISR por ingreso ordinario]]</f>
        <v>#N/A</v>
      </c>
      <c r="Y26" s="236" t="e">
        <f>TabImpuestos[[#This Row],[Diferencia de ISR''s]]/TabImpuestos[[#This Row],[Aguinaldo Gravado Mensual]]</f>
        <v>#N/A</v>
      </c>
      <c r="Z26" s="54" cm="1">
        <f t="array" ref="Z26">IFERROR(IF('Desglose Salarios Fiscal'!$Q$1=1,((15*VLOOKUP(TabImpuestos[[#This Row],[ID]],TabEmpleados[],COLUMN(TabEmpleados[SD Fiscal]),FALSE))-(30*SMDF))*TabImpuestos[[#This Row],[Tasa D %]],0),0)</f>
        <v>0</v>
      </c>
    </row>
    <row r="27" spans="1:26" x14ac:dyDescent="0.25">
      <c r="A27" s="31">
        <f t="shared" si="0"/>
        <v>25</v>
      </c>
      <c r="B27" s="30" t="str" cm="1">
        <f t="array" ref="B27">VLOOKUP(A27,TabEmpleados[],COLUMN(TabEmpleados[Nombre]),FALSE)</f>
        <v>DE LA CRUZ BARTOLO JOSE LUIS</v>
      </c>
      <c r="C27" s="54" cm="1">
        <f t="array" ref="C27">(VLOOKUP(TabImpuestos[[#This Row],[ID]],TabEmpleados[],COLUMN(TabEmpleados[SD Fiscal]))*VLOOKUP(TabImpuestos[[#This Row],[ID]],TabAsistencias[],COLUMN(TabAsistencias[''Total de dias laborados])))+
TabImpuestos[[#This Row],[Bono Asistencia]]+TabImpuestos[[#This Row],[Bono Puntualidad]]+TabImpuestos[[#This Row],[Prima Dominical]]+TabImpuestos[[#This Row],[Prima Vacacional]]+TabImpuestos[[#This Row],[Bono Festivo/ Descanso]]</f>
        <v>9429.1238999999987</v>
      </c>
      <c r="D27" s="54" cm="1">
        <f t="array" ref="D27">VLOOKUP(TabImpuestos[[#This Row],[ID]],TabDesSalariosFiscal[],COLUMN(TabDesSalariosFiscal[Bono Asistencia]),FALSE)</f>
        <v>882.06195000000002</v>
      </c>
      <c r="E27" s="54" cm="1">
        <f t="array" ref="E27">VLOOKUP(TabImpuestos[[#This Row],[ID]],TabDesSalariosFiscal[],COLUMN(TabDesSalariosFiscal[Bono Puntualidad]),FALSE)</f>
        <v>882.06195000000002</v>
      </c>
      <c r="F27" s="54" cm="1">
        <f t="array" ref="F27">IF(VLOOKUP(TabImpuestos[[#This Row],[ID]],TabDesSalariosFiscal[],COLUMN(TabDesSalariosFiscal[Prima dominical]),FALSE)-SMDF&lt;0,0,VLOOKUP(TabImpuestos[[#This Row],[ID]],TabDesSalariosFiscal[],COLUMN(TabDesSalariosFiscal[Prima dominical]),FALSE)-SMDF)</f>
        <v>0</v>
      </c>
      <c r="G27" s="54" cm="1">
        <f t="array" ref="G27">IF(VLOOKUP(TabImpuestos[[#This Row],[ID]],TabDesSalariosFiscal[],COLUMN(TabDesSalariosFiscal[Prima vacacional]),FALSE)-(15*SMDF)&lt;0,0,VLOOKUP(TabImpuestos[[#This Row],[ID]],TabDesSalariosFiscal[],COLUMN(TabDesSalariosFiscal[Prima vacacional]),FALSE)-(15*SMDF))</f>
        <v>0</v>
      </c>
      <c r="H27" s="54" cm="1">
        <f t="array" ref="H27">(VLOOKUP(TabImpuestos[[#This Row],[ID]],TabDesSalariosFiscal[],COLUMN(TabDesSalariosFiscal[Dia Festivo/ Descanso]),FALSE)*50%)</f>
        <v>0</v>
      </c>
      <c r="I27" s="54" cm="1">
        <f t="array" ref="I27">IFERROR(VLOOKUP(TabImpuestos[[#This Row],[Base Gravable]],TabISR[],COLUMN(TabISR[Límite inferior])),0)</f>
        <v>7641.91</v>
      </c>
      <c r="J27" s="54">
        <f>IFERROR(TabImpuestos[[#This Row],[Base Gravable]]-TabImpuestos[[#This Row],[(-) Lim. Inferior]],0)</f>
        <v>1787.2138999999988</v>
      </c>
      <c r="K27" s="236" cm="1">
        <f t="array" ref="K27">IFERROR(VLOOKUP(TabImpuestos[[#This Row],[Base Gravable]],TabISR[],COLUMN(TabISR[Por ciento para aplicarse sobre el excedente del límite inferior])),0)</f>
        <v>0.21360000000000001</v>
      </c>
      <c r="L27" s="54">
        <f>IFERROR(TabImpuestos[[#This Row],[EXC. Lim. Inferior]]*TabImpuestos[[#This Row],[(*) % Lim. Inf.]],0)</f>
        <v>381.74888903999977</v>
      </c>
      <c r="M27" s="54" cm="1">
        <f t="array" ref="M27">IFERROR(VLOOKUP(TabImpuestos[[#This Row],[Base Gravable]],TabISR[],COLUMN(TabISR[Cuota fija])),0)</f>
        <v>809.25</v>
      </c>
      <c r="N27" s="54">
        <f>IFERROR(TabImpuestos[[#This Row],[Impuesto marginal]]+TabImpuestos[[#This Row],[(+) Cuota Fija]],0)</f>
        <v>1190.9988890399998</v>
      </c>
      <c r="O27" s="54" cm="1">
        <f t="array" ref="O27">IFERROR(VLOOKUP(TabImpuestos[[#This Row],[Base Gravable]],TabSubsidio[],COLUMN(TabSubsidio[SUBSIDIO])),0)</f>
        <v>0</v>
      </c>
      <c r="P27" s="54">
        <f>IFERROR(TabImpuestos[[#This Row],[Imp. Art. 96 ISR]]-TabImpuestos[[#This Row],[(-) Subsidio para el empleo]],0)</f>
        <v>1190.9988890399998</v>
      </c>
      <c r="Q27" s="54" cm="1">
        <f t="array" ref="Q27">IF('Desglose Salarios Fiscal'!$Q$1=1,TabImpuestos[[#This Row],[Ingreso ordinario]]+((15*VLOOKUP(TabImpuestos[[#This Row],[ID]],TabEmpleados[],COLUMN(TabEmpleados[SD Fiscal]),FALSE))-(30*SMDF)),0)</f>
        <v>1880.4</v>
      </c>
      <c r="R27" s="54" cm="1">
        <f t="array" ref="R27">IF('Desglose Salarios Fiscal'!$Q$1=1,(VLOOKUP(TabImpuestos[[#This Row],[ID]],TabEmpleados[],COLUMN(TabEmpleados[SD Fiscal]),FALSE)*30.4)-TabImpuestos[[#This Row],[(-) Subsidio para el empleo]],0)</f>
        <v>3192</v>
      </c>
      <c r="S27" s="54" cm="1">
        <f t="array" ref="S27">IFERROR(IF('Desglose Salarios Fiscal'!$Q$1=1,IFERROR((((TabImpuestos[[#This Row],[Ingreso Neto]]-(VLOOKUP(TabImpuestos[[#This Row],[Ingreso Neto]],TabISR[],COLUMN(TabISR[Límite inferior]))))*(VLOOKUP(TabImpuestos[[#This Row],[Ingreso Neto]],TabISR[],COLUMN(TabISR[Por ciento para aplicarse sobre el excedente del límite inferior]))))+(VLOOKUP(TabImpuestos[[#This Row],[Ingreso Neto]],TabISR[],COLUMN(TabISR[Cuota fija]))))-(((TabImpuestos[[#This Row],[Ingreso ordinario]]-(VLOOKUP(TabImpuestos[[#This Row],[Ingreso ordinario]],TabISR[],COLUMN(TabISR[Límite inferior]))))*(VLOOKUP(TabImpuestos[[#This Row],[Ingreso ordinario]],TabISR[],COLUMN(TabISR[Por ciento para aplicarse sobre el excedente del límite inferior]))))+(VLOOKUP(TabImpuestos[[#This Row],[Ingreso ordinario]],TabISR[],COLUMN(TabISR[Cuota fija])))),0),0),0)</f>
        <v>-86.972671999999989</v>
      </c>
      <c r="T27" s="54" cm="1">
        <f t="array" ref="T27">((15*VLOOKUP(TabImpuestos[[#This Row],[ID]],TabEmpleados[],COLUMN(TabEmpleados[SD Fiscal]),FALSE))-(30*SMDF))/365*30.4</f>
        <v>-109.24010958904108</v>
      </c>
      <c r="U27" s="54">
        <f>TabImpuestos[[#This Row],[Ingreso ordinario]]+TabImpuestos[[#This Row],[Aguinaldo Gravado Mensual]]</f>
        <v>3082.7598904109591</v>
      </c>
      <c r="V27" s="54" cm="1">
        <f t="array" ref="V27">(((TabImpuestos[[#This Row],[Ingresos totales]]-(VLOOKUP(TabImpuestos[[#This Row],[Ingresos totales]],TabISR[],COLUMN(TabISR[Límite inferior]))))*(VLOOKUP(TabImpuestos[[#This Row],[Ingresos totales]],TabISR[],COLUMN(TabISR[Por ciento para aplicarse sobre el excedente del límite inferior]))))+(VLOOKUP(TabImpuestos[[#This Row],[Ingresos totales]],TabISR[],COLUMN(TabISR[Cuota fija]))))</f>
        <v>180.78759298630138</v>
      </c>
      <c r="W27" s="54" cm="1">
        <f t="array" ref="W27">(((TabImpuestos[[#This Row],[Ingreso ordinario]]-(VLOOKUP(TabImpuestos[[#This Row],[Ingreso ordinario]],TabISR[],COLUMN(TabISR[Límite inferior]))))*(VLOOKUP(TabImpuestos[[#This Row],[Ingreso ordinario]],TabISR[],COLUMN(TabISR[Por ciento para aplicarse sobre el excedente del límite inferior]))))+(VLOOKUP(TabImpuestos[[#This Row],[Ingreso ordinario]],TabISR[],COLUMN(TabISR[Cuota fija]))))</f>
        <v>190.80923199999998</v>
      </c>
      <c r="X27" s="54">
        <f>TabImpuestos[[#This Row],[ISR Por ingresos totales]]-TabImpuestos[[#This Row],[ISR por ingreso ordinario]]</f>
        <v>-10.021639013698604</v>
      </c>
      <c r="Y27" s="236">
        <f>TabImpuestos[[#This Row],[Diferencia de ISR''s]]/TabImpuestos[[#This Row],[Aguinaldo Gravado Mensual]]</f>
        <v>9.1739554742299251E-2</v>
      </c>
      <c r="Z27" s="54" cm="1">
        <f t="array" ref="Z27">IFERROR(IF('Desglose Salarios Fiscal'!$Q$1=1,((15*VLOOKUP(TabImpuestos[[#This Row],[ID]],TabEmpleados[],COLUMN(TabEmpleados[SD Fiscal]),FALSE))-(30*SMDF))*TabImpuestos[[#This Row],[Tasa D %]],0),0)</f>
        <v>-120.3255999999997</v>
      </c>
    </row>
    <row r="28" spans="1:26" x14ac:dyDescent="0.25">
      <c r="A28">
        <f t="shared" si="0"/>
        <v>26</v>
      </c>
      <c r="B28" t="str" cm="1">
        <f t="array" ref="B28">VLOOKUP(A28,TabEmpleados[],COLUMN(TabEmpleados[Nombre]),FALSE)</f>
        <v>GARCIA MARTINEZ URIEL ALEJANDRO</v>
      </c>
      <c r="C28" s="54" cm="1">
        <f t="array" ref="C28">(VLOOKUP(TabImpuestos[[#This Row],[ID]],TabEmpleados[],COLUMN(TabEmpleados[SD Fiscal]))*VLOOKUP(TabImpuestos[[#This Row],[ID]],TabAsistencias[],COLUMN(TabAsistencias[''Total de dias laborados])))+
TabImpuestos[[#This Row],[Bono Asistencia]]+TabImpuestos[[#This Row],[Bono Puntualidad]]+TabImpuestos[[#This Row],[Prima Dominical]]+TabImpuestos[[#This Row],[Prima Vacacional]]+TabImpuestos[[#This Row],[Bono Festivo/ Descanso]]</f>
        <v>9429.1238999999987</v>
      </c>
      <c r="D28" s="54" cm="1">
        <f t="array" ref="D28">VLOOKUP(TabImpuestos[[#This Row],[ID]],TabDesSalariosFiscal[],COLUMN(TabDesSalariosFiscal[Bono Asistencia]),FALSE)</f>
        <v>882.06195000000002</v>
      </c>
      <c r="E28" s="54" cm="1">
        <f t="array" ref="E28">VLOOKUP(TabImpuestos[[#This Row],[ID]],TabDesSalariosFiscal[],COLUMN(TabDesSalariosFiscal[Bono Puntualidad]),FALSE)</f>
        <v>882.06195000000002</v>
      </c>
      <c r="F28" s="54" cm="1">
        <f t="array" ref="F28">IF(VLOOKUP(TabImpuestos[[#This Row],[ID]],TabDesSalariosFiscal[],COLUMN(TabDesSalariosFiscal[Prima dominical]),FALSE)-SMDF&lt;0,0,VLOOKUP(TabImpuestos[[#This Row],[ID]],TabDesSalariosFiscal[],COLUMN(TabDesSalariosFiscal[Prima dominical]),FALSE)-SMDF)</f>
        <v>0</v>
      </c>
      <c r="G28" s="54" cm="1">
        <f t="array" ref="G28">IF(VLOOKUP(TabImpuestos[[#This Row],[ID]],TabDesSalariosFiscal[],COLUMN(TabDesSalariosFiscal[Prima vacacional]),FALSE)-(15*SMDF)&lt;0,0,VLOOKUP(TabImpuestos[[#This Row],[ID]],TabDesSalariosFiscal[],COLUMN(TabDesSalariosFiscal[Prima vacacional]),FALSE)-(15*SMDF))</f>
        <v>0</v>
      </c>
      <c r="H28" s="54" cm="1">
        <f t="array" ref="H28">(VLOOKUP(TabImpuestos[[#This Row],[ID]],TabDesSalariosFiscal[],COLUMN(TabDesSalariosFiscal[Dia Festivo/ Descanso]),FALSE)*50%)</f>
        <v>0</v>
      </c>
      <c r="I28" s="54" cm="1">
        <f t="array" ref="I28">IFERROR(VLOOKUP(TabImpuestos[[#This Row],[Base Gravable]],TabISR[],COLUMN(TabISR[Límite inferior])),0)</f>
        <v>7641.91</v>
      </c>
      <c r="J28" s="54">
        <f>IFERROR(TabImpuestos[[#This Row],[Base Gravable]]-TabImpuestos[[#This Row],[(-) Lim. Inferior]],0)</f>
        <v>1787.2138999999988</v>
      </c>
      <c r="K28" s="236" cm="1">
        <f t="array" ref="K28">IFERROR(VLOOKUP(TabImpuestos[[#This Row],[Base Gravable]],TabISR[],COLUMN(TabISR[Por ciento para aplicarse sobre el excedente del límite inferior])),0)</f>
        <v>0.21360000000000001</v>
      </c>
      <c r="L28" s="54">
        <f>IFERROR(TabImpuestos[[#This Row],[EXC. Lim. Inferior]]*TabImpuestos[[#This Row],[(*) % Lim. Inf.]],0)</f>
        <v>381.74888903999977</v>
      </c>
      <c r="M28" s="54" cm="1">
        <f t="array" ref="M28">IFERROR(VLOOKUP(TabImpuestos[[#This Row],[Base Gravable]],TabISR[],COLUMN(TabISR[Cuota fija])),0)</f>
        <v>809.25</v>
      </c>
      <c r="N28" s="54">
        <f>IFERROR(TabImpuestos[[#This Row],[Impuesto marginal]]+TabImpuestos[[#This Row],[(+) Cuota Fija]],0)</f>
        <v>1190.9988890399998</v>
      </c>
      <c r="O28" s="54" cm="1">
        <f t="array" ref="O28">IFERROR(VLOOKUP(TabImpuestos[[#This Row],[Base Gravable]],TabSubsidio[],COLUMN(TabSubsidio[SUBSIDIO])),0)</f>
        <v>0</v>
      </c>
      <c r="P28" s="54">
        <f>IFERROR(TabImpuestos[[#This Row],[Imp. Art. 96 ISR]]-TabImpuestos[[#This Row],[(-) Subsidio para el empleo]],0)</f>
        <v>1190.9988890399998</v>
      </c>
      <c r="Q28" s="54" cm="1">
        <f t="array" ref="Q28">IF('Desglose Salarios Fiscal'!$Q$1=1,TabImpuestos[[#This Row],[Ingreso ordinario]]+((15*VLOOKUP(TabImpuestos[[#This Row],[ID]],TabEmpleados[],COLUMN(TabEmpleados[SD Fiscal]),FALSE))-(30*SMDF)),0)</f>
        <v>1880.4</v>
      </c>
      <c r="R28" s="54" cm="1">
        <f t="array" ref="R28">IF('Desglose Salarios Fiscal'!$Q$1=1,(VLOOKUP(TabImpuestos[[#This Row],[ID]],TabEmpleados[],COLUMN(TabEmpleados[SD Fiscal]),FALSE)*30.4)-TabImpuestos[[#This Row],[(-) Subsidio para el empleo]],0)</f>
        <v>3192</v>
      </c>
      <c r="S28" s="54" cm="1">
        <f t="array" ref="S28">IFERROR(IF('Desglose Salarios Fiscal'!$Q$1=1,IFERROR((((TabImpuestos[[#This Row],[Ingreso Neto]]-(VLOOKUP(TabImpuestos[[#This Row],[Ingreso Neto]],TabISR[],COLUMN(TabISR[Límite inferior]))))*(VLOOKUP(TabImpuestos[[#This Row],[Ingreso Neto]],TabISR[],COLUMN(TabISR[Por ciento para aplicarse sobre el excedente del límite inferior]))))+(VLOOKUP(TabImpuestos[[#This Row],[Ingreso Neto]],TabISR[],COLUMN(TabISR[Cuota fija]))))-(((TabImpuestos[[#This Row],[Ingreso ordinario]]-(VLOOKUP(TabImpuestos[[#This Row],[Ingreso ordinario]],TabISR[],COLUMN(TabISR[Límite inferior]))))*(VLOOKUP(TabImpuestos[[#This Row],[Ingreso ordinario]],TabISR[],COLUMN(TabISR[Por ciento para aplicarse sobre el excedente del límite inferior]))))+(VLOOKUP(TabImpuestos[[#This Row],[Ingreso ordinario]],TabISR[],COLUMN(TabISR[Cuota fija])))),0),0),0)</f>
        <v>-86.972671999999989</v>
      </c>
      <c r="T28" s="54" cm="1">
        <f t="array" ref="T28">((15*VLOOKUP(TabImpuestos[[#This Row],[ID]],TabEmpleados[],COLUMN(TabEmpleados[SD Fiscal]),FALSE))-(30*SMDF))/365*30.4</f>
        <v>-109.24010958904108</v>
      </c>
      <c r="U28" s="54">
        <f>TabImpuestos[[#This Row],[Ingreso ordinario]]+TabImpuestos[[#This Row],[Aguinaldo Gravado Mensual]]</f>
        <v>3082.7598904109591</v>
      </c>
      <c r="V28" s="54" cm="1">
        <f t="array" ref="V28">(((TabImpuestos[[#This Row],[Ingresos totales]]-(VLOOKUP(TabImpuestos[[#This Row],[Ingresos totales]],TabISR[],COLUMN(TabISR[Límite inferior]))))*(VLOOKUP(TabImpuestos[[#This Row],[Ingresos totales]],TabISR[],COLUMN(TabISR[Por ciento para aplicarse sobre el excedente del límite inferior]))))+(VLOOKUP(TabImpuestos[[#This Row],[Ingresos totales]],TabISR[],COLUMN(TabISR[Cuota fija]))))</f>
        <v>180.78759298630138</v>
      </c>
      <c r="W28" s="54" cm="1">
        <f t="array" ref="W28">(((TabImpuestos[[#This Row],[Ingreso ordinario]]-(VLOOKUP(TabImpuestos[[#This Row],[Ingreso ordinario]],TabISR[],COLUMN(TabISR[Límite inferior]))))*(VLOOKUP(TabImpuestos[[#This Row],[Ingreso ordinario]],TabISR[],COLUMN(TabISR[Por ciento para aplicarse sobre el excedente del límite inferior]))))+(VLOOKUP(TabImpuestos[[#This Row],[Ingreso ordinario]],TabISR[],COLUMN(TabISR[Cuota fija]))))</f>
        <v>190.80923199999998</v>
      </c>
      <c r="X28" s="54">
        <f>TabImpuestos[[#This Row],[ISR Por ingresos totales]]-TabImpuestos[[#This Row],[ISR por ingreso ordinario]]</f>
        <v>-10.021639013698604</v>
      </c>
      <c r="Y28" s="236">
        <f>TabImpuestos[[#This Row],[Diferencia de ISR''s]]/TabImpuestos[[#This Row],[Aguinaldo Gravado Mensual]]</f>
        <v>9.1739554742299251E-2</v>
      </c>
      <c r="Z28" s="54" cm="1">
        <f t="array" ref="Z28">IFERROR(IF('Desglose Salarios Fiscal'!$Q$1=1,((15*VLOOKUP(TabImpuestos[[#This Row],[ID]],TabEmpleados[],COLUMN(TabEmpleados[SD Fiscal]),FALSE))-(30*SMDF))*TabImpuestos[[#This Row],[Tasa D %]],0),0)</f>
        <v>-120.3255999999997</v>
      </c>
    </row>
    <row r="29" spans="1:26" x14ac:dyDescent="0.25">
      <c r="A29" s="31">
        <f t="shared" si="0"/>
        <v>27</v>
      </c>
      <c r="B29" s="30" t="str" cm="1">
        <f t="array" ref="B29">VLOOKUP(A29,TabEmpleados[],COLUMN(TabEmpleados[Nombre]),FALSE)</f>
        <v>GUTIERREZ LAZARO PABLO GABRIEL</v>
      </c>
      <c r="C29" s="54" cm="1">
        <f t="array" ref="C29">(VLOOKUP(TabImpuestos[[#This Row],[ID]],TabEmpleados[],COLUMN(TabEmpleados[SD Fiscal]))*VLOOKUP(TabImpuestos[[#This Row],[ID]],TabAsistencias[],COLUMN(TabAsistencias[''Total de dias laborados])))+
TabImpuestos[[#This Row],[Bono Asistencia]]+TabImpuestos[[#This Row],[Bono Puntualidad]]+TabImpuestos[[#This Row],[Prima Dominical]]+TabImpuestos[[#This Row],[Prima Vacacional]]+TabImpuestos[[#This Row],[Bono Festivo/ Descanso]]</f>
        <v>8082.1062000000002</v>
      </c>
      <c r="D29" s="54" cm="1">
        <f t="array" ref="D29">VLOOKUP(TabImpuestos[[#This Row],[ID]],TabDesSalariosFiscal[],COLUMN(TabDesSalariosFiscal[Bono Asistencia]),FALSE)</f>
        <v>756.05310000000009</v>
      </c>
      <c r="E29" s="54" cm="1">
        <f t="array" ref="E29">VLOOKUP(TabImpuestos[[#This Row],[ID]],TabDesSalariosFiscal[],COLUMN(TabDesSalariosFiscal[Bono Puntualidad]),FALSE)</f>
        <v>756.05310000000009</v>
      </c>
      <c r="F29" s="54" cm="1">
        <f t="array" ref="F29">IF(VLOOKUP(TabImpuestos[[#This Row],[ID]],TabDesSalariosFiscal[],COLUMN(TabDesSalariosFiscal[Prima dominical]),FALSE)-SMDF&lt;0,0,VLOOKUP(TabImpuestos[[#This Row],[ID]],TabDesSalariosFiscal[],COLUMN(TabDesSalariosFiscal[Prima dominical]),FALSE)-SMDF)</f>
        <v>0</v>
      </c>
      <c r="G29" s="54" cm="1">
        <f t="array" ref="G29">IF(VLOOKUP(TabImpuestos[[#This Row],[ID]],TabDesSalariosFiscal[],COLUMN(TabDesSalariosFiscal[Prima vacacional]),FALSE)-(15*SMDF)&lt;0,0,VLOOKUP(TabImpuestos[[#This Row],[ID]],TabDesSalariosFiscal[],COLUMN(TabDesSalariosFiscal[Prima vacacional]),FALSE)-(15*SMDF))</f>
        <v>0</v>
      </c>
      <c r="H29" s="54" cm="1">
        <f t="array" ref="H29">(VLOOKUP(TabImpuestos[[#This Row],[ID]],TabDesSalariosFiscal[],COLUMN(TabDesSalariosFiscal[Dia Festivo/ Descanso]),FALSE)*50%)</f>
        <v>0</v>
      </c>
      <c r="I29" s="54" cm="1">
        <f t="array" ref="I29">IFERROR(VLOOKUP(TabImpuestos[[#This Row],[Base Gravable]],TabISR[],COLUMN(TabISR[Límite inferior])),0)</f>
        <v>7641.91</v>
      </c>
      <c r="J29" s="54">
        <f>IFERROR(TabImpuestos[[#This Row],[Base Gravable]]-TabImpuestos[[#This Row],[(-) Lim. Inferior]],0)</f>
        <v>440.19620000000032</v>
      </c>
      <c r="K29" s="236" cm="1">
        <f t="array" ref="K29">IFERROR(VLOOKUP(TabImpuestos[[#This Row],[Base Gravable]],TabISR[],COLUMN(TabISR[Por ciento para aplicarse sobre el excedente del límite inferior])),0)</f>
        <v>0.21360000000000001</v>
      </c>
      <c r="L29" s="54">
        <f>IFERROR(TabImpuestos[[#This Row],[EXC. Lim. Inferior]]*TabImpuestos[[#This Row],[(*) % Lim. Inf.]],0)</f>
        <v>94.02590832000007</v>
      </c>
      <c r="M29" s="54" cm="1">
        <f t="array" ref="M29">IFERROR(VLOOKUP(TabImpuestos[[#This Row],[Base Gravable]],TabISR[],COLUMN(TabISR[Cuota fija])),0)</f>
        <v>809.25</v>
      </c>
      <c r="N29" s="54">
        <f>IFERROR(TabImpuestos[[#This Row],[Impuesto marginal]]+TabImpuestos[[#This Row],[(+) Cuota Fija]],0)</f>
        <v>903.2759083200001</v>
      </c>
      <c r="O29" s="54" cm="1">
        <f t="array" ref="O29">IFERROR(VLOOKUP(TabImpuestos[[#This Row],[Base Gravable]],TabSubsidio[],COLUMN(TabSubsidio[SUBSIDIO])),0)</f>
        <v>0</v>
      </c>
      <c r="P29" s="54">
        <f>IFERROR(TabImpuestos[[#This Row],[Imp. Art. 96 ISR]]-TabImpuestos[[#This Row],[(-) Subsidio para el empleo]],0)</f>
        <v>903.2759083200001</v>
      </c>
      <c r="Q29" s="54" cm="1">
        <f t="array" ref="Q29">IF('Desglose Salarios Fiscal'!$Q$1=1,TabImpuestos[[#This Row],[Ingreso ordinario]]+((15*VLOOKUP(TabImpuestos[[#This Row],[ID]],TabEmpleados[],COLUMN(TabEmpleados[SD Fiscal]),FALSE))-(30*SMDF)),0)</f>
        <v>1199.4000000000001</v>
      </c>
      <c r="R29" s="54" cm="1">
        <f t="array" ref="R29">IF('Desglose Salarios Fiscal'!$Q$1=1,(VLOOKUP(TabImpuestos[[#This Row],[ID]],TabEmpleados[],COLUMN(TabEmpleados[SD Fiscal]),FALSE)*30.4)-TabImpuestos[[#This Row],[(-) Subsidio para el empleo]],0)</f>
        <v>2736</v>
      </c>
      <c r="S29" s="54" cm="1">
        <f t="array" ref="S29">IFERROR(IF('Desglose Salarios Fiscal'!$Q$1=1,IFERROR((((TabImpuestos[[#This Row],[Ingreso Neto]]-(VLOOKUP(TabImpuestos[[#This Row],[Ingreso Neto]],TabISR[],COLUMN(TabISR[Límite inferior]))))*(VLOOKUP(TabImpuestos[[#This Row],[Ingreso Neto]],TabISR[],COLUMN(TabISR[Por ciento para aplicarse sobre el excedente del límite inferior]))))+(VLOOKUP(TabImpuestos[[#This Row],[Ingreso Neto]],TabISR[],COLUMN(TabISR[Cuota fija]))))-(((TabImpuestos[[#This Row],[Ingreso ordinario]]-(VLOOKUP(TabImpuestos[[#This Row],[Ingreso ordinario]],TabISR[],COLUMN(TabISR[Límite inferior]))))*(VLOOKUP(TabImpuestos[[#This Row],[Ingreso ordinario]],TabISR[],COLUMN(TabISR[Por ciento para aplicarse sobre el excedente del límite inferior]))))+(VLOOKUP(TabImpuestos[[#This Row],[Ingreso ordinario]],TabISR[],COLUMN(TabISR[Cuota fija])))),0),0),0)</f>
        <v>-98.342400000000012</v>
      </c>
      <c r="T29" s="54" cm="1">
        <f t="array" ref="T29">((15*VLOOKUP(TabImpuestos[[#This Row],[ID]],TabEmpleados[],COLUMN(TabEmpleados[SD Fiscal]),FALSE))-(30*SMDF))/365*30.4</f>
        <v>-127.97983561643835</v>
      </c>
      <c r="U29" s="54">
        <f>TabImpuestos[[#This Row],[Ingreso ordinario]]+TabImpuestos[[#This Row],[Aguinaldo Gravado Mensual]]</f>
        <v>2608.0201643835617</v>
      </c>
      <c r="V29" s="54" cm="1">
        <f t="array" ref="V29">(((TabImpuestos[[#This Row],[Ingresos totales]]-(VLOOKUP(TabImpuestos[[#This Row],[Ingresos totales]],TabISR[],COLUMN(TabISR[Límite inferior]))))*(VLOOKUP(TabImpuestos[[#This Row],[Ingresos totales]],TabISR[],COLUMN(TabISR[Por ciento para aplicarse sobre el excedente del límite inferior]))))+(VLOOKUP(TabImpuestos[[#This Row],[Ingresos totales]],TabISR[],COLUMN(TabISR[Cuota fija]))))</f>
        <v>150.40425052054795</v>
      </c>
      <c r="W29" s="54" cm="1">
        <f t="array" ref="W29">(((TabImpuestos[[#This Row],[Ingreso ordinario]]-(VLOOKUP(TabImpuestos[[#This Row],[Ingreso ordinario]],TabISR[],COLUMN(TabISR[Límite inferior]))))*(VLOOKUP(TabImpuestos[[#This Row],[Ingreso ordinario]],TabISR[],COLUMN(TabISR[Por ciento para aplicarse sobre el excedente del límite inferior]))))+(VLOOKUP(TabImpuestos[[#This Row],[Ingreso ordinario]],TabISR[],COLUMN(TabISR[Cuota fija]))))</f>
        <v>158.59496000000001</v>
      </c>
      <c r="X29" s="54">
        <f>TabImpuestos[[#This Row],[ISR Por ingresos totales]]-TabImpuestos[[#This Row],[ISR por ingreso ordinario]]</f>
        <v>-8.1907094794520674</v>
      </c>
      <c r="Y29" s="236">
        <f>TabImpuestos[[#This Row],[Diferencia de ISR''s]]/TabImpuestos[[#This Row],[Aguinaldo Gravado Mensual]]</f>
        <v>6.4000000000000098E-2</v>
      </c>
      <c r="Z29" s="54" cm="1">
        <f t="array" ref="Z29">IFERROR(IF('Desglose Salarios Fiscal'!$Q$1=1,((15*VLOOKUP(TabImpuestos[[#This Row],[ID]],TabEmpleados[],COLUMN(TabEmpleados[SD Fiscal]),FALSE))-(30*SMDF))*TabImpuestos[[#This Row],[Tasa D %]],0),0)</f>
        <v>-98.34240000000014</v>
      </c>
    </row>
    <row r="30" spans="1:26" x14ac:dyDescent="0.25">
      <c r="A30">
        <f t="shared" si="0"/>
        <v>28</v>
      </c>
      <c r="B30" t="str" cm="1">
        <f t="array" ref="B30">VLOOKUP(A30,TabEmpleados[],COLUMN(TabEmpleados[Nombre]),FALSE)</f>
        <v>AGUILAR ROJAS OSCAR</v>
      </c>
      <c r="C30" s="54" cm="1">
        <f t="array" ref="C30">(VLOOKUP(TabImpuestos[[#This Row],[ID]],TabEmpleados[],COLUMN(TabEmpleados[SD Fiscal]))*VLOOKUP(TabImpuestos[[#This Row],[ID]],TabAsistencias[],COLUMN(TabAsistencias[''Total de dias laborados])))+
TabImpuestos[[#This Row],[Bono Asistencia]]+TabImpuestos[[#This Row],[Bono Puntualidad]]+TabImpuestos[[#This Row],[Prima Dominical]]+TabImpuestos[[#This Row],[Prima Vacacional]]+TabImpuestos[[#This Row],[Bono Festivo/ Descanso]]</f>
        <v>8082.1062000000002</v>
      </c>
      <c r="D30" s="54" cm="1">
        <f t="array" ref="D30">VLOOKUP(TabImpuestos[[#This Row],[ID]],TabDesSalariosFiscal[],COLUMN(TabDesSalariosFiscal[Bono Asistencia]),FALSE)</f>
        <v>756.05310000000009</v>
      </c>
      <c r="E30" s="54" cm="1">
        <f t="array" ref="E30">VLOOKUP(TabImpuestos[[#This Row],[ID]],TabDesSalariosFiscal[],COLUMN(TabDesSalariosFiscal[Bono Puntualidad]),FALSE)</f>
        <v>756.05310000000009</v>
      </c>
      <c r="F30" s="54" cm="1">
        <f t="array" ref="F30">IF(VLOOKUP(TabImpuestos[[#This Row],[ID]],TabDesSalariosFiscal[],COLUMN(TabDesSalariosFiscal[Prima dominical]),FALSE)-SMDF&lt;0,0,VLOOKUP(TabImpuestos[[#This Row],[ID]],TabDesSalariosFiscal[],COLUMN(TabDesSalariosFiscal[Prima dominical]),FALSE)-SMDF)</f>
        <v>0</v>
      </c>
      <c r="G30" s="54" cm="1">
        <f t="array" ref="G30">IF(VLOOKUP(TabImpuestos[[#This Row],[ID]],TabDesSalariosFiscal[],COLUMN(TabDesSalariosFiscal[Prima vacacional]),FALSE)-(15*SMDF)&lt;0,0,VLOOKUP(TabImpuestos[[#This Row],[ID]],TabDesSalariosFiscal[],COLUMN(TabDesSalariosFiscal[Prima vacacional]),FALSE)-(15*SMDF))</f>
        <v>0</v>
      </c>
      <c r="H30" s="54" cm="1">
        <f t="array" ref="H30">(VLOOKUP(TabImpuestos[[#This Row],[ID]],TabDesSalariosFiscal[],COLUMN(TabDesSalariosFiscal[Dia Festivo/ Descanso]),FALSE)*50%)</f>
        <v>0</v>
      </c>
      <c r="I30" s="54" cm="1">
        <f t="array" ref="I30">IFERROR(VLOOKUP(TabImpuestos[[#This Row],[Base Gravable]],TabISR[],COLUMN(TabISR[Límite inferior])),0)</f>
        <v>7641.91</v>
      </c>
      <c r="J30" s="54">
        <f>IFERROR(TabImpuestos[[#This Row],[Base Gravable]]-TabImpuestos[[#This Row],[(-) Lim. Inferior]],0)</f>
        <v>440.19620000000032</v>
      </c>
      <c r="K30" s="236" cm="1">
        <f t="array" ref="K30">IFERROR(VLOOKUP(TabImpuestos[[#This Row],[Base Gravable]],TabISR[],COLUMN(TabISR[Por ciento para aplicarse sobre el excedente del límite inferior])),0)</f>
        <v>0.21360000000000001</v>
      </c>
      <c r="L30" s="54">
        <f>IFERROR(TabImpuestos[[#This Row],[EXC. Lim. Inferior]]*TabImpuestos[[#This Row],[(*) % Lim. Inf.]],0)</f>
        <v>94.02590832000007</v>
      </c>
      <c r="M30" s="54" cm="1">
        <f t="array" ref="M30">IFERROR(VLOOKUP(TabImpuestos[[#This Row],[Base Gravable]],TabISR[],COLUMN(TabISR[Cuota fija])),0)</f>
        <v>809.25</v>
      </c>
      <c r="N30" s="54">
        <f>IFERROR(TabImpuestos[[#This Row],[Impuesto marginal]]+TabImpuestos[[#This Row],[(+) Cuota Fija]],0)</f>
        <v>903.2759083200001</v>
      </c>
      <c r="O30" s="54" cm="1">
        <f t="array" ref="O30">IFERROR(VLOOKUP(TabImpuestos[[#This Row],[Base Gravable]],TabSubsidio[],COLUMN(TabSubsidio[SUBSIDIO])),0)</f>
        <v>0</v>
      </c>
      <c r="P30" s="54">
        <f>IFERROR(TabImpuestos[[#This Row],[Imp. Art. 96 ISR]]-TabImpuestos[[#This Row],[(-) Subsidio para el empleo]],0)</f>
        <v>903.2759083200001</v>
      </c>
      <c r="Q30" s="54" cm="1">
        <f t="array" ref="Q30">IF('Desglose Salarios Fiscal'!$Q$1=1,TabImpuestos[[#This Row],[Ingreso ordinario]]+((15*VLOOKUP(TabImpuestos[[#This Row],[ID]],TabEmpleados[],COLUMN(TabEmpleados[SD Fiscal]),FALSE))-(30*SMDF)),0)</f>
        <v>1199.4000000000001</v>
      </c>
      <c r="R30" s="54" cm="1">
        <f t="array" ref="R30">IF('Desglose Salarios Fiscal'!$Q$1=1,(VLOOKUP(TabImpuestos[[#This Row],[ID]],TabEmpleados[],COLUMN(TabEmpleados[SD Fiscal]),FALSE)*30.4)-TabImpuestos[[#This Row],[(-) Subsidio para el empleo]],0)</f>
        <v>2736</v>
      </c>
      <c r="S30" s="54" cm="1">
        <f t="array" ref="S30">IFERROR(IF('Desglose Salarios Fiscal'!$Q$1=1,IFERROR((((TabImpuestos[[#This Row],[Ingreso Neto]]-(VLOOKUP(TabImpuestos[[#This Row],[Ingreso Neto]],TabISR[],COLUMN(TabISR[Límite inferior]))))*(VLOOKUP(TabImpuestos[[#This Row],[Ingreso Neto]],TabISR[],COLUMN(TabISR[Por ciento para aplicarse sobre el excedente del límite inferior]))))+(VLOOKUP(TabImpuestos[[#This Row],[Ingreso Neto]],TabISR[],COLUMN(TabISR[Cuota fija]))))-(((TabImpuestos[[#This Row],[Ingreso ordinario]]-(VLOOKUP(TabImpuestos[[#This Row],[Ingreso ordinario]],TabISR[],COLUMN(TabISR[Límite inferior]))))*(VLOOKUP(TabImpuestos[[#This Row],[Ingreso ordinario]],TabISR[],COLUMN(TabISR[Por ciento para aplicarse sobre el excedente del límite inferior]))))+(VLOOKUP(TabImpuestos[[#This Row],[Ingreso ordinario]],TabISR[],COLUMN(TabISR[Cuota fija])))),0),0),0)</f>
        <v>-98.342400000000012</v>
      </c>
      <c r="T30" s="54" cm="1">
        <f t="array" ref="T30">((15*VLOOKUP(TabImpuestos[[#This Row],[ID]],TabEmpleados[],COLUMN(TabEmpleados[SD Fiscal]),FALSE))-(30*SMDF))/365*30.4</f>
        <v>-127.97983561643835</v>
      </c>
      <c r="U30" s="54">
        <f>TabImpuestos[[#This Row],[Ingreso ordinario]]+TabImpuestos[[#This Row],[Aguinaldo Gravado Mensual]]</f>
        <v>2608.0201643835617</v>
      </c>
      <c r="V30" s="54" cm="1">
        <f t="array" ref="V30">(((TabImpuestos[[#This Row],[Ingresos totales]]-(VLOOKUP(TabImpuestos[[#This Row],[Ingresos totales]],TabISR[],COLUMN(TabISR[Límite inferior]))))*(VLOOKUP(TabImpuestos[[#This Row],[Ingresos totales]],TabISR[],COLUMN(TabISR[Por ciento para aplicarse sobre el excedente del límite inferior]))))+(VLOOKUP(TabImpuestos[[#This Row],[Ingresos totales]],TabISR[],COLUMN(TabISR[Cuota fija]))))</f>
        <v>150.40425052054795</v>
      </c>
      <c r="W30" s="54" cm="1">
        <f t="array" ref="W30">(((TabImpuestos[[#This Row],[Ingreso ordinario]]-(VLOOKUP(TabImpuestos[[#This Row],[Ingreso ordinario]],TabISR[],COLUMN(TabISR[Límite inferior]))))*(VLOOKUP(TabImpuestos[[#This Row],[Ingreso ordinario]],TabISR[],COLUMN(TabISR[Por ciento para aplicarse sobre el excedente del límite inferior]))))+(VLOOKUP(TabImpuestos[[#This Row],[Ingreso ordinario]],TabISR[],COLUMN(TabISR[Cuota fija]))))</f>
        <v>158.59496000000001</v>
      </c>
      <c r="X30" s="54">
        <f>TabImpuestos[[#This Row],[ISR Por ingresos totales]]-TabImpuestos[[#This Row],[ISR por ingreso ordinario]]</f>
        <v>-8.1907094794520674</v>
      </c>
      <c r="Y30" s="236">
        <f>TabImpuestos[[#This Row],[Diferencia de ISR''s]]/TabImpuestos[[#This Row],[Aguinaldo Gravado Mensual]]</f>
        <v>6.4000000000000098E-2</v>
      </c>
      <c r="Z30" s="54" cm="1">
        <f t="array" ref="Z30">IFERROR(IF('Desglose Salarios Fiscal'!$Q$1=1,((15*VLOOKUP(TabImpuestos[[#This Row],[ID]],TabEmpleados[],COLUMN(TabEmpleados[SD Fiscal]),FALSE))-(30*SMDF))*TabImpuestos[[#This Row],[Tasa D %]],0),0)</f>
        <v>-98.34240000000014</v>
      </c>
    </row>
    <row r="31" spans="1:26" x14ac:dyDescent="0.25">
      <c r="A31" s="31">
        <f t="shared" si="0"/>
        <v>29</v>
      </c>
      <c r="B31" s="30" t="str" cm="1">
        <f t="array" ref="B31">VLOOKUP(A31,TabEmpleados[],COLUMN(TabEmpleados[Nombre]),FALSE)</f>
        <v>TOLENTINO MEJIA CYNTHIA NINET</v>
      </c>
      <c r="C31" s="54" cm="1">
        <f t="array" ref="C31">(VLOOKUP(TabImpuestos[[#This Row],[ID]],TabEmpleados[],COLUMN(TabEmpleados[SD Fiscal]))*VLOOKUP(TabImpuestos[[#This Row],[ID]],TabAsistencias[],COLUMN(TabAsistencias[''Total de dias laborados])))+
TabImpuestos[[#This Row],[Bono Asistencia]]+TabImpuestos[[#This Row],[Bono Puntualidad]]+TabImpuestos[[#This Row],[Prima Dominical]]+TabImpuestos[[#This Row],[Prima Vacacional]]+TabImpuestos[[#This Row],[Bono Festivo/ Descanso]]</f>
        <v>8620.9132800000007</v>
      </c>
      <c r="D31" s="54" cm="1">
        <f t="array" ref="D31">VLOOKUP(TabImpuestos[[#This Row],[ID]],TabDesSalariosFiscal[],COLUMN(TabDesSalariosFiscal[Bono Asistencia]),FALSE)</f>
        <v>806.45664000000011</v>
      </c>
      <c r="E31" s="54" cm="1">
        <f t="array" ref="E31">VLOOKUP(TabImpuestos[[#This Row],[ID]],TabDesSalariosFiscal[],COLUMN(TabDesSalariosFiscal[Bono Puntualidad]),FALSE)</f>
        <v>806.45664000000011</v>
      </c>
      <c r="F31" s="54" cm="1">
        <f t="array" ref="F31">IF(VLOOKUP(TabImpuestos[[#This Row],[ID]],TabDesSalariosFiscal[],COLUMN(TabDesSalariosFiscal[Prima dominical]),FALSE)-SMDF&lt;0,0,VLOOKUP(TabImpuestos[[#This Row],[ID]],TabDesSalariosFiscal[],COLUMN(TabDesSalariosFiscal[Prima dominical]),FALSE)-SMDF)</f>
        <v>0</v>
      </c>
      <c r="G31" s="54" cm="1">
        <f t="array" ref="G31">IF(VLOOKUP(TabImpuestos[[#This Row],[ID]],TabDesSalariosFiscal[],COLUMN(TabDesSalariosFiscal[Prima vacacional]),FALSE)-(15*SMDF)&lt;0,0,VLOOKUP(TabImpuestos[[#This Row],[ID]],TabDesSalariosFiscal[],COLUMN(TabDesSalariosFiscal[Prima vacacional]),FALSE)-(15*SMDF))</f>
        <v>0</v>
      </c>
      <c r="H31" s="54" cm="1">
        <f t="array" ref="H31">(VLOOKUP(TabImpuestos[[#This Row],[ID]],TabDesSalariosFiscal[],COLUMN(TabDesSalariosFiscal[Dia Festivo/ Descanso]),FALSE)*50%)</f>
        <v>0</v>
      </c>
      <c r="I31" s="54" cm="1">
        <f t="array" ref="I31">IFERROR(VLOOKUP(TabImpuestos[[#This Row],[Base Gravable]],TabISR[],COLUMN(TabISR[Límite inferior])),0)</f>
        <v>7641.91</v>
      </c>
      <c r="J31" s="54">
        <f>IFERROR(TabImpuestos[[#This Row],[Base Gravable]]-TabImpuestos[[#This Row],[(-) Lim. Inferior]],0)</f>
        <v>979.00328000000081</v>
      </c>
      <c r="K31" s="236" cm="1">
        <f t="array" ref="K31">IFERROR(VLOOKUP(TabImpuestos[[#This Row],[Base Gravable]],TabISR[],COLUMN(TabISR[Por ciento para aplicarse sobre el excedente del límite inferior])),0)</f>
        <v>0.21360000000000001</v>
      </c>
      <c r="L31" s="54">
        <f>IFERROR(TabImpuestos[[#This Row],[EXC. Lim. Inferior]]*TabImpuestos[[#This Row],[(*) % Lim. Inf.]],0)</f>
        <v>209.11510060800018</v>
      </c>
      <c r="M31" s="54" cm="1">
        <f t="array" ref="M31">IFERROR(VLOOKUP(TabImpuestos[[#This Row],[Base Gravable]],TabISR[],COLUMN(TabISR[Cuota fija])),0)</f>
        <v>809.25</v>
      </c>
      <c r="N31" s="54">
        <f>IFERROR(TabImpuestos[[#This Row],[Impuesto marginal]]+TabImpuestos[[#This Row],[(+) Cuota Fija]],0)</f>
        <v>1018.3651006080001</v>
      </c>
      <c r="O31" s="54" cm="1">
        <f t="array" ref="O31">IFERROR(VLOOKUP(TabImpuestos[[#This Row],[Base Gravable]],TabSubsidio[],COLUMN(TabSubsidio[SUBSIDIO])),0)</f>
        <v>0</v>
      </c>
      <c r="P31" s="54">
        <f>IFERROR(TabImpuestos[[#This Row],[Imp. Art. 96 ISR]]-TabImpuestos[[#This Row],[(-) Subsidio para el empleo]],0)</f>
        <v>1018.3651006080001</v>
      </c>
      <c r="Q31" s="54" cm="1">
        <f t="array" ref="Q31">IF('Desglose Salarios Fiscal'!$Q$1=1,TabImpuestos[[#This Row],[Ingreso ordinario]]+((15*VLOOKUP(TabImpuestos[[#This Row],[ID]],TabEmpleados[],COLUMN(TabEmpleados[SD Fiscal]),FALSE))-(30*SMDF)),0)</f>
        <v>1471.7999999999997</v>
      </c>
      <c r="R31" s="54" cm="1">
        <f t="array" ref="R31">IF('Desglose Salarios Fiscal'!$Q$1=1,(VLOOKUP(TabImpuestos[[#This Row],[ID]],TabEmpleados[],COLUMN(TabEmpleados[SD Fiscal]),FALSE)*30.4)-TabImpuestos[[#This Row],[(-) Subsidio para el empleo]],0)</f>
        <v>2918.3999999999996</v>
      </c>
      <c r="S31" s="54" cm="1">
        <f t="array" ref="S31">IFERROR(IF('Desglose Salarios Fiscal'!$Q$1=1,IFERROR((((TabImpuestos[[#This Row],[Ingreso Neto]]-(VLOOKUP(TabImpuestos[[#This Row],[Ingreso Neto]],TabISR[],COLUMN(TabISR[Límite inferior]))))*(VLOOKUP(TabImpuestos[[#This Row],[Ingreso Neto]],TabISR[],COLUMN(TabISR[Por ciento para aplicarse sobre el excedente del límite inferior]))))+(VLOOKUP(TabImpuestos[[#This Row],[Ingreso Neto]],TabISR[],COLUMN(TabISR[Cuota fija]))))-(((TabImpuestos[[#This Row],[Ingreso ordinario]]-(VLOOKUP(TabImpuestos[[#This Row],[Ingreso ordinario]],TabISR[],COLUMN(TabISR[Límite inferior]))))*(VLOOKUP(TabImpuestos[[#This Row],[Ingreso ordinario]],TabISR[],COLUMN(TabISR[Por ciento para aplicarse sobre el excedente del límite inferior]))))+(VLOOKUP(TabImpuestos[[#This Row],[Ingreso ordinario]],TabISR[],COLUMN(TabISR[Cuota fija])))),0),0),0)</f>
        <v>-92.582400000000007</v>
      </c>
      <c r="T31" s="54" cm="1">
        <f t="array" ref="T31">((15*VLOOKUP(TabImpuestos[[#This Row],[ID]],TabEmpleados[],COLUMN(TabEmpleados[SD Fiscal]),FALSE))-(30*SMDF))/365*30.4</f>
        <v>-120.48394520547944</v>
      </c>
      <c r="U31" s="54">
        <f>TabImpuestos[[#This Row],[Ingreso ordinario]]+TabImpuestos[[#This Row],[Aguinaldo Gravado Mensual]]</f>
        <v>2797.9160547945203</v>
      </c>
      <c r="V31" s="54" cm="1">
        <f t="array" ref="V31">(((TabImpuestos[[#This Row],[Ingresos totales]]-(VLOOKUP(TabImpuestos[[#This Row],[Ingresos totales]],TabISR[],COLUMN(TabISR[Límite inferior]))))*(VLOOKUP(TabImpuestos[[#This Row],[Ingresos totales]],TabISR[],COLUMN(TabISR[Por ciento para aplicarse sobre el excedente del límite inferior]))))+(VLOOKUP(TabImpuestos[[#This Row],[Ingresos totales]],TabISR[],COLUMN(TabISR[Cuota fija]))))</f>
        <v>162.5575875068493</v>
      </c>
      <c r="W31" s="54" cm="1">
        <f t="array" ref="W31">(((TabImpuestos[[#This Row],[Ingreso ordinario]]-(VLOOKUP(TabImpuestos[[#This Row],[Ingreso ordinario]],TabISR[],COLUMN(TabISR[Límite inferior]))))*(VLOOKUP(TabImpuestos[[#This Row],[Ingreso ordinario]],TabISR[],COLUMN(TabISR[Por ciento para aplicarse sobre el excedente del límite inferior]))))+(VLOOKUP(TabImpuestos[[#This Row],[Ingreso ordinario]],TabISR[],COLUMN(TabISR[Cuota fija]))))</f>
        <v>170.26855999999998</v>
      </c>
      <c r="X31" s="54">
        <f>TabImpuestos[[#This Row],[ISR Por ingresos totales]]-TabImpuestos[[#This Row],[ISR por ingreso ordinario]]</f>
        <v>-7.7109724931506776</v>
      </c>
      <c r="Y31" s="236">
        <f>TabImpuestos[[#This Row],[Diferencia de ISR''s]]/TabImpuestos[[#This Row],[Aguinaldo Gravado Mensual]]</f>
        <v>6.3999999999999946E-2</v>
      </c>
      <c r="Z31" s="54" cm="1">
        <f t="array" ref="Z31">IFERROR(IF('Desglose Salarios Fiscal'!$Q$1=1,((15*VLOOKUP(TabImpuestos[[#This Row],[ID]],TabEmpleados[],COLUMN(TabEmpleados[SD Fiscal]),FALSE))-(30*SMDF))*TabImpuestos[[#This Row],[Tasa D %]],0),0)</f>
        <v>-92.582399999999922</v>
      </c>
    </row>
    <row r="32" spans="1:26" x14ac:dyDescent="0.25">
      <c r="A32">
        <f t="shared" si="0"/>
        <v>30</v>
      </c>
      <c r="B32" t="str" cm="1">
        <f t="array" ref="B32">VLOOKUP(A32,TabEmpleados[],COLUMN(TabEmpleados[Nombre]),FALSE)</f>
        <v xml:space="preserve">RUIZ RAMOS ANGEL </v>
      </c>
      <c r="C32" s="54" cm="1">
        <f t="array" ref="C32">(VLOOKUP(TabImpuestos[[#This Row],[ID]],TabEmpleados[],COLUMN(TabEmpleados[SD Fiscal]))*VLOOKUP(TabImpuestos[[#This Row],[ID]],TabAsistencias[],COLUMN(TabAsistencias[''Total de dias laborados])))+
TabImpuestos[[#This Row],[Bono Asistencia]]+TabImpuestos[[#This Row],[Bono Puntualidad]]+TabImpuestos[[#This Row],[Prima Dominical]]+TabImpuestos[[#This Row],[Prima Vacacional]]+TabImpuestos[[#This Row],[Bono Festivo/ Descanso]]</f>
        <v>8082.1062000000002</v>
      </c>
      <c r="D32" s="54" cm="1">
        <f t="array" ref="D32">VLOOKUP(TabImpuestos[[#This Row],[ID]],TabDesSalariosFiscal[],COLUMN(TabDesSalariosFiscal[Bono Asistencia]),FALSE)</f>
        <v>756.05310000000009</v>
      </c>
      <c r="E32" s="54" cm="1">
        <f t="array" ref="E32">VLOOKUP(TabImpuestos[[#This Row],[ID]],TabDesSalariosFiscal[],COLUMN(TabDesSalariosFiscal[Bono Puntualidad]),FALSE)</f>
        <v>756.05310000000009</v>
      </c>
      <c r="F32" s="54" cm="1">
        <f t="array" ref="F32">IF(VLOOKUP(TabImpuestos[[#This Row],[ID]],TabDesSalariosFiscal[],COLUMN(TabDesSalariosFiscal[Prima dominical]),FALSE)-SMDF&lt;0,0,VLOOKUP(TabImpuestos[[#This Row],[ID]],TabDesSalariosFiscal[],COLUMN(TabDesSalariosFiscal[Prima dominical]),FALSE)-SMDF)</f>
        <v>0</v>
      </c>
      <c r="G32" s="54" cm="1">
        <f t="array" ref="G32">IF(VLOOKUP(TabImpuestos[[#This Row],[ID]],TabDesSalariosFiscal[],COLUMN(TabDesSalariosFiscal[Prima vacacional]),FALSE)-(15*SMDF)&lt;0,0,VLOOKUP(TabImpuestos[[#This Row],[ID]],TabDesSalariosFiscal[],COLUMN(TabDesSalariosFiscal[Prima vacacional]),FALSE)-(15*SMDF))</f>
        <v>0</v>
      </c>
      <c r="H32" s="54" cm="1">
        <f t="array" ref="H32">(VLOOKUP(TabImpuestos[[#This Row],[ID]],TabDesSalariosFiscal[],COLUMN(TabDesSalariosFiscal[Dia Festivo/ Descanso]),FALSE)*50%)</f>
        <v>0</v>
      </c>
      <c r="I32" s="54" cm="1">
        <f t="array" ref="I32">IFERROR(VLOOKUP(TabImpuestos[[#This Row],[Base Gravable]],TabISR[],COLUMN(TabISR[Límite inferior])),0)</f>
        <v>7641.91</v>
      </c>
      <c r="J32" s="54">
        <f>IFERROR(TabImpuestos[[#This Row],[Base Gravable]]-TabImpuestos[[#This Row],[(-) Lim. Inferior]],0)</f>
        <v>440.19620000000032</v>
      </c>
      <c r="K32" s="236" cm="1">
        <f t="array" ref="K32">IFERROR(VLOOKUP(TabImpuestos[[#This Row],[Base Gravable]],TabISR[],COLUMN(TabISR[Por ciento para aplicarse sobre el excedente del límite inferior])),0)</f>
        <v>0.21360000000000001</v>
      </c>
      <c r="L32" s="54">
        <f>IFERROR(TabImpuestos[[#This Row],[EXC. Lim. Inferior]]*TabImpuestos[[#This Row],[(*) % Lim. Inf.]],0)</f>
        <v>94.02590832000007</v>
      </c>
      <c r="M32" s="54" cm="1">
        <f t="array" ref="M32">IFERROR(VLOOKUP(TabImpuestos[[#This Row],[Base Gravable]],TabISR[],COLUMN(TabISR[Cuota fija])),0)</f>
        <v>809.25</v>
      </c>
      <c r="N32" s="54">
        <f>IFERROR(TabImpuestos[[#This Row],[Impuesto marginal]]+TabImpuestos[[#This Row],[(+) Cuota Fija]],0)</f>
        <v>903.2759083200001</v>
      </c>
      <c r="O32" s="54" cm="1">
        <f t="array" ref="O32">IFERROR(VLOOKUP(TabImpuestos[[#This Row],[Base Gravable]],TabSubsidio[],COLUMN(TabSubsidio[SUBSIDIO])),0)</f>
        <v>0</v>
      </c>
      <c r="P32" s="54">
        <f>IFERROR(TabImpuestos[[#This Row],[Imp. Art. 96 ISR]]-TabImpuestos[[#This Row],[(-) Subsidio para el empleo]],0)</f>
        <v>903.2759083200001</v>
      </c>
      <c r="Q32" s="54" cm="1">
        <f t="array" ref="Q32">IF('Desglose Salarios Fiscal'!$Q$1=1,TabImpuestos[[#This Row],[Ingreso ordinario]]+((15*VLOOKUP(TabImpuestos[[#This Row],[ID]],TabEmpleados[],COLUMN(TabEmpleados[SD Fiscal]),FALSE))-(30*SMDF)),0)</f>
        <v>1199.4000000000001</v>
      </c>
      <c r="R32" s="54" cm="1">
        <f t="array" ref="R32">IF('Desglose Salarios Fiscal'!$Q$1=1,(VLOOKUP(TabImpuestos[[#This Row],[ID]],TabEmpleados[],COLUMN(TabEmpleados[SD Fiscal]),FALSE)*30.4)-TabImpuestos[[#This Row],[(-) Subsidio para el empleo]],0)</f>
        <v>2736</v>
      </c>
      <c r="S32" s="54" cm="1">
        <f t="array" ref="S32">IFERROR(IF('Desglose Salarios Fiscal'!$Q$1=1,IFERROR((((TabImpuestos[[#This Row],[Ingreso Neto]]-(VLOOKUP(TabImpuestos[[#This Row],[Ingreso Neto]],TabISR[],COLUMN(TabISR[Límite inferior]))))*(VLOOKUP(TabImpuestos[[#This Row],[Ingreso Neto]],TabISR[],COLUMN(TabISR[Por ciento para aplicarse sobre el excedente del límite inferior]))))+(VLOOKUP(TabImpuestos[[#This Row],[Ingreso Neto]],TabISR[],COLUMN(TabISR[Cuota fija]))))-(((TabImpuestos[[#This Row],[Ingreso ordinario]]-(VLOOKUP(TabImpuestos[[#This Row],[Ingreso ordinario]],TabISR[],COLUMN(TabISR[Límite inferior]))))*(VLOOKUP(TabImpuestos[[#This Row],[Ingreso ordinario]],TabISR[],COLUMN(TabISR[Por ciento para aplicarse sobre el excedente del límite inferior]))))+(VLOOKUP(TabImpuestos[[#This Row],[Ingreso ordinario]],TabISR[],COLUMN(TabISR[Cuota fija])))),0),0),0)</f>
        <v>-98.342400000000012</v>
      </c>
      <c r="T32" s="54" cm="1">
        <f t="array" ref="T32">((15*VLOOKUP(TabImpuestos[[#This Row],[ID]],TabEmpleados[],COLUMN(TabEmpleados[SD Fiscal]),FALSE))-(30*SMDF))/365*30.4</f>
        <v>-127.97983561643835</v>
      </c>
      <c r="U32" s="54">
        <f>TabImpuestos[[#This Row],[Ingreso ordinario]]+TabImpuestos[[#This Row],[Aguinaldo Gravado Mensual]]</f>
        <v>2608.0201643835617</v>
      </c>
      <c r="V32" s="54" cm="1">
        <f t="array" ref="V32">(((TabImpuestos[[#This Row],[Ingresos totales]]-(VLOOKUP(TabImpuestos[[#This Row],[Ingresos totales]],TabISR[],COLUMN(TabISR[Límite inferior]))))*(VLOOKUP(TabImpuestos[[#This Row],[Ingresos totales]],TabISR[],COLUMN(TabISR[Por ciento para aplicarse sobre el excedente del límite inferior]))))+(VLOOKUP(TabImpuestos[[#This Row],[Ingresos totales]],TabISR[],COLUMN(TabISR[Cuota fija]))))</f>
        <v>150.40425052054795</v>
      </c>
      <c r="W32" s="54" cm="1">
        <f t="array" ref="W32">(((TabImpuestos[[#This Row],[Ingreso ordinario]]-(VLOOKUP(TabImpuestos[[#This Row],[Ingreso ordinario]],TabISR[],COLUMN(TabISR[Límite inferior]))))*(VLOOKUP(TabImpuestos[[#This Row],[Ingreso ordinario]],TabISR[],COLUMN(TabISR[Por ciento para aplicarse sobre el excedente del límite inferior]))))+(VLOOKUP(TabImpuestos[[#This Row],[Ingreso ordinario]],TabISR[],COLUMN(TabISR[Cuota fija]))))</f>
        <v>158.59496000000001</v>
      </c>
      <c r="X32" s="54">
        <f>TabImpuestos[[#This Row],[ISR Por ingresos totales]]-TabImpuestos[[#This Row],[ISR por ingreso ordinario]]</f>
        <v>-8.1907094794520674</v>
      </c>
      <c r="Y32" s="236">
        <f>TabImpuestos[[#This Row],[Diferencia de ISR''s]]/TabImpuestos[[#This Row],[Aguinaldo Gravado Mensual]]</f>
        <v>6.4000000000000098E-2</v>
      </c>
      <c r="Z32" s="54" cm="1">
        <f t="array" ref="Z32">IFERROR(IF('Desglose Salarios Fiscal'!$Q$1=1,((15*VLOOKUP(TabImpuestos[[#This Row],[ID]],TabEmpleados[],COLUMN(TabEmpleados[SD Fiscal]),FALSE))-(30*SMDF))*TabImpuestos[[#This Row],[Tasa D %]],0),0)</f>
        <v>-98.34240000000014</v>
      </c>
    </row>
    <row r="33" spans="1:26" x14ac:dyDescent="0.25">
      <c r="A33" s="31">
        <f t="shared" si="0"/>
        <v>31</v>
      </c>
      <c r="B33" s="30" t="str" cm="1">
        <f t="array" ref="B33">VLOOKUP(A33,TabEmpleados[],COLUMN(TabEmpleados[Nombre]),FALSE)</f>
        <v>RIOS LUIS OSVALDO</v>
      </c>
      <c r="C33" s="54" cm="1">
        <f t="array" ref="C33">(VLOOKUP(TabImpuestos[[#This Row],[ID]],TabEmpleados[],COLUMN(TabEmpleados[SD Fiscal]))*VLOOKUP(TabImpuestos[[#This Row],[ID]],TabAsistencias[],COLUMN(TabAsistencias[''Total de dias laborados])))+
TabImpuestos[[#This Row],[Bono Asistencia]]+TabImpuestos[[#This Row],[Bono Puntualidad]]+TabImpuestos[[#This Row],[Prima Dominical]]+TabImpuestos[[#This Row],[Prima Vacacional]]+TabImpuestos[[#This Row],[Bono Festivo/ Descanso]]</f>
        <v>15559.824140000001</v>
      </c>
      <c r="D33" s="54" cm="1">
        <f t="array" ref="D33">VLOOKUP(TabImpuestos[[#This Row],[ID]],TabDesSalariosFiscal[],COLUMN(TabDesSalariosFiscal[Bono Asistencia]),FALSE)</f>
        <v>1465.4120699999999</v>
      </c>
      <c r="E33" s="54" cm="1">
        <f t="array" ref="E33">VLOOKUP(TabImpuestos[[#This Row],[ID]],TabDesSalariosFiscal[],COLUMN(TabDesSalariosFiscal[Bono Puntualidad]),FALSE)</f>
        <v>1465.4120699999999</v>
      </c>
      <c r="F33" s="54" cm="1">
        <f t="array" ref="F33">IF(VLOOKUP(TabImpuestos[[#This Row],[ID]],TabDesSalariosFiscal[],COLUMN(TabDesSalariosFiscal[Prima dominical]),FALSE)-SMDF&lt;0,0,VLOOKUP(TabImpuestos[[#This Row],[ID]],TabDesSalariosFiscal[],COLUMN(TabDesSalariosFiscal[Prima dominical]),FALSE)-SMDF)</f>
        <v>0</v>
      </c>
      <c r="G33" s="54" cm="1">
        <f t="array" ref="G33">IF(VLOOKUP(TabImpuestos[[#This Row],[ID]],TabDesSalariosFiscal[],COLUMN(TabDesSalariosFiscal[Prima vacacional]),FALSE)-(15*SMDF)&lt;0,0,VLOOKUP(TabImpuestos[[#This Row],[ID]],TabDesSalariosFiscal[],COLUMN(TabDesSalariosFiscal[Prima vacacional]),FALSE)-(15*SMDF))</f>
        <v>0</v>
      </c>
      <c r="H33" s="54" cm="1">
        <f t="array" ref="H33">(VLOOKUP(TabImpuestos[[#This Row],[ID]],TabDesSalariosFiscal[],COLUMN(TabDesSalariosFiscal[Dia Festivo/ Descanso]),FALSE)*50%)</f>
        <v>0</v>
      </c>
      <c r="I33" s="54" cm="1">
        <f t="array" ref="I33">IFERROR(VLOOKUP(TabImpuestos[[#This Row],[Base Gravable]],TabISR[],COLUMN(TabISR[Límite inferior])),0)</f>
        <v>15412.81</v>
      </c>
      <c r="J33" s="54">
        <f>IFERROR(TabImpuestos[[#This Row],[Base Gravable]]-TabImpuestos[[#This Row],[(-) Lim. Inferior]],0)</f>
        <v>147.01414000000113</v>
      </c>
      <c r="K33" s="236" cm="1">
        <f t="array" ref="K33">IFERROR(VLOOKUP(TabImpuestos[[#This Row],[Base Gravable]],TabISR[],COLUMN(TabISR[Por ciento para aplicarse sobre el excedente del límite inferior])),0)</f>
        <v>0.23519999999999999</v>
      </c>
      <c r="L33" s="54">
        <f>IFERROR(TabImpuestos[[#This Row],[EXC. Lim. Inferior]]*TabImpuestos[[#This Row],[(*) % Lim. Inf.]],0)</f>
        <v>34.577725728000267</v>
      </c>
      <c r="M33" s="54" cm="1">
        <f t="array" ref="M33">IFERROR(VLOOKUP(TabImpuestos[[#This Row],[Base Gravable]],TabISR[],COLUMN(TabISR[Cuota fija])),0)</f>
        <v>2469.15</v>
      </c>
      <c r="N33" s="54">
        <f>IFERROR(TabImpuestos[[#This Row],[Impuesto marginal]]+TabImpuestos[[#This Row],[(+) Cuota Fija]],0)</f>
        <v>2503.7277257280002</v>
      </c>
      <c r="O33" s="54" cm="1">
        <f t="array" ref="O33">IFERROR(VLOOKUP(TabImpuestos[[#This Row],[Base Gravable]],TabSubsidio[],COLUMN(TabSubsidio[SUBSIDIO])),0)</f>
        <v>0</v>
      </c>
      <c r="P33" s="54">
        <f>IFERROR(TabImpuestos[[#This Row],[Imp. Art. 96 ISR]]-TabImpuestos[[#This Row],[(-) Subsidio para el empleo]],0)</f>
        <v>2503.7277257280002</v>
      </c>
      <c r="Q33" s="54" cm="1">
        <f t="array" ref="Q33">IF('Desglose Salarios Fiscal'!$Q$1=1,TabImpuestos[[#This Row],[Ingreso ordinario]]+((15*VLOOKUP(TabImpuestos[[#This Row],[ID]],TabEmpleados[],COLUMN(TabEmpleados[SD Fiscal]),FALSE))-(30*SMDF)),0)</f>
        <v>4967.6000000000004</v>
      </c>
      <c r="R33" s="54" cm="1">
        <f t="array" ref="R33">IF('Desglose Salarios Fiscal'!$Q$1=1,(VLOOKUP(TabImpuestos[[#This Row],[ID]],TabEmpleados[],COLUMN(TabEmpleados[SD Fiscal]),FALSE)*30.4)-TabImpuestos[[#This Row],[(-) Subsidio para el empleo]],0)</f>
        <v>5259.2</v>
      </c>
      <c r="S33" s="54" cm="1">
        <f t="array" ref="S33">IFERROR(IF('Desglose Salarios Fiscal'!$Q$1=1,IFERROR((((TabImpuestos[[#This Row],[Ingreso Neto]]-(VLOOKUP(TabImpuestos[[#This Row],[Ingreso Neto]],TabISR[],COLUMN(TabISR[Límite inferior]))))*(VLOOKUP(TabImpuestos[[#This Row],[Ingreso Neto]],TabISR[],COLUMN(TabISR[Por ciento para aplicarse sobre el excedente del límite inferior]))))+(VLOOKUP(TabImpuestos[[#This Row],[Ingreso Neto]],TabISR[],COLUMN(TabISR[Cuota fija]))))-(((TabImpuestos[[#This Row],[Ingreso ordinario]]-(VLOOKUP(TabImpuestos[[#This Row],[Ingreso ordinario]],TabISR[],COLUMN(TabISR[Límite inferior]))))*(VLOOKUP(TabImpuestos[[#This Row],[Ingreso ordinario]],TabISR[],COLUMN(TabISR[Por ciento para aplicarse sobre el excedente del límite inferior]))))+(VLOOKUP(TabImpuestos[[#This Row],[Ingreso ordinario]],TabISR[],COLUMN(TabISR[Cuota fija])))),0),0),0)</f>
        <v>-31.726079999999968</v>
      </c>
      <c r="T33" s="54" cm="1">
        <f t="array" ref="T33">((15*VLOOKUP(TabImpuestos[[#This Row],[ID]],TabEmpleados[],COLUMN(TabEmpleados[SD Fiscal]),FALSE))-(30*SMDF))/365*30.4</f>
        <v>-24.286684931506841</v>
      </c>
      <c r="U33" s="54">
        <f>TabImpuestos[[#This Row],[Ingreso ordinario]]+TabImpuestos[[#This Row],[Aguinaldo Gravado Mensual]]</f>
        <v>5234.9133150684929</v>
      </c>
      <c r="V33" s="54" cm="1">
        <f t="array" ref="V33">(((TabImpuestos[[#This Row],[Ingresos totales]]-(VLOOKUP(TabImpuestos[[#This Row],[Ingresos totales]],TabISR[],COLUMN(TabISR[Límite inferior]))))*(VLOOKUP(TabImpuestos[[#This Row],[Ingresos totales]],TabISR[],COLUMN(TabISR[Por ciento para aplicarse sobre el excedente del límite inferior]))))+(VLOOKUP(TabImpuestos[[#This Row],[Ingresos totales]],TabISR[],COLUMN(TabISR[Cuota fija]))))</f>
        <v>413.07820067945198</v>
      </c>
      <c r="W33" s="54" cm="1">
        <f t="array" ref="W33">(((TabImpuestos[[#This Row],[Ingreso ordinario]]-(VLOOKUP(TabImpuestos[[#This Row],[Ingreso ordinario]],TabISR[],COLUMN(TabISR[Límite inferior]))))*(VLOOKUP(TabImpuestos[[#This Row],[Ingreso ordinario]],TabISR[],COLUMN(TabISR[Por ciento para aplicarse sobre el excedente del límite inferior]))))+(VLOOKUP(TabImpuestos[[#This Row],[Ingreso ordinario]],TabISR[],COLUMN(TabISR[Cuota fija]))))</f>
        <v>415.72059199999995</v>
      </c>
      <c r="X33" s="54">
        <f>TabImpuestos[[#This Row],[ISR Por ingresos totales]]-TabImpuestos[[#This Row],[ISR por ingreso ordinario]]</f>
        <v>-2.6423913205479721</v>
      </c>
      <c r="Y33" s="236">
        <f>TabImpuestos[[#This Row],[Diferencia de ISR''s]]/TabImpuestos[[#This Row],[Aguinaldo Gravado Mensual]]</f>
        <v>0.10880000000000115</v>
      </c>
      <c r="Z33" s="54" cm="1">
        <f t="array" ref="Z33">IFERROR(IF('Desglose Salarios Fiscal'!$Q$1=1,((15*VLOOKUP(TabImpuestos[[#This Row],[ID]],TabEmpleados[],COLUMN(TabEmpleados[SD Fiscal]),FALSE))-(30*SMDF))*TabImpuestos[[#This Row],[Tasa D %]],0),0)</f>
        <v>-31.726080000000323</v>
      </c>
    </row>
    <row r="34" spans="1:26" x14ac:dyDescent="0.25">
      <c r="A34">
        <f t="shared" si="0"/>
        <v>32</v>
      </c>
      <c r="B34" t="str" cm="1">
        <f t="array" ref="B34">VLOOKUP(A34,TabEmpleados[],COLUMN(TabEmpleados[Nombre]),FALSE)</f>
        <v>PEREZ RUIZ NADIA LIZBETH</v>
      </c>
      <c r="C34" s="54" cm="1">
        <f t="array" ref="C34">(VLOOKUP(TabImpuestos[[#This Row],[ID]],TabEmpleados[],COLUMN(TabEmpleados[SD Fiscal]))*VLOOKUP(TabImpuestos[[#This Row],[ID]],TabAsistencias[],COLUMN(TabAsistencias[''Total de dias laborados])))+
TabImpuestos[[#This Row],[Bono Asistencia]]+TabImpuestos[[#This Row],[Bono Puntualidad]]+TabImpuestos[[#This Row],[Prima Dominical]]+TabImpuestos[[#This Row],[Prima Vacacional]]+TabImpuestos[[#This Row],[Bono Festivo/ Descanso]]</f>
        <v>7543.2991199999997</v>
      </c>
      <c r="D34" s="54" cm="1">
        <f t="array" ref="D34">VLOOKUP(TabImpuestos[[#This Row],[ID]],TabDesSalariosFiscal[],COLUMN(TabDesSalariosFiscal[Bono Asistencia]),FALSE)</f>
        <v>705.64956000000006</v>
      </c>
      <c r="E34" s="54" cm="1">
        <f t="array" ref="E34">VLOOKUP(TabImpuestos[[#This Row],[ID]],TabDesSalariosFiscal[],COLUMN(TabDesSalariosFiscal[Bono Puntualidad]),FALSE)</f>
        <v>705.64956000000006</v>
      </c>
      <c r="F34" s="54" cm="1">
        <f t="array" ref="F34">IF(VLOOKUP(TabImpuestos[[#This Row],[ID]],TabDesSalariosFiscal[],COLUMN(TabDesSalariosFiscal[Prima dominical]),FALSE)-SMDF&lt;0,0,VLOOKUP(TabImpuestos[[#This Row],[ID]],TabDesSalariosFiscal[],COLUMN(TabDesSalariosFiscal[Prima dominical]),FALSE)-SMDF)</f>
        <v>0</v>
      </c>
      <c r="G34" s="54" cm="1">
        <f t="array" ref="G34">IF(VLOOKUP(TabImpuestos[[#This Row],[ID]],TabDesSalariosFiscal[],COLUMN(TabDesSalariosFiscal[Prima vacacional]),FALSE)-(15*SMDF)&lt;0,0,VLOOKUP(TabImpuestos[[#This Row],[ID]],TabDesSalariosFiscal[],COLUMN(TabDesSalariosFiscal[Prima vacacional]),FALSE)-(15*SMDF))</f>
        <v>0</v>
      </c>
      <c r="H34" s="54" cm="1">
        <f t="array" ref="H34">(VLOOKUP(TabImpuestos[[#This Row],[ID]],TabDesSalariosFiscal[],COLUMN(TabDesSalariosFiscal[Dia Festivo/ Descanso]),FALSE)*50%)</f>
        <v>0</v>
      </c>
      <c r="I34" s="54" cm="1">
        <f t="array" ref="I34">IFERROR(VLOOKUP(TabImpuestos[[#This Row],[Base Gravable]],TabISR[],COLUMN(TabISR[Límite inferior])),0)</f>
        <v>6382.81</v>
      </c>
      <c r="J34" s="54">
        <f>IFERROR(TabImpuestos[[#This Row],[Base Gravable]]-TabImpuestos[[#This Row],[(-) Lim. Inferior]],0)</f>
        <v>1160.4891199999993</v>
      </c>
      <c r="K34" s="236" cm="1">
        <f t="array" ref="K34">IFERROR(VLOOKUP(TabImpuestos[[#This Row],[Base Gravable]],TabISR[],COLUMN(TabISR[Por ciento para aplicarse sobre el excedente del límite inferior])),0)</f>
        <v>0.1792</v>
      </c>
      <c r="L34" s="54">
        <f>IFERROR(TabImpuestos[[#This Row],[EXC. Lim. Inferior]]*TabImpuestos[[#This Row],[(*) % Lim. Inf.]],0)</f>
        <v>207.95965030399987</v>
      </c>
      <c r="M34" s="54" cm="1">
        <f t="array" ref="M34">IFERROR(VLOOKUP(TabImpuestos[[#This Row],[Base Gravable]],TabISR[],COLUMN(TabISR[Cuota fija])),0)</f>
        <v>583.65</v>
      </c>
      <c r="N34" s="54">
        <f>IFERROR(TabImpuestos[[#This Row],[Impuesto marginal]]+TabImpuestos[[#This Row],[(+) Cuota Fija]],0)</f>
        <v>791.60965030399984</v>
      </c>
      <c r="O34" s="54" cm="1">
        <f t="array" ref="O34">IFERROR(VLOOKUP(TabImpuestos[[#This Row],[Base Gravable]],TabSubsidio[],COLUMN(TabSubsidio[SUBSIDIO])),0)</f>
        <v>0</v>
      </c>
      <c r="P34" s="54">
        <f>IFERROR(TabImpuestos[[#This Row],[Imp. Art. 96 ISR]]-TabImpuestos[[#This Row],[(-) Subsidio para el empleo]],0)</f>
        <v>791.60965030399984</v>
      </c>
      <c r="Q34" s="54" cm="1">
        <f t="array" ref="Q34">IF('Desglose Salarios Fiscal'!$Q$1=1,TabImpuestos[[#This Row],[Ingreso ordinario]]+((15*VLOOKUP(TabImpuestos[[#This Row],[ID]],TabEmpleados[],COLUMN(TabEmpleados[SD Fiscal]),FALSE))-(30*SMDF)),0)</f>
        <v>927</v>
      </c>
      <c r="R34" s="54" cm="1">
        <f t="array" ref="R34">IF('Desglose Salarios Fiscal'!$Q$1=1,(VLOOKUP(TabImpuestos[[#This Row],[ID]],TabEmpleados[],COLUMN(TabEmpleados[SD Fiscal]),FALSE)*30.4)-TabImpuestos[[#This Row],[(-) Subsidio para el empleo]],0)</f>
        <v>2553.6</v>
      </c>
      <c r="S34" s="54" cm="1">
        <f t="array" ref="S34">IFERROR(IF('Desglose Salarios Fiscal'!$Q$1=1,IFERROR((((TabImpuestos[[#This Row],[Ingreso Neto]]-(VLOOKUP(TabImpuestos[[#This Row],[Ingreso Neto]],TabISR[],COLUMN(TabISR[Límite inferior]))))*(VLOOKUP(TabImpuestos[[#This Row],[Ingreso Neto]],TabISR[],COLUMN(TabISR[Por ciento para aplicarse sobre el excedente del límite inferior]))))+(VLOOKUP(TabImpuestos[[#This Row],[Ingreso Neto]],TabISR[],COLUMN(TabISR[Cuota fija]))))-(((TabImpuestos[[#This Row],[Ingreso ordinario]]-(VLOOKUP(TabImpuestos[[#This Row],[Ingreso ordinario]],TabISR[],COLUMN(TabISR[Límite inferior]))))*(VLOOKUP(TabImpuestos[[#This Row],[Ingreso ordinario]],TabISR[],COLUMN(TabISR[Por ciento para aplicarse sobre el excedente del límite inferior]))))+(VLOOKUP(TabImpuestos[[#This Row],[Ingreso ordinario]],TabISR[],COLUMN(TabISR[Cuota fija])))),0),0),0)</f>
        <v>-104.10239999999999</v>
      </c>
      <c r="T34" s="54" cm="1">
        <f t="array" ref="T34">((15*VLOOKUP(TabImpuestos[[#This Row],[ID]],TabEmpleados[],COLUMN(TabEmpleados[SD Fiscal]),FALSE))-(30*SMDF))/365*30.4</f>
        <v>-135.47572602739726</v>
      </c>
      <c r="U34" s="54">
        <f>TabImpuestos[[#This Row],[Ingreso ordinario]]+TabImpuestos[[#This Row],[Aguinaldo Gravado Mensual]]</f>
        <v>2418.1242739726026</v>
      </c>
      <c r="V34" s="54" cm="1">
        <f t="array" ref="V34">(((TabImpuestos[[#This Row],[Ingresos totales]]-(VLOOKUP(TabImpuestos[[#This Row],[Ingresos totales]],TabISR[],COLUMN(TabISR[Límite inferior]))))*(VLOOKUP(TabImpuestos[[#This Row],[Ingresos totales]],TabISR[],COLUMN(TabISR[Por ciento para aplicarse sobre el excedente del límite inferior]))))+(VLOOKUP(TabImpuestos[[#This Row],[Ingresos totales]],TabISR[],COLUMN(TabISR[Cuota fija]))))</f>
        <v>138.25091353424656</v>
      </c>
      <c r="W34" s="54" cm="1">
        <f t="array" ref="W34">(((TabImpuestos[[#This Row],[Ingreso ordinario]]-(VLOOKUP(TabImpuestos[[#This Row],[Ingreso ordinario]],TabISR[],COLUMN(TabISR[Límite inferior]))))*(VLOOKUP(TabImpuestos[[#This Row],[Ingreso ordinario]],TabISR[],COLUMN(TabISR[Por ciento para aplicarse sobre el excedente del límite inferior]))))+(VLOOKUP(TabImpuestos[[#This Row],[Ingreso ordinario]],TabISR[],COLUMN(TabISR[Cuota fija]))))</f>
        <v>146.92135999999999</v>
      </c>
      <c r="X34" s="54">
        <f>TabImpuestos[[#This Row],[ISR Por ingresos totales]]-TabImpuestos[[#This Row],[ISR por ingreso ordinario]]</f>
        <v>-8.6704464657534288</v>
      </c>
      <c r="Y34" s="236">
        <f>TabImpuestos[[#This Row],[Diferencia de ISR''s]]/TabImpuestos[[#This Row],[Aguinaldo Gravado Mensual]]</f>
        <v>6.4000000000000029E-2</v>
      </c>
      <c r="Z34" s="54" cm="1">
        <f t="array" ref="Z34">IFERROR(IF('Desglose Salarios Fiscal'!$Q$1=1,((15*VLOOKUP(TabImpuestos[[#This Row],[ID]],TabEmpleados[],COLUMN(TabEmpleados[SD Fiscal]),FALSE))-(30*SMDF))*TabImpuestos[[#This Row],[Tasa D %]],0),0)</f>
        <v>-104.10240000000005</v>
      </c>
    </row>
    <row r="35" spans="1:26" x14ac:dyDescent="0.25">
      <c r="A35" s="31">
        <f t="shared" si="0"/>
        <v>33</v>
      </c>
      <c r="B35" s="30" t="str" cm="1">
        <f t="array" ref="B35">VLOOKUP(A35,TabEmpleados[],COLUMN(TabEmpleados[Nombre]),FALSE)</f>
        <v>ESPINOZA REYNOSO RAUL</v>
      </c>
      <c r="C35" s="54" cm="1">
        <f t="array" ref="C35">(VLOOKUP(TabImpuestos[[#This Row],[ID]],TabEmpleados[],COLUMN(TabEmpleados[SD Fiscal]))*VLOOKUP(TabImpuestos[[#This Row],[ID]],TabAsistencias[],COLUMN(TabAsistencias[''Total de dias laborados])))+
TabImpuestos[[#This Row],[Bono Asistencia]]+TabImpuestos[[#This Row],[Bono Puntualidad]]+TabImpuestos[[#This Row],[Prima Dominical]]+TabImpuestos[[#This Row],[Prima Vacacional]]+TabImpuestos[[#This Row],[Bono Festivo/ Descanso]]</f>
        <v>7543.2991199999997</v>
      </c>
      <c r="D35" s="54" cm="1">
        <f t="array" ref="D35">VLOOKUP(TabImpuestos[[#This Row],[ID]],TabDesSalariosFiscal[],COLUMN(TabDesSalariosFiscal[Bono Asistencia]),FALSE)</f>
        <v>705.64956000000006</v>
      </c>
      <c r="E35" s="54" cm="1">
        <f t="array" ref="E35">VLOOKUP(TabImpuestos[[#This Row],[ID]],TabDesSalariosFiscal[],COLUMN(TabDesSalariosFiscal[Bono Puntualidad]),FALSE)</f>
        <v>705.64956000000006</v>
      </c>
      <c r="F35" s="54" cm="1">
        <f t="array" ref="F35">IF(VLOOKUP(TabImpuestos[[#This Row],[ID]],TabDesSalariosFiscal[],COLUMN(TabDesSalariosFiscal[Prima dominical]),FALSE)-SMDF&lt;0,0,VLOOKUP(TabImpuestos[[#This Row],[ID]],TabDesSalariosFiscal[],COLUMN(TabDesSalariosFiscal[Prima dominical]),FALSE)-SMDF)</f>
        <v>0</v>
      </c>
      <c r="G35" s="54" cm="1">
        <f t="array" ref="G35">IF(VLOOKUP(TabImpuestos[[#This Row],[ID]],TabDesSalariosFiscal[],COLUMN(TabDesSalariosFiscal[Prima vacacional]),FALSE)-(15*SMDF)&lt;0,0,VLOOKUP(TabImpuestos[[#This Row],[ID]],TabDesSalariosFiscal[],COLUMN(TabDesSalariosFiscal[Prima vacacional]),FALSE)-(15*SMDF))</f>
        <v>0</v>
      </c>
      <c r="H35" s="54" cm="1">
        <f t="array" ref="H35">(VLOOKUP(TabImpuestos[[#This Row],[ID]],TabDesSalariosFiscal[],COLUMN(TabDesSalariosFiscal[Dia Festivo/ Descanso]),FALSE)*50%)</f>
        <v>0</v>
      </c>
      <c r="I35" s="54" cm="1">
        <f t="array" ref="I35">IFERROR(VLOOKUP(TabImpuestos[[#This Row],[Base Gravable]],TabISR[],COLUMN(TabISR[Límite inferior])),0)</f>
        <v>6382.81</v>
      </c>
      <c r="J35" s="54">
        <f>IFERROR(TabImpuestos[[#This Row],[Base Gravable]]-TabImpuestos[[#This Row],[(-) Lim. Inferior]],0)</f>
        <v>1160.4891199999993</v>
      </c>
      <c r="K35" s="236" cm="1">
        <f t="array" ref="K35">IFERROR(VLOOKUP(TabImpuestos[[#This Row],[Base Gravable]],TabISR[],COLUMN(TabISR[Por ciento para aplicarse sobre el excedente del límite inferior])),0)</f>
        <v>0.1792</v>
      </c>
      <c r="L35" s="54">
        <f>IFERROR(TabImpuestos[[#This Row],[EXC. Lim. Inferior]]*TabImpuestos[[#This Row],[(*) % Lim. Inf.]],0)</f>
        <v>207.95965030399987</v>
      </c>
      <c r="M35" s="54" cm="1">
        <f t="array" ref="M35">IFERROR(VLOOKUP(TabImpuestos[[#This Row],[Base Gravable]],TabISR[],COLUMN(TabISR[Cuota fija])),0)</f>
        <v>583.65</v>
      </c>
      <c r="N35" s="54">
        <f>IFERROR(TabImpuestos[[#This Row],[Impuesto marginal]]+TabImpuestos[[#This Row],[(+) Cuota Fija]],0)</f>
        <v>791.60965030399984</v>
      </c>
      <c r="O35" s="54" cm="1">
        <f t="array" ref="O35">IFERROR(VLOOKUP(TabImpuestos[[#This Row],[Base Gravable]],TabSubsidio[],COLUMN(TabSubsidio[SUBSIDIO])),0)</f>
        <v>0</v>
      </c>
      <c r="P35" s="54">
        <f>IFERROR(TabImpuestos[[#This Row],[Imp. Art. 96 ISR]]-TabImpuestos[[#This Row],[(-) Subsidio para el empleo]],0)</f>
        <v>791.60965030399984</v>
      </c>
      <c r="Q35" s="54" cm="1">
        <f t="array" ref="Q35">IF('Desglose Salarios Fiscal'!$Q$1=1,TabImpuestos[[#This Row],[Ingreso ordinario]]+((15*VLOOKUP(TabImpuestos[[#This Row],[ID]],TabEmpleados[],COLUMN(TabEmpleados[SD Fiscal]),FALSE))-(30*SMDF)),0)</f>
        <v>927</v>
      </c>
      <c r="R35" s="54" cm="1">
        <f t="array" ref="R35">IF('Desglose Salarios Fiscal'!$Q$1=1,(VLOOKUP(TabImpuestos[[#This Row],[ID]],TabEmpleados[],COLUMN(TabEmpleados[SD Fiscal]),FALSE)*30.4)-TabImpuestos[[#This Row],[(-) Subsidio para el empleo]],0)</f>
        <v>2553.6</v>
      </c>
      <c r="S35" s="54" cm="1">
        <f t="array" ref="S35">IFERROR(IF('Desglose Salarios Fiscal'!$Q$1=1,IFERROR((((TabImpuestos[[#This Row],[Ingreso Neto]]-(VLOOKUP(TabImpuestos[[#This Row],[Ingreso Neto]],TabISR[],COLUMN(TabISR[Límite inferior]))))*(VLOOKUP(TabImpuestos[[#This Row],[Ingreso Neto]],TabISR[],COLUMN(TabISR[Por ciento para aplicarse sobre el excedente del límite inferior]))))+(VLOOKUP(TabImpuestos[[#This Row],[Ingreso Neto]],TabISR[],COLUMN(TabISR[Cuota fija]))))-(((TabImpuestos[[#This Row],[Ingreso ordinario]]-(VLOOKUP(TabImpuestos[[#This Row],[Ingreso ordinario]],TabISR[],COLUMN(TabISR[Límite inferior]))))*(VLOOKUP(TabImpuestos[[#This Row],[Ingreso ordinario]],TabISR[],COLUMN(TabISR[Por ciento para aplicarse sobre el excedente del límite inferior]))))+(VLOOKUP(TabImpuestos[[#This Row],[Ingreso ordinario]],TabISR[],COLUMN(TabISR[Cuota fija])))),0),0),0)</f>
        <v>-104.10239999999999</v>
      </c>
      <c r="T35" s="54" cm="1">
        <f t="array" ref="T35">((15*VLOOKUP(TabImpuestos[[#This Row],[ID]],TabEmpleados[],COLUMN(TabEmpleados[SD Fiscal]),FALSE))-(30*SMDF))/365*30.4</f>
        <v>-135.47572602739726</v>
      </c>
      <c r="U35" s="54">
        <f>TabImpuestos[[#This Row],[Ingreso ordinario]]+TabImpuestos[[#This Row],[Aguinaldo Gravado Mensual]]</f>
        <v>2418.1242739726026</v>
      </c>
      <c r="V35" s="54" cm="1">
        <f t="array" ref="V35">(((TabImpuestos[[#This Row],[Ingresos totales]]-(VLOOKUP(TabImpuestos[[#This Row],[Ingresos totales]],TabISR[],COLUMN(TabISR[Límite inferior]))))*(VLOOKUP(TabImpuestos[[#This Row],[Ingresos totales]],TabISR[],COLUMN(TabISR[Por ciento para aplicarse sobre el excedente del límite inferior]))))+(VLOOKUP(TabImpuestos[[#This Row],[Ingresos totales]],TabISR[],COLUMN(TabISR[Cuota fija]))))</f>
        <v>138.25091353424656</v>
      </c>
      <c r="W35" s="54" cm="1">
        <f t="array" ref="W35">(((TabImpuestos[[#This Row],[Ingreso ordinario]]-(VLOOKUP(TabImpuestos[[#This Row],[Ingreso ordinario]],TabISR[],COLUMN(TabISR[Límite inferior]))))*(VLOOKUP(TabImpuestos[[#This Row],[Ingreso ordinario]],TabISR[],COLUMN(TabISR[Por ciento para aplicarse sobre el excedente del límite inferior]))))+(VLOOKUP(TabImpuestos[[#This Row],[Ingreso ordinario]],TabISR[],COLUMN(TabISR[Cuota fija]))))</f>
        <v>146.92135999999999</v>
      </c>
      <c r="X35" s="54">
        <f>TabImpuestos[[#This Row],[ISR Por ingresos totales]]-TabImpuestos[[#This Row],[ISR por ingreso ordinario]]</f>
        <v>-8.6704464657534288</v>
      </c>
      <c r="Y35" s="236">
        <f>TabImpuestos[[#This Row],[Diferencia de ISR''s]]/TabImpuestos[[#This Row],[Aguinaldo Gravado Mensual]]</f>
        <v>6.4000000000000029E-2</v>
      </c>
      <c r="Z35" s="54" cm="1">
        <f t="array" ref="Z35">IFERROR(IF('Desglose Salarios Fiscal'!$Q$1=1,((15*VLOOKUP(TabImpuestos[[#This Row],[ID]],TabEmpleados[],COLUMN(TabEmpleados[SD Fiscal]),FALSE))-(30*SMDF))*TabImpuestos[[#This Row],[Tasa D %]],0),0)</f>
        <v>-104.10240000000005</v>
      </c>
    </row>
    <row r="36" spans="1:26" x14ac:dyDescent="0.25">
      <c r="A36">
        <f t="shared" si="0"/>
        <v>34</v>
      </c>
      <c r="B36" t="str" cm="1">
        <f t="array" ref="B36">VLOOKUP(A36,TabEmpleados[],COLUMN(TabEmpleados[Nombre]),FALSE)</f>
        <v>ESPINOSA RUBIÑOS CARLOS RAMON</v>
      </c>
      <c r="C36" s="54" cm="1">
        <f t="array" ref="C36">(VLOOKUP(TabImpuestos[[#This Row],[ID]],TabEmpleados[],COLUMN(TabEmpleados[SD Fiscal]))*VLOOKUP(TabImpuestos[[#This Row],[ID]],TabAsistencias[],COLUMN(TabAsistencias[''Total de dias laborados])))+
TabImpuestos[[#This Row],[Bono Asistencia]]+TabImpuestos[[#This Row],[Bono Puntualidad]]+TabImpuestos[[#This Row],[Prima Dominical]]+TabImpuestos[[#This Row],[Prima Vacacional]]+TabImpuestos[[#This Row],[Bono Festivo/ Descanso]]</f>
        <v>6735.0884999999998</v>
      </c>
      <c r="D36" s="54" cm="1">
        <f t="array" ref="D36">VLOOKUP(TabImpuestos[[#This Row],[ID]],TabDesSalariosFiscal[],COLUMN(TabDesSalariosFiscal[Bono Asistencia]),FALSE)</f>
        <v>630.04425000000003</v>
      </c>
      <c r="E36" s="54" cm="1">
        <f t="array" ref="E36">VLOOKUP(TabImpuestos[[#This Row],[ID]],TabDesSalariosFiscal[],COLUMN(TabDesSalariosFiscal[Bono Puntualidad]),FALSE)</f>
        <v>630.04425000000003</v>
      </c>
      <c r="F36" s="54" cm="1">
        <f t="array" ref="F36">IF(VLOOKUP(TabImpuestos[[#This Row],[ID]],TabDesSalariosFiscal[],COLUMN(TabDesSalariosFiscal[Prima dominical]),FALSE)-SMDF&lt;0,0,VLOOKUP(TabImpuestos[[#This Row],[ID]],TabDesSalariosFiscal[],COLUMN(TabDesSalariosFiscal[Prima dominical]),FALSE)-SMDF)</f>
        <v>0</v>
      </c>
      <c r="G36" s="54" cm="1">
        <f t="array" ref="G36">IF(VLOOKUP(TabImpuestos[[#This Row],[ID]],TabDesSalariosFiscal[],COLUMN(TabDesSalariosFiscal[Prima vacacional]),FALSE)-(15*SMDF)&lt;0,0,VLOOKUP(TabImpuestos[[#This Row],[ID]],TabDesSalariosFiscal[],COLUMN(TabDesSalariosFiscal[Prima vacacional]),FALSE)-(15*SMDF))</f>
        <v>0</v>
      </c>
      <c r="H36" s="54" cm="1">
        <f t="array" ref="H36">(VLOOKUP(TabImpuestos[[#This Row],[ID]],TabDesSalariosFiscal[],COLUMN(TabDesSalariosFiscal[Dia Festivo/ Descanso]),FALSE)*50%)</f>
        <v>0</v>
      </c>
      <c r="I36" s="54" cm="1">
        <f t="array" ref="I36">IFERROR(VLOOKUP(TabImpuestos[[#This Row],[Base Gravable]],TabISR[],COLUMN(TabISR[Límite inferior])),0)</f>
        <v>6382.81</v>
      </c>
      <c r="J36" s="54">
        <f>IFERROR(TabImpuestos[[#This Row],[Base Gravable]]-TabImpuestos[[#This Row],[(-) Lim. Inferior]],0)</f>
        <v>352.27849999999944</v>
      </c>
      <c r="K36" s="236" cm="1">
        <f t="array" ref="K36">IFERROR(VLOOKUP(TabImpuestos[[#This Row],[Base Gravable]],TabISR[],COLUMN(TabISR[Por ciento para aplicarse sobre el excedente del límite inferior])),0)</f>
        <v>0.1792</v>
      </c>
      <c r="L36" s="54">
        <f>IFERROR(TabImpuestos[[#This Row],[EXC. Lim. Inferior]]*TabImpuestos[[#This Row],[(*) % Lim. Inf.]],0)</f>
        <v>63.128307199999902</v>
      </c>
      <c r="M36" s="54" cm="1">
        <f t="array" ref="M36">IFERROR(VLOOKUP(TabImpuestos[[#This Row],[Base Gravable]],TabISR[],COLUMN(TabISR[Cuota fija])),0)</f>
        <v>583.65</v>
      </c>
      <c r="N36" s="54">
        <f>IFERROR(TabImpuestos[[#This Row],[Impuesto marginal]]+TabImpuestos[[#This Row],[(+) Cuota Fija]],0)</f>
        <v>646.77830719999986</v>
      </c>
      <c r="O36" s="54" cm="1">
        <f t="array" ref="O36">IFERROR(VLOOKUP(TabImpuestos[[#This Row],[Base Gravable]],TabSubsidio[],COLUMN(TabSubsidio[SUBSIDIO])),0)</f>
        <v>0</v>
      </c>
      <c r="P36" s="54">
        <f>IFERROR(TabImpuestos[[#This Row],[Imp. Art. 96 ISR]]-TabImpuestos[[#This Row],[(-) Subsidio para el empleo]],0)</f>
        <v>646.77830719999986</v>
      </c>
      <c r="Q36" s="54" cm="1">
        <f t="array" ref="Q36">IF('Desglose Salarios Fiscal'!$Q$1=1,TabImpuestos[[#This Row],[Ingreso ordinario]]+((15*VLOOKUP(TabImpuestos[[#This Row],[ID]],TabEmpleados[],COLUMN(TabEmpleados[SD Fiscal]),FALSE))-(30*SMDF)),0)</f>
        <v>518.40000000000009</v>
      </c>
      <c r="R36" s="54" cm="1">
        <f t="array" ref="R36">IF('Desglose Salarios Fiscal'!$Q$1=1,(VLOOKUP(TabImpuestos[[#This Row],[ID]],TabEmpleados[],COLUMN(TabEmpleados[SD Fiscal]),FALSE)*30.4)-TabImpuestos[[#This Row],[(-) Subsidio para el empleo]],0)</f>
        <v>2280</v>
      </c>
      <c r="S36" s="54" cm="1">
        <f t="array" ref="S36">IFERROR(IF('Desglose Salarios Fiscal'!$Q$1=1,IFERROR((((TabImpuestos[[#This Row],[Ingreso Neto]]-(VLOOKUP(TabImpuestos[[#This Row],[Ingreso Neto]],TabISR[],COLUMN(TabISR[Límite inferior]))))*(VLOOKUP(TabImpuestos[[#This Row],[Ingreso Neto]],TabISR[],COLUMN(TabISR[Por ciento para aplicarse sobre el excedente del límite inferior]))))+(VLOOKUP(TabImpuestos[[#This Row],[Ingreso Neto]],TabISR[],COLUMN(TabISR[Cuota fija]))))-(((TabImpuestos[[#This Row],[Ingreso ordinario]]-(VLOOKUP(TabImpuestos[[#This Row],[Ingreso ordinario]],TabISR[],COLUMN(TabISR[Límite inferior]))))*(VLOOKUP(TabImpuestos[[#This Row],[Ingreso ordinario]],TabISR[],COLUMN(TabISR[Por ciento para aplicarse sobre el excedente del límite inferior]))))+(VLOOKUP(TabImpuestos[[#This Row],[Ingreso ordinario]],TabISR[],COLUMN(TabISR[Cuota fija])))),0),0),0)</f>
        <v>-112.74239999999998</v>
      </c>
      <c r="T36" s="54" cm="1">
        <f t="array" ref="T36">((15*VLOOKUP(TabImpuestos[[#This Row],[ID]],TabEmpleados[],COLUMN(TabEmpleados[SD Fiscal]),FALSE))-(30*SMDF))/365*30.4</f>
        <v>-146.71956164383559</v>
      </c>
      <c r="U36" s="54">
        <f>TabImpuestos[[#This Row],[Ingreso ordinario]]+TabImpuestos[[#This Row],[Aguinaldo Gravado Mensual]]</f>
        <v>2133.2804383561643</v>
      </c>
      <c r="V36" s="54" cm="1">
        <f t="array" ref="V36">(((TabImpuestos[[#This Row],[Ingresos totales]]-(VLOOKUP(TabImpuestos[[#This Row],[Ingresos totales]],TabISR[],COLUMN(TabISR[Límite inferior]))))*(VLOOKUP(TabImpuestos[[#This Row],[Ingresos totales]],TabISR[],COLUMN(TabISR[Por ciento para aplicarse sobre el excedente del límite inferior]))))+(VLOOKUP(TabImpuestos[[#This Row],[Ingresos totales]],TabISR[],COLUMN(TabISR[Cuota fija]))))</f>
        <v>120.0209080547945</v>
      </c>
      <c r="W36" s="54" cm="1">
        <f t="array" ref="W36">(((TabImpuestos[[#This Row],[Ingreso ordinario]]-(VLOOKUP(TabImpuestos[[#This Row],[Ingreso ordinario]],TabISR[],COLUMN(TabISR[Límite inferior]))))*(VLOOKUP(TabImpuestos[[#This Row],[Ingreso ordinario]],TabISR[],COLUMN(TabISR[Por ciento para aplicarse sobre el excedente del límite inferior]))))+(VLOOKUP(TabImpuestos[[#This Row],[Ingreso ordinario]],TabISR[],COLUMN(TabISR[Cuota fija]))))</f>
        <v>129.41095999999999</v>
      </c>
      <c r="X36" s="54">
        <f>TabImpuestos[[#This Row],[ISR Por ingresos totales]]-TabImpuestos[[#This Row],[ISR por ingreso ordinario]]</f>
        <v>-9.3900519452054851</v>
      </c>
      <c r="Y36" s="236">
        <f>TabImpuestos[[#This Row],[Diferencia de ISR''s]]/TabImpuestos[[#This Row],[Aguinaldo Gravado Mensual]]</f>
        <v>6.4000000000000057E-2</v>
      </c>
      <c r="Z36" s="54" cm="1">
        <f t="array" ref="Z36">IFERROR(IF('Desglose Salarios Fiscal'!$Q$1=1,((15*VLOOKUP(TabImpuestos[[#This Row],[ID]],TabEmpleados[],COLUMN(TabEmpleados[SD Fiscal]),FALSE))-(30*SMDF))*TabImpuestos[[#This Row],[Tasa D %]],0),0)</f>
        <v>-112.74240000000009</v>
      </c>
    </row>
    <row r="37" spans="1:26" x14ac:dyDescent="0.25">
      <c r="A37" s="31">
        <f t="shared" si="0"/>
        <v>35</v>
      </c>
      <c r="B37" s="30" t="str" cm="1">
        <f t="array" ref="B37">VLOOKUP(A37,TabEmpleados[],COLUMN(TabEmpleados[Nombre]),FALSE)</f>
        <v>MARTINEZ VICENTE RENE SAID</v>
      </c>
      <c r="C37" s="54" cm="1">
        <f t="array" ref="C37">(VLOOKUP(TabImpuestos[[#This Row],[ID]],TabEmpleados[],COLUMN(TabEmpleados[SD Fiscal]))*VLOOKUP(TabImpuestos[[#This Row],[ID]],TabAsistencias[],COLUMN(TabAsistencias[''Total de dias laborados])))+
TabImpuestos[[#This Row],[Bono Asistencia]]+TabImpuestos[[#This Row],[Bono Puntualidad]]+TabImpuestos[[#This Row],[Prima Dominical]]+TabImpuestos[[#This Row],[Prima Vacacional]]+TabImpuestos[[#This Row],[Bono Festivo/ Descanso]]</f>
        <v>7543.2991199999997</v>
      </c>
      <c r="D37" s="54" cm="1">
        <f t="array" ref="D37">VLOOKUP(TabImpuestos[[#This Row],[ID]],TabDesSalariosFiscal[],COLUMN(TabDesSalariosFiscal[Bono Asistencia]),FALSE)</f>
        <v>705.64956000000006</v>
      </c>
      <c r="E37" s="54" cm="1">
        <f t="array" ref="E37">VLOOKUP(TabImpuestos[[#This Row],[ID]],TabDesSalariosFiscal[],COLUMN(TabDesSalariosFiscal[Bono Puntualidad]),FALSE)</f>
        <v>705.64956000000006</v>
      </c>
      <c r="F37" s="54" cm="1">
        <f t="array" ref="F37">IF(VLOOKUP(TabImpuestos[[#This Row],[ID]],TabDesSalariosFiscal[],COLUMN(TabDesSalariosFiscal[Prima dominical]),FALSE)-SMDF&lt;0,0,VLOOKUP(TabImpuestos[[#This Row],[ID]],TabDesSalariosFiscal[],COLUMN(TabDesSalariosFiscal[Prima dominical]),FALSE)-SMDF)</f>
        <v>0</v>
      </c>
      <c r="G37" s="54" cm="1">
        <f t="array" ref="G37">IF(VLOOKUP(TabImpuestos[[#This Row],[ID]],TabDesSalariosFiscal[],COLUMN(TabDesSalariosFiscal[Prima vacacional]),FALSE)-(15*SMDF)&lt;0,0,VLOOKUP(TabImpuestos[[#This Row],[ID]],TabDesSalariosFiscal[],COLUMN(TabDesSalariosFiscal[Prima vacacional]),FALSE)-(15*SMDF))</f>
        <v>0</v>
      </c>
      <c r="H37" s="54" cm="1">
        <f t="array" ref="H37">(VLOOKUP(TabImpuestos[[#This Row],[ID]],TabDesSalariosFiscal[],COLUMN(TabDesSalariosFiscal[Dia Festivo/ Descanso]),FALSE)*50%)</f>
        <v>0</v>
      </c>
      <c r="I37" s="54" cm="1">
        <f t="array" ref="I37">IFERROR(VLOOKUP(TabImpuestos[[#This Row],[Base Gravable]],TabISR[],COLUMN(TabISR[Límite inferior])),0)</f>
        <v>6382.81</v>
      </c>
      <c r="J37" s="54">
        <f>IFERROR(TabImpuestos[[#This Row],[Base Gravable]]-TabImpuestos[[#This Row],[(-) Lim. Inferior]],0)</f>
        <v>1160.4891199999993</v>
      </c>
      <c r="K37" s="236" cm="1">
        <f t="array" ref="K37">IFERROR(VLOOKUP(TabImpuestos[[#This Row],[Base Gravable]],TabISR[],COLUMN(TabISR[Por ciento para aplicarse sobre el excedente del límite inferior])),0)</f>
        <v>0.1792</v>
      </c>
      <c r="L37" s="54">
        <f>IFERROR(TabImpuestos[[#This Row],[EXC. Lim. Inferior]]*TabImpuestos[[#This Row],[(*) % Lim. Inf.]],0)</f>
        <v>207.95965030399987</v>
      </c>
      <c r="M37" s="54" cm="1">
        <f t="array" ref="M37">IFERROR(VLOOKUP(TabImpuestos[[#This Row],[Base Gravable]],TabISR[],COLUMN(TabISR[Cuota fija])),0)</f>
        <v>583.65</v>
      </c>
      <c r="N37" s="54">
        <f>IFERROR(TabImpuestos[[#This Row],[Impuesto marginal]]+TabImpuestos[[#This Row],[(+) Cuota Fija]],0)</f>
        <v>791.60965030399984</v>
      </c>
      <c r="O37" s="54" cm="1">
        <f t="array" ref="O37">IFERROR(VLOOKUP(TabImpuestos[[#This Row],[Base Gravable]],TabSubsidio[],COLUMN(TabSubsidio[SUBSIDIO])),0)</f>
        <v>0</v>
      </c>
      <c r="P37" s="54">
        <f>IFERROR(TabImpuestos[[#This Row],[Imp. Art. 96 ISR]]-TabImpuestos[[#This Row],[(-) Subsidio para el empleo]],0)</f>
        <v>791.60965030399984</v>
      </c>
      <c r="Q37" s="54" cm="1">
        <f t="array" ref="Q37">IF('Desglose Salarios Fiscal'!$Q$1=1,TabImpuestos[[#This Row],[Ingreso ordinario]]+((15*VLOOKUP(TabImpuestos[[#This Row],[ID]],TabEmpleados[],COLUMN(TabEmpleados[SD Fiscal]),FALSE))-(30*SMDF)),0)</f>
        <v>927</v>
      </c>
      <c r="R37" s="54" cm="1">
        <f t="array" ref="R37">IF('Desglose Salarios Fiscal'!$Q$1=1,(VLOOKUP(TabImpuestos[[#This Row],[ID]],TabEmpleados[],COLUMN(TabEmpleados[SD Fiscal]),FALSE)*30.4)-TabImpuestos[[#This Row],[(-) Subsidio para el empleo]],0)</f>
        <v>2553.6</v>
      </c>
      <c r="S37" s="54" cm="1">
        <f t="array" ref="S37">IFERROR(IF('Desglose Salarios Fiscal'!$Q$1=1,IFERROR((((TabImpuestos[[#This Row],[Ingreso Neto]]-(VLOOKUP(TabImpuestos[[#This Row],[Ingreso Neto]],TabISR[],COLUMN(TabISR[Límite inferior]))))*(VLOOKUP(TabImpuestos[[#This Row],[Ingreso Neto]],TabISR[],COLUMN(TabISR[Por ciento para aplicarse sobre el excedente del límite inferior]))))+(VLOOKUP(TabImpuestos[[#This Row],[Ingreso Neto]],TabISR[],COLUMN(TabISR[Cuota fija]))))-(((TabImpuestos[[#This Row],[Ingreso ordinario]]-(VLOOKUP(TabImpuestos[[#This Row],[Ingreso ordinario]],TabISR[],COLUMN(TabISR[Límite inferior]))))*(VLOOKUP(TabImpuestos[[#This Row],[Ingreso ordinario]],TabISR[],COLUMN(TabISR[Por ciento para aplicarse sobre el excedente del límite inferior]))))+(VLOOKUP(TabImpuestos[[#This Row],[Ingreso ordinario]],TabISR[],COLUMN(TabISR[Cuota fija])))),0),0),0)</f>
        <v>-104.10239999999999</v>
      </c>
      <c r="T37" s="54" cm="1">
        <f t="array" ref="T37">((15*VLOOKUP(TabImpuestos[[#This Row],[ID]],TabEmpleados[],COLUMN(TabEmpleados[SD Fiscal]),FALSE))-(30*SMDF))/365*30.4</f>
        <v>-135.47572602739726</v>
      </c>
      <c r="U37" s="54">
        <f>TabImpuestos[[#This Row],[Ingreso ordinario]]+TabImpuestos[[#This Row],[Aguinaldo Gravado Mensual]]</f>
        <v>2418.1242739726026</v>
      </c>
      <c r="V37" s="54" cm="1">
        <f t="array" ref="V37">(((TabImpuestos[[#This Row],[Ingresos totales]]-(VLOOKUP(TabImpuestos[[#This Row],[Ingresos totales]],TabISR[],COLUMN(TabISR[Límite inferior]))))*(VLOOKUP(TabImpuestos[[#This Row],[Ingresos totales]],TabISR[],COLUMN(TabISR[Por ciento para aplicarse sobre el excedente del límite inferior]))))+(VLOOKUP(TabImpuestos[[#This Row],[Ingresos totales]],TabISR[],COLUMN(TabISR[Cuota fija]))))</f>
        <v>138.25091353424656</v>
      </c>
      <c r="W37" s="54" cm="1">
        <f t="array" ref="W37">(((TabImpuestos[[#This Row],[Ingreso ordinario]]-(VLOOKUP(TabImpuestos[[#This Row],[Ingreso ordinario]],TabISR[],COLUMN(TabISR[Límite inferior]))))*(VLOOKUP(TabImpuestos[[#This Row],[Ingreso ordinario]],TabISR[],COLUMN(TabISR[Por ciento para aplicarse sobre el excedente del límite inferior]))))+(VLOOKUP(TabImpuestos[[#This Row],[Ingreso ordinario]],TabISR[],COLUMN(TabISR[Cuota fija]))))</f>
        <v>146.92135999999999</v>
      </c>
      <c r="X37" s="54">
        <f>TabImpuestos[[#This Row],[ISR Por ingresos totales]]-TabImpuestos[[#This Row],[ISR por ingreso ordinario]]</f>
        <v>-8.6704464657534288</v>
      </c>
      <c r="Y37" s="236">
        <f>TabImpuestos[[#This Row],[Diferencia de ISR''s]]/TabImpuestos[[#This Row],[Aguinaldo Gravado Mensual]]</f>
        <v>6.4000000000000029E-2</v>
      </c>
      <c r="Z37" s="54" cm="1">
        <f t="array" ref="Z37">IFERROR(IF('Desglose Salarios Fiscal'!$Q$1=1,((15*VLOOKUP(TabImpuestos[[#This Row],[ID]],TabEmpleados[],COLUMN(TabEmpleados[SD Fiscal]),FALSE))-(30*SMDF))*TabImpuestos[[#This Row],[Tasa D %]],0),0)</f>
        <v>-104.10240000000005</v>
      </c>
    </row>
    <row r="38" spans="1:26" x14ac:dyDescent="0.25">
      <c r="A38">
        <f t="shared" si="0"/>
        <v>36</v>
      </c>
      <c r="B38" t="str" cm="1">
        <f t="array" ref="B38">VLOOKUP(A38,TabEmpleados[],COLUMN(TabEmpleados[Nombre]),FALSE)</f>
        <v>LORENZANA DIAZ IGNACIO DEMETRIO</v>
      </c>
      <c r="C38" s="54" cm="1">
        <f t="array" ref="C38">(VLOOKUP(TabImpuestos[[#This Row],[ID]],TabEmpleados[],COLUMN(TabEmpleados[SD Fiscal]))*VLOOKUP(TabImpuestos[[#This Row],[ID]],TabAsistencias[],COLUMN(TabAsistencias[''Total de dias laborados])))+
TabImpuestos[[#This Row],[Bono Asistencia]]+TabImpuestos[[#This Row],[Bono Puntualidad]]+TabImpuestos[[#This Row],[Prima Dominical]]+TabImpuestos[[#This Row],[Prima Vacacional]]+TabImpuestos[[#This Row],[Bono Festivo/ Descanso]]</f>
        <v>6735.0884999999998</v>
      </c>
      <c r="D38" s="54" cm="1">
        <f t="array" ref="D38">VLOOKUP(TabImpuestos[[#This Row],[ID]],TabDesSalariosFiscal[],COLUMN(TabDesSalariosFiscal[Bono Asistencia]),FALSE)</f>
        <v>630.04425000000003</v>
      </c>
      <c r="E38" s="54" cm="1">
        <f t="array" ref="E38">VLOOKUP(TabImpuestos[[#This Row],[ID]],TabDesSalariosFiscal[],COLUMN(TabDesSalariosFiscal[Bono Puntualidad]),FALSE)</f>
        <v>630.04425000000003</v>
      </c>
      <c r="F38" s="54" cm="1">
        <f t="array" ref="F38">IF(VLOOKUP(TabImpuestos[[#This Row],[ID]],TabDesSalariosFiscal[],COLUMN(TabDesSalariosFiscal[Prima dominical]),FALSE)-SMDF&lt;0,0,VLOOKUP(TabImpuestos[[#This Row],[ID]],TabDesSalariosFiscal[],COLUMN(TabDesSalariosFiscal[Prima dominical]),FALSE)-SMDF)</f>
        <v>0</v>
      </c>
      <c r="G38" s="54" cm="1">
        <f t="array" ref="G38">IF(VLOOKUP(TabImpuestos[[#This Row],[ID]],TabDesSalariosFiscal[],COLUMN(TabDesSalariosFiscal[Prima vacacional]),FALSE)-(15*SMDF)&lt;0,0,VLOOKUP(TabImpuestos[[#This Row],[ID]],TabDesSalariosFiscal[],COLUMN(TabDesSalariosFiscal[Prima vacacional]),FALSE)-(15*SMDF))</f>
        <v>0</v>
      </c>
      <c r="H38" s="54" cm="1">
        <f t="array" ref="H38">(VLOOKUP(TabImpuestos[[#This Row],[ID]],TabDesSalariosFiscal[],COLUMN(TabDesSalariosFiscal[Dia Festivo/ Descanso]),FALSE)*50%)</f>
        <v>0</v>
      </c>
      <c r="I38" s="54" cm="1">
        <f t="array" ref="I38">IFERROR(VLOOKUP(TabImpuestos[[#This Row],[Base Gravable]],TabISR[],COLUMN(TabISR[Límite inferior])),0)</f>
        <v>6382.81</v>
      </c>
      <c r="J38" s="54">
        <f>IFERROR(TabImpuestos[[#This Row],[Base Gravable]]-TabImpuestos[[#This Row],[(-) Lim. Inferior]],0)</f>
        <v>352.27849999999944</v>
      </c>
      <c r="K38" s="236" cm="1">
        <f t="array" ref="K38">IFERROR(VLOOKUP(TabImpuestos[[#This Row],[Base Gravable]],TabISR[],COLUMN(TabISR[Por ciento para aplicarse sobre el excedente del límite inferior])),0)</f>
        <v>0.1792</v>
      </c>
      <c r="L38" s="54">
        <f>IFERROR(TabImpuestos[[#This Row],[EXC. Lim. Inferior]]*TabImpuestos[[#This Row],[(*) % Lim. Inf.]],0)</f>
        <v>63.128307199999902</v>
      </c>
      <c r="M38" s="54" cm="1">
        <f t="array" ref="M38">IFERROR(VLOOKUP(TabImpuestos[[#This Row],[Base Gravable]],TabISR[],COLUMN(TabISR[Cuota fija])),0)</f>
        <v>583.65</v>
      </c>
      <c r="N38" s="54">
        <f>IFERROR(TabImpuestos[[#This Row],[Impuesto marginal]]+TabImpuestos[[#This Row],[(+) Cuota Fija]],0)</f>
        <v>646.77830719999986</v>
      </c>
      <c r="O38" s="54" cm="1">
        <f t="array" ref="O38">IFERROR(VLOOKUP(TabImpuestos[[#This Row],[Base Gravable]],TabSubsidio[],COLUMN(TabSubsidio[SUBSIDIO])),0)</f>
        <v>0</v>
      </c>
      <c r="P38" s="54">
        <f>IFERROR(TabImpuestos[[#This Row],[Imp. Art. 96 ISR]]-TabImpuestos[[#This Row],[(-) Subsidio para el empleo]],0)</f>
        <v>646.77830719999986</v>
      </c>
      <c r="Q38" s="54" cm="1">
        <f t="array" ref="Q38">IF('Desglose Salarios Fiscal'!$Q$1=1,TabImpuestos[[#This Row],[Ingreso ordinario]]+((15*VLOOKUP(TabImpuestos[[#This Row],[ID]],TabEmpleados[],COLUMN(TabEmpleados[SD Fiscal]),FALSE))-(30*SMDF)),0)</f>
        <v>518.40000000000009</v>
      </c>
      <c r="R38" s="54" cm="1">
        <f t="array" ref="R38">IF('Desglose Salarios Fiscal'!$Q$1=1,(VLOOKUP(TabImpuestos[[#This Row],[ID]],TabEmpleados[],COLUMN(TabEmpleados[SD Fiscal]),FALSE)*30.4)-TabImpuestos[[#This Row],[(-) Subsidio para el empleo]],0)</f>
        <v>2280</v>
      </c>
      <c r="S38" s="54" cm="1">
        <f t="array" ref="S38">IFERROR(IF('Desglose Salarios Fiscal'!$Q$1=1,IFERROR((((TabImpuestos[[#This Row],[Ingreso Neto]]-(VLOOKUP(TabImpuestos[[#This Row],[Ingreso Neto]],TabISR[],COLUMN(TabISR[Límite inferior]))))*(VLOOKUP(TabImpuestos[[#This Row],[Ingreso Neto]],TabISR[],COLUMN(TabISR[Por ciento para aplicarse sobre el excedente del límite inferior]))))+(VLOOKUP(TabImpuestos[[#This Row],[Ingreso Neto]],TabISR[],COLUMN(TabISR[Cuota fija]))))-(((TabImpuestos[[#This Row],[Ingreso ordinario]]-(VLOOKUP(TabImpuestos[[#This Row],[Ingreso ordinario]],TabISR[],COLUMN(TabISR[Límite inferior]))))*(VLOOKUP(TabImpuestos[[#This Row],[Ingreso ordinario]],TabISR[],COLUMN(TabISR[Por ciento para aplicarse sobre el excedente del límite inferior]))))+(VLOOKUP(TabImpuestos[[#This Row],[Ingreso ordinario]],TabISR[],COLUMN(TabISR[Cuota fija])))),0),0),0)</f>
        <v>-112.74239999999998</v>
      </c>
      <c r="T38" s="54" cm="1">
        <f t="array" ref="T38">((15*VLOOKUP(TabImpuestos[[#This Row],[ID]],TabEmpleados[],COLUMN(TabEmpleados[SD Fiscal]),FALSE))-(30*SMDF))/365*30.4</f>
        <v>-146.71956164383559</v>
      </c>
      <c r="U38" s="54">
        <f>TabImpuestos[[#This Row],[Ingreso ordinario]]+TabImpuestos[[#This Row],[Aguinaldo Gravado Mensual]]</f>
        <v>2133.2804383561643</v>
      </c>
      <c r="V38" s="54" cm="1">
        <f t="array" ref="V38">(((TabImpuestos[[#This Row],[Ingresos totales]]-(VLOOKUP(TabImpuestos[[#This Row],[Ingresos totales]],TabISR[],COLUMN(TabISR[Límite inferior]))))*(VLOOKUP(TabImpuestos[[#This Row],[Ingresos totales]],TabISR[],COLUMN(TabISR[Por ciento para aplicarse sobre el excedente del límite inferior]))))+(VLOOKUP(TabImpuestos[[#This Row],[Ingresos totales]],TabISR[],COLUMN(TabISR[Cuota fija]))))</f>
        <v>120.0209080547945</v>
      </c>
      <c r="W38" s="54" cm="1">
        <f t="array" ref="W38">(((TabImpuestos[[#This Row],[Ingreso ordinario]]-(VLOOKUP(TabImpuestos[[#This Row],[Ingreso ordinario]],TabISR[],COLUMN(TabISR[Límite inferior]))))*(VLOOKUP(TabImpuestos[[#This Row],[Ingreso ordinario]],TabISR[],COLUMN(TabISR[Por ciento para aplicarse sobre el excedente del límite inferior]))))+(VLOOKUP(TabImpuestos[[#This Row],[Ingreso ordinario]],TabISR[],COLUMN(TabISR[Cuota fija]))))</f>
        <v>129.41095999999999</v>
      </c>
      <c r="X38" s="54">
        <f>TabImpuestos[[#This Row],[ISR Por ingresos totales]]-TabImpuestos[[#This Row],[ISR por ingreso ordinario]]</f>
        <v>-9.3900519452054851</v>
      </c>
      <c r="Y38" s="236">
        <f>TabImpuestos[[#This Row],[Diferencia de ISR''s]]/TabImpuestos[[#This Row],[Aguinaldo Gravado Mensual]]</f>
        <v>6.4000000000000057E-2</v>
      </c>
      <c r="Z38" s="54" cm="1">
        <f t="array" ref="Z38">IFERROR(IF('Desglose Salarios Fiscal'!$Q$1=1,((15*VLOOKUP(TabImpuestos[[#This Row],[ID]],TabEmpleados[],COLUMN(TabEmpleados[SD Fiscal]),FALSE))-(30*SMDF))*TabImpuestos[[#This Row],[Tasa D %]],0),0)</f>
        <v>-112.74240000000009</v>
      </c>
    </row>
    <row r="39" spans="1:26" x14ac:dyDescent="0.25">
      <c r="A39" s="31">
        <f t="shared" si="0"/>
        <v>37</v>
      </c>
      <c r="B39" s="30" t="str" cm="1">
        <f t="array" ref="B39">VLOOKUP(A39,TabEmpleados[],COLUMN(TabEmpleados[Nombre]),FALSE)</f>
        <v>JIMENEZ VASQUEZ HISAI</v>
      </c>
      <c r="C39" s="54" cm="1">
        <f t="array" ref="C39">(VLOOKUP(TabImpuestos[[#This Row],[ID]],TabEmpleados[],COLUMN(TabEmpleados[SD Fiscal]))*VLOOKUP(TabImpuestos[[#This Row],[ID]],TabAsistencias[],COLUMN(TabAsistencias[''Total de dias laborados])))+
TabImpuestos[[#This Row],[Bono Asistencia]]+TabImpuestos[[#This Row],[Bono Puntualidad]]+TabImpuestos[[#This Row],[Prima Dominical]]+TabImpuestos[[#This Row],[Prima Vacacional]]+TabImpuestos[[#This Row],[Bono Festivo/ Descanso]]</f>
        <v>6735.0884999999998</v>
      </c>
      <c r="D39" s="54" cm="1">
        <f t="array" ref="D39">VLOOKUP(TabImpuestos[[#This Row],[ID]],TabDesSalariosFiscal[],COLUMN(TabDesSalariosFiscal[Bono Asistencia]),FALSE)</f>
        <v>630.04425000000003</v>
      </c>
      <c r="E39" s="54" cm="1">
        <f t="array" ref="E39">VLOOKUP(TabImpuestos[[#This Row],[ID]],TabDesSalariosFiscal[],COLUMN(TabDesSalariosFiscal[Bono Puntualidad]),FALSE)</f>
        <v>630.04425000000003</v>
      </c>
      <c r="F39" s="54" cm="1">
        <f t="array" ref="F39">IF(VLOOKUP(TabImpuestos[[#This Row],[ID]],TabDesSalariosFiscal[],COLUMN(TabDesSalariosFiscal[Prima dominical]),FALSE)-SMDF&lt;0,0,VLOOKUP(TabImpuestos[[#This Row],[ID]],TabDesSalariosFiscal[],COLUMN(TabDesSalariosFiscal[Prima dominical]),FALSE)-SMDF)</f>
        <v>0</v>
      </c>
      <c r="G39" s="54" cm="1">
        <f t="array" ref="G39">IF(VLOOKUP(TabImpuestos[[#This Row],[ID]],TabDesSalariosFiscal[],COLUMN(TabDesSalariosFiscal[Prima vacacional]),FALSE)-(15*SMDF)&lt;0,0,VLOOKUP(TabImpuestos[[#This Row],[ID]],TabDesSalariosFiscal[],COLUMN(TabDesSalariosFiscal[Prima vacacional]),FALSE)-(15*SMDF))</f>
        <v>0</v>
      </c>
      <c r="H39" s="54" cm="1">
        <f t="array" ref="H39">(VLOOKUP(TabImpuestos[[#This Row],[ID]],TabDesSalariosFiscal[],COLUMN(TabDesSalariosFiscal[Dia Festivo/ Descanso]),FALSE)*50%)</f>
        <v>0</v>
      </c>
      <c r="I39" s="54" cm="1">
        <f t="array" ref="I39">IFERROR(VLOOKUP(TabImpuestos[[#This Row],[Base Gravable]],TabISR[],COLUMN(TabISR[Límite inferior])),0)</f>
        <v>6382.81</v>
      </c>
      <c r="J39" s="54">
        <f>IFERROR(TabImpuestos[[#This Row],[Base Gravable]]-TabImpuestos[[#This Row],[(-) Lim. Inferior]],0)</f>
        <v>352.27849999999944</v>
      </c>
      <c r="K39" s="236" cm="1">
        <f t="array" ref="K39">IFERROR(VLOOKUP(TabImpuestos[[#This Row],[Base Gravable]],TabISR[],COLUMN(TabISR[Por ciento para aplicarse sobre el excedente del límite inferior])),0)</f>
        <v>0.1792</v>
      </c>
      <c r="L39" s="54">
        <f>IFERROR(TabImpuestos[[#This Row],[EXC. Lim. Inferior]]*TabImpuestos[[#This Row],[(*) % Lim. Inf.]],0)</f>
        <v>63.128307199999902</v>
      </c>
      <c r="M39" s="54" cm="1">
        <f t="array" ref="M39">IFERROR(VLOOKUP(TabImpuestos[[#This Row],[Base Gravable]],TabISR[],COLUMN(TabISR[Cuota fija])),0)</f>
        <v>583.65</v>
      </c>
      <c r="N39" s="54">
        <f>IFERROR(TabImpuestos[[#This Row],[Impuesto marginal]]+TabImpuestos[[#This Row],[(+) Cuota Fija]],0)</f>
        <v>646.77830719999986</v>
      </c>
      <c r="O39" s="54" cm="1">
        <f t="array" ref="O39">IFERROR(VLOOKUP(TabImpuestos[[#This Row],[Base Gravable]],TabSubsidio[],COLUMN(TabSubsidio[SUBSIDIO])),0)</f>
        <v>0</v>
      </c>
      <c r="P39" s="54">
        <f>IFERROR(TabImpuestos[[#This Row],[Imp. Art. 96 ISR]]-TabImpuestos[[#This Row],[(-) Subsidio para el empleo]],0)</f>
        <v>646.77830719999986</v>
      </c>
      <c r="Q39" s="54" cm="1">
        <f t="array" ref="Q39">IF('Desglose Salarios Fiscal'!$Q$1=1,TabImpuestos[[#This Row],[Ingreso ordinario]]+((15*VLOOKUP(TabImpuestos[[#This Row],[ID]],TabEmpleados[],COLUMN(TabEmpleados[SD Fiscal]),FALSE))-(30*SMDF)),0)</f>
        <v>518.40000000000009</v>
      </c>
      <c r="R39" s="54" cm="1">
        <f t="array" ref="R39">IF('Desglose Salarios Fiscal'!$Q$1=1,(VLOOKUP(TabImpuestos[[#This Row],[ID]],TabEmpleados[],COLUMN(TabEmpleados[SD Fiscal]),FALSE)*30.4)-TabImpuestos[[#This Row],[(-) Subsidio para el empleo]],0)</f>
        <v>2280</v>
      </c>
      <c r="S39" s="54" cm="1">
        <f t="array" ref="S39">IFERROR(IF('Desglose Salarios Fiscal'!$Q$1=1,IFERROR((((TabImpuestos[[#This Row],[Ingreso Neto]]-(VLOOKUP(TabImpuestos[[#This Row],[Ingreso Neto]],TabISR[],COLUMN(TabISR[Límite inferior]))))*(VLOOKUP(TabImpuestos[[#This Row],[Ingreso Neto]],TabISR[],COLUMN(TabISR[Por ciento para aplicarse sobre el excedente del límite inferior]))))+(VLOOKUP(TabImpuestos[[#This Row],[Ingreso Neto]],TabISR[],COLUMN(TabISR[Cuota fija]))))-(((TabImpuestos[[#This Row],[Ingreso ordinario]]-(VLOOKUP(TabImpuestos[[#This Row],[Ingreso ordinario]],TabISR[],COLUMN(TabISR[Límite inferior]))))*(VLOOKUP(TabImpuestos[[#This Row],[Ingreso ordinario]],TabISR[],COLUMN(TabISR[Por ciento para aplicarse sobre el excedente del límite inferior]))))+(VLOOKUP(TabImpuestos[[#This Row],[Ingreso ordinario]],TabISR[],COLUMN(TabISR[Cuota fija])))),0),0),0)</f>
        <v>-112.74239999999998</v>
      </c>
      <c r="T39" s="54" cm="1">
        <f t="array" ref="T39">((15*VLOOKUP(TabImpuestos[[#This Row],[ID]],TabEmpleados[],COLUMN(TabEmpleados[SD Fiscal]),FALSE))-(30*SMDF))/365*30.4</f>
        <v>-146.71956164383559</v>
      </c>
      <c r="U39" s="54">
        <f>TabImpuestos[[#This Row],[Ingreso ordinario]]+TabImpuestos[[#This Row],[Aguinaldo Gravado Mensual]]</f>
        <v>2133.2804383561643</v>
      </c>
      <c r="V39" s="54" cm="1">
        <f t="array" ref="V39">(((TabImpuestos[[#This Row],[Ingresos totales]]-(VLOOKUP(TabImpuestos[[#This Row],[Ingresos totales]],TabISR[],COLUMN(TabISR[Límite inferior]))))*(VLOOKUP(TabImpuestos[[#This Row],[Ingresos totales]],TabISR[],COLUMN(TabISR[Por ciento para aplicarse sobre el excedente del límite inferior]))))+(VLOOKUP(TabImpuestos[[#This Row],[Ingresos totales]],TabISR[],COLUMN(TabISR[Cuota fija]))))</f>
        <v>120.0209080547945</v>
      </c>
      <c r="W39" s="54" cm="1">
        <f t="array" ref="W39">(((TabImpuestos[[#This Row],[Ingreso ordinario]]-(VLOOKUP(TabImpuestos[[#This Row],[Ingreso ordinario]],TabISR[],COLUMN(TabISR[Límite inferior]))))*(VLOOKUP(TabImpuestos[[#This Row],[Ingreso ordinario]],TabISR[],COLUMN(TabISR[Por ciento para aplicarse sobre el excedente del límite inferior]))))+(VLOOKUP(TabImpuestos[[#This Row],[Ingreso ordinario]],TabISR[],COLUMN(TabISR[Cuota fija]))))</f>
        <v>129.41095999999999</v>
      </c>
      <c r="X39" s="54">
        <f>TabImpuestos[[#This Row],[ISR Por ingresos totales]]-TabImpuestos[[#This Row],[ISR por ingreso ordinario]]</f>
        <v>-9.3900519452054851</v>
      </c>
      <c r="Y39" s="236">
        <f>TabImpuestos[[#This Row],[Diferencia de ISR''s]]/TabImpuestos[[#This Row],[Aguinaldo Gravado Mensual]]</f>
        <v>6.4000000000000057E-2</v>
      </c>
      <c r="Z39" s="54" cm="1">
        <f t="array" ref="Z39">IFERROR(IF('Desglose Salarios Fiscal'!$Q$1=1,((15*VLOOKUP(TabImpuestos[[#This Row],[ID]],TabEmpleados[],COLUMN(TabEmpleados[SD Fiscal]),FALSE))-(30*SMDF))*TabImpuestos[[#This Row],[Tasa D %]],0),0)</f>
        <v>-112.74240000000009</v>
      </c>
    </row>
    <row r="40" spans="1:26" x14ac:dyDescent="0.25">
      <c r="A40">
        <f t="shared" si="0"/>
        <v>38</v>
      </c>
      <c r="B40" t="str" cm="1">
        <f t="array" ref="B40">VLOOKUP(A40,TabEmpleados[],COLUMN(TabEmpleados[Nombre]),FALSE)</f>
        <v>DIAZ LOPEZ JUAN FELIPE</v>
      </c>
      <c r="C40" s="54" cm="1">
        <f t="array" ref="C40">(VLOOKUP(TabImpuestos[[#This Row],[ID]],TabEmpleados[],COLUMN(TabEmpleados[SD Fiscal]))*VLOOKUP(TabImpuestos[[#This Row],[ID]],TabAsistencias[],COLUMN(TabAsistencias[''Total de dias laborados])))+
TabImpuestos[[#This Row],[Bono Asistencia]]+TabImpuestos[[#This Row],[Bono Puntualidad]]+TabImpuestos[[#This Row],[Prima Dominical]]+TabImpuestos[[#This Row],[Prima Vacacional]]+TabImpuestos[[#This Row],[Bono Festivo/ Descanso]]</f>
        <v>8082.1062000000002</v>
      </c>
      <c r="D40" s="54" cm="1">
        <f t="array" ref="D40">VLOOKUP(TabImpuestos[[#This Row],[ID]],TabDesSalariosFiscal[],COLUMN(TabDesSalariosFiscal[Bono Asistencia]),FALSE)</f>
        <v>756.05310000000009</v>
      </c>
      <c r="E40" s="54" cm="1">
        <f t="array" ref="E40">VLOOKUP(TabImpuestos[[#This Row],[ID]],TabDesSalariosFiscal[],COLUMN(TabDesSalariosFiscal[Bono Puntualidad]),FALSE)</f>
        <v>756.05310000000009</v>
      </c>
      <c r="F40" s="54" cm="1">
        <f t="array" ref="F40">IF(VLOOKUP(TabImpuestos[[#This Row],[ID]],TabDesSalariosFiscal[],COLUMN(TabDesSalariosFiscal[Prima dominical]),FALSE)-SMDF&lt;0,0,VLOOKUP(TabImpuestos[[#This Row],[ID]],TabDesSalariosFiscal[],COLUMN(TabDesSalariosFiscal[Prima dominical]),FALSE)-SMDF)</f>
        <v>0</v>
      </c>
      <c r="G40" s="54" cm="1">
        <f t="array" ref="G40">IF(VLOOKUP(TabImpuestos[[#This Row],[ID]],TabDesSalariosFiscal[],COLUMN(TabDesSalariosFiscal[Prima vacacional]),FALSE)-(15*SMDF)&lt;0,0,VLOOKUP(TabImpuestos[[#This Row],[ID]],TabDesSalariosFiscal[],COLUMN(TabDesSalariosFiscal[Prima vacacional]),FALSE)-(15*SMDF))</f>
        <v>0</v>
      </c>
      <c r="H40" s="54" cm="1">
        <f t="array" ref="H40">(VLOOKUP(TabImpuestos[[#This Row],[ID]],TabDesSalariosFiscal[],COLUMN(TabDesSalariosFiscal[Dia Festivo/ Descanso]),FALSE)*50%)</f>
        <v>0</v>
      </c>
      <c r="I40" s="54" cm="1">
        <f t="array" ref="I40">IFERROR(VLOOKUP(TabImpuestos[[#This Row],[Base Gravable]],TabISR[],COLUMN(TabISR[Límite inferior])),0)</f>
        <v>7641.91</v>
      </c>
      <c r="J40" s="54">
        <f>IFERROR(TabImpuestos[[#This Row],[Base Gravable]]-TabImpuestos[[#This Row],[(-) Lim. Inferior]],0)</f>
        <v>440.19620000000032</v>
      </c>
      <c r="K40" s="236" cm="1">
        <f t="array" ref="K40">IFERROR(VLOOKUP(TabImpuestos[[#This Row],[Base Gravable]],TabISR[],COLUMN(TabISR[Por ciento para aplicarse sobre el excedente del límite inferior])),0)</f>
        <v>0.21360000000000001</v>
      </c>
      <c r="L40" s="54">
        <f>IFERROR(TabImpuestos[[#This Row],[EXC. Lim. Inferior]]*TabImpuestos[[#This Row],[(*) % Lim. Inf.]],0)</f>
        <v>94.02590832000007</v>
      </c>
      <c r="M40" s="54" cm="1">
        <f t="array" ref="M40">IFERROR(VLOOKUP(TabImpuestos[[#This Row],[Base Gravable]],TabISR[],COLUMN(TabISR[Cuota fija])),0)</f>
        <v>809.25</v>
      </c>
      <c r="N40" s="54">
        <f>IFERROR(TabImpuestos[[#This Row],[Impuesto marginal]]+TabImpuestos[[#This Row],[(+) Cuota Fija]],0)</f>
        <v>903.2759083200001</v>
      </c>
      <c r="O40" s="54" cm="1">
        <f t="array" ref="O40">IFERROR(VLOOKUP(TabImpuestos[[#This Row],[Base Gravable]],TabSubsidio[],COLUMN(TabSubsidio[SUBSIDIO])),0)</f>
        <v>0</v>
      </c>
      <c r="P40" s="54">
        <f>IFERROR(TabImpuestos[[#This Row],[Imp. Art. 96 ISR]]-TabImpuestos[[#This Row],[(-) Subsidio para el empleo]],0)</f>
        <v>903.2759083200001</v>
      </c>
      <c r="Q40" s="54" cm="1">
        <f t="array" ref="Q40">IF('Desglose Salarios Fiscal'!$Q$1=1,TabImpuestos[[#This Row],[Ingreso ordinario]]+((15*VLOOKUP(TabImpuestos[[#This Row],[ID]],TabEmpleados[],COLUMN(TabEmpleados[SD Fiscal]),FALSE))-(30*SMDF)),0)</f>
        <v>1199.4000000000001</v>
      </c>
      <c r="R40" s="54" cm="1">
        <f t="array" ref="R40">IF('Desglose Salarios Fiscal'!$Q$1=1,(VLOOKUP(TabImpuestos[[#This Row],[ID]],TabEmpleados[],COLUMN(TabEmpleados[SD Fiscal]),FALSE)*30.4)-TabImpuestos[[#This Row],[(-) Subsidio para el empleo]],0)</f>
        <v>2736</v>
      </c>
      <c r="S40" s="54" cm="1">
        <f t="array" ref="S40">IFERROR(IF('Desglose Salarios Fiscal'!$Q$1=1,IFERROR((((TabImpuestos[[#This Row],[Ingreso Neto]]-(VLOOKUP(TabImpuestos[[#This Row],[Ingreso Neto]],TabISR[],COLUMN(TabISR[Límite inferior]))))*(VLOOKUP(TabImpuestos[[#This Row],[Ingreso Neto]],TabISR[],COLUMN(TabISR[Por ciento para aplicarse sobre el excedente del límite inferior]))))+(VLOOKUP(TabImpuestos[[#This Row],[Ingreso Neto]],TabISR[],COLUMN(TabISR[Cuota fija]))))-(((TabImpuestos[[#This Row],[Ingreso ordinario]]-(VLOOKUP(TabImpuestos[[#This Row],[Ingreso ordinario]],TabISR[],COLUMN(TabISR[Límite inferior]))))*(VLOOKUP(TabImpuestos[[#This Row],[Ingreso ordinario]],TabISR[],COLUMN(TabISR[Por ciento para aplicarse sobre el excedente del límite inferior]))))+(VLOOKUP(TabImpuestos[[#This Row],[Ingreso ordinario]],TabISR[],COLUMN(TabISR[Cuota fija])))),0),0),0)</f>
        <v>-98.342400000000012</v>
      </c>
      <c r="T40" s="54" cm="1">
        <f t="array" ref="T40">((15*VLOOKUP(TabImpuestos[[#This Row],[ID]],TabEmpleados[],COLUMN(TabEmpleados[SD Fiscal]),FALSE))-(30*SMDF))/365*30.4</f>
        <v>-127.97983561643835</v>
      </c>
      <c r="U40" s="54">
        <f>TabImpuestos[[#This Row],[Ingreso ordinario]]+TabImpuestos[[#This Row],[Aguinaldo Gravado Mensual]]</f>
        <v>2608.0201643835617</v>
      </c>
      <c r="V40" s="54" cm="1">
        <f t="array" ref="V40">(((TabImpuestos[[#This Row],[Ingresos totales]]-(VLOOKUP(TabImpuestos[[#This Row],[Ingresos totales]],TabISR[],COLUMN(TabISR[Límite inferior]))))*(VLOOKUP(TabImpuestos[[#This Row],[Ingresos totales]],TabISR[],COLUMN(TabISR[Por ciento para aplicarse sobre el excedente del límite inferior]))))+(VLOOKUP(TabImpuestos[[#This Row],[Ingresos totales]],TabISR[],COLUMN(TabISR[Cuota fija]))))</f>
        <v>150.40425052054795</v>
      </c>
      <c r="W40" s="54" cm="1">
        <f t="array" ref="W40">(((TabImpuestos[[#This Row],[Ingreso ordinario]]-(VLOOKUP(TabImpuestos[[#This Row],[Ingreso ordinario]],TabISR[],COLUMN(TabISR[Límite inferior]))))*(VLOOKUP(TabImpuestos[[#This Row],[Ingreso ordinario]],TabISR[],COLUMN(TabISR[Por ciento para aplicarse sobre el excedente del límite inferior]))))+(VLOOKUP(TabImpuestos[[#This Row],[Ingreso ordinario]],TabISR[],COLUMN(TabISR[Cuota fija]))))</f>
        <v>158.59496000000001</v>
      </c>
      <c r="X40" s="54">
        <f>TabImpuestos[[#This Row],[ISR Por ingresos totales]]-TabImpuestos[[#This Row],[ISR por ingreso ordinario]]</f>
        <v>-8.1907094794520674</v>
      </c>
      <c r="Y40" s="236">
        <f>TabImpuestos[[#This Row],[Diferencia de ISR''s]]/TabImpuestos[[#This Row],[Aguinaldo Gravado Mensual]]</f>
        <v>6.4000000000000098E-2</v>
      </c>
      <c r="Z40" s="54" cm="1">
        <f t="array" ref="Z40">IFERROR(IF('Desglose Salarios Fiscal'!$Q$1=1,((15*VLOOKUP(TabImpuestos[[#This Row],[ID]],TabEmpleados[],COLUMN(TabEmpleados[SD Fiscal]),FALSE))-(30*SMDF))*TabImpuestos[[#This Row],[Tasa D %]],0),0)</f>
        <v>-98.34240000000014</v>
      </c>
    </row>
    <row r="41" spans="1:26" x14ac:dyDescent="0.25">
      <c r="A41" s="31">
        <f t="shared" si="0"/>
        <v>39</v>
      </c>
      <c r="B41" s="30" t="str" cm="1">
        <f t="array" ref="B41">VLOOKUP(A41,TabEmpleados[],COLUMN(TabEmpleados[Nombre]),FALSE)</f>
        <v>RAMIREZ SANTIAGO EDGAR ISAAC</v>
      </c>
      <c r="C41" s="54" cm="1">
        <f t="array" ref="C41">(VLOOKUP(TabImpuestos[[#This Row],[ID]],TabEmpleados[],COLUMN(TabEmpleados[SD Fiscal]))*VLOOKUP(TabImpuestos[[#This Row],[ID]],TabAsistencias[],COLUMN(TabAsistencias[''Total de dias laborados])))+
TabImpuestos[[#This Row],[Bono Asistencia]]+TabImpuestos[[#This Row],[Bono Puntualidad]]+TabImpuestos[[#This Row],[Prima Dominical]]+TabImpuestos[[#This Row],[Prima Vacacional]]+TabImpuestos[[#This Row],[Bono Festivo/ Descanso]]</f>
        <v>6735.0884999999998</v>
      </c>
      <c r="D41" s="54" cm="1">
        <f t="array" ref="D41">VLOOKUP(TabImpuestos[[#This Row],[ID]],TabDesSalariosFiscal[],COLUMN(TabDesSalariosFiscal[Bono Asistencia]),FALSE)</f>
        <v>630.04425000000003</v>
      </c>
      <c r="E41" s="54" cm="1">
        <f t="array" ref="E41">VLOOKUP(TabImpuestos[[#This Row],[ID]],TabDesSalariosFiscal[],COLUMN(TabDesSalariosFiscal[Bono Puntualidad]),FALSE)</f>
        <v>630.04425000000003</v>
      </c>
      <c r="F41" s="54" cm="1">
        <f t="array" ref="F41">IF(VLOOKUP(TabImpuestos[[#This Row],[ID]],TabDesSalariosFiscal[],COLUMN(TabDesSalariosFiscal[Prima dominical]),FALSE)-SMDF&lt;0,0,VLOOKUP(TabImpuestos[[#This Row],[ID]],TabDesSalariosFiscal[],COLUMN(TabDesSalariosFiscal[Prima dominical]),FALSE)-SMDF)</f>
        <v>0</v>
      </c>
      <c r="G41" s="54" cm="1">
        <f t="array" ref="G41">IF(VLOOKUP(TabImpuestos[[#This Row],[ID]],TabDesSalariosFiscal[],COLUMN(TabDesSalariosFiscal[Prima vacacional]),FALSE)-(15*SMDF)&lt;0,0,VLOOKUP(TabImpuestos[[#This Row],[ID]],TabDesSalariosFiscal[],COLUMN(TabDesSalariosFiscal[Prima vacacional]),FALSE)-(15*SMDF))</f>
        <v>0</v>
      </c>
      <c r="H41" s="54" cm="1">
        <f t="array" ref="H41">(VLOOKUP(TabImpuestos[[#This Row],[ID]],TabDesSalariosFiscal[],COLUMN(TabDesSalariosFiscal[Dia Festivo/ Descanso]),FALSE)*50%)</f>
        <v>0</v>
      </c>
      <c r="I41" s="54" cm="1">
        <f t="array" ref="I41">IFERROR(VLOOKUP(TabImpuestos[[#This Row],[Base Gravable]],TabISR[],COLUMN(TabISR[Límite inferior])),0)</f>
        <v>6382.81</v>
      </c>
      <c r="J41" s="54">
        <f>IFERROR(TabImpuestos[[#This Row],[Base Gravable]]-TabImpuestos[[#This Row],[(-) Lim. Inferior]],0)</f>
        <v>352.27849999999944</v>
      </c>
      <c r="K41" s="236" cm="1">
        <f t="array" ref="K41">IFERROR(VLOOKUP(TabImpuestos[[#This Row],[Base Gravable]],TabISR[],COLUMN(TabISR[Por ciento para aplicarse sobre el excedente del límite inferior])),0)</f>
        <v>0.1792</v>
      </c>
      <c r="L41" s="54">
        <f>IFERROR(TabImpuestos[[#This Row],[EXC. Lim. Inferior]]*TabImpuestos[[#This Row],[(*) % Lim. Inf.]],0)</f>
        <v>63.128307199999902</v>
      </c>
      <c r="M41" s="54" cm="1">
        <f t="array" ref="M41">IFERROR(VLOOKUP(TabImpuestos[[#This Row],[Base Gravable]],TabISR[],COLUMN(TabISR[Cuota fija])),0)</f>
        <v>583.65</v>
      </c>
      <c r="N41" s="54">
        <f>IFERROR(TabImpuestos[[#This Row],[Impuesto marginal]]+TabImpuestos[[#This Row],[(+) Cuota Fija]],0)</f>
        <v>646.77830719999986</v>
      </c>
      <c r="O41" s="54" cm="1">
        <f t="array" ref="O41">IFERROR(VLOOKUP(TabImpuestos[[#This Row],[Base Gravable]],TabSubsidio[],COLUMN(TabSubsidio[SUBSIDIO])),0)</f>
        <v>0</v>
      </c>
      <c r="P41" s="54">
        <f>IFERROR(TabImpuestos[[#This Row],[Imp. Art. 96 ISR]]-TabImpuestos[[#This Row],[(-) Subsidio para el empleo]],0)</f>
        <v>646.77830719999986</v>
      </c>
      <c r="Q41" s="54" cm="1">
        <f t="array" ref="Q41">IF('Desglose Salarios Fiscal'!$Q$1=1,TabImpuestos[[#This Row],[Ingreso ordinario]]+((15*VLOOKUP(TabImpuestos[[#This Row],[ID]],TabEmpleados[],COLUMN(TabEmpleados[SD Fiscal]),FALSE))-(30*SMDF)),0)</f>
        <v>518.40000000000009</v>
      </c>
      <c r="R41" s="54" cm="1">
        <f t="array" ref="R41">IF('Desglose Salarios Fiscal'!$Q$1=1,(VLOOKUP(TabImpuestos[[#This Row],[ID]],TabEmpleados[],COLUMN(TabEmpleados[SD Fiscal]),FALSE)*30.4)-TabImpuestos[[#This Row],[(-) Subsidio para el empleo]],0)</f>
        <v>2280</v>
      </c>
      <c r="S41" s="54" cm="1">
        <f t="array" ref="S41">IFERROR(IF('Desglose Salarios Fiscal'!$Q$1=1,IFERROR((((TabImpuestos[[#This Row],[Ingreso Neto]]-(VLOOKUP(TabImpuestos[[#This Row],[Ingreso Neto]],TabISR[],COLUMN(TabISR[Límite inferior]))))*(VLOOKUP(TabImpuestos[[#This Row],[Ingreso Neto]],TabISR[],COLUMN(TabISR[Por ciento para aplicarse sobre el excedente del límite inferior]))))+(VLOOKUP(TabImpuestos[[#This Row],[Ingreso Neto]],TabISR[],COLUMN(TabISR[Cuota fija]))))-(((TabImpuestos[[#This Row],[Ingreso ordinario]]-(VLOOKUP(TabImpuestos[[#This Row],[Ingreso ordinario]],TabISR[],COLUMN(TabISR[Límite inferior]))))*(VLOOKUP(TabImpuestos[[#This Row],[Ingreso ordinario]],TabISR[],COLUMN(TabISR[Por ciento para aplicarse sobre el excedente del límite inferior]))))+(VLOOKUP(TabImpuestos[[#This Row],[Ingreso ordinario]],TabISR[],COLUMN(TabISR[Cuota fija])))),0),0),0)</f>
        <v>-112.74239999999998</v>
      </c>
      <c r="T41" s="54" cm="1">
        <f t="array" ref="T41">((15*VLOOKUP(TabImpuestos[[#This Row],[ID]],TabEmpleados[],COLUMN(TabEmpleados[SD Fiscal]),FALSE))-(30*SMDF))/365*30.4</f>
        <v>-146.71956164383559</v>
      </c>
      <c r="U41" s="54">
        <f>TabImpuestos[[#This Row],[Ingreso ordinario]]+TabImpuestos[[#This Row],[Aguinaldo Gravado Mensual]]</f>
        <v>2133.2804383561643</v>
      </c>
      <c r="V41" s="54" cm="1">
        <f t="array" ref="V41">(((TabImpuestos[[#This Row],[Ingresos totales]]-(VLOOKUP(TabImpuestos[[#This Row],[Ingresos totales]],TabISR[],COLUMN(TabISR[Límite inferior]))))*(VLOOKUP(TabImpuestos[[#This Row],[Ingresos totales]],TabISR[],COLUMN(TabISR[Por ciento para aplicarse sobre el excedente del límite inferior]))))+(VLOOKUP(TabImpuestos[[#This Row],[Ingresos totales]],TabISR[],COLUMN(TabISR[Cuota fija]))))</f>
        <v>120.0209080547945</v>
      </c>
      <c r="W41" s="54" cm="1">
        <f t="array" ref="W41">(((TabImpuestos[[#This Row],[Ingreso ordinario]]-(VLOOKUP(TabImpuestos[[#This Row],[Ingreso ordinario]],TabISR[],COLUMN(TabISR[Límite inferior]))))*(VLOOKUP(TabImpuestos[[#This Row],[Ingreso ordinario]],TabISR[],COLUMN(TabISR[Por ciento para aplicarse sobre el excedente del límite inferior]))))+(VLOOKUP(TabImpuestos[[#This Row],[Ingreso ordinario]],TabISR[],COLUMN(TabISR[Cuota fija]))))</f>
        <v>129.41095999999999</v>
      </c>
      <c r="X41" s="54">
        <f>TabImpuestos[[#This Row],[ISR Por ingresos totales]]-TabImpuestos[[#This Row],[ISR por ingreso ordinario]]</f>
        <v>-9.3900519452054851</v>
      </c>
      <c r="Y41" s="236">
        <f>TabImpuestos[[#This Row],[Diferencia de ISR''s]]/TabImpuestos[[#This Row],[Aguinaldo Gravado Mensual]]</f>
        <v>6.4000000000000057E-2</v>
      </c>
      <c r="Z41" s="54" cm="1">
        <f t="array" ref="Z41">IFERROR(IF('Desglose Salarios Fiscal'!$Q$1=1,((15*VLOOKUP(TabImpuestos[[#This Row],[ID]],TabEmpleados[],COLUMN(TabEmpleados[SD Fiscal]),FALSE))-(30*SMDF))*TabImpuestos[[#This Row],[Tasa D %]],0),0)</f>
        <v>-112.74240000000009</v>
      </c>
    </row>
    <row r="42" spans="1:26" x14ac:dyDescent="0.25">
      <c r="A42">
        <f t="shared" si="0"/>
        <v>40</v>
      </c>
      <c r="B42" t="str" cm="1">
        <f t="array" ref="B42">VLOOKUP(A42,TabEmpleados[],COLUMN(TabEmpleados[Nombre]),FALSE)</f>
        <v>FLORES SANTIAGO PEDRO</v>
      </c>
      <c r="C42" s="54" cm="1">
        <f t="array" ref="C42">(VLOOKUP(TabImpuestos[[#This Row],[ID]],TabEmpleados[],COLUMN(TabEmpleados[SD Fiscal]))*VLOOKUP(TabImpuestos[[#This Row],[ID]],TabAsistencias[],COLUMN(TabAsistencias[''Total de dias laborados])))+
TabImpuestos[[#This Row],[Bono Asistencia]]+TabImpuestos[[#This Row],[Bono Puntualidad]]+TabImpuestos[[#This Row],[Prima Dominical]]+TabImpuestos[[#This Row],[Prima Vacacional]]+TabImpuestos[[#This Row],[Bono Festivo/ Descanso]]</f>
        <v>6735.0884999999998</v>
      </c>
      <c r="D42" s="54" cm="1">
        <f t="array" ref="D42">VLOOKUP(TabImpuestos[[#This Row],[ID]],TabDesSalariosFiscal[],COLUMN(TabDesSalariosFiscal[Bono Asistencia]),FALSE)</f>
        <v>630.04425000000003</v>
      </c>
      <c r="E42" s="54" cm="1">
        <f t="array" ref="E42">VLOOKUP(TabImpuestos[[#This Row],[ID]],TabDesSalariosFiscal[],COLUMN(TabDesSalariosFiscal[Bono Puntualidad]),FALSE)</f>
        <v>630.04425000000003</v>
      </c>
      <c r="F42" s="54" cm="1">
        <f t="array" ref="F42">IF(VLOOKUP(TabImpuestos[[#This Row],[ID]],TabDesSalariosFiscal[],COLUMN(TabDesSalariosFiscal[Prima dominical]),FALSE)-SMDF&lt;0,0,VLOOKUP(TabImpuestos[[#This Row],[ID]],TabDesSalariosFiscal[],COLUMN(TabDesSalariosFiscal[Prima dominical]),FALSE)-SMDF)</f>
        <v>0</v>
      </c>
      <c r="G42" s="54" cm="1">
        <f t="array" ref="G42">IF(VLOOKUP(TabImpuestos[[#This Row],[ID]],TabDesSalariosFiscal[],COLUMN(TabDesSalariosFiscal[Prima vacacional]),FALSE)-(15*SMDF)&lt;0,0,VLOOKUP(TabImpuestos[[#This Row],[ID]],TabDesSalariosFiscal[],COLUMN(TabDesSalariosFiscal[Prima vacacional]),FALSE)-(15*SMDF))</f>
        <v>0</v>
      </c>
      <c r="H42" s="54" cm="1">
        <f t="array" ref="H42">(VLOOKUP(TabImpuestos[[#This Row],[ID]],TabDesSalariosFiscal[],COLUMN(TabDesSalariosFiscal[Dia Festivo/ Descanso]),FALSE)*50%)</f>
        <v>0</v>
      </c>
      <c r="I42" s="54" cm="1">
        <f t="array" ref="I42">IFERROR(VLOOKUP(TabImpuestos[[#This Row],[Base Gravable]],TabISR[],COLUMN(TabISR[Límite inferior])),0)</f>
        <v>6382.81</v>
      </c>
      <c r="J42" s="54">
        <f>IFERROR(TabImpuestos[[#This Row],[Base Gravable]]-TabImpuestos[[#This Row],[(-) Lim. Inferior]],0)</f>
        <v>352.27849999999944</v>
      </c>
      <c r="K42" s="236" cm="1">
        <f t="array" ref="K42">IFERROR(VLOOKUP(TabImpuestos[[#This Row],[Base Gravable]],TabISR[],COLUMN(TabISR[Por ciento para aplicarse sobre el excedente del límite inferior])),0)</f>
        <v>0.1792</v>
      </c>
      <c r="L42" s="54">
        <f>IFERROR(TabImpuestos[[#This Row],[EXC. Lim. Inferior]]*TabImpuestos[[#This Row],[(*) % Lim. Inf.]],0)</f>
        <v>63.128307199999902</v>
      </c>
      <c r="M42" s="54" cm="1">
        <f t="array" ref="M42">IFERROR(VLOOKUP(TabImpuestos[[#This Row],[Base Gravable]],TabISR[],COLUMN(TabISR[Cuota fija])),0)</f>
        <v>583.65</v>
      </c>
      <c r="N42" s="54">
        <f>IFERROR(TabImpuestos[[#This Row],[Impuesto marginal]]+TabImpuestos[[#This Row],[(+) Cuota Fija]],0)</f>
        <v>646.77830719999986</v>
      </c>
      <c r="O42" s="54" cm="1">
        <f t="array" ref="O42">IFERROR(VLOOKUP(TabImpuestos[[#This Row],[Base Gravable]],TabSubsidio[],COLUMN(TabSubsidio[SUBSIDIO])),0)</f>
        <v>0</v>
      </c>
      <c r="P42" s="54">
        <f>IFERROR(TabImpuestos[[#This Row],[Imp. Art. 96 ISR]]-TabImpuestos[[#This Row],[(-) Subsidio para el empleo]],0)</f>
        <v>646.77830719999986</v>
      </c>
      <c r="Q42" s="54" cm="1">
        <f t="array" ref="Q42">IF('Desglose Salarios Fiscal'!$Q$1=1,TabImpuestos[[#This Row],[Ingreso ordinario]]+((15*VLOOKUP(TabImpuestos[[#This Row],[ID]],TabEmpleados[],COLUMN(TabEmpleados[SD Fiscal]),FALSE))-(30*SMDF)),0)</f>
        <v>518.40000000000009</v>
      </c>
      <c r="R42" s="54" cm="1">
        <f t="array" ref="R42">IF('Desglose Salarios Fiscal'!$Q$1=1,(VLOOKUP(TabImpuestos[[#This Row],[ID]],TabEmpleados[],COLUMN(TabEmpleados[SD Fiscal]),FALSE)*30.4)-TabImpuestos[[#This Row],[(-) Subsidio para el empleo]],0)</f>
        <v>2280</v>
      </c>
      <c r="S42" s="54" cm="1">
        <f t="array" ref="S42">IFERROR(IF('Desglose Salarios Fiscal'!$Q$1=1,IFERROR((((TabImpuestos[[#This Row],[Ingreso Neto]]-(VLOOKUP(TabImpuestos[[#This Row],[Ingreso Neto]],TabISR[],COLUMN(TabISR[Límite inferior]))))*(VLOOKUP(TabImpuestos[[#This Row],[Ingreso Neto]],TabISR[],COLUMN(TabISR[Por ciento para aplicarse sobre el excedente del límite inferior]))))+(VLOOKUP(TabImpuestos[[#This Row],[Ingreso Neto]],TabISR[],COLUMN(TabISR[Cuota fija]))))-(((TabImpuestos[[#This Row],[Ingreso ordinario]]-(VLOOKUP(TabImpuestos[[#This Row],[Ingreso ordinario]],TabISR[],COLUMN(TabISR[Límite inferior]))))*(VLOOKUP(TabImpuestos[[#This Row],[Ingreso ordinario]],TabISR[],COLUMN(TabISR[Por ciento para aplicarse sobre el excedente del límite inferior]))))+(VLOOKUP(TabImpuestos[[#This Row],[Ingreso ordinario]],TabISR[],COLUMN(TabISR[Cuota fija])))),0),0),0)</f>
        <v>-112.74239999999998</v>
      </c>
      <c r="T42" s="54" cm="1">
        <f t="array" ref="T42">((15*VLOOKUP(TabImpuestos[[#This Row],[ID]],TabEmpleados[],COLUMN(TabEmpleados[SD Fiscal]),FALSE))-(30*SMDF))/365*30.4</f>
        <v>-146.71956164383559</v>
      </c>
      <c r="U42" s="54">
        <f>TabImpuestos[[#This Row],[Ingreso ordinario]]+TabImpuestos[[#This Row],[Aguinaldo Gravado Mensual]]</f>
        <v>2133.2804383561643</v>
      </c>
      <c r="V42" s="54" cm="1">
        <f t="array" ref="V42">(((TabImpuestos[[#This Row],[Ingresos totales]]-(VLOOKUP(TabImpuestos[[#This Row],[Ingresos totales]],TabISR[],COLUMN(TabISR[Límite inferior]))))*(VLOOKUP(TabImpuestos[[#This Row],[Ingresos totales]],TabISR[],COLUMN(TabISR[Por ciento para aplicarse sobre el excedente del límite inferior]))))+(VLOOKUP(TabImpuestos[[#This Row],[Ingresos totales]],TabISR[],COLUMN(TabISR[Cuota fija]))))</f>
        <v>120.0209080547945</v>
      </c>
      <c r="W42" s="54" cm="1">
        <f t="array" ref="W42">(((TabImpuestos[[#This Row],[Ingreso ordinario]]-(VLOOKUP(TabImpuestos[[#This Row],[Ingreso ordinario]],TabISR[],COLUMN(TabISR[Límite inferior]))))*(VLOOKUP(TabImpuestos[[#This Row],[Ingreso ordinario]],TabISR[],COLUMN(TabISR[Por ciento para aplicarse sobre el excedente del límite inferior]))))+(VLOOKUP(TabImpuestos[[#This Row],[Ingreso ordinario]],TabISR[],COLUMN(TabISR[Cuota fija]))))</f>
        <v>129.41095999999999</v>
      </c>
      <c r="X42" s="54">
        <f>TabImpuestos[[#This Row],[ISR Por ingresos totales]]-TabImpuestos[[#This Row],[ISR por ingreso ordinario]]</f>
        <v>-9.3900519452054851</v>
      </c>
      <c r="Y42" s="236">
        <f>TabImpuestos[[#This Row],[Diferencia de ISR''s]]/TabImpuestos[[#This Row],[Aguinaldo Gravado Mensual]]</f>
        <v>6.4000000000000057E-2</v>
      </c>
      <c r="Z42" s="54" cm="1">
        <f t="array" ref="Z42">IFERROR(IF('Desglose Salarios Fiscal'!$Q$1=1,((15*VLOOKUP(TabImpuestos[[#This Row],[ID]],TabEmpleados[],COLUMN(TabEmpleados[SD Fiscal]),FALSE))-(30*SMDF))*TabImpuestos[[#This Row],[Tasa D %]],0),0)</f>
        <v>-112.74240000000009</v>
      </c>
    </row>
    <row r="43" spans="1:26" x14ac:dyDescent="0.25">
      <c r="A43" s="31">
        <f t="shared" si="0"/>
        <v>41</v>
      </c>
      <c r="B43" s="30" t="str" cm="1">
        <f t="array" ref="B43">VLOOKUP(A43,TabEmpleados[],COLUMN(TabEmpleados[Nombre]),FALSE)</f>
        <v>LOPEZ TORRES ROSENDO EDUARDO</v>
      </c>
      <c r="C43" s="54" cm="1">
        <f t="array" ref="C43">(VLOOKUP(TabImpuestos[[#This Row],[ID]],TabEmpleados[],COLUMN(TabEmpleados[SD Fiscal]))*VLOOKUP(TabImpuestos[[#This Row],[ID]],TabAsistencias[],COLUMN(TabAsistencias[''Total de dias laborados])))+
TabImpuestos[[#This Row],[Bono Asistencia]]+TabImpuestos[[#This Row],[Bono Puntualidad]]+TabImpuestos[[#This Row],[Prima Dominical]]+TabImpuestos[[#This Row],[Prima Vacacional]]+TabImpuestos[[#This Row],[Bono Festivo/ Descanso]]</f>
        <v>9429.1238999999987</v>
      </c>
      <c r="D43" s="54" cm="1">
        <f t="array" ref="D43">VLOOKUP(TabImpuestos[[#This Row],[ID]],TabDesSalariosFiscal[],COLUMN(TabDesSalariosFiscal[Bono Asistencia]),FALSE)</f>
        <v>882.06195000000002</v>
      </c>
      <c r="E43" s="54" cm="1">
        <f t="array" ref="E43">VLOOKUP(TabImpuestos[[#This Row],[ID]],TabDesSalariosFiscal[],COLUMN(TabDesSalariosFiscal[Bono Puntualidad]),FALSE)</f>
        <v>882.06195000000002</v>
      </c>
      <c r="F43" s="54" cm="1">
        <f t="array" ref="F43">IF(VLOOKUP(TabImpuestos[[#This Row],[ID]],TabDesSalariosFiscal[],COLUMN(TabDesSalariosFiscal[Prima dominical]),FALSE)-SMDF&lt;0,0,VLOOKUP(TabImpuestos[[#This Row],[ID]],TabDesSalariosFiscal[],COLUMN(TabDesSalariosFiscal[Prima dominical]),FALSE)-SMDF)</f>
        <v>0</v>
      </c>
      <c r="G43" s="54" cm="1">
        <f t="array" ref="G43">IF(VLOOKUP(TabImpuestos[[#This Row],[ID]],TabDesSalariosFiscal[],COLUMN(TabDesSalariosFiscal[Prima vacacional]),FALSE)-(15*SMDF)&lt;0,0,VLOOKUP(TabImpuestos[[#This Row],[ID]],TabDesSalariosFiscal[],COLUMN(TabDesSalariosFiscal[Prima vacacional]),FALSE)-(15*SMDF))</f>
        <v>0</v>
      </c>
      <c r="H43" s="54" cm="1">
        <f t="array" ref="H43">(VLOOKUP(TabImpuestos[[#This Row],[ID]],TabDesSalariosFiscal[],COLUMN(TabDesSalariosFiscal[Dia Festivo/ Descanso]),FALSE)*50%)</f>
        <v>0</v>
      </c>
      <c r="I43" s="54" cm="1">
        <f t="array" ref="I43">IFERROR(VLOOKUP(TabImpuestos[[#This Row],[Base Gravable]],TabISR[],COLUMN(TabISR[Límite inferior])),0)</f>
        <v>7641.91</v>
      </c>
      <c r="J43" s="54">
        <f>IFERROR(TabImpuestos[[#This Row],[Base Gravable]]-TabImpuestos[[#This Row],[(-) Lim. Inferior]],0)</f>
        <v>1787.2138999999988</v>
      </c>
      <c r="K43" s="236" cm="1">
        <f t="array" ref="K43">IFERROR(VLOOKUP(TabImpuestos[[#This Row],[Base Gravable]],TabISR[],COLUMN(TabISR[Por ciento para aplicarse sobre el excedente del límite inferior])),0)</f>
        <v>0.21360000000000001</v>
      </c>
      <c r="L43" s="54">
        <f>IFERROR(TabImpuestos[[#This Row],[EXC. Lim. Inferior]]*TabImpuestos[[#This Row],[(*) % Lim. Inf.]],0)</f>
        <v>381.74888903999977</v>
      </c>
      <c r="M43" s="54" cm="1">
        <f t="array" ref="M43">IFERROR(VLOOKUP(TabImpuestos[[#This Row],[Base Gravable]],TabISR[],COLUMN(TabISR[Cuota fija])),0)</f>
        <v>809.25</v>
      </c>
      <c r="N43" s="54">
        <f>IFERROR(TabImpuestos[[#This Row],[Impuesto marginal]]+TabImpuestos[[#This Row],[(+) Cuota Fija]],0)</f>
        <v>1190.9988890399998</v>
      </c>
      <c r="O43" s="54" cm="1">
        <f t="array" ref="O43">IFERROR(VLOOKUP(TabImpuestos[[#This Row],[Base Gravable]],TabSubsidio[],COLUMN(TabSubsidio[SUBSIDIO])),0)</f>
        <v>0</v>
      </c>
      <c r="P43" s="54">
        <f>IFERROR(TabImpuestos[[#This Row],[Imp. Art. 96 ISR]]-TabImpuestos[[#This Row],[(-) Subsidio para el empleo]],0)</f>
        <v>1190.9988890399998</v>
      </c>
      <c r="Q43" s="54" cm="1">
        <f t="array" ref="Q43">IF('Desglose Salarios Fiscal'!$Q$1=1,TabImpuestos[[#This Row],[Ingreso ordinario]]+((15*VLOOKUP(TabImpuestos[[#This Row],[ID]],TabEmpleados[],COLUMN(TabEmpleados[SD Fiscal]),FALSE))-(30*SMDF)),0)</f>
        <v>1880.4</v>
      </c>
      <c r="R43" s="54" cm="1">
        <f t="array" ref="R43">IF('Desglose Salarios Fiscal'!$Q$1=1,(VLOOKUP(TabImpuestos[[#This Row],[ID]],TabEmpleados[],COLUMN(TabEmpleados[SD Fiscal]),FALSE)*30.4)-TabImpuestos[[#This Row],[(-) Subsidio para el empleo]],0)</f>
        <v>3192</v>
      </c>
      <c r="S43" s="54" cm="1">
        <f t="array" ref="S43">IFERROR(IF('Desglose Salarios Fiscal'!$Q$1=1,IFERROR((((TabImpuestos[[#This Row],[Ingreso Neto]]-(VLOOKUP(TabImpuestos[[#This Row],[Ingreso Neto]],TabISR[],COLUMN(TabISR[Límite inferior]))))*(VLOOKUP(TabImpuestos[[#This Row],[Ingreso Neto]],TabISR[],COLUMN(TabISR[Por ciento para aplicarse sobre el excedente del límite inferior]))))+(VLOOKUP(TabImpuestos[[#This Row],[Ingreso Neto]],TabISR[],COLUMN(TabISR[Cuota fija]))))-(((TabImpuestos[[#This Row],[Ingreso ordinario]]-(VLOOKUP(TabImpuestos[[#This Row],[Ingreso ordinario]],TabISR[],COLUMN(TabISR[Límite inferior]))))*(VLOOKUP(TabImpuestos[[#This Row],[Ingreso ordinario]],TabISR[],COLUMN(TabISR[Por ciento para aplicarse sobre el excedente del límite inferior]))))+(VLOOKUP(TabImpuestos[[#This Row],[Ingreso ordinario]],TabISR[],COLUMN(TabISR[Cuota fija])))),0),0),0)</f>
        <v>-86.972671999999989</v>
      </c>
      <c r="T43" s="54" cm="1">
        <f t="array" ref="T43">((15*VLOOKUP(TabImpuestos[[#This Row],[ID]],TabEmpleados[],COLUMN(TabEmpleados[SD Fiscal]),FALSE))-(30*SMDF))/365*30.4</f>
        <v>-109.24010958904108</v>
      </c>
      <c r="U43" s="54">
        <f>TabImpuestos[[#This Row],[Ingreso ordinario]]+TabImpuestos[[#This Row],[Aguinaldo Gravado Mensual]]</f>
        <v>3082.7598904109591</v>
      </c>
      <c r="V43" s="54" cm="1">
        <f t="array" ref="V43">(((TabImpuestos[[#This Row],[Ingresos totales]]-(VLOOKUP(TabImpuestos[[#This Row],[Ingresos totales]],TabISR[],COLUMN(TabISR[Límite inferior]))))*(VLOOKUP(TabImpuestos[[#This Row],[Ingresos totales]],TabISR[],COLUMN(TabISR[Por ciento para aplicarse sobre el excedente del límite inferior]))))+(VLOOKUP(TabImpuestos[[#This Row],[Ingresos totales]],TabISR[],COLUMN(TabISR[Cuota fija]))))</f>
        <v>180.78759298630138</v>
      </c>
      <c r="W43" s="54" cm="1">
        <f t="array" ref="W43">(((TabImpuestos[[#This Row],[Ingreso ordinario]]-(VLOOKUP(TabImpuestos[[#This Row],[Ingreso ordinario]],TabISR[],COLUMN(TabISR[Límite inferior]))))*(VLOOKUP(TabImpuestos[[#This Row],[Ingreso ordinario]],TabISR[],COLUMN(TabISR[Por ciento para aplicarse sobre el excedente del límite inferior]))))+(VLOOKUP(TabImpuestos[[#This Row],[Ingreso ordinario]],TabISR[],COLUMN(TabISR[Cuota fija]))))</f>
        <v>190.80923199999998</v>
      </c>
      <c r="X43" s="54">
        <f>TabImpuestos[[#This Row],[ISR Por ingresos totales]]-TabImpuestos[[#This Row],[ISR por ingreso ordinario]]</f>
        <v>-10.021639013698604</v>
      </c>
      <c r="Y43" s="236">
        <f>TabImpuestos[[#This Row],[Diferencia de ISR''s]]/TabImpuestos[[#This Row],[Aguinaldo Gravado Mensual]]</f>
        <v>9.1739554742299251E-2</v>
      </c>
      <c r="Z43" s="54" cm="1">
        <f t="array" ref="Z43">IFERROR(IF('Desglose Salarios Fiscal'!$Q$1=1,((15*VLOOKUP(TabImpuestos[[#This Row],[ID]],TabEmpleados[],COLUMN(TabEmpleados[SD Fiscal]),FALSE))-(30*SMDF))*TabImpuestos[[#This Row],[Tasa D %]],0),0)</f>
        <v>-120.3255999999997</v>
      </c>
    </row>
    <row r="44" spans="1:26" x14ac:dyDescent="0.25">
      <c r="A44">
        <f t="shared" si="0"/>
        <v>42</v>
      </c>
      <c r="B44" t="str" cm="1">
        <f t="array" ref="B44">VLOOKUP(A44,TabEmpleados[],COLUMN(TabEmpleados[Nombre]),FALSE)</f>
        <v>GAYTAN VASQUEZ ERICK</v>
      </c>
      <c r="C44" s="54" cm="1">
        <f t="array" ref="C44">(VLOOKUP(TabImpuestos[[#This Row],[ID]],TabEmpleados[],COLUMN(TabEmpleados[SD Fiscal]))*VLOOKUP(TabImpuestos[[#This Row],[ID]],TabAsistencias[],COLUMN(TabAsistencias[''Total de dias laborados])))+
TabImpuestos[[#This Row],[Bono Asistencia]]+TabImpuestos[[#This Row],[Bono Puntualidad]]+TabImpuestos[[#This Row],[Prima Dominical]]+TabImpuestos[[#This Row],[Prima Vacacional]]+TabImpuestos[[#This Row],[Bono Festivo/ Descanso]]</f>
        <v>16635.418300000001</v>
      </c>
      <c r="D44" s="54" cm="1">
        <f t="array" ref="D44">VLOOKUP(TabImpuestos[[#This Row],[ID]],TabDesSalariosFiscal[],COLUMN(TabDesSalariosFiscal[Bono Asistencia]),FALSE)</f>
        <v>1565.2091500000001</v>
      </c>
      <c r="E44" s="54" cm="1">
        <f t="array" ref="E44">VLOOKUP(TabImpuestos[[#This Row],[ID]],TabDesSalariosFiscal[],COLUMN(TabDesSalariosFiscal[Bono Puntualidad]),FALSE)</f>
        <v>1565.2091500000001</v>
      </c>
      <c r="F44" s="54" cm="1">
        <f t="array" ref="F44">IF(VLOOKUP(TabImpuestos[[#This Row],[ID]],TabDesSalariosFiscal[],COLUMN(TabDesSalariosFiscal[Prima dominical]),FALSE)-SMDF&lt;0,0,VLOOKUP(TabImpuestos[[#This Row],[ID]],TabDesSalariosFiscal[],COLUMN(TabDesSalariosFiscal[Prima dominical]),FALSE)-SMDF)</f>
        <v>0</v>
      </c>
      <c r="G44" s="54" cm="1">
        <f t="array" ref="G44">IF(VLOOKUP(TabImpuestos[[#This Row],[ID]],TabDesSalariosFiscal[],COLUMN(TabDesSalariosFiscal[Prima vacacional]),FALSE)-(15*SMDF)&lt;0,0,VLOOKUP(TabImpuestos[[#This Row],[ID]],TabDesSalariosFiscal[],COLUMN(TabDesSalariosFiscal[Prima vacacional]),FALSE)-(15*SMDF))</f>
        <v>0</v>
      </c>
      <c r="H44" s="54" cm="1">
        <f t="array" ref="H44">(VLOOKUP(TabImpuestos[[#This Row],[ID]],TabDesSalariosFiscal[],COLUMN(TabDesSalariosFiscal[Dia Festivo/ Descanso]),FALSE)*50%)</f>
        <v>0</v>
      </c>
      <c r="I44" s="54" cm="1">
        <f t="array" ref="I44">IFERROR(VLOOKUP(TabImpuestos[[#This Row],[Base Gravable]],TabISR[],COLUMN(TabISR[Límite inferior])),0)</f>
        <v>15412.81</v>
      </c>
      <c r="J44" s="54">
        <f>IFERROR(TabImpuestos[[#This Row],[Base Gravable]]-TabImpuestos[[#This Row],[(-) Lim. Inferior]],0)</f>
        <v>1222.6083000000017</v>
      </c>
      <c r="K44" s="236" cm="1">
        <f t="array" ref="K44">IFERROR(VLOOKUP(TabImpuestos[[#This Row],[Base Gravable]],TabISR[],COLUMN(TabISR[Por ciento para aplicarse sobre el excedente del límite inferior])),0)</f>
        <v>0.23519999999999999</v>
      </c>
      <c r="L44" s="54">
        <f>IFERROR(TabImpuestos[[#This Row],[EXC. Lim. Inferior]]*TabImpuestos[[#This Row],[(*) % Lim. Inf.]],0)</f>
        <v>287.55747216000037</v>
      </c>
      <c r="M44" s="54" cm="1">
        <f t="array" ref="M44">IFERROR(VLOOKUP(TabImpuestos[[#This Row],[Base Gravable]],TabISR[],COLUMN(TabISR[Cuota fija])),0)</f>
        <v>2469.15</v>
      </c>
      <c r="N44" s="54">
        <f>IFERROR(TabImpuestos[[#This Row],[Impuesto marginal]]+TabImpuestos[[#This Row],[(+) Cuota Fija]],0)</f>
        <v>2756.7074721600006</v>
      </c>
      <c r="O44" s="54" cm="1">
        <f t="array" ref="O44">IFERROR(VLOOKUP(TabImpuestos[[#This Row],[Base Gravable]],TabSubsidio[],COLUMN(TabSubsidio[SUBSIDIO])),0)</f>
        <v>0</v>
      </c>
      <c r="P44" s="54">
        <f>IFERROR(TabImpuestos[[#This Row],[Imp. Art. 96 ISR]]-TabImpuestos[[#This Row],[(-) Subsidio para el empleo]],0)</f>
        <v>2756.7074721600006</v>
      </c>
      <c r="Q44" s="54" cm="1">
        <f t="array" ref="Q44">IF('Desglose Salarios Fiscal'!$Q$1=1,TabImpuestos[[#This Row],[Ingreso ordinario]]+((15*VLOOKUP(TabImpuestos[[#This Row],[ID]],TabEmpleados[],COLUMN(TabEmpleados[SD Fiscal]),FALSE))-(30*SMDF)),0)</f>
        <v>5512.4</v>
      </c>
      <c r="R44" s="54" cm="1">
        <f t="array" ref="R44">IF('Desglose Salarios Fiscal'!$Q$1=1,(VLOOKUP(TabImpuestos[[#This Row],[ID]],TabEmpleados[],COLUMN(TabEmpleados[SD Fiscal]),FALSE)*30.4)-TabImpuestos[[#This Row],[(-) Subsidio para el empleo]],0)</f>
        <v>5624</v>
      </c>
      <c r="S44" s="54" cm="1">
        <f t="array" ref="S44">IFERROR(IF('Desglose Salarios Fiscal'!$Q$1=1,IFERROR((((TabImpuestos[[#This Row],[Ingreso Neto]]-(VLOOKUP(TabImpuestos[[#This Row],[Ingreso Neto]],TabISR[],COLUMN(TabISR[Límite inferior]))))*(VLOOKUP(TabImpuestos[[#This Row],[Ingreso Neto]],TabISR[],COLUMN(TabISR[Por ciento para aplicarse sobre el excedente del límite inferior]))))+(VLOOKUP(TabImpuestos[[#This Row],[Ingreso Neto]],TabISR[],COLUMN(TabISR[Cuota fija]))))-(((TabImpuestos[[#This Row],[Ingreso ordinario]]-(VLOOKUP(TabImpuestos[[#This Row],[Ingreso ordinario]],TabISR[],COLUMN(TabISR[Límite inferior]))))*(VLOOKUP(TabImpuestos[[#This Row],[Ingreso ordinario]],TabISR[],COLUMN(TabISR[Por ciento para aplicarse sobre el excedente del límite inferior]))))+(VLOOKUP(TabImpuestos[[#This Row],[Ingreso ordinario]],TabISR[],COLUMN(TabISR[Cuota fija])))),0),0),0)</f>
        <v>-17.856000000000051</v>
      </c>
      <c r="T44" s="54" cm="1">
        <f t="array" ref="T44">((15*VLOOKUP(TabImpuestos[[#This Row],[ID]],TabEmpleados[],COLUMN(TabEmpleados[SD Fiscal]),FALSE))-(30*SMDF))/365*30.4</f>
        <v>-9.2949041095890337</v>
      </c>
      <c r="U44" s="54">
        <f>TabImpuestos[[#This Row],[Ingreso ordinario]]+TabImpuestos[[#This Row],[Aguinaldo Gravado Mensual]]</f>
        <v>5614.705095890411</v>
      </c>
      <c r="V44" s="54" cm="1">
        <f t="array" ref="V44">(((TabImpuestos[[#This Row],[Ingresos totales]]-(VLOOKUP(TabImpuestos[[#This Row],[Ingresos totales]],TabISR[],COLUMN(TabISR[Límite inferior]))))*(VLOOKUP(TabImpuestos[[#This Row],[Ingresos totales]],TabISR[],COLUMN(TabISR[Por ciento para aplicarse sobre el excedente del límite inferior]))))+(VLOOKUP(TabImpuestos[[#This Row],[Ingresos totales]],TabISR[],COLUMN(TabISR[Cuota fija]))))</f>
        <v>460.83121534246573</v>
      </c>
      <c r="W44" s="54" cm="1">
        <f t="array" ref="W44">(((TabImpuestos[[#This Row],[Ingreso ordinario]]-(VLOOKUP(TabImpuestos[[#This Row],[Ingreso ordinario]],TabISR[],COLUMN(TabISR[Límite inferior]))))*(VLOOKUP(TabImpuestos[[#This Row],[Ingreso ordinario]],TabISR[],COLUMN(TabISR[Por ciento para aplicarse sobre el excedente del límite inferior]))))+(VLOOKUP(TabImpuestos[[#This Row],[Ingreso ordinario]],TabISR[],COLUMN(TabISR[Cuota fija]))))</f>
        <v>462.31839999999994</v>
      </c>
      <c r="X44" s="54">
        <f>TabImpuestos[[#This Row],[ISR Por ingresos totales]]-TabImpuestos[[#This Row],[ISR por ingreso ordinario]]</f>
        <v>-1.4871846575342147</v>
      </c>
      <c r="Y44" s="236">
        <f>TabImpuestos[[#This Row],[Diferencia de ISR''s]]/TabImpuestos[[#This Row],[Aguinaldo Gravado Mensual]]</f>
        <v>0.1599999999999967</v>
      </c>
      <c r="Z44" s="54" cm="1">
        <f t="array" ref="Z44">IFERROR(IF('Desglose Salarios Fiscal'!$Q$1=1,((15*VLOOKUP(TabImpuestos[[#This Row],[ID]],TabEmpleados[],COLUMN(TabEmpleados[SD Fiscal]),FALSE))-(30*SMDF))*TabImpuestos[[#This Row],[Tasa D %]],0),0)</f>
        <v>-17.855999999999618</v>
      </c>
    </row>
    <row r="45" spans="1:26" x14ac:dyDescent="0.25">
      <c r="A45" s="31">
        <f t="shared" si="0"/>
        <v>43</v>
      </c>
      <c r="B45" s="30" t="str" cm="1">
        <f t="array" ref="B45">VLOOKUP(A45,TabEmpleados[],COLUMN(TabEmpleados[Nombre]),FALSE)</f>
        <v>SAMARIO MANZANO ABRAHAM  ROSALINO</v>
      </c>
      <c r="C45" s="54" cm="1">
        <f t="array" ref="C45">(VLOOKUP(TabImpuestos[[#This Row],[ID]],TabEmpleados[],COLUMN(TabEmpleados[SD Fiscal]))*VLOOKUP(TabImpuestos[[#This Row],[ID]],TabAsistencias[],COLUMN(TabAsistencias[''Total de dias laborados])))+
TabImpuestos[[#This Row],[Bono Asistencia]]+TabImpuestos[[#This Row],[Bono Puntualidad]]+TabImpuestos[[#This Row],[Prima Dominical]]+TabImpuestos[[#This Row],[Prima Vacacional]]+TabImpuestos[[#This Row],[Bono Festivo/ Descanso]]</f>
        <v>11923.2</v>
      </c>
      <c r="D45" s="54" cm="1">
        <f t="array" ref="D45">VLOOKUP(TabImpuestos[[#This Row],[ID]],TabDesSalariosFiscal[],COLUMN(TabDesSalariosFiscal[Bono Asistencia]),FALSE)</f>
        <v>1034.1000000000001</v>
      </c>
      <c r="E45" s="54" cm="1">
        <f t="array" ref="E45">VLOOKUP(TabImpuestos[[#This Row],[ID]],TabDesSalariosFiscal[],COLUMN(TabDesSalariosFiscal[Bono Puntualidad]),FALSE)</f>
        <v>1034.1000000000001</v>
      </c>
      <c r="F45" s="54" cm="1">
        <f t="array" ref="F45">IF(VLOOKUP(TabImpuestos[[#This Row],[ID]],TabDesSalariosFiscal[],COLUMN(TabDesSalariosFiscal[Prima dominical]),FALSE)-SMDF&lt;0,0,VLOOKUP(TabImpuestos[[#This Row],[ID]],TabDesSalariosFiscal[],COLUMN(TabDesSalariosFiscal[Prima dominical]),FALSE)-SMDF)</f>
        <v>0</v>
      </c>
      <c r="G45" s="54" cm="1">
        <f t="array" ref="G45">IF(VLOOKUP(TabImpuestos[[#This Row],[ID]],TabDesSalariosFiscal[],COLUMN(TabDesSalariosFiscal[Prima vacacional]),FALSE)-(15*SMDF)&lt;0,0,VLOOKUP(TabImpuestos[[#This Row],[ID]],TabDesSalariosFiscal[],COLUMN(TabDesSalariosFiscal[Prima vacacional]),FALSE)-(15*SMDF))</f>
        <v>0</v>
      </c>
      <c r="H45" s="54" cm="1">
        <f t="array" ref="H45">(VLOOKUP(TabImpuestos[[#This Row],[ID]],TabDesSalariosFiscal[],COLUMN(TabDesSalariosFiscal[Dia Festivo/ Descanso]),FALSE)*50%)</f>
        <v>0</v>
      </c>
      <c r="I45" s="54" cm="1">
        <f t="array" ref="I45">IFERROR(VLOOKUP(TabImpuestos[[#This Row],[Base Gravable]],TabISR[],COLUMN(TabISR[Límite inferior])),0)</f>
        <v>7641.91</v>
      </c>
      <c r="J45" s="54">
        <f>IFERROR(TabImpuestos[[#This Row],[Base Gravable]]-TabImpuestos[[#This Row],[(-) Lim. Inferior]],0)</f>
        <v>4281.2900000000009</v>
      </c>
      <c r="K45" s="236" cm="1">
        <f t="array" ref="K45">IFERROR(VLOOKUP(TabImpuestos[[#This Row],[Base Gravable]],TabISR[],COLUMN(TabISR[Por ciento para aplicarse sobre el excedente del límite inferior])),0)</f>
        <v>0.21360000000000001</v>
      </c>
      <c r="L45" s="54">
        <f>IFERROR(TabImpuestos[[#This Row],[EXC. Lim. Inferior]]*TabImpuestos[[#This Row],[(*) % Lim. Inf.]],0)</f>
        <v>914.48354400000028</v>
      </c>
      <c r="M45" s="54" cm="1">
        <f t="array" ref="M45">IFERROR(VLOOKUP(TabImpuestos[[#This Row],[Base Gravable]],TabISR[],COLUMN(TabISR[Cuota fija])),0)</f>
        <v>809.25</v>
      </c>
      <c r="N45" s="54">
        <f>IFERROR(TabImpuestos[[#This Row],[Impuesto marginal]]+TabImpuestos[[#This Row],[(+) Cuota Fija]],0)</f>
        <v>1723.7335440000002</v>
      </c>
      <c r="O45" s="54" cm="1">
        <f t="array" ref="O45">IFERROR(VLOOKUP(TabImpuestos[[#This Row],[Base Gravable]],TabSubsidio[],COLUMN(TabSubsidio[SUBSIDIO])),0)</f>
        <v>0</v>
      </c>
      <c r="P45" s="54">
        <f>IFERROR(TabImpuestos[[#This Row],[Imp. Art. 96 ISR]]-TabImpuestos[[#This Row],[(-) Subsidio para el empleo]],0)</f>
        <v>1723.7335440000002</v>
      </c>
      <c r="Q45" s="54" cm="1">
        <f t="array" ref="Q45">IF('Desglose Salarios Fiscal'!$Q$1=1,TabImpuestos[[#This Row],[Ingreso ordinario]]+((15*VLOOKUP(TabImpuestos[[#This Row],[ID]],TabEmpleados[],COLUMN(TabEmpleados[SD Fiscal]),FALSE))-(30*SMDF)),0)</f>
        <v>3242.4</v>
      </c>
      <c r="R45" s="54" cm="1">
        <f t="array" ref="R45">IF('Desglose Salarios Fiscal'!$Q$1=1,(VLOOKUP(TabImpuestos[[#This Row],[ID]],TabEmpleados[],COLUMN(TabEmpleados[SD Fiscal]),FALSE)*30.4)-TabImpuestos[[#This Row],[(-) Subsidio para el empleo]],0)</f>
        <v>4104</v>
      </c>
      <c r="S45" s="54" cm="1">
        <f t="array" ref="S45">IFERROR(IF('Desglose Salarios Fiscal'!$Q$1=1,IFERROR((((TabImpuestos[[#This Row],[Ingreso Neto]]-(VLOOKUP(TabImpuestos[[#This Row],[Ingreso Neto]],TabISR[],COLUMN(TabISR[Límite inferior]))))*(VLOOKUP(TabImpuestos[[#This Row],[Ingreso Neto]],TabISR[],COLUMN(TabISR[Por ciento para aplicarse sobre el excedente del límite inferior]))))+(VLOOKUP(TabImpuestos[[#This Row],[Ingreso Neto]],TabISR[],COLUMN(TabISR[Cuota fija]))))-(((TabImpuestos[[#This Row],[Ingreso ordinario]]-(VLOOKUP(TabImpuestos[[#This Row],[Ingreso ordinario]],TabISR[],COLUMN(TabISR[Límite inferior]))))*(VLOOKUP(TabImpuestos[[#This Row],[Ingreso ordinario]],TabISR[],COLUMN(TabISR[Por ciento para aplicarse sobre el excedente del límite inferior]))))+(VLOOKUP(TabImpuestos[[#This Row],[Ingreso ordinario]],TabISR[],COLUMN(TabISR[Cuota fija])))),0),0),0)</f>
        <v>-93.742079999999959</v>
      </c>
      <c r="T45" s="54" cm="1">
        <f t="array" ref="T45">((15*VLOOKUP(TabImpuestos[[#This Row],[ID]],TabEmpleados[],COLUMN(TabEmpleados[SD Fiscal]),FALSE))-(30*SMDF))/365*30.4</f>
        <v>-71.760657534246562</v>
      </c>
      <c r="U45" s="54">
        <f>TabImpuestos[[#This Row],[Ingreso ordinario]]+TabImpuestos[[#This Row],[Aguinaldo Gravado Mensual]]</f>
        <v>4032.2393424657535</v>
      </c>
      <c r="V45" s="54" cm="1">
        <f t="array" ref="V45">(((TabImpuestos[[#This Row],[Ingresos totales]]-(VLOOKUP(TabImpuestos[[#This Row],[Ingresos totales]],TabISR[],COLUMN(TabISR[Límite inferior]))))*(VLOOKUP(TabImpuestos[[#This Row],[Ingresos totales]],TabISR[],COLUMN(TabISR[Por ciento para aplicarse sobre el excedente del límite inferior]))))+(VLOOKUP(TabImpuestos[[#This Row],[Ingresos totales]],TabISR[],COLUMN(TabISR[Cuota fija]))))</f>
        <v>282.22727246027398</v>
      </c>
      <c r="W45" s="54" cm="1">
        <f t="array" ref="W45">(((TabImpuestos[[#This Row],[Ingreso ordinario]]-(VLOOKUP(TabImpuestos[[#This Row],[Ingreso ordinario]],TabISR[],COLUMN(TabISR[Límite inferior]))))*(VLOOKUP(TabImpuestos[[#This Row],[Ingreso ordinario]],TabISR[],COLUMN(TabISR[Por ciento para aplicarse sobre el excedente del límite inferior]))))+(VLOOKUP(TabImpuestos[[#This Row],[Ingreso ordinario]],TabISR[],COLUMN(TabISR[Cuota fija]))))</f>
        <v>290.03483199999994</v>
      </c>
      <c r="X45" s="54">
        <f>TabImpuestos[[#This Row],[ISR Por ingresos totales]]-TabImpuestos[[#This Row],[ISR por ingreso ordinario]]</f>
        <v>-7.8075595397259576</v>
      </c>
      <c r="Y45" s="236">
        <f>TabImpuestos[[#This Row],[Diferencia de ISR''s]]/TabImpuestos[[#This Row],[Aguinaldo Gravado Mensual]]</f>
        <v>0.10879999999999905</v>
      </c>
      <c r="Z45" s="54" cm="1">
        <f t="array" ref="Z45">IFERROR(IF('Desglose Salarios Fiscal'!$Q$1=1,((15*VLOOKUP(TabImpuestos[[#This Row],[ID]],TabEmpleados[],COLUMN(TabEmpleados[SD Fiscal]),FALSE))-(30*SMDF))*TabImpuestos[[#This Row],[Tasa D %]],0),0)</f>
        <v>-93.742079999999177</v>
      </c>
    </row>
    <row r="46" spans="1:26" x14ac:dyDescent="0.25">
      <c r="A46">
        <f t="shared" si="0"/>
        <v>44</v>
      </c>
      <c r="B46" t="str" cm="1">
        <f t="array" ref="B46">VLOOKUP(A46,TabEmpleados[],COLUMN(TabEmpleados[Nombre]),FALSE)</f>
        <v>LORENZO GREGORIO JESUS OCTAVIANO</v>
      </c>
      <c r="C46" s="54" cm="1">
        <f t="array" ref="C46">(VLOOKUP(TabImpuestos[[#This Row],[ID]],TabEmpleados[],COLUMN(TabEmpleados[SD Fiscal]))*VLOOKUP(TabImpuestos[[#This Row],[ID]],TabAsistencias[],COLUMN(TabAsistencias[''Total de dias laborados])))+
TabImpuestos[[#This Row],[Bono Asistencia]]+TabImpuestos[[#This Row],[Bono Puntualidad]]+TabImpuestos[[#This Row],[Prima Dominical]]+TabImpuestos[[#This Row],[Prima Vacacional]]+TabImpuestos[[#This Row],[Bono Festivo/ Descanso]]</f>
        <v>9429.1238999999987</v>
      </c>
      <c r="D46" s="54" cm="1">
        <f t="array" ref="D46">VLOOKUP(TabImpuestos[[#This Row],[ID]],TabDesSalariosFiscal[],COLUMN(TabDesSalariosFiscal[Bono Asistencia]),FALSE)</f>
        <v>882.06195000000002</v>
      </c>
      <c r="E46" s="54" cm="1">
        <f t="array" ref="E46">VLOOKUP(TabImpuestos[[#This Row],[ID]],TabDesSalariosFiscal[],COLUMN(TabDesSalariosFiscal[Bono Puntualidad]),FALSE)</f>
        <v>882.06195000000002</v>
      </c>
      <c r="F46" s="54" cm="1">
        <f t="array" ref="F46">IF(VLOOKUP(TabImpuestos[[#This Row],[ID]],TabDesSalariosFiscal[],COLUMN(TabDesSalariosFiscal[Prima dominical]),FALSE)-SMDF&lt;0,0,VLOOKUP(TabImpuestos[[#This Row],[ID]],TabDesSalariosFiscal[],COLUMN(TabDesSalariosFiscal[Prima dominical]),FALSE)-SMDF)</f>
        <v>0</v>
      </c>
      <c r="G46" s="54" cm="1">
        <f t="array" ref="G46">IF(VLOOKUP(TabImpuestos[[#This Row],[ID]],TabDesSalariosFiscal[],COLUMN(TabDesSalariosFiscal[Prima vacacional]),FALSE)-(15*SMDF)&lt;0,0,VLOOKUP(TabImpuestos[[#This Row],[ID]],TabDesSalariosFiscal[],COLUMN(TabDesSalariosFiscal[Prima vacacional]),FALSE)-(15*SMDF))</f>
        <v>0</v>
      </c>
      <c r="H46" s="54" cm="1">
        <f t="array" ref="H46">(VLOOKUP(TabImpuestos[[#This Row],[ID]],TabDesSalariosFiscal[],COLUMN(TabDesSalariosFiscal[Dia Festivo/ Descanso]),FALSE)*50%)</f>
        <v>0</v>
      </c>
      <c r="I46" s="54" cm="1">
        <f t="array" ref="I46">IFERROR(VLOOKUP(TabImpuestos[[#This Row],[Base Gravable]],TabISR[],COLUMN(TabISR[Límite inferior])),0)</f>
        <v>7641.91</v>
      </c>
      <c r="J46" s="54">
        <f>IFERROR(TabImpuestos[[#This Row],[Base Gravable]]-TabImpuestos[[#This Row],[(-) Lim. Inferior]],0)</f>
        <v>1787.2138999999988</v>
      </c>
      <c r="K46" s="236" cm="1">
        <f t="array" ref="K46">IFERROR(VLOOKUP(TabImpuestos[[#This Row],[Base Gravable]],TabISR[],COLUMN(TabISR[Por ciento para aplicarse sobre el excedente del límite inferior])),0)</f>
        <v>0.21360000000000001</v>
      </c>
      <c r="L46" s="54">
        <f>IFERROR(TabImpuestos[[#This Row],[EXC. Lim. Inferior]]*TabImpuestos[[#This Row],[(*) % Lim. Inf.]],0)</f>
        <v>381.74888903999977</v>
      </c>
      <c r="M46" s="54" cm="1">
        <f t="array" ref="M46">IFERROR(VLOOKUP(TabImpuestos[[#This Row],[Base Gravable]],TabISR[],COLUMN(TabISR[Cuota fija])),0)</f>
        <v>809.25</v>
      </c>
      <c r="N46" s="54">
        <f>IFERROR(TabImpuestos[[#This Row],[Impuesto marginal]]+TabImpuestos[[#This Row],[(+) Cuota Fija]],0)</f>
        <v>1190.9988890399998</v>
      </c>
      <c r="O46" s="54" cm="1">
        <f t="array" ref="O46">IFERROR(VLOOKUP(TabImpuestos[[#This Row],[Base Gravable]],TabSubsidio[],COLUMN(TabSubsidio[SUBSIDIO])),0)</f>
        <v>0</v>
      </c>
      <c r="P46" s="54">
        <f>IFERROR(TabImpuestos[[#This Row],[Imp. Art. 96 ISR]]-TabImpuestos[[#This Row],[(-) Subsidio para el empleo]],0)</f>
        <v>1190.9988890399998</v>
      </c>
      <c r="Q46" s="54" cm="1">
        <f t="array" ref="Q46">IF('Desglose Salarios Fiscal'!$Q$1=1,TabImpuestos[[#This Row],[Ingreso ordinario]]+((15*VLOOKUP(TabImpuestos[[#This Row],[ID]],TabEmpleados[],COLUMN(TabEmpleados[SD Fiscal]),FALSE))-(30*SMDF)),0)</f>
        <v>1880.4</v>
      </c>
      <c r="R46" s="54" cm="1">
        <f t="array" ref="R46">IF('Desglose Salarios Fiscal'!$Q$1=1,(VLOOKUP(TabImpuestos[[#This Row],[ID]],TabEmpleados[],COLUMN(TabEmpleados[SD Fiscal]),FALSE)*30.4)-TabImpuestos[[#This Row],[(-) Subsidio para el empleo]],0)</f>
        <v>3192</v>
      </c>
      <c r="S46" s="54" cm="1">
        <f t="array" ref="S46">IFERROR(IF('Desglose Salarios Fiscal'!$Q$1=1,IFERROR((((TabImpuestos[[#This Row],[Ingreso Neto]]-(VLOOKUP(TabImpuestos[[#This Row],[Ingreso Neto]],TabISR[],COLUMN(TabISR[Límite inferior]))))*(VLOOKUP(TabImpuestos[[#This Row],[Ingreso Neto]],TabISR[],COLUMN(TabISR[Por ciento para aplicarse sobre el excedente del límite inferior]))))+(VLOOKUP(TabImpuestos[[#This Row],[Ingreso Neto]],TabISR[],COLUMN(TabISR[Cuota fija]))))-(((TabImpuestos[[#This Row],[Ingreso ordinario]]-(VLOOKUP(TabImpuestos[[#This Row],[Ingreso ordinario]],TabISR[],COLUMN(TabISR[Límite inferior]))))*(VLOOKUP(TabImpuestos[[#This Row],[Ingreso ordinario]],TabISR[],COLUMN(TabISR[Por ciento para aplicarse sobre el excedente del límite inferior]))))+(VLOOKUP(TabImpuestos[[#This Row],[Ingreso ordinario]],TabISR[],COLUMN(TabISR[Cuota fija])))),0),0),0)</f>
        <v>-86.972671999999989</v>
      </c>
      <c r="T46" s="54" cm="1">
        <f t="array" ref="T46">((15*VLOOKUP(TabImpuestos[[#This Row],[ID]],TabEmpleados[],COLUMN(TabEmpleados[SD Fiscal]),FALSE))-(30*SMDF))/365*30.4</f>
        <v>-109.24010958904108</v>
      </c>
      <c r="U46" s="54">
        <f>TabImpuestos[[#This Row],[Ingreso ordinario]]+TabImpuestos[[#This Row],[Aguinaldo Gravado Mensual]]</f>
        <v>3082.7598904109591</v>
      </c>
      <c r="V46" s="54" cm="1">
        <f t="array" ref="V46">(((TabImpuestos[[#This Row],[Ingresos totales]]-(VLOOKUP(TabImpuestos[[#This Row],[Ingresos totales]],TabISR[],COLUMN(TabISR[Límite inferior]))))*(VLOOKUP(TabImpuestos[[#This Row],[Ingresos totales]],TabISR[],COLUMN(TabISR[Por ciento para aplicarse sobre el excedente del límite inferior]))))+(VLOOKUP(TabImpuestos[[#This Row],[Ingresos totales]],TabISR[],COLUMN(TabISR[Cuota fija]))))</f>
        <v>180.78759298630138</v>
      </c>
      <c r="W46" s="54" cm="1">
        <f t="array" ref="W46">(((TabImpuestos[[#This Row],[Ingreso ordinario]]-(VLOOKUP(TabImpuestos[[#This Row],[Ingreso ordinario]],TabISR[],COLUMN(TabISR[Límite inferior]))))*(VLOOKUP(TabImpuestos[[#This Row],[Ingreso ordinario]],TabISR[],COLUMN(TabISR[Por ciento para aplicarse sobre el excedente del límite inferior]))))+(VLOOKUP(TabImpuestos[[#This Row],[Ingreso ordinario]],TabISR[],COLUMN(TabISR[Cuota fija]))))</f>
        <v>190.80923199999998</v>
      </c>
      <c r="X46" s="54">
        <f>TabImpuestos[[#This Row],[ISR Por ingresos totales]]-TabImpuestos[[#This Row],[ISR por ingreso ordinario]]</f>
        <v>-10.021639013698604</v>
      </c>
      <c r="Y46" s="236">
        <f>TabImpuestos[[#This Row],[Diferencia de ISR''s]]/TabImpuestos[[#This Row],[Aguinaldo Gravado Mensual]]</f>
        <v>9.1739554742299251E-2</v>
      </c>
      <c r="Z46" s="54" cm="1">
        <f t="array" ref="Z46">IFERROR(IF('Desglose Salarios Fiscal'!$Q$1=1,((15*VLOOKUP(TabImpuestos[[#This Row],[ID]],TabEmpleados[],COLUMN(TabEmpleados[SD Fiscal]),FALSE))-(30*SMDF))*TabImpuestos[[#This Row],[Tasa D %]],0),0)</f>
        <v>-120.3255999999997</v>
      </c>
    </row>
    <row r="47" spans="1:26" x14ac:dyDescent="0.25">
      <c r="A47" s="31">
        <f t="shared" si="0"/>
        <v>45</v>
      </c>
      <c r="B47" s="30" t="str" cm="1">
        <f t="array" ref="B47">VLOOKUP(A47,TabEmpleados[],COLUMN(TabEmpleados[Nombre]),FALSE)</f>
        <v>CABRERA HEREDIA EDGAR OMAR</v>
      </c>
      <c r="C47" s="54" cm="1">
        <f t="array" ref="C47">(VLOOKUP(TabImpuestos[[#This Row],[ID]],TabEmpleados[],COLUMN(TabEmpleados[SD Fiscal]))*VLOOKUP(TabImpuestos[[#This Row],[ID]],TabAsistencias[],COLUMN(TabAsistencias[''Total de dias laborados])))+
TabImpuestos[[#This Row],[Bono Asistencia]]+TabImpuestos[[#This Row],[Bono Puntualidad]]+TabImpuestos[[#This Row],[Prima Dominical]]+TabImpuestos[[#This Row],[Prima Vacacional]]+TabImpuestos[[#This Row],[Bono Festivo/ Descanso]]</f>
        <v>16897.661840000001</v>
      </c>
      <c r="D47" s="54" cm="1">
        <f t="array" ref="D47">VLOOKUP(TabImpuestos[[#This Row],[ID]],TabDesSalariosFiscal[],COLUMN(TabDesSalariosFiscal[Bono Asistencia]),FALSE)</f>
        <v>1586.8309200000001</v>
      </c>
      <c r="E47" s="54" cm="1">
        <f t="array" ref="E47">VLOOKUP(TabImpuestos[[#This Row],[ID]],TabDesSalariosFiscal[],COLUMN(TabDesSalariosFiscal[Bono Puntualidad]),FALSE)</f>
        <v>1586.8309200000001</v>
      </c>
      <c r="F47" s="54" cm="1">
        <f t="array" ref="F47">IF(VLOOKUP(TabImpuestos[[#This Row],[ID]],TabDesSalariosFiscal[],COLUMN(TabDesSalariosFiscal[Prima dominical]),FALSE)-SMDF&lt;0,0,VLOOKUP(TabImpuestos[[#This Row],[ID]],TabDesSalariosFiscal[],COLUMN(TabDesSalariosFiscal[Prima dominical]),FALSE)-SMDF)</f>
        <v>0</v>
      </c>
      <c r="G47" s="54" cm="1">
        <f t="array" ref="G47">IF(VLOOKUP(TabImpuestos[[#This Row],[ID]],TabDesSalariosFiscal[],COLUMN(TabDesSalariosFiscal[Prima vacacional]),FALSE)-(15*SMDF)&lt;0,0,VLOOKUP(TabImpuestos[[#This Row],[ID]],TabDesSalariosFiscal[],COLUMN(TabDesSalariosFiscal[Prima vacacional]),FALSE)-(15*SMDF))</f>
        <v>0</v>
      </c>
      <c r="H47" s="54" cm="1">
        <f t="array" ref="H47">(VLOOKUP(TabImpuestos[[#This Row],[ID]],TabDesSalariosFiscal[],COLUMN(TabDesSalariosFiscal[Dia Festivo/ Descanso]),FALSE)*50%)</f>
        <v>0</v>
      </c>
      <c r="I47" s="54" cm="1">
        <f t="array" ref="I47">IFERROR(VLOOKUP(TabImpuestos[[#This Row],[Base Gravable]],TabISR[],COLUMN(TabISR[Límite inferior])),0)</f>
        <v>15412.81</v>
      </c>
      <c r="J47" s="54">
        <f>IFERROR(TabImpuestos[[#This Row],[Base Gravable]]-TabImpuestos[[#This Row],[(-) Lim. Inferior]],0)</f>
        <v>1484.8518400000012</v>
      </c>
      <c r="K47" s="236" cm="1">
        <f t="array" ref="K47">IFERROR(VLOOKUP(TabImpuestos[[#This Row],[Base Gravable]],TabISR[],COLUMN(TabISR[Por ciento para aplicarse sobre el excedente del límite inferior])),0)</f>
        <v>0.23519999999999999</v>
      </c>
      <c r="L47" s="54">
        <f>IFERROR(TabImpuestos[[#This Row],[EXC. Lim. Inferior]]*TabImpuestos[[#This Row],[(*) % Lim. Inf.]],0)</f>
        <v>349.23715276800027</v>
      </c>
      <c r="M47" s="54" cm="1">
        <f t="array" ref="M47">IFERROR(VLOOKUP(TabImpuestos[[#This Row],[Base Gravable]],TabISR[],COLUMN(TabISR[Cuota fija])),0)</f>
        <v>2469.15</v>
      </c>
      <c r="N47" s="54">
        <f>IFERROR(TabImpuestos[[#This Row],[Impuesto marginal]]+TabImpuestos[[#This Row],[(+) Cuota Fija]],0)</f>
        <v>2818.3871527680003</v>
      </c>
      <c r="O47" s="54" cm="1">
        <f t="array" ref="O47">IFERROR(VLOOKUP(TabImpuestos[[#This Row],[Base Gravable]],TabSubsidio[],COLUMN(TabSubsidio[SUBSIDIO])),0)</f>
        <v>0</v>
      </c>
      <c r="P47" s="54">
        <f>IFERROR(TabImpuestos[[#This Row],[Imp. Art. 96 ISR]]-TabImpuestos[[#This Row],[(-) Subsidio para el empleo]],0)</f>
        <v>2818.3871527680003</v>
      </c>
      <c r="Q47" s="54" cm="1">
        <f t="array" ref="Q47">IF('Desglose Salarios Fiscal'!$Q$1=1,TabImpuestos[[#This Row],[Ingreso ordinario]]+((15*VLOOKUP(TabImpuestos[[#This Row],[ID]],TabEmpleados[],COLUMN(TabEmpleados[SD Fiscal]),FALSE))-(30*SMDF)),0)</f>
        <v>5648.6</v>
      </c>
      <c r="R47" s="54" cm="1">
        <f t="array" ref="R47">IF('Desglose Salarios Fiscal'!$Q$1=1,(VLOOKUP(TabImpuestos[[#This Row],[ID]],TabEmpleados[],COLUMN(TabEmpleados[SD Fiscal]),FALSE)*30.4)-TabImpuestos[[#This Row],[(-) Subsidio para el empleo]],0)</f>
        <v>5715.2</v>
      </c>
      <c r="S47" s="54" cm="1">
        <f t="array" ref="S47">IFERROR(IF('Desglose Salarios Fiscal'!$Q$1=1,IFERROR((((TabImpuestos[[#This Row],[Ingreso Neto]]-(VLOOKUP(TabImpuestos[[#This Row],[Ingreso Neto]],TabISR[],COLUMN(TabISR[Límite inferior]))))*(VLOOKUP(TabImpuestos[[#This Row],[Ingreso Neto]],TabISR[],COLUMN(TabISR[Por ciento para aplicarse sobre el excedente del límite inferior]))))+(VLOOKUP(TabImpuestos[[#This Row],[Ingreso Neto]],TabISR[],COLUMN(TabISR[Cuota fija]))))-(((TabImpuestos[[#This Row],[Ingreso ordinario]]-(VLOOKUP(TabImpuestos[[#This Row],[Ingreso ordinario]],TabISR[],COLUMN(TabISR[Límite inferior]))))*(VLOOKUP(TabImpuestos[[#This Row],[Ingreso ordinario]],TabISR[],COLUMN(TabISR[Por ciento para aplicarse sobre el excedente del límite inferior]))))+(VLOOKUP(TabImpuestos[[#This Row],[Ingreso ordinario]],TabISR[],COLUMN(TabISR[Cuota fija])))),0),0),0)</f>
        <v>-10.655999999999892</v>
      </c>
      <c r="T47" s="54" cm="1">
        <f t="array" ref="T47">((15*VLOOKUP(TabImpuestos[[#This Row],[ID]],TabEmpleados[],COLUMN(TabEmpleados[SD Fiscal]),FALSE))-(30*SMDF))/365*30.4</f>
        <v>-5.546958904109581</v>
      </c>
      <c r="U47" s="54">
        <f>TabImpuestos[[#This Row],[Ingreso ordinario]]+TabImpuestos[[#This Row],[Aguinaldo Gravado Mensual]]</f>
        <v>5709.6530410958903</v>
      </c>
      <c r="V47" s="54" cm="1">
        <f t="array" ref="V47">(((TabImpuestos[[#This Row],[Ingresos totales]]-(VLOOKUP(TabImpuestos[[#This Row],[Ingresos totales]],TabISR[],COLUMN(TabISR[Límite inferior]))))*(VLOOKUP(TabImpuestos[[#This Row],[Ingresos totales]],TabISR[],COLUMN(TabISR[Por ciento para aplicarse sobre el excedente del límite inferior]))))+(VLOOKUP(TabImpuestos[[#This Row],[Ingresos totales]],TabISR[],COLUMN(TabISR[Cuota fija]))))</f>
        <v>476.0228865753424</v>
      </c>
      <c r="W47" s="54" cm="1">
        <f t="array" ref="W47">(((TabImpuestos[[#This Row],[Ingreso ordinario]]-(VLOOKUP(TabImpuestos[[#This Row],[Ingreso ordinario]],TabISR[],COLUMN(TabISR[Límite inferior]))))*(VLOOKUP(TabImpuestos[[#This Row],[Ingreso ordinario]],TabISR[],COLUMN(TabISR[Por ciento para aplicarse sobre el excedente del límite inferior]))))+(VLOOKUP(TabImpuestos[[#This Row],[Ingreso ordinario]],TabISR[],COLUMN(TabISR[Cuota fija]))))</f>
        <v>476.91039999999992</v>
      </c>
      <c r="X47" s="54">
        <f>TabImpuestos[[#This Row],[ISR Por ingresos totales]]-TabImpuestos[[#This Row],[ISR por ingreso ordinario]]</f>
        <v>-0.88751342465752714</v>
      </c>
      <c r="Y47" s="236">
        <f>TabImpuestos[[#This Row],[Diferencia de ISR''s]]/TabImpuestos[[#This Row],[Aguinaldo Gravado Mensual]]</f>
        <v>0.15999999999999895</v>
      </c>
      <c r="Z47" s="54" cm="1">
        <f t="array" ref="Z47">IFERROR(IF('Desglose Salarios Fiscal'!$Q$1=1,((15*VLOOKUP(TabImpuestos[[#This Row],[ID]],TabEmpleados[],COLUMN(TabEmpleados[SD Fiscal]),FALSE))-(30*SMDF))*TabImpuestos[[#This Row],[Tasa D %]],0),0)</f>
        <v>-10.655999999999915</v>
      </c>
    </row>
    <row r="48" spans="1:26" x14ac:dyDescent="0.25">
      <c r="A48">
        <f t="shared" si="0"/>
        <v>46</v>
      </c>
      <c r="B48" t="str" cm="1">
        <f t="array" ref="B48">VLOOKUP(A48,TabEmpleados[],COLUMN(TabEmpleados[Nombre]),FALSE)</f>
        <v xml:space="preserve">REYES JUAREZ OSCAR </v>
      </c>
      <c r="C48" s="54" cm="1">
        <f t="array" ref="C48">(VLOOKUP(TabImpuestos[[#This Row],[ID]],TabEmpleados[],COLUMN(TabEmpleados[SD Fiscal]))*VLOOKUP(TabImpuestos[[#This Row],[ID]],TabAsistencias[],COLUMN(TabAsistencias[''Total de dias laborados])))+
TabImpuestos[[#This Row],[Bono Asistencia]]+TabImpuestos[[#This Row],[Bono Puntualidad]]+TabImpuestos[[#This Row],[Prima Dominical]]+TabImpuestos[[#This Row],[Prima Vacacional]]+TabImpuestos[[#This Row],[Bono Festivo/ Descanso]]</f>
        <v>8082.1062000000002</v>
      </c>
      <c r="D48" s="54" cm="1">
        <f t="array" ref="D48">VLOOKUP(TabImpuestos[[#This Row],[ID]],TabDesSalariosFiscal[],COLUMN(TabDesSalariosFiscal[Bono Asistencia]),FALSE)</f>
        <v>756.05310000000009</v>
      </c>
      <c r="E48" s="54" cm="1">
        <f t="array" ref="E48">VLOOKUP(TabImpuestos[[#This Row],[ID]],TabDesSalariosFiscal[],COLUMN(TabDesSalariosFiscal[Bono Puntualidad]),FALSE)</f>
        <v>756.05310000000009</v>
      </c>
      <c r="F48" s="54" cm="1">
        <f t="array" ref="F48">IF(VLOOKUP(TabImpuestos[[#This Row],[ID]],TabDesSalariosFiscal[],COLUMN(TabDesSalariosFiscal[Prima dominical]),FALSE)-SMDF&lt;0,0,VLOOKUP(TabImpuestos[[#This Row],[ID]],TabDesSalariosFiscal[],COLUMN(TabDesSalariosFiscal[Prima dominical]),FALSE)-SMDF)</f>
        <v>0</v>
      </c>
      <c r="G48" s="54" cm="1">
        <f t="array" ref="G48">IF(VLOOKUP(TabImpuestos[[#This Row],[ID]],TabDesSalariosFiscal[],COLUMN(TabDesSalariosFiscal[Prima vacacional]),FALSE)-(15*SMDF)&lt;0,0,VLOOKUP(TabImpuestos[[#This Row],[ID]],TabDesSalariosFiscal[],COLUMN(TabDesSalariosFiscal[Prima vacacional]),FALSE)-(15*SMDF))</f>
        <v>0</v>
      </c>
      <c r="H48" s="54" cm="1">
        <f t="array" ref="H48">(VLOOKUP(TabImpuestos[[#This Row],[ID]],TabDesSalariosFiscal[],COLUMN(TabDesSalariosFiscal[Dia Festivo/ Descanso]),FALSE)*50%)</f>
        <v>0</v>
      </c>
      <c r="I48" s="54" cm="1">
        <f t="array" ref="I48">IFERROR(VLOOKUP(TabImpuestos[[#This Row],[Base Gravable]],TabISR[],COLUMN(TabISR[Límite inferior])),0)</f>
        <v>7641.91</v>
      </c>
      <c r="J48" s="54">
        <f>IFERROR(TabImpuestos[[#This Row],[Base Gravable]]-TabImpuestos[[#This Row],[(-) Lim. Inferior]],0)</f>
        <v>440.19620000000032</v>
      </c>
      <c r="K48" s="236" cm="1">
        <f t="array" ref="K48">IFERROR(VLOOKUP(TabImpuestos[[#This Row],[Base Gravable]],TabISR[],COLUMN(TabISR[Por ciento para aplicarse sobre el excedente del límite inferior])),0)</f>
        <v>0.21360000000000001</v>
      </c>
      <c r="L48" s="54">
        <f>IFERROR(TabImpuestos[[#This Row],[EXC. Lim. Inferior]]*TabImpuestos[[#This Row],[(*) % Lim. Inf.]],0)</f>
        <v>94.02590832000007</v>
      </c>
      <c r="M48" s="54" cm="1">
        <f t="array" ref="M48">IFERROR(VLOOKUP(TabImpuestos[[#This Row],[Base Gravable]],TabISR[],COLUMN(TabISR[Cuota fija])),0)</f>
        <v>809.25</v>
      </c>
      <c r="N48" s="54">
        <f>IFERROR(TabImpuestos[[#This Row],[Impuesto marginal]]+TabImpuestos[[#This Row],[(+) Cuota Fija]],0)</f>
        <v>903.2759083200001</v>
      </c>
      <c r="O48" s="54" cm="1">
        <f t="array" ref="O48">IFERROR(VLOOKUP(TabImpuestos[[#This Row],[Base Gravable]],TabSubsidio[],COLUMN(TabSubsidio[SUBSIDIO])),0)</f>
        <v>0</v>
      </c>
      <c r="P48" s="54">
        <f>IFERROR(TabImpuestos[[#This Row],[Imp. Art. 96 ISR]]-TabImpuestos[[#This Row],[(-) Subsidio para el empleo]],0)</f>
        <v>903.2759083200001</v>
      </c>
      <c r="Q48" s="54" cm="1">
        <f t="array" ref="Q48">IF('Desglose Salarios Fiscal'!$Q$1=1,TabImpuestos[[#This Row],[Ingreso ordinario]]+((15*VLOOKUP(TabImpuestos[[#This Row],[ID]],TabEmpleados[],COLUMN(TabEmpleados[SD Fiscal]),FALSE))-(30*SMDF)),0)</f>
        <v>1199.4000000000001</v>
      </c>
      <c r="R48" s="54" cm="1">
        <f t="array" ref="R48">IF('Desglose Salarios Fiscal'!$Q$1=1,(VLOOKUP(TabImpuestos[[#This Row],[ID]],TabEmpleados[],COLUMN(TabEmpleados[SD Fiscal]),FALSE)*30.4)-TabImpuestos[[#This Row],[(-) Subsidio para el empleo]],0)</f>
        <v>2736</v>
      </c>
      <c r="S48" s="54" cm="1">
        <f t="array" ref="S48">IFERROR(IF('Desglose Salarios Fiscal'!$Q$1=1,IFERROR((((TabImpuestos[[#This Row],[Ingreso Neto]]-(VLOOKUP(TabImpuestos[[#This Row],[Ingreso Neto]],TabISR[],COLUMN(TabISR[Límite inferior]))))*(VLOOKUP(TabImpuestos[[#This Row],[Ingreso Neto]],TabISR[],COLUMN(TabISR[Por ciento para aplicarse sobre el excedente del límite inferior]))))+(VLOOKUP(TabImpuestos[[#This Row],[Ingreso Neto]],TabISR[],COLUMN(TabISR[Cuota fija]))))-(((TabImpuestos[[#This Row],[Ingreso ordinario]]-(VLOOKUP(TabImpuestos[[#This Row],[Ingreso ordinario]],TabISR[],COLUMN(TabISR[Límite inferior]))))*(VLOOKUP(TabImpuestos[[#This Row],[Ingreso ordinario]],TabISR[],COLUMN(TabISR[Por ciento para aplicarse sobre el excedente del límite inferior]))))+(VLOOKUP(TabImpuestos[[#This Row],[Ingreso ordinario]],TabISR[],COLUMN(TabISR[Cuota fija])))),0),0),0)</f>
        <v>-98.342400000000012</v>
      </c>
      <c r="T48" s="54" cm="1">
        <f t="array" ref="T48">((15*VLOOKUP(TabImpuestos[[#This Row],[ID]],TabEmpleados[],COLUMN(TabEmpleados[SD Fiscal]),FALSE))-(30*SMDF))/365*30.4</f>
        <v>-127.97983561643835</v>
      </c>
      <c r="U48" s="54">
        <f>TabImpuestos[[#This Row],[Ingreso ordinario]]+TabImpuestos[[#This Row],[Aguinaldo Gravado Mensual]]</f>
        <v>2608.0201643835617</v>
      </c>
      <c r="V48" s="54" cm="1">
        <f t="array" ref="V48">(((TabImpuestos[[#This Row],[Ingresos totales]]-(VLOOKUP(TabImpuestos[[#This Row],[Ingresos totales]],TabISR[],COLUMN(TabISR[Límite inferior]))))*(VLOOKUP(TabImpuestos[[#This Row],[Ingresos totales]],TabISR[],COLUMN(TabISR[Por ciento para aplicarse sobre el excedente del límite inferior]))))+(VLOOKUP(TabImpuestos[[#This Row],[Ingresos totales]],TabISR[],COLUMN(TabISR[Cuota fija]))))</f>
        <v>150.40425052054795</v>
      </c>
      <c r="W48" s="54" cm="1">
        <f t="array" ref="W48">(((TabImpuestos[[#This Row],[Ingreso ordinario]]-(VLOOKUP(TabImpuestos[[#This Row],[Ingreso ordinario]],TabISR[],COLUMN(TabISR[Límite inferior]))))*(VLOOKUP(TabImpuestos[[#This Row],[Ingreso ordinario]],TabISR[],COLUMN(TabISR[Por ciento para aplicarse sobre el excedente del límite inferior]))))+(VLOOKUP(TabImpuestos[[#This Row],[Ingreso ordinario]],TabISR[],COLUMN(TabISR[Cuota fija]))))</f>
        <v>158.59496000000001</v>
      </c>
      <c r="X48" s="54">
        <f>TabImpuestos[[#This Row],[ISR Por ingresos totales]]-TabImpuestos[[#This Row],[ISR por ingreso ordinario]]</f>
        <v>-8.1907094794520674</v>
      </c>
      <c r="Y48" s="236">
        <f>TabImpuestos[[#This Row],[Diferencia de ISR''s]]/TabImpuestos[[#This Row],[Aguinaldo Gravado Mensual]]</f>
        <v>6.4000000000000098E-2</v>
      </c>
      <c r="Z48" s="54" cm="1">
        <f t="array" ref="Z48">IFERROR(IF('Desglose Salarios Fiscal'!$Q$1=1,((15*VLOOKUP(TabImpuestos[[#This Row],[ID]],TabEmpleados[],COLUMN(TabEmpleados[SD Fiscal]),FALSE))-(30*SMDF))*TabImpuestos[[#This Row],[Tasa D %]],0),0)</f>
        <v>-98.34240000000014</v>
      </c>
    </row>
    <row r="49" spans="1:26" x14ac:dyDescent="0.25">
      <c r="A49" s="31">
        <f t="shared" si="0"/>
        <v>47</v>
      </c>
      <c r="B49" s="30" t="str" cm="1">
        <f t="array" ref="B49">VLOOKUP(A49,TabEmpleados[],COLUMN(TabEmpleados[Nombre]),FALSE)</f>
        <v xml:space="preserve">DIAZ LOPEZ ANTONIO DE JESUS </v>
      </c>
      <c r="C49" s="54" cm="1">
        <f t="array" ref="C49">(VLOOKUP(TabImpuestos[[#This Row],[ID]],TabEmpleados[],COLUMN(TabEmpleados[SD Fiscal]))*VLOOKUP(TabImpuestos[[#This Row],[ID]],TabAsistencias[],COLUMN(TabAsistencias[''Total de dias laborados])))+
TabImpuestos[[#This Row],[Bono Asistencia]]+TabImpuestos[[#This Row],[Bono Puntualidad]]+TabImpuestos[[#This Row],[Prima Dominical]]+TabImpuestos[[#This Row],[Prima Vacacional]]+TabImpuestos[[#This Row],[Bono Festivo/ Descanso]]</f>
        <v>8082.1062000000002</v>
      </c>
      <c r="D49" s="54" cm="1">
        <f t="array" ref="D49">VLOOKUP(TabImpuestos[[#This Row],[ID]],TabDesSalariosFiscal[],COLUMN(TabDesSalariosFiscal[Bono Asistencia]),FALSE)</f>
        <v>756.05310000000009</v>
      </c>
      <c r="E49" s="54" cm="1">
        <f t="array" ref="E49">VLOOKUP(TabImpuestos[[#This Row],[ID]],TabDesSalariosFiscal[],COLUMN(TabDesSalariosFiscal[Bono Puntualidad]),FALSE)</f>
        <v>756.05310000000009</v>
      </c>
      <c r="F49" s="54" cm="1">
        <f t="array" ref="F49">IF(VLOOKUP(TabImpuestos[[#This Row],[ID]],TabDesSalariosFiscal[],COLUMN(TabDesSalariosFiscal[Prima dominical]),FALSE)-SMDF&lt;0,0,VLOOKUP(TabImpuestos[[#This Row],[ID]],TabDesSalariosFiscal[],COLUMN(TabDesSalariosFiscal[Prima dominical]),FALSE)-SMDF)</f>
        <v>0</v>
      </c>
      <c r="G49" s="54" cm="1">
        <f t="array" ref="G49">IF(VLOOKUP(TabImpuestos[[#This Row],[ID]],TabDesSalariosFiscal[],COLUMN(TabDesSalariosFiscal[Prima vacacional]),FALSE)-(15*SMDF)&lt;0,0,VLOOKUP(TabImpuestos[[#This Row],[ID]],TabDesSalariosFiscal[],COLUMN(TabDesSalariosFiscal[Prima vacacional]),FALSE)-(15*SMDF))</f>
        <v>0</v>
      </c>
      <c r="H49" s="54" cm="1">
        <f t="array" ref="H49">(VLOOKUP(TabImpuestos[[#This Row],[ID]],TabDesSalariosFiscal[],COLUMN(TabDesSalariosFiscal[Dia Festivo/ Descanso]),FALSE)*50%)</f>
        <v>0</v>
      </c>
      <c r="I49" s="54" cm="1">
        <f t="array" ref="I49">IFERROR(VLOOKUP(TabImpuestos[[#This Row],[Base Gravable]],TabISR[],COLUMN(TabISR[Límite inferior])),0)</f>
        <v>7641.91</v>
      </c>
      <c r="J49" s="54">
        <f>IFERROR(TabImpuestos[[#This Row],[Base Gravable]]-TabImpuestos[[#This Row],[(-) Lim. Inferior]],0)</f>
        <v>440.19620000000032</v>
      </c>
      <c r="K49" s="236" cm="1">
        <f t="array" ref="K49">IFERROR(VLOOKUP(TabImpuestos[[#This Row],[Base Gravable]],TabISR[],COLUMN(TabISR[Por ciento para aplicarse sobre el excedente del límite inferior])),0)</f>
        <v>0.21360000000000001</v>
      </c>
      <c r="L49" s="54">
        <f>IFERROR(TabImpuestos[[#This Row],[EXC. Lim. Inferior]]*TabImpuestos[[#This Row],[(*) % Lim. Inf.]],0)</f>
        <v>94.02590832000007</v>
      </c>
      <c r="M49" s="54" cm="1">
        <f t="array" ref="M49">IFERROR(VLOOKUP(TabImpuestos[[#This Row],[Base Gravable]],TabISR[],COLUMN(TabISR[Cuota fija])),0)</f>
        <v>809.25</v>
      </c>
      <c r="N49" s="54">
        <f>IFERROR(TabImpuestos[[#This Row],[Impuesto marginal]]+TabImpuestos[[#This Row],[(+) Cuota Fija]],0)</f>
        <v>903.2759083200001</v>
      </c>
      <c r="O49" s="54" cm="1">
        <f t="array" ref="O49">IFERROR(VLOOKUP(TabImpuestos[[#This Row],[Base Gravable]],TabSubsidio[],COLUMN(TabSubsidio[SUBSIDIO])),0)</f>
        <v>0</v>
      </c>
      <c r="P49" s="54">
        <f>IFERROR(TabImpuestos[[#This Row],[Imp. Art. 96 ISR]]-TabImpuestos[[#This Row],[(-) Subsidio para el empleo]],0)</f>
        <v>903.2759083200001</v>
      </c>
      <c r="Q49" s="54" cm="1">
        <f t="array" ref="Q49">IF('Desglose Salarios Fiscal'!$Q$1=1,TabImpuestos[[#This Row],[Ingreso ordinario]]+((15*VLOOKUP(TabImpuestos[[#This Row],[ID]],TabEmpleados[],COLUMN(TabEmpleados[SD Fiscal]),FALSE))-(30*SMDF)),0)</f>
        <v>1199.4000000000001</v>
      </c>
      <c r="R49" s="54" cm="1">
        <f t="array" ref="R49">IF('Desglose Salarios Fiscal'!$Q$1=1,(VLOOKUP(TabImpuestos[[#This Row],[ID]],TabEmpleados[],COLUMN(TabEmpleados[SD Fiscal]),FALSE)*30.4)-TabImpuestos[[#This Row],[(-) Subsidio para el empleo]],0)</f>
        <v>2736</v>
      </c>
      <c r="S49" s="54" cm="1">
        <f t="array" ref="S49">IFERROR(IF('Desglose Salarios Fiscal'!$Q$1=1,IFERROR((((TabImpuestos[[#This Row],[Ingreso Neto]]-(VLOOKUP(TabImpuestos[[#This Row],[Ingreso Neto]],TabISR[],COLUMN(TabISR[Límite inferior]))))*(VLOOKUP(TabImpuestos[[#This Row],[Ingreso Neto]],TabISR[],COLUMN(TabISR[Por ciento para aplicarse sobre el excedente del límite inferior]))))+(VLOOKUP(TabImpuestos[[#This Row],[Ingreso Neto]],TabISR[],COLUMN(TabISR[Cuota fija]))))-(((TabImpuestos[[#This Row],[Ingreso ordinario]]-(VLOOKUP(TabImpuestos[[#This Row],[Ingreso ordinario]],TabISR[],COLUMN(TabISR[Límite inferior]))))*(VLOOKUP(TabImpuestos[[#This Row],[Ingreso ordinario]],TabISR[],COLUMN(TabISR[Por ciento para aplicarse sobre el excedente del límite inferior]))))+(VLOOKUP(TabImpuestos[[#This Row],[Ingreso ordinario]],TabISR[],COLUMN(TabISR[Cuota fija])))),0),0),0)</f>
        <v>-98.342400000000012</v>
      </c>
      <c r="T49" s="54" cm="1">
        <f t="array" ref="T49">((15*VLOOKUP(TabImpuestos[[#This Row],[ID]],TabEmpleados[],COLUMN(TabEmpleados[SD Fiscal]),FALSE))-(30*SMDF))/365*30.4</f>
        <v>-127.97983561643835</v>
      </c>
      <c r="U49" s="54">
        <f>TabImpuestos[[#This Row],[Ingreso ordinario]]+TabImpuestos[[#This Row],[Aguinaldo Gravado Mensual]]</f>
        <v>2608.0201643835617</v>
      </c>
      <c r="V49" s="54" cm="1">
        <f t="array" ref="V49">(((TabImpuestos[[#This Row],[Ingresos totales]]-(VLOOKUP(TabImpuestos[[#This Row],[Ingresos totales]],TabISR[],COLUMN(TabISR[Límite inferior]))))*(VLOOKUP(TabImpuestos[[#This Row],[Ingresos totales]],TabISR[],COLUMN(TabISR[Por ciento para aplicarse sobre el excedente del límite inferior]))))+(VLOOKUP(TabImpuestos[[#This Row],[Ingresos totales]],TabISR[],COLUMN(TabISR[Cuota fija]))))</f>
        <v>150.40425052054795</v>
      </c>
      <c r="W49" s="54" cm="1">
        <f t="array" ref="W49">(((TabImpuestos[[#This Row],[Ingreso ordinario]]-(VLOOKUP(TabImpuestos[[#This Row],[Ingreso ordinario]],TabISR[],COLUMN(TabISR[Límite inferior]))))*(VLOOKUP(TabImpuestos[[#This Row],[Ingreso ordinario]],TabISR[],COLUMN(TabISR[Por ciento para aplicarse sobre el excedente del límite inferior]))))+(VLOOKUP(TabImpuestos[[#This Row],[Ingreso ordinario]],TabISR[],COLUMN(TabISR[Cuota fija]))))</f>
        <v>158.59496000000001</v>
      </c>
      <c r="X49" s="54">
        <f>TabImpuestos[[#This Row],[ISR Por ingresos totales]]-TabImpuestos[[#This Row],[ISR por ingreso ordinario]]</f>
        <v>-8.1907094794520674</v>
      </c>
      <c r="Y49" s="236">
        <f>TabImpuestos[[#This Row],[Diferencia de ISR''s]]/TabImpuestos[[#This Row],[Aguinaldo Gravado Mensual]]</f>
        <v>6.4000000000000098E-2</v>
      </c>
      <c r="Z49" s="54" cm="1">
        <f t="array" ref="Z49">IFERROR(IF('Desglose Salarios Fiscal'!$Q$1=1,((15*VLOOKUP(TabImpuestos[[#This Row],[ID]],TabEmpleados[],COLUMN(TabEmpleados[SD Fiscal]),FALSE))-(30*SMDF))*TabImpuestos[[#This Row],[Tasa D %]],0),0)</f>
        <v>-98.34240000000014</v>
      </c>
    </row>
    <row r="50" spans="1:26" x14ac:dyDescent="0.25">
      <c r="A50">
        <f t="shared" si="0"/>
        <v>48</v>
      </c>
      <c r="B50" t="str" cm="1">
        <f t="array" ref="B50">VLOOKUP(A50,TabEmpleados[],COLUMN(TabEmpleados[Nombre]),FALSE)</f>
        <v>LOPEZ PEREZ CRISTIAN GUILLERMO</v>
      </c>
      <c r="C50" s="54" cm="1">
        <f t="array" ref="C50">(VLOOKUP(TabImpuestos[[#This Row],[ID]],TabEmpleados[],COLUMN(TabEmpleados[SD Fiscal]))*VLOOKUP(TabImpuestos[[#This Row],[ID]],TabAsistencias[],COLUMN(TabAsistencias[''Total de dias laborados])))+
TabImpuestos[[#This Row],[Bono Asistencia]]+TabImpuestos[[#This Row],[Bono Puntualidad]]+TabImpuestos[[#This Row],[Prima Dominical]]+TabImpuestos[[#This Row],[Prima Vacacional]]+TabImpuestos[[#This Row],[Bono Festivo/ Descanso]]</f>
        <v>5388.0707999999995</v>
      </c>
      <c r="D50" s="54" cm="1">
        <f t="array" ref="D50">VLOOKUP(TabImpuestos[[#This Row],[ID]],TabDesSalariosFiscal[],COLUMN(TabDesSalariosFiscal[Bono Asistencia]),FALSE)</f>
        <v>504.03540000000004</v>
      </c>
      <c r="E50" s="54" cm="1">
        <f t="array" ref="E50">VLOOKUP(TabImpuestos[[#This Row],[ID]],TabDesSalariosFiscal[],COLUMN(TabDesSalariosFiscal[Bono Puntualidad]),FALSE)</f>
        <v>504.03540000000004</v>
      </c>
      <c r="F50" s="54" cm="1">
        <f t="array" ref="F50">IF(VLOOKUP(TabImpuestos[[#This Row],[ID]],TabDesSalariosFiscal[],COLUMN(TabDesSalariosFiscal[Prima dominical]),FALSE)-SMDF&lt;0,0,VLOOKUP(TabImpuestos[[#This Row],[ID]],TabDesSalariosFiscal[],COLUMN(TabDesSalariosFiscal[Prima dominical]),FALSE)-SMDF)</f>
        <v>0</v>
      </c>
      <c r="G50" s="54" cm="1">
        <f t="array" ref="G50">IF(VLOOKUP(TabImpuestos[[#This Row],[ID]],TabDesSalariosFiscal[],COLUMN(TabDesSalariosFiscal[Prima vacacional]),FALSE)-(15*SMDF)&lt;0,0,VLOOKUP(TabImpuestos[[#This Row],[ID]],TabDesSalariosFiscal[],COLUMN(TabDesSalariosFiscal[Prima vacacional]),FALSE)-(15*SMDF))</f>
        <v>0</v>
      </c>
      <c r="H50" s="54" cm="1">
        <f t="array" ref="H50">(VLOOKUP(TabImpuestos[[#This Row],[ID]],TabDesSalariosFiscal[],COLUMN(TabDesSalariosFiscal[Dia Festivo/ Descanso]),FALSE)*50%)</f>
        <v>0</v>
      </c>
      <c r="I50" s="54" cm="1">
        <f t="array" ref="I50">IFERROR(VLOOKUP(TabImpuestos[[#This Row],[Base Gravable]],TabISR[],COLUMN(TabISR[Límite inferior])),0)</f>
        <v>3124.36</v>
      </c>
      <c r="J50" s="54">
        <f>IFERROR(TabImpuestos[[#This Row],[Base Gravable]]-TabImpuestos[[#This Row],[(-) Lim. Inferior]],0)</f>
        <v>2263.7107999999994</v>
      </c>
      <c r="K50" s="236" cm="1">
        <f t="array" ref="K50">IFERROR(VLOOKUP(TabImpuestos[[#This Row],[Base Gravable]],TabISR[],COLUMN(TabISR[Por ciento para aplicarse sobre el excedente del límite inferior])),0)</f>
        <v>0.10879999999999999</v>
      </c>
      <c r="L50" s="54">
        <f>IFERROR(TabImpuestos[[#This Row],[EXC. Lim. Inferior]]*TabImpuestos[[#This Row],[(*) % Lim. Inf.]],0)</f>
        <v>246.29173503999991</v>
      </c>
      <c r="M50" s="54" cm="1">
        <f t="array" ref="M50">IFERROR(VLOOKUP(TabImpuestos[[#This Row],[Base Gravable]],TabISR[],COLUMN(TabISR[Cuota fija])),0)</f>
        <v>183.45</v>
      </c>
      <c r="N50" s="54">
        <f>IFERROR(TabImpuestos[[#This Row],[Impuesto marginal]]+TabImpuestos[[#This Row],[(+) Cuota Fija]],0)</f>
        <v>429.74173503999987</v>
      </c>
      <c r="O50" s="54" cm="1">
        <f t="array" ref="O50">IFERROR(VLOOKUP(TabImpuestos[[#This Row],[Base Gravable]],TabSubsidio[],COLUMN(TabSubsidio[SUBSIDIO])),0)</f>
        <v>0</v>
      </c>
      <c r="P50" s="54">
        <f>IFERROR(TabImpuestos[[#This Row],[Imp. Art. 96 ISR]]-TabImpuestos[[#This Row],[(-) Subsidio para el empleo]],0)</f>
        <v>429.74173503999987</v>
      </c>
      <c r="Q50" s="54" cm="1">
        <f t="array" ref="Q50">IF('Desglose Salarios Fiscal'!$Q$1=1,TabImpuestos[[#This Row],[Ingreso ordinario]]+((15*VLOOKUP(TabImpuestos[[#This Row],[ID]],TabEmpleados[],COLUMN(TabEmpleados[SD Fiscal]),FALSE))-(30*SMDF)),0)</f>
        <v>-162.59999999999991</v>
      </c>
      <c r="R50" s="54" cm="1">
        <f t="array" ref="R50">IF('Desglose Salarios Fiscal'!$Q$1=1,(VLOOKUP(TabImpuestos[[#This Row],[ID]],TabEmpleados[],COLUMN(TabEmpleados[SD Fiscal]),FALSE)*30.4)-TabImpuestos[[#This Row],[(-) Subsidio para el empleo]],0)</f>
        <v>1824</v>
      </c>
      <c r="S50" s="54" cm="1">
        <f t="array" ref="S50">IFERROR(IF('Desglose Salarios Fiscal'!$Q$1=1,IFERROR((((TabImpuestos[[#This Row],[Ingreso Neto]]-(VLOOKUP(TabImpuestos[[#This Row],[Ingreso Neto]],TabISR[],COLUMN(TabISR[Límite inferior]))))*(VLOOKUP(TabImpuestos[[#This Row],[Ingreso Neto]],TabISR[],COLUMN(TabISR[Por ciento para aplicarse sobre el excedente del límite inferior]))))+(VLOOKUP(TabImpuestos[[#This Row],[Ingreso Neto]],TabISR[],COLUMN(TabISR[Cuota fija]))))-(((TabImpuestos[[#This Row],[Ingreso ordinario]]-(VLOOKUP(TabImpuestos[[#This Row],[Ingreso ordinario]],TabISR[],COLUMN(TabISR[Límite inferior]))))*(VLOOKUP(TabImpuestos[[#This Row],[Ingreso ordinario]],TabISR[],COLUMN(TabISR[Por ciento para aplicarse sobre el excedente del límite inferior]))))+(VLOOKUP(TabImpuestos[[#This Row],[Ingreso ordinario]],TabISR[],COLUMN(TabISR[Cuota fija])))),0),0),0)</f>
        <v>0</v>
      </c>
      <c r="T50" s="54" cm="1">
        <f t="array" ref="T50">((15*VLOOKUP(TabImpuestos[[#This Row],[ID]],TabEmpleados[],COLUMN(TabEmpleados[SD Fiscal]),FALSE))-(30*SMDF))/365*30.4</f>
        <v>-165.45928767123286</v>
      </c>
      <c r="U50" s="54">
        <f>TabImpuestos[[#This Row],[Ingreso ordinario]]+TabImpuestos[[#This Row],[Aguinaldo Gravado Mensual]]</f>
        <v>1658.5407123287671</v>
      </c>
      <c r="V50" s="54" cm="1">
        <f t="array" ref="V50">(((TabImpuestos[[#This Row],[Ingresos totales]]-(VLOOKUP(TabImpuestos[[#This Row],[Ingresos totales]],TabISR[],COLUMN(TabISR[Límite inferior]))))*(VLOOKUP(TabImpuestos[[#This Row],[Ingresos totales]],TabISR[],COLUMN(TabISR[Por ciento para aplicarse sobre el excedente del límite inferior]))))+(VLOOKUP(TabImpuestos[[#This Row],[Ingresos totales]],TabISR[],COLUMN(TabISR[Cuota fija]))))</f>
        <v>89.637565589041102</v>
      </c>
      <c r="W50" s="54" cm="1">
        <f t="array" ref="W50">(((TabImpuestos[[#This Row],[Ingreso ordinario]]-(VLOOKUP(TabImpuestos[[#This Row],[Ingreso ordinario]],TabISR[],COLUMN(TabISR[Límite inferior]))))*(VLOOKUP(TabImpuestos[[#This Row],[Ingreso ordinario]],TabISR[],COLUMN(TabISR[Por ciento para aplicarse sobre el excedente del límite inferior]))))+(VLOOKUP(TabImpuestos[[#This Row],[Ingreso ordinario]],TabISR[],COLUMN(TabISR[Cuota fija]))))</f>
        <v>100.22695999999999</v>
      </c>
      <c r="X50" s="54">
        <f>TabImpuestos[[#This Row],[ISR Por ingresos totales]]-TabImpuestos[[#This Row],[ISR por ingreso ordinario]]</f>
        <v>-10.589394410958889</v>
      </c>
      <c r="Y50" s="236">
        <f>TabImpuestos[[#This Row],[Diferencia de ISR''s]]/TabImpuestos[[#This Row],[Aguinaldo Gravado Mensual]]</f>
        <v>6.3999999999999918E-2</v>
      </c>
      <c r="Z50" s="54" cm="1">
        <f t="array" ref="Z50">IFERROR(IF('Desglose Salarios Fiscal'!$Q$1=1,((15*VLOOKUP(TabImpuestos[[#This Row],[ID]],TabEmpleados[],COLUMN(TabEmpleados[SD Fiscal]),FALSE))-(30*SMDF))*TabImpuestos[[#This Row],[Tasa D %]],0),0)</f>
        <v>-127.14239999999982</v>
      </c>
    </row>
    <row r="51" spans="1:26" x14ac:dyDescent="0.25">
      <c r="A51" s="31">
        <f t="shared" si="0"/>
        <v>49</v>
      </c>
      <c r="B51" s="30" t="str" cm="1">
        <f t="array" ref="B51">VLOOKUP(A51,TabEmpleados[],COLUMN(TabEmpleados[Nombre]),FALSE)</f>
        <v>JIMENEZ DOMINGUEZ ADAN CAYETANO</v>
      </c>
      <c r="C51" s="54" cm="1">
        <f t="array" ref="C51">(VLOOKUP(TabImpuestos[[#This Row],[ID]],TabEmpleados[],COLUMN(TabEmpleados[SD Fiscal]))*VLOOKUP(TabImpuestos[[#This Row],[ID]],TabAsistencias[],COLUMN(TabAsistencias[''Total de dias laborados])))+
TabImpuestos[[#This Row],[Bono Asistencia]]+TabImpuestos[[#This Row],[Bono Puntualidad]]+TabImpuestos[[#This Row],[Prima Dominical]]+TabImpuestos[[#This Row],[Prima Vacacional]]+TabImpuestos[[#This Row],[Bono Festivo/ Descanso]]</f>
        <v>5926.87788</v>
      </c>
      <c r="D51" s="54" cm="1">
        <f t="array" ref="D51">VLOOKUP(TabImpuestos[[#This Row],[ID]],TabDesSalariosFiscal[],COLUMN(TabDesSalariosFiscal[Bono Asistencia]),FALSE)</f>
        <v>554.43894000000012</v>
      </c>
      <c r="E51" s="54" cm="1">
        <f t="array" ref="E51">VLOOKUP(TabImpuestos[[#This Row],[ID]],TabDesSalariosFiscal[],COLUMN(TabDesSalariosFiscal[Bono Puntualidad]),FALSE)</f>
        <v>554.43894000000012</v>
      </c>
      <c r="F51" s="54" cm="1">
        <f t="array" ref="F51">IF(VLOOKUP(TabImpuestos[[#This Row],[ID]],TabDesSalariosFiscal[],COLUMN(TabDesSalariosFiscal[Prima dominical]),FALSE)-SMDF&lt;0,0,VLOOKUP(TabImpuestos[[#This Row],[ID]],TabDesSalariosFiscal[],COLUMN(TabDesSalariosFiscal[Prima dominical]),FALSE)-SMDF)</f>
        <v>0</v>
      </c>
      <c r="G51" s="54" cm="1">
        <f t="array" ref="G51">IF(VLOOKUP(TabImpuestos[[#This Row],[ID]],TabDesSalariosFiscal[],COLUMN(TabDesSalariosFiscal[Prima vacacional]),FALSE)-(15*SMDF)&lt;0,0,VLOOKUP(TabImpuestos[[#This Row],[ID]],TabDesSalariosFiscal[],COLUMN(TabDesSalariosFiscal[Prima vacacional]),FALSE)-(15*SMDF))</f>
        <v>0</v>
      </c>
      <c r="H51" s="54" cm="1">
        <f t="array" ref="H51">(VLOOKUP(TabImpuestos[[#This Row],[ID]],TabDesSalariosFiscal[],COLUMN(TabDesSalariosFiscal[Dia Festivo/ Descanso]),FALSE)*50%)</f>
        <v>0</v>
      </c>
      <c r="I51" s="54" cm="1">
        <f t="array" ref="I51">IFERROR(VLOOKUP(TabImpuestos[[#This Row],[Base Gravable]],TabISR[],COLUMN(TabISR[Límite inferior])),0)</f>
        <v>5490.76</v>
      </c>
      <c r="J51" s="54">
        <f>IFERROR(TabImpuestos[[#This Row],[Base Gravable]]-TabImpuestos[[#This Row],[(-) Lim. Inferior]],0)</f>
        <v>436.11787999999979</v>
      </c>
      <c r="K51" s="236" cm="1">
        <f t="array" ref="K51">IFERROR(VLOOKUP(TabImpuestos[[#This Row],[Base Gravable]],TabISR[],COLUMN(TabISR[Por ciento para aplicarse sobre el excedente del límite inferior])),0)</f>
        <v>0.16</v>
      </c>
      <c r="L51" s="54">
        <f>IFERROR(TabImpuestos[[#This Row],[EXC. Lim. Inferior]]*TabImpuestos[[#This Row],[(*) % Lim. Inf.]],0)</f>
        <v>69.778860799999961</v>
      </c>
      <c r="M51" s="54" cm="1">
        <f t="array" ref="M51">IFERROR(VLOOKUP(TabImpuestos[[#This Row],[Base Gravable]],TabISR[],COLUMN(TabISR[Cuota fija])),0)</f>
        <v>441</v>
      </c>
      <c r="N51" s="54">
        <f>IFERROR(TabImpuestos[[#This Row],[Impuesto marginal]]+TabImpuestos[[#This Row],[(+) Cuota Fija]],0)</f>
        <v>510.77886079999996</v>
      </c>
      <c r="O51" s="54" cm="1">
        <f t="array" ref="O51">IFERROR(VLOOKUP(TabImpuestos[[#This Row],[Base Gravable]],TabSubsidio[],COLUMN(TabSubsidio[SUBSIDIO])),0)</f>
        <v>0</v>
      </c>
      <c r="P51" s="54">
        <f>IFERROR(TabImpuestos[[#This Row],[Imp. Art. 96 ISR]]-TabImpuestos[[#This Row],[(-) Subsidio para el empleo]],0)</f>
        <v>510.77886079999996</v>
      </c>
      <c r="Q51" s="54" cm="1">
        <f t="array" ref="Q51">IF('Desglose Salarios Fiscal'!$Q$1=1,TabImpuestos[[#This Row],[Ingreso ordinario]]+((15*VLOOKUP(TabImpuestos[[#This Row],[ID]],TabEmpleados[],COLUMN(TabEmpleados[SD Fiscal]),FALSE))-(30*SMDF)),0)</f>
        <v>109.79999999999995</v>
      </c>
      <c r="R51" s="54" cm="1">
        <f t="array" ref="R51">IF('Desglose Salarios Fiscal'!$Q$1=1,(VLOOKUP(TabImpuestos[[#This Row],[ID]],TabEmpleados[],COLUMN(TabEmpleados[SD Fiscal]),FALSE)*30.4)-TabImpuestos[[#This Row],[(-) Subsidio para el empleo]],0)</f>
        <v>2006.3999999999999</v>
      </c>
      <c r="S51" s="54" cm="1">
        <f t="array" ref="S51">IFERROR(IF('Desglose Salarios Fiscal'!$Q$1=1,IFERROR((((TabImpuestos[[#This Row],[Ingreso Neto]]-(VLOOKUP(TabImpuestos[[#This Row],[Ingreso Neto]],TabISR[],COLUMN(TabISR[Límite inferior]))))*(VLOOKUP(TabImpuestos[[#This Row],[Ingreso Neto]],TabISR[],COLUMN(TabISR[Por ciento para aplicarse sobre el excedente del límite inferior]))))+(VLOOKUP(TabImpuestos[[#This Row],[Ingreso Neto]],TabISR[],COLUMN(TabISR[Cuota fija]))))-(((TabImpuestos[[#This Row],[Ingreso ordinario]]-(VLOOKUP(TabImpuestos[[#This Row],[Ingreso ordinario]],TabISR[],COLUMN(TabISR[Límite inferior]))))*(VLOOKUP(TabImpuestos[[#This Row],[Ingreso ordinario]],TabISR[],COLUMN(TabISR[Por ciento para aplicarse sobre el excedente del límite inferior]))))+(VLOOKUP(TabImpuestos[[#This Row],[Ingreso ordinario]],TabISR[],COLUMN(TabISR[Cuota fija])))),0),0),0)</f>
        <v>-109.792592</v>
      </c>
      <c r="T51" s="54" cm="1">
        <f t="array" ref="T51">((15*VLOOKUP(TabImpuestos[[#This Row],[ID]],TabEmpleados[],COLUMN(TabEmpleados[SD Fiscal]),FALSE))-(30*SMDF))/365*30.4</f>
        <v>-157.96339726027395</v>
      </c>
      <c r="U51" s="54">
        <f>TabImpuestos[[#This Row],[Ingreso ordinario]]+TabImpuestos[[#This Row],[Aguinaldo Gravado Mensual]]</f>
        <v>1848.4366027397259</v>
      </c>
      <c r="V51" s="54" cm="1">
        <f t="array" ref="V51">(((TabImpuestos[[#This Row],[Ingresos totales]]-(VLOOKUP(TabImpuestos[[#This Row],[Ingresos totales]],TabISR[],COLUMN(TabISR[Límite inferior]))))*(VLOOKUP(TabImpuestos[[#This Row],[Ingresos totales]],TabISR[],COLUMN(TabISR[Por ciento para aplicarse sobre el excedente del límite inferior]))))+(VLOOKUP(TabImpuestos[[#This Row],[Ingresos totales]],TabISR[],COLUMN(TabISR[Cuota fija]))))</f>
        <v>101.79090257534244</v>
      </c>
      <c r="W51" s="54" cm="1">
        <f t="array" ref="W51">(((TabImpuestos[[#This Row],[Ingreso ordinario]]-(VLOOKUP(TabImpuestos[[#This Row],[Ingreso ordinario]],TabISR[],COLUMN(TabISR[Límite inferior]))))*(VLOOKUP(TabImpuestos[[#This Row],[Ingreso ordinario]],TabISR[],COLUMN(TabISR[Por ciento para aplicarse sobre el excedente del límite inferior]))))+(VLOOKUP(TabImpuestos[[#This Row],[Ingreso ordinario]],TabISR[],COLUMN(TabISR[Cuota fija]))))</f>
        <v>111.90056</v>
      </c>
      <c r="X51" s="54">
        <f>TabImpuestos[[#This Row],[ISR Por ingresos totales]]-TabImpuestos[[#This Row],[ISR por ingreso ordinario]]</f>
        <v>-10.109657424657556</v>
      </c>
      <c r="Y51" s="236">
        <f>TabImpuestos[[#This Row],[Diferencia de ISR''s]]/TabImpuestos[[#This Row],[Aguinaldo Gravado Mensual]]</f>
        <v>6.400000000000014E-2</v>
      </c>
      <c r="Z51" s="54" cm="1">
        <f t="array" ref="Z51">IFERROR(IF('Desglose Salarios Fiscal'!$Q$1=1,((15*VLOOKUP(TabImpuestos[[#This Row],[ID]],TabEmpleados[],COLUMN(TabEmpleados[SD Fiscal]),FALSE))-(30*SMDF))*TabImpuestos[[#This Row],[Tasa D %]],0),0)</f>
        <v>-121.38240000000026</v>
      </c>
    </row>
    <row r="52" spans="1:26" x14ac:dyDescent="0.25">
      <c r="A52">
        <f t="shared" si="0"/>
        <v>50</v>
      </c>
      <c r="B52" t="str" cm="1">
        <f t="array" ref="B52">VLOOKUP(A52,TabEmpleados[],COLUMN(TabEmpleados[Nombre]),FALSE)</f>
        <v>OSORIO LOPEZ NATAN</v>
      </c>
      <c r="C52" s="54" cm="1">
        <f t="array" ref="C52">(VLOOKUP(TabImpuestos[[#This Row],[ID]],TabEmpleados[],COLUMN(TabEmpleados[SD Fiscal]))*VLOOKUP(TabImpuestos[[#This Row],[ID]],TabAsistencias[],COLUMN(TabAsistencias[''Total de dias laborados])))+
TabImpuestos[[#This Row],[Bono Asistencia]]+TabImpuestos[[#This Row],[Bono Puntualidad]]+TabImpuestos[[#This Row],[Prima Dominical]]+TabImpuestos[[#This Row],[Prima Vacacional]]+TabImpuestos[[#This Row],[Bono Festivo/ Descanso]]</f>
        <v>6735.0884999999998</v>
      </c>
      <c r="D52" s="54" cm="1">
        <f t="array" ref="D52">VLOOKUP(TabImpuestos[[#This Row],[ID]],TabDesSalariosFiscal[],COLUMN(TabDesSalariosFiscal[Bono Asistencia]),FALSE)</f>
        <v>630.04425000000003</v>
      </c>
      <c r="E52" s="54" cm="1">
        <f t="array" ref="E52">VLOOKUP(TabImpuestos[[#This Row],[ID]],TabDesSalariosFiscal[],COLUMN(TabDesSalariosFiscal[Bono Puntualidad]),FALSE)</f>
        <v>630.04425000000003</v>
      </c>
      <c r="F52" s="54" cm="1">
        <f t="array" ref="F52">IF(VLOOKUP(TabImpuestos[[#This Row],[ID]],TabDesSalariosFiscal[],COLUMN(TabDesSalariosFiscal[Prima dominical]),FALSE)-SMDF&lt;0,0,VLOOKUP(TabImpuestos[[#This Row],[ID]],TabDesSalariosFiscal[],COLUMN(TabDesSalariosFiscal[Prima dominical]),FALSE)-SMDF)</f>
        <v>0</v>
      </c>
      <c r="G52" s="54" cm="1">
        <f t="array" ref="G52">IF(VLOOKUP(TabImpuestos[[#This Row],[ID]],TabDesSalariosFiscal[],COLUMN(TabDesSalariosFiscal[Prima vacacional]),FALSE)-(15*SMDF)&lt;0,0,VLOOKUP(TabImpuestos[[#This Row],[ID]],TabDesSalariosFiscal[],COLUMN(TabDesSalariosFiscal[Prima vacacional]),FALSE)-(15*SMDF))</f>
        <v>0</v>
      </c>
      <c r="H52" s="54" cm="1">
        <f t="array" ref="H52">(VLOOKUP(TabImpuestos[[#This Row],[ID]],TabDesSalariosFiscal[],COLUMN(TabDesSalariosFiscal[Dia Festivo/ Descanso]),FALSE)*50%)</f>
        <v>0</v>
      </c>
      <c r="I52" s="54" cm="1">
        <f t="array" ref="I52">IFERROR(VLOOKUP(TabImpuestos[[#This Row],[Base Gravable]],TabISR[],COLUMN(TabISR[Límite inferior])),0)</f>
        <v>6382.81</v>
      </c>
      <c r="J52" s="54">
        <f>IFERROR(TabImpuestos[[#This Row],[Base Gravable]]-TabImpuestos[[#This Row],[(-) Lim. Inferior]],0)</f>
        <v>352.27849999999944</v>
      </c>
      <c r="K52" s="236" cm="1">
        <f t="array" ref="K52">IFERROR(VLOOKUP(TabImpuestos[[#This Row],[Base Gravable]],TabISR[],COLUMN(TabISR[Por ciento para aplicarse sobre el excedente del límite inferior])),0)</f>
        <v>0.1792</v>
      </c>
      <c r="L52" s="54">
        <f>IFERROR(TabImpuestos[[#This Row],[EXC. Lim. Inferior]]*TabImpuestos[[#This Row],[(*) % Lim. Inf.]],0)</f>
        <v>63.128307199999902</v>
      </c>
      <c r="M52" s="54" cm="1">
        <f t="array" ref="M52">IFERROR(VLOOKUP(TabImpuestos[[#This Row],[Base Gravable]],TabISR[],COLUMN(TabISR[Cuota fija])),0)</f>
        <v>583.65</v>
      </c>
      <c r="N52" s="54">
        <f>IFERROR(TabImpuestos[[#This Row],[Impuesto marginal]]+TabImpuestos[[#This Row],[(+) Cuota Fija]],0)</f>
        <v>646.77830719999986</v>
      </c>
      <c r="O52" s="54" cm="1">
        <f t="array" ref="O52">IFERROR(VLOOKUP(TabImpuestos[[#This Row],[Base Gravable]],TabSubsidio[],COLUMN(TabSubsidio[SUBSIDIO])),0)</f>
        <v>0</v>
      </c>
      <c r="P52" s="54">
        <f>IFERROR(TabImpuestos[[#This Row],[Imp. Art. 96 ISR]]-TabImpuestos[[#This Row],[(-) Subsidio para el empleo]],0)</f>
        <v>646.77830719999986</v>
      </c>
      <c r="Q52" s="54" cm="1">
        <f t="array" ref="Q52">IF('Desglose Salarios Fiscal'!$Q$1=1,TabImpuestos[[#This Row],[Ingreso ordinario]]+((15*VLOOKUP(TabImpuestos[[#This Row],[ID]],TabEmpleados[],COLUMN(TabEmpleados[SD Fiscal]),FALSE))-(30*SMDF)),0)</f>
        <v>518.40000000000009</v>
      </c>
      <c r="R52" s="54" cm="1">
        <f t="array" ref="R52">IF('Desglose Salarios Fiscal'!$Q$1=1,(VLOOKUP(TabImpuestos[[#This Row],[ID]],TabEmpleados[],COLUMN(TabEmpleados[SD Fiscal]),FALSE)*30.4)-TabImpuestos[[#This Row],[(-) Subsidio para el empleo]],0)</f>
        <v>2280</v>
      </c>
      <c r="S52" s="54" cm="1">
        <f t="array" ref="S52">IFERROR(IF('Desglose Salarios Fiscal'!$Q$1=1,IFERROR((((TabImpuestos[[#This Row],[Ingreso Neto]]-(VLOOKUP(TabImpuestos[[#This Row],[Ingreso Neto]],TabISR[],COLUMN(TabISR[Límite inferior]))))*(VLOOKUP(TabImpuestos[[#This Row],[Ingreso Neto]],TabISR[],COLUMN(TabISR[Por ciento para aplicarse sobre el excedente del límite inferior]))))+(VLOOKUP(TabImpuestos[[#This Row],[Ingreso Neto]],TabISR[],COLUMN(TabISR[Cuota fija]))))-(((TabImpuestos[[#This Row],[Ingreso ordinario]]-(VLOOKUP(TabImpuestos[[#This Row],[Ingreso ordinario]],TabISR[],COLUMN(TabISR[Límite inferior]))))*(VLOOKUP(TabImpuestos[[#This Row],[Ingreso ordinario]],TabISR[],COLUMN(TabISR[Por ciento para aplicarse sobre el excedente del límite inferior]))))+(VLOOKUP(TabImpuestos[[#This Row],[Ingreso ordinario]],TabISR[],COLUMN(TabISR[Cuota fija])))),0),0),0)</f>
        <v>-112.74239999999998</v>
      </c>
      <c r="T52" s="54" cm="1">
        <f t="array" ref="T52">((15*VLOOKUP(TabImpuestos[[#This Row],[ID]],TabEmpleados[],COLUMN(TabEmpleados[SD Fiscal]),FALSE))-(30*SMDF))/365*30.4</f>
        <v>-146.71956164383559</v>
      </c>
      <c r="U52" s="54">
        <f>TabImpuestos[[#This Row],[Ingreso ordinario]]+TabImpuestos[[#This Row],[Aguinaldo Gravado Mensual]]</f>
        <v>2133.2804383561643</v>
      </c>
      <c r="V52" s="54" cm="1">
        <f t="array" ref="V52">(((TabImpuestos[[#This Row],[Ingresos totales]]-(VLOOKUP(TabImpuestos[[#This Row],[Ingresos totales]],TabISR[],COLUMN(TabISR[Límite inferior]))))*(VLOOKUP(TabImpuestos[[#This Row],[Ingresos totales]],TabISR[],COLUMN(TabISR[Por ciento para aplicarse sobre el excedente del límite inferior]))))+(VLOOKUP(TabImpuestos[[#This Row],[Ingresos totales]],TabISR[],COLUMN(TabISR[Cuota fija]))))</f>
        <v>120.0209080547945</v>
      </c>
      <c r="W52" s="54" cm="1">
        <f t="array" ref="W52">(((TabImpuestos[[#This Row],[Ingreso ordinario]]-(VLOOKUP(TabImpuestos[[#This Row],[Ingreso ordinario]],TabISR[],COLUMN(TabISR[Límite inferior]))))*(VLOOKUP(TabImpuestos[[#This Row],[Ingreso ordinario]],TabISR[],COLUMN(TabISR[Por ciento para aplicarse sobre el excedente del límite inferior]))))+(VLOOKUP(TabImpuestos[[#This Row],[Ingreso ordinario]],TabISR[],COLUMN(TabISR[Cuota fija]))))</f>
        <v>129.41095999999999</v>
      </c>
      <c r="X52" s="54">
        <f>TabImpuestos[[#This Row],[ISR Por ingresos totales]]-TabImpuestos[[#This Row],[ISR por ingreso ordinario]]</f>
        <v>-9.3900519452054851</v>
      </c>
      <c r="Y52" s="236">
        <f>TabImpuestos[[#This Row],[Diferencia de ISR''s]]/TabImpuestos[[#This Row],[Aguinaldo Gravado Mensual]]</f>
        <v>6.4000000000000057E-2</v>
      </c>
      <c r="Z52" s="54" cm="1">
        <f t="array" ref="Z52">IFERROR(IF('Desglose Salarios Fiscal'!$Q$1=1,((15*VLOOKUP(TabImpuestos[[#This Row],[ID]],TabEmpleados[],COLUMN(TabEmpleados[SD Fiscal]),FALSE))-(30*SMDF))*TabImpuestos[[#This Row],[Tasa D %]],0),0)</f>
        <v>-112.74240000000009</v>
      </c>
    </row>
    <row r="53" spans="1:26" x14ac:dyDescent="0.25">
      <c r="A53" s="31">
        <f t="shared" si="0"/>
        <v>51</v>
      </c>
      <c r="B53" s="30" t="str" cm="1">
        <f t="array" ref="B53">VLOOKUP(A53,TabEmpleados[],COLUMN(TabEmpleados[Nombre]),FALSE)</f>
        <v>JOSE JIMENEZ JULIO CESAR</v>
      </c>
      <c r="C53" s="54" cm="1">
        <f t="array" ref="C53">(VLOOKUP(TabImpuestos[[#This Row],[ID]],TabEmpleados[],COLUMN(TabEmpleados[SD Fiscal]))*VLOOKUP(TabImpuestos[[#This Row],[ID]],TabAsistencias[],COLUMN(TabAsistencias[''Total de dias laborados])))+
TabImpuestos[[#This Row],[Bono Asistencia]]+TabImpuestos[[#This Row],[Bono Puntualidad]]+TabImpuestos[[#This Row],[Prima Dominical]]+TabImpuestos[[#This Row],[Prima Vacacional]]+TabImpuestos[[#This Row],[Bono Festivo/ Descanso]]</f>
        <v>5388.0707999999995</v>
      </c>
      <c r="D53" s="54" cm="1">
        <f t="array" ref="D53">VLOOKUP(TabImpuestos[[#This Row],[ID]],TabDesSalariosFiscal[],COLUMN(TabDesSalariosFiscal[Bono Asistencia]),FALSE)</f>
        <v>504.03540000000004</v>
      </c>
      <c r="E53" s="54" cm="1">
        <f t="array" ref="E53">VLOOKUP(TabImpuestos[[#This Row],[ID]],TabDesSalariosFiscal[],COLUMN(TabDesSalariosFiscal[Bono Puntualidad]),FALSE)</f>
        <v>504.03540000000004</v>
      </c>
      <c r="F53" s="54" cm="1">
        <f t="array" ref="F53">IF(VLOOKUP(TabImpuestos[[#This Row],[ID]],TabDesSalariosFiscal[],COLUMN(TabDesSalariosFiscal[Prima dominical]),FALSE)-SMDF&lt;0,0,VLOOKUP(TabImpuestos[[#This Row],[ID]],TabDesSalariosFiscal[],COLUMN(TabDesSalariosFiscal[Prima dominical]),FALSE)-SMDF)</f>
        <v>0</v>
      </c>
      <c r="G53" s="54" cm="1">
        <f t="array" ref="G53">IF(VLOOKUP(TabImpuestos[[#This Row],[ID]],TabDesSalariosFiscal[],COLUMN(TabDesSalariosFiscal[Prima vacacional]),FALSE)-(15*SMDF)&lt;0,0,VLOOKUP(TabImpuestos[[#This Row],[ID]],TabDesSalariosFiscal[],COLUMN(TabDesSalariosFiscal[Prima vacacional]),FALSE)-(15*SMDF))</f>
        <v>0</v>
      </c>
      <c r="H53" s="54" cm="1">
        <f t="array" ref="H53">(VLOOKUP(TabImpuestos[[#This Row],[ID]],TabDesSalariosFiscal[],COLUMN(TabDesSalariosFiscal[Dia Festivo/ Descanso]),FALSE)*50%)</f>
        <v>0</v>
      </c>
      <c r="I53" s="54" cm="1">
        <f t="array" ref="I53">IFERROR(VLOOKUP(TabImpuestos[[#This Row],[Base Gravable]],TabISR[],COLUMN(TabISR[Límite inferior])),0)</f>
        <v>3124.36</v>
      </c>
      <c r="J53" s="54">
        <f>IFERROR(TabImpuestos[[#This Row],[Base Gravable]]-TabImpuestos[[#This Row],[(-) Lim. Inferior]],0)</f>
        <v>2263.7107999999994</v>
      </c>
      <c r="K53" s="236" cm="1">
        <f t="array" ref="K53">IFERROR(VLOOKUP(TabImpuestos[[#This Row],[Base Gravable]],TabISR[],COLUMN(TabISR[Por ciento para aplicarse sobre el excedente del límite inferior])),0)</f>
        <v>0.10879999999999999</v>
      </c>
      <c r="L53" s="54">
        <f>IFERROR(TabImpuestos[[#This Row],[EXC. Lim. Inferior]]*TabImpuestos[[#This Row],[(*) % Lim. Inf.]],0)</f>
        <v>246.29173503999991</v>
      </c>
      <c r="M53" s="54" cm="1">
        <f t="array" ref="M53">IFERROR(VLOOKUP(TabImpuestos[[#This Row],[Base Gravable]],TabISR[],COLUMN(TabISR[Cuota fija])),0)</f>
        <v>183.45</v>
      </c>
      <c r="N53" s="54">
        <f>IFERROR(TabImpuestos[[#This Row],[Impuesto marginal]]+TabImpuestos[[#This Row],[(+) Cuota Fija]],0)</f>
        <v>429.74173503999987</v>
      </c>
      <c r="O53" s="54" cm="1">
        <f t="array" ref="O53">IFERROR(VLOOKUP(TabImpuestos[[#This Row],[Base Gravable]],TabSubsidio[],COLUMN(TabSubsidio[SUBSIDIO])),0)</f>
        <v>0</v>
      </c>
      <c r="P53" s="54">
        <f>IFERROR(TabImpuestos[[#This Row],[Imp. Art. 96 ISR]]-TabImpuestos[[#This Row],[(-) Subsidio para el empleo]],0)</f>
        <v>429.74173503999987</v>
      </c>
      <c r="Q53" s="54" cm="1">
        <f t="array" ref="Q53">IF('Desglose Salarios Fiscal'!$Q$1=1,TabImpuestos[[#This Row],[Ingreso ordinario]]+((15*VLOOKUP(TabImpuestos[[#This Row],[ID]],TabEmpleados[],COLUMN(TabEmpleados[SD Fiscal]),FALSE))-(30*SMDF)),0)</f>
        <v>-162.59999999999991</v>
      </c>
      <c r="R53" s="54" cm="1">
        <f t="array" ref="R53">IF('Desglose Salarios Fiscal'!$Q$1=1,(VLOOKUP(TabImpuestos[[#This Row],[ID]],TabEmpleados[],COLUMN(TabEmpleados[SD Fiscal]),FALSE)*30.4)-TabImpuestos[[#This Row],[(-) Subsidio para el empleo]],0)</f>
        <v>1824</v>
      </c>
      <c r="S53" s="54" cm="1">
        <f t="array" ref="S53">IFERROR(IF('Desglose Salarios Fiscal'!$Q$1=1,IFERROR((((TabImpuestos[[#This Row],[Ingreso Neto]]-(VLOOKUP(TabImpuestos[[#This Row],[Ingreso Neto]],TabISR[],COLUMN(TabISR[Límite inferior]))))*(VLOOKUP(TabImpuestos[[#This Row],[Ingreso Neto]],TabISR[],COLUMN(TabISR[Por ciento para aplicarse sobre el excedente del límite inferior]))))+(VLOOKUP(TabImpuestos[[#This Row],[Ingreso Neto]],TabISR[],COLUMN(TabISR[Cuota fija]))))-(((TabImpuestos[[#This Row],[Ingreso ordinario]]-(VLOOKUP(TabImpuestos[[#This Row],[Ingreso ordinario]],TabISR[],COLUMN(TabISR[Límite inferior]))))*(VLOOKUP(TabImpuestos[[#This Row],[Ingreso ordinario]],TabISR[],COLUMN(TabISR[Por ciento para aplicarse sobre el excedente del límite inferior]))))+(VLOOKUP(TabImpuestos[[#This Row],[Ingreso ordinario]],TabISR[],COLUMN(TabISR[Cuota fija])))),0),0),0)</f>
        <v>0</v>
      </c>
      <c r="T53" s="54" cm="1">
        <f t="array" ref="T53">((15*VLOOKUP(TabImpuestos[[#This Row],[ID]],TabEmpleados[],COLUMN(TabEmpleados[SD Fiscal]),FALSE))-(30*SMDF))/365*30.4</f>
        <v>-165.45928767123286</v>
      </c>
      <c r="U53" s="54">
        <f>TabImpuestos[[#This Row],[Ingreso ordinario]]+TabImpuestos[[#This Row],[Aguinaldo Gravado Mensual]]</f>
        <v>1658.5407123287671</v>
      </c>
      <c r="V53" s="54" cm="1">
        <f t="array" ref="V53">(((TabImpuestos[[#This Row],[Ingresos totales]]-(VLOOKUP(TabImpuestos[[#This Row],[Ingresos totales]],TabISR[],COLUMN(TabISR[Límite inferior]))))*(VLOOKUP(TabImpuestos[[#This Row],[Ingresos totales]],TabISR[],COLUMN(TabISR[Por ciento para aplicarse sobre el excedente del límite inferior]))))+(VLOOKUP(TabImpuestos[[#This Row],[Ingresos totales]],TabISR[],COLUMN(TabISR[Cuota fija]))))</f>
        <v>89.637565589041102</v>
      </c>
      <c r="W53" s="54" cm="1">
        <f t="array" ref="W53">(((TabImpuestos[[#This Row],[Ingreso ordinario]]-(VLOOKUP(TabImpuestos[[#This Row],[Ingreso ordinario]],TabISR[],COLUMN(TabISR[Límite inferior]))))*(VLOOKUP(TabImpuestos[[#This Row],[Ingreso ordinario]],TabISR[],COLUMN(TabISR[Por ciento para aplicarse sobre el excedente del límite inferior]))))+(VLOOKUP(TabImpuestos[[#This Row],[Ingreso ordinario]],TabISR[],COLUMN(TabISR[Cuota fija]))))</f>
        <v>100.22695999999999</v>
      </c>
      <c r="X53" s="54">
        <f>TabImpuestos[[#This Row],[ISR Por ingresos totales]]-TabImpuestos[[#This Row],[ISR por ingreso ordinario]]</f>
        <v>-10.589394410958889</v>
      </c>
      <c r="Y53" s="236">
        <f>TabImpuestos[[#This Row],[Diferencia de ISR''s]]/TabImpuestos[[#This Row],[Aguinaldo Gravado Mensual]]</f>
        <v>6.3999999999999918E-2</v>
      </c>
      <c r="Z53" s="54" cm="1">
        <f t="array" ref="Z53">IFERROR(IF('Desglose Salarios Fiscal'!$Q$1=1,((15*VLOOKUP(TabImpuestos[[#This Row],[ID]],TabEmpleados[],COLUMN(TabEmpleados[SD Fiscal]),FALSE))-(30*SMDF))*TabImpuestos[[#This Row],[Tasa D %]],0),0)</f>
        <v>-127.14239999999982</v>
      </c>
    </row>
    <row r="54" spans="1:26" x14ac:dyDescent="0.25">
      <c r="A54">
        <f t="shared" si="0"/>
        <v>52</v>
      </c>
      <c r="B54" t="str" cm="1">
        <f t="array" ref="B54">VLOOKUP(A54,TabEmpleados[],COLUMN(TabEmpleados[Nombre]),FALSE)</f>
        <v xml:space="preserve">CRUZ CORTES ALEX MANUEL </v>
      </c>
      <c r="C54" s="54" cm="1">
        <f t="array" ref="C54">(VLOOKUP(TabImpuestos[[#This Row],[ID]],TabEmpleados[],COLUMN(TabEmpleados[SD Fiscal]))*VLOOKUP(TabImpuestos[[#This Row],[ID]],TabAsistencias[],COLUMN(TabAsistencias[''Total de dias laborados])))+
TabImpuestos[[#This Row],[Bono Asistencia]]+TabImpuestos[[#This Row],[Bono Puntualidad]]+TabImpuestos[[#This Row],[Prima Dominical]]+TabImpuestos[[#This Row],[Prima Vacacional]]+TabImpuestos[[#This Row],[Bono Festivo/ Descanso]]</f>
        <v>5388.0707999999995</v>
      </c>
      <c r="D54" s="54" cm="1">
        <f t="array" ref="D54">VLOOKUP(TabImpuestos[[#This Row],[ID]],TabDesSalariosFiscal[],COLUMN(TabDesSalariosFiscal[Bono Asistencia]),FALSE)</f>
        <v>504.03540000000004</v>
      </c>
      <c r="E54" s="54" cm="1">
        <f t="array" ref="E54">VLOOKUP(TabImpuestos[[#This Row],[ID]],TabDesSalariosFiscal[],COLUMN(TabDesSalariosFiscal[Bono Puntualidad]),FALSE)</f>
        <v>504.03540000000004</v>
      </c>
      <c r="F54" s="54" cm="1">
        <f t="array" ref="F54">IF(VLOOKUP(TabImpuestos[[#This Row],[ID]],TabDesSalariosFiscal[],COLUMN(TabDesSalariosFiscal[Prima dominical]),FALSE)-SMDF&lt;0,0,VLOOKUP(TabImpuestos[[#This Row],[ID]],TabDesSalariosFiscal[],COLUMN(TabDesSalariosFiscal[Prima dominical]),FALSE)-SMDF)</f>
        <v>0</v>
      </c>
      <c r="G54" s="54" cm="1">
        <f t="array" ref="G54">IF(VLOOKUP(TabImpuestos[[#This Row],[ID]],TabDesSalariosFiscal[],COLUMN(TabDesSalariosFiscal[Prima vacacional]),FALSE)-(15*SMDF)&lt;0,0,VLOOKUP(TabImpuestos[[#This Row],[ID]],TabDesSalariosFiscal[],COLUMN(TabDesSalariosFiscal[Prima vacacional]),FALSE)-(15*SMDF))</f>
        <v>0</v>
      </c>
      <c r="H54" s="54" cm="1">
        <f t="array" ref="H54">(VLOOKUP(TabImpuestos[[#This Row],[ID]],TabDesSalariosFiscal[],COLUMN(TabDesSalariosFiscal[Dia Festivo/ Descanso]),FALSE)*50%)</f>
        <v>0</v>
      </c>
      <c r="I54" s="54" cm="1">
        <f t="array" ref="I54">IFERROR(VLOOKUP(TabImpuestos[[#This Row],[Base Gravable]],TabISR[],COLUMN(TabISR[Límite inferior])),0)</f>
        <v>3124.36</v>
      </c>
      <c r="J54" s="54">
        <f>IFERROR(TabImpuestos[[#This Row],[Base Gravable]]-TabImpuestos[[#This Row],[(-) Lim. Inferior]],0)</f>
        <v>2263.7107999999994</v>
      </c>
      <c r="K54" s="236" cm="1">
        <f t="array" ref="K54">IFERROR(VLOOKUP(TabImpuestos[[#This Row],[Base Gravable]],TabISR[],COLUMN(TabISR[Por ciento para aplicarse sobre el excedente del límite inferior])),0)</f>
        <v>0.10879999999999999</v>
      </c>
      <c r="L54" s="54">
        <f>IFERROR(TabImpuestos[[#This Row],[EXC. Lim. Inferior]]*TabImpuestos[[#This Row],[(*) % Lim. Inf.]],0)</f>
        <v>246.29173503999991</v>
      </c>
      <c r="M54" s="54" cm="1">
        <f t="array" ref="M54">IFERROR(VLOOKUP(TabImpuestos[[#This Row],[Base Gravable]],TabISR[],COLUMN(TabISR[Cuota fija])),0)</f>
        <v>183.45</v>
      </c>
      <c r="N54" s="54">
        <f>IFERROR(TabImpuestos[[#This Row],[Impuesto marginal]]+TabImpuestos[[#This Row],[(+) Cuota Fija]],0)</f>
        <v>429.74173503999987</v>
      </c>
      <c r="O54" s="54" cm="1">
        <f t="array" ref="O54">IFERROR(VLOOKUP(TabImpuestos[[#This Row],[Base Gravable]],TabSubsidio[],COLUMN(TabSubsidio[SUBSIDIO])),0)</f>
        <v>0</v>
      </c>
      <c r="P54" s="54">
        <f>IFERROR(TabImpuestos[[#This Row],[Imp. Art. 96 ISR]]-TabImpuestos[[#This Row],[(-) Subsidio para el empleo]],0)</f>
        <v>429.74173503999987</v>
      </c>
      <c r="Q54" s="54" cm="1">
        <f t="array" ref="Q54">IF('Desglose Salarios Fiscal'!$Q$1=1,TabImpuestos[[#This Row],[Ingreso ordinario]]+((15*VLOOKUP(TabImpuestos[[#This Row],[ID]],TabEmpleados[],COLUMN(TabEmpleados[SD Fiscal]),FALSE))-(30*SMDF)),0)</f>
        <v>-162.59999999999991</v>
      </c>
      <c r="R54" s="54" cm="1">
        <f t="array" ref="R54">IF('Desglose Salarios Fiscal'!$Q$1=1,(VLOOKUP(TabImpuestos[[#This Row],[ID]],TabEmpleados[],COLUMN(TabEmpleados[SD Fiscal]),FALSE)*30.4)-TabImpuestos[[#This Row],[(-) Subsidio para el empleo]],0)</f>
        <v>1824</v>
      </c>
      <c r="S54" s="54" cm="1">
        <f t="array" ref="S54">IFERROR(IF('Desglose Salarios Fiscal'!$Q$1=1,IFERROR((((TabImpuestos[[#This Row],[Ingreso Neto]]-(VLOOKUP(TabImpuestos[[#This Row],[Ingreso Neto]],TabISR[],COLUMN(TabISR[Límite inferior]))))*(VLOOKUP(TabImpuestos[[#This Row],[Ingreso Neto]],TabISR[],COLUMN(TabISR[Por ciento para aplicarse sobre el excedente del límite inferior]))))+(VLOOKUP(TabImpuestos[[#This Row],[Ingreso Neto]],TabISR[],COLUMN(TabISR[Cuota fija]))))-(((TabImpuestos[[#This Row],[Ingreso ordinario]]-(VLOOKUP(TabImpuestos[[#This Row],[Ingreso ordinario]],TabISR[],COLUMN(TabISR[Límite inferior]))))*(VLOOKUP(TabImpuestos[[#This Row],[Ingreso ordinario]],TabISR[],COLUMN(TabISR[Por ciento para aplicarse sobre el excedente del límite inferior]))))+(VLOOKUP(TabImpuestos[[#This Row],[Ingreso ordinario]],TabISR[],COLUMN(TabISR[Cuota fija])))),0),0),0)</f>
        <v>0</v>
      </c>
      <c r="T54" s="54" cm="1">
        <f t="array" ref="T54">((15*VLOOKUP(TabImpuestos[[#This Row],[ID]],TabEmpleados[],COLUMN(TabEmpleados[SD Fiscal]),FALSE))-(30*SMDF))/365*30.4</f>
        <v>-165.45928767123286</v>
      </c>
      <c r="U54" s="54">
        <f>TabImpuestos[[#This Row],[Ingreso ordinario]]+TabImpuestos[[#This Row],[Aguinaldo Gravado Mensual]]</f>
        <v>1658.5407123287671</v>
      </c>
      <c r="V54" s="54" cm="1">
        <f t="array" ref="V54">(((TabImpuestos[[#This Row],[Ingresos totales]]-(VLOOKUP(TabImpuestos[[#This Row],[Ingresos totales]],TabISR[],COLUMN(TabISR[Límite inferior]))))*(VLOOKUP(TabImpuestos[[#This Row],[Ingresos totales]],TabISR[],COLUMN(TabISR[Por ciento para aplicarse sobre el excedente del límite inferior]))))+(VLOOKUP(TabImpuestos[[#This Row],[Ingresos totales]],TabISR[],COLUMN(TabISR[Cuota fija]))))</f>
        <v>89.637565589041102</v>
      </c>
      <c r="W54" s="54" cm="1">
        <f t="array" ref="W54">(((TabImpuestos[[#This Row],[Ingreso ordinario]]-(VLOOKUP(TabImpuestos[[#This Row],[Ingreso ordinario]],TabISR[],COLUMN(TabISR[Límite inferior]))))*(VLOOKUP(TabImpuestos[[#This Row],[Ingreso ordinario]],TabISR[],COLUMN(TabISR[Por ciento para aplicarse sobre el excedente del límite inferior]))))+(VLOOKUP(TabImpuestos[[#This Row],[Ingreso ordinario]],TabISR[],COLUMN(TabISR[Cuota fija]))))</f>
        <v>100.22695999999999</v>
      </c>
      <c r="X54" s="54">
        <f>TabImpuestos[[#This Row],[ISR Por ingresos totales]]-TabImpuestos[[#This Row],[ISR por ingreso ordinario]]</f>
        <v>-10.589394410958889</v>
      </c>
      <c r="Y54" s="236">
        <f>TabImpuestos[[#This Row],[Diferencia de ISR''s]]/TabImpuestos[[#This Row],[Aguinaldo Gravado Mensual]]</f>
        <v>6.3999999999999918E-2</v>
      </c>
      <c r="Z54" s="54" cm="1">
        <f t="array" ref="Z54">IFERROR(IF('Desglose Salarios Fiscal'!$Q$1=1,((15*VLOOKUP(TabImpuestos[[#This Row],[ID]],TabEmpleados[],COLUMN(TabEmpleados[SD Fiscal]),FALSE))-(30*SMDF))*TabImpuestos[[#This Row],[Tasa D %]],0),0)</f>
        <v>-127.14239999999982</v>
      </c>
    </row>
    <row r="55" spans="1:26" x14ac:dyDescent="0.25">
      <c r="A55" s="31">
        <f t="shared" si="0"/>
        <v>53</v>
      </c>
      <c r="B55" s="30" t="str" cm="1">
        <f t="array" ref="B55">VLOOKUP(A55,TabEmpleados[],COLUMN(TabEmpleados[Nombre]),FALSE)</f>
        <v>GASPAR VALERIANO WILLEVALDO INOCENCIO</v>
      </c>
      <c r="C55" s="54" cm="1">
        <f t="array" ref="C55">(VLOOKUP(TabImpuestos[[#This Row],[ID]],TabEmpleados[],COLUMN(TabEmpleados[SD Fiscal]))*VLOOKUP(TabImpuestos[[#This Row],[ID]],TabAsistencias[],COLUMN(TabAsistencias[''Total de dias laborados])))+
TabImpuestos[[#This Row],[Bono Asistencia]]+TabImpuestos[[#This Row],[Bono Puntualidad]]+TabImpuestos[[#This Row],[Prima Dominical]]+TabImpuestos[[#This Row],[Prima Vacacional]]+TabImpuestos[[#This Row],[Bono Festivo/ Descanso]]</f>
        <v>6735.0884999999998</v>
      </c>
      <c r="D55" s="54" cm="1">
        <f t="array" ref="D55">VLOOKUP(TabImpuestos[[#This Row],[ID]],TabDesSalariosFiscal[],COLUMN(TabDesSalariosFiscal[Bono Asistencia]),FALSE)</f>
        <v>630.04425000000003</v>
      </c>
      <c r="E55" s="54" cm="1">
        <f t="array" ref="E55">VLOOKUP(TabImpuestos[[#This Row],[ID]],TabDesSalariosFiscal[],COLUMN(TabDesSalariosFiscal[Bono Puntualidad]),FALSE)</f>
        <v>630.04425000000003</v>
      </c>
      <c r="F55" s="54" cm="1">
        <f t="array" ref="F55">IF(VLOOKUP(TabImpuestos[[#This Row],[ID]],TabDesSalariosFiscal[],COLUMN(TabDesSalariosFiscal[Prima dominical]),FALSE)-SMDF&lt;0,0,VLOOKUP(TabImpuestos[[#This Row],[ID]],TabDesSalariosFiscal[],COLUMN(TabDesSalariosFiscal[Prima dominical]),FALSE)-SMDF)</f>
        <v>0</v>
      </c>
      <c r="G55" s="54" cm="1">
        <f t="array" ref="G55">IF(VLOOKUP(TabImpuestos[[#This Row],[ID]],TabDesSalariosFiscal[],COLUMN(TabDesSalariosFiscal[Prima vacacional]),FALSE)-(15*SMDF)&lt;0,0,VLOOKUP(TabImpuestos[[#This Row],[ID]],TabDesSalariosFiscal[],COLUMN(TabDesSalariosFiscal[Prima vacacional]),FALSE)-(15*SMDF))</f>
        <v>0</v>
      </c>
      <c r="H55" s="54" cm="1">
        <f t="array" ref="H55">(VLOOKUP(TabImpuestos[[#This Row],[ID]],TabDesSalariosFiscal[],COLUMN(TabDesSalariosFiscal[Dia Festivo/ Descanso]),FALSE)*50%)</f>
        <v>0</v>
      </c>
      <c r="I55" s="54" cm="1">
        <f t="array" ref="I55">IFERROR(VLOOKUP(TabImpuestos[[#This Row],[Base Gravable]],TabISR[],COLUMN(TabISR[Límite inferior])),0)</f>
        <v>6382.81</v>
      </c>
      <c r="J55" s="54">
        <f>IFERROR(TabImpuestos[[#This Row],[Base Gravable]]-TabImpuestos[[#This Row],[(-) Lim. Inferior]],0)</f>
        <v>352.27849999999944</v>
      </c>
      <c r="K55" s="236" cm="1">
        <f t="array" ref="K55">IFERROR(VLOOKUP(TabImpuestos[[#This Row],[Base Gravable]],TabISR[],COLUMN(TabISR[Por ciento para aplicarse sobre el excedente del límite inferior])),0)</f>
        <v>0.1792</v>
      </c>
      <c r="L55" s="54">
        <f>IFERROR(TabImpuestos[[#This Row],[EXC. Lim. Inferior]]*TabImpuestos[[#This Row],[(*) % Lim. Inf.]],0)</f>
        <v>63.128307199999902</v>
      </c>
      <c r="M55" s="54" cm="1">
        <f t="array" ref="M55">IFERROR(VLOOKUP(TabImpuestos[[#This Row],[Base Gravable]],TabISR[],COLUMN(TabISR[Cuota fija])),0)</f>
        <v>583.65</v>
      </c>
      <c r="N55" s="54">
        <f>IFERROR(TabImpuestos[[#This Row],[Impuesto marginal]]+TabImpuestos[[#This Row],[(+) Cuota Fija]],0)</f>
        <v>646.77830719999986</v>
      </c>
      <c r="O55" s="54" cm="1">
        <f t="array" ref="O55">IFERROR(VLOOKUP(TabImpuestos[[#This Row],[Base Gravable]],TabSubsidio[],COLUMN(TabSubsidio[SUBSIDIO])),0)</f>
        <v>0</v>
      </c>
      <c r="P55" s="54">
        <f>IFERROR(TabImpuestos[[#This Row],[Imp. Art. 96 ISR]]-TabImpuestos[[#This Row],[(-) Subsidio para el empleo]],0)</f>
        <v>646.77830719999986</v>
      </c>
      <c r="Q55" s="54" cm="1">
        <f t="array" ref="Q55">IF('Desglose Salarios Fiscal'!$Q$1=1,TabImpuestos[[#This Row],[Ingreso ordinario]]+((15*VLOOKUP(TabImpuestos[[#This Row],[ID]],TabEmpleados[],COLUMN(TabEmpleados[SD Fiscal]),FALSE))-(30*SMDF)),0)</f>
        <v>518.40000000000009</v>
      </c>
      <c r="R55" s="54" cm="1">
        <f t="array" ref="R55">IF('Desglose Salarios Fiscal'!$Q$1=1,(VLOOKUP(TabImpuestos[[#This Row],[ID]],TabEmpleados[],COLUMN(TabEmpleados[SD Fiscal]),FALSE)*30.4)-TabImpuestos[[#This Row],[(-) Subsidio para el empleo]],0)</f>
        <v>2280</v>
      </c>
      <c r="S55" s="54" cm="1">
        <f t="array" ref="S55">IFERROR(IF('Desglose Salarios Fiscal'!$Q$1=1,IFERROR((((TabImpuestos[[#This Row],[Ingreso Neto]]-(VLOOKUP(TabImpuestos[[#This Row],[Ingreso Neto]],TabISR[],COLUMN(TabISR[Límite inferior]))))*(VLOOKUP(TabImpuestos[[#This Row],[Ingreso Neto]],TabISR[],COLUMN(TabISR[Por ciento para aplicarse sobre el excedente del límite inferior]))))+(VLOOKUP(TabImpuestos[[#This Row],[Ingreso Neto]],TabISR[],COLUMN(TabISR[Cuota fija]))))-(((TabImpuestos[[#This Row],[Ingreso ordinario]]-(VLOOKUP(TabImpuestos[[#This Row],[Ingreso ordinario]],TabISR[],COLUMN(TabISR[Límite inferior]))))*(VLOOKUP(TabImpuestos[[#This Row],[Ingreso ordinario]],TabISR[],COLUMN(TabISR[Por ciento para aplicarse sobre el excedente del límite inferior]))))+(VLOOKUP(TabImpuestos[[#This Row],[Ingreso ordinario]],TabISR[],COLUMN(TabISR[Cuota fija])))),0),0),0)</f>
        <v>-112.74239999999998</v>
      </c>
      <c r="T55" s="54" cm="1">
        <f t="array" ref="T55">((15*VLOOKUP(TabImpuestos[[#This Row],[ID]],TabEmpleados[],COLUMN(TabEmpleados[SD Fiscal]),FALSE))-(30*SMDF))/365*30.4</f>
        <v>-146.71956164383559</v>
      </c>
      <c r="U55" s="54">
        <f>TabImpuestos[[#This Row],[Ingreso ordinario]]+TabImpuestos[[#This Row],[Aguinaldo Gravado Mensual]]</f>
        <v>2133.2804383561643</v>
      </c>
      <c r="V55" s="54" cm="1">
        <f t="array" ref="V55">(((TabImpuestos[[#This Row],[Ingresos totales]]-(VLOOKUP(TabImpuestos[[#This Row],[Ingresos totales]],TabISR[],COLUMN(TabISR[Límite inferior]))))*(VLOOKUP(TabImpuestos[[#This Row],[Ingresos totales]],TabISR[],COLUMN(TabISR[Por ciento para aplicarse sobre el excedente del límite inferior]))))+(VLOOKUP(TabImpuestos[[#This Row],[Ingresos totales]],TabISR[],COLUMN(TabISR[Cuota fija]))))</f>
        <v>120.0209080547945</v>
      </c>
      <c r="W55" s="54" cm="1">
        <f t="array" ref="W55">(((TabImpuestos[[#This Row],[Ingreso ordinario]]-(VLOOKUP(TabImpuestos[[#This Row],[Ingreso ordinario]],TabISR[],COLUMN(TabISR[Límite inferior]))))*(VLOOKUP(TabImpuestos[[#This Row],[Ingreso ordinario]],TabISR[],COLUMN(TabISR[Por ciento para aplicarse sobre el excedente del límite inferior]))))+(VLOOKUP(TabImpuestos[[#This Row],[Ingreso ordinario]],TabISR[],COLUMN(TabISR[Cuota fija]))))</f>
        <v>129.41095999999999</v>
      </c>
      <c r="X55" s="54">
        <f>TabImpuestos[[#This Row],[ISR Por ingresos totales]]-TabImpuestos[[#This Row],[ISR por ingreso ordinario]]</f>
        <v>-9.3900519452054851</v>
      </c>
      <c r="Y55" s="236">
        <f>TabImpuestos[[#This Row],[Diferencia de ISR''s]]/TabImpuestos[[#This Row],[Aguinaldo Gravado Mensual]]</f>
        <v>6.4000000000000057E-2</v>
      </c>
      <c r="Z55" s="54" cm="1">
        <f t="array" ref="Z55">IFERROR(IF('Desglose Salarios Fiscal'!$Q$1=1,((15*VLOOKUP(TabImpuestos[[#This Row],[ID]],TabEmpleados[],COLUMN(TabEmpleados[SD Fiscal]),FALSE))-(30*SMDF))*TabImpuestos[[#This Row],[Tasa D %]],0),0)</f>
        <v>-112.74240000000009</v>
      </c>
    </row>
    <row r="56" spans="1:26" x14ac:dyDescent="0.25">
      <c r="A56">
        <f t="shared" si="0"/>
        <v>54</v>
      </c>
      <c r="B56" t="str" cm="1">
        <f t="array" ref="B56">VLOOKUP(A56,TabEmpleados[],COLUMN(TabEmpleados[Nombre]),FALSE)</f>
        <v>ZANABRIGA VELASQUEZ ELOY</v>
      </c>
      <c r="C56" s="54" cm="1">
        <f t="array" ref="C56">(VLOOKUP(TabImpuestos[[#This Row],[ID]],TabEmpleados[],COLUMN(TabEmpleados[SD Fiscal]))*VLOOKUP(TabImpuestos[[#This Row],[ID]],TabAsistencias[],COLUMN(TabAsistencias[''Total de dias laborados])))+
TabImpuestos[[#This Row],[Bono Asistencia]]+TabImpuestos[[#This Row],[Bono Puntualidad]]+TabImpuestos[[#This Row],[Prima Dominical]]+TabImpuestos[[#This Row],[Prima Vacacional]]+TabImpuestos[[#This Row],[Bono Festivo/ Descanso]]</f>
        <v>5926.87788</v>
      </c>
      <c r="D56" s="54" cm="1">
        <f t="array" ref="D56">VLOOKUP(TabImpuestos[[#This Row],[ID]],TabDesSalariosFiscal[],COLUMN(TabDesSalariosFiscal[Bono Asistencia]),FALSE)</f>
        <v>554.43894000000012</v>
      </c>
      <c r="E56" s="54" cm="1">
        <f t="array" ref="E56">VLOOKUP(TabImpuestos[[#This Row],[ID]],TabDesSalariosFiscal[],COLUMN(TabDesSalariosFiscal[Bono Puntualidad]),FALSE)</f>
        <v>554.43894000000012</v>
      </c>
      <c r="F56" s="54" cm="1">
        <f t="array" ref="F56">IF(VLOOKUP(TabImpuestos[[#This Row],[ID]],TabDesSalariosFiscal[],COLUMN(TabDesSalariosFiscal[Prima dominical]),FALSE)-SMDF&lt;0,0,VLOOKUP(TabImpuestos[[#This Row],[ID]],TabDesSalariosFiscal[],COLUMN(TabDesSalariosFiscal[Prima dominical]),FALSE)-SMDF)</f>
        <v>0</v>
      </c>
      <c r="G56" s="54" cm="1">
        <f t="array" ref="G56">IF(VLOOKUP(TabImpuestos[[#This Row],[ID]],TabDesSalariosFiscal[],COLUMN(TabDesSalariosFiscal[Prima vacacional]),FALSE)-(15*SMDF)&lt;0,0,VLOOKUP(TabImpuestos[[#This Row],[ID]],TabDesSalariosFiscal[],COLUMN(TabDesSalariosFiscal[Prima vacacional]),FALSE)-(15*SMDF))</f>
        <v>0</v>
      </c>
      <c r="H56" s="54" cm="1">
        <f t="array" ref="H56">(VLOOKUP(TabImpuestos[[#This Row],[ID]],TabDesSalariosFiscal[],COLUMN(TabDesSalariosFiscal[Dia Festivo/ Descanso]),FALSE)*50%)</f>
        <v>0</v>
      </c>
      <c r="I56" s="54" cm="1">
        <f t="array" ref="I56">IFERROR(VLOOKUP(TabImpuestos[[#This Row],[Base Gravable]],TabISR[],COLUMN(TabISR[Límite inferior])),0)</f>
        <v>5490.76</v>
      </c>
      <c r="J56" s="54">
        <f>IFERROR(TabImpuestos[[#This Row],[Base Gravable]]-TabImpuestos[[#This Row],[(-) Lim. Inferior]],0)</f>
        <v>436.11787999999979</v>
      </c>
      <c r="K56" s="236" cm="1">
        <f t="array" ref="K56">IFERROR(VLOOKUP(TabImpuestos[[#This Row],[Base Gravable]],TabISR[],COLUMN(TabISR[Por ciento para aplicarse sobre el excedente del límite inferior])),0)</f>
        <v>0.16</v>
      </c>
      <c r="L56" s="54">
        <f>IFERROR(TabImpuestos[[#This Row],[EXC. Lim. Inferior]]*TabImpuestos[[#This Row],[(*) % Lim. Inf.]],0)</f>
        <v>69.778860799999961</v>
      </c>
      <c r="M56" s="54" cm="1">
        <f t="array" ref="M56">IFERROR(VLOOKUP(TabImpuestos[[#This Row],[Base Gravable]],TabISR[],COLUMN(TabISR[Cuota fija])),0)</f>
        <v>441</v>
      </c>
      <c r="N56" s="54">
        <f>IFERROR(TabImpuestos[[#This Row],[Impuesto marginal]]+TabImpuestos[[#This Row],[(+) Cuota Fija]],0)</f>
        <v>510.77886079999996</v>
      </c>
      <c r="O56" s="54" cm="1">
        <f t="array" ref="O56">IFERROR(VLOOKUP(TabImpuestos[[#This Row],[Base Gravable]],TabSubsidio[],COLUMN(TabSubsidio[SUBSIDIO])),0)</f>
        <v>0</v>
      </c>
      <c r="P56" s="54">
        <f>IFERROR(TabImpuestos[[#This Row],[Imp. Art. 96 ISR]]-TabImpuestos[[#This Row],[(-) Subsidio para el empleo]],0)</f>
        <v>510.77886079999996</v>
      </c>
      <c r="Q56" s="54" cm="1">
        <f t="array" ref="Q56">IF('Desglose Salarios Fiscal'!$Q$1=1,TabImpuestos[[#This Row],[Ingreso ordinario]]+((15*VLOOKUP(TabImpuestos[[#This Row],[ID]],TabEmpleados[],COLUMN(TabEmpleados[SD Fiscal]),FALSE))-(30*SMDF)),0)</f>
        <v>109.79999999999995</v>
      </c>
      <c r="R56" s="54" cm="1">
        <f t="array" ref="R56">IF('Desglose Salarios Fiscal'!$Q$1=1,(VLOOKUP(TabImpuestos[[#This Row],[ID]],TabEmpleados[],COLUMN(TabEmpleados[SD Fiscal]),FALSE)*30.4)-TabImpuestos[[#This Row],[(-) Subsidio para el empleo]],0)</f>
        <v>2006.3999999999999</v>
      </c>
      <c r="S56" s="54" cm="1">
        <f t="array" ref="S56">IFERROR(IF('Desglose Salarios Fiscal'!$Q$1=1,IFERROR((((TabImpuestos[[#This Row],[Ingreso Neto]]-(VLOOKUP(TabImpuestos[[#This Row],[Ingreso Neto]],TabISR[],COLUMN(TabISR[Límite inferior]))))*(VLOOKUP(TabImpuestos[[#This Row],[Ingreso Neto]],TabISR[],COLUMN(TabISR[Por ciento para aplicarse sobre el excedente del límite inferior]))))+(VLOOKUP(TabImpuestos[[#This Row],[Ingreso Neto]],TabISR[],COLUMN(TabISR[Cuota fija]))))-(((TabImpuestos[[#This Row],[Ingreso ordinario]]-(VLOOKUP(TabImpuestos[[#This Row],[Ingreso ordinario]],TabISR[],COLUMN(TabISR[Límite inferior]))))*(VLOOKUP(TabImpuestos[[#This Row],[Ingreso ordinario]],TabISR[],COLUMN(TabISR[Por ciento para aplicarse sobre el excedente del límite inferior]))))+(VLOOKUP(TabImpuestos[[#This Row],[Ingreso ordinario]],TabISR[],COLUMN(TabISR[Cuota fija])))),0),0),0)</f>
        <v>-109.792592</v>
      </c>
      <c r="T56" s="54" cm="1">
        <f t="array" ref="T56">((15*VLOOKUP(TabImpuestos[[#This Row],[ID]],TabEmpleados[],COLUMN(TabEmpleados[SD Fiscal]),FALSE))-(30*SMDF))/365*30.4</f>
        <v>-157.96339726027395</v>
      </c>
      <c r="U56" s="54">
        <f>TabImpuestos[[#This Row],[Ingreso ordinario]]+TabImpuestos[[#This Row],[Aguinaldo Gravado Mensual]]</f>
        <v>1848.4366027397259</v>
      </c>
      <c r="V56" s="54" cm="1">
        <f t="array" ref="V56">(((TabImpuestos[[#This Row],[Ingresos totales]]-(VLOOKUP(TabImpuestos[[#This Row],[Ingresos totales]],TabISR[],COLUMN(TabISR[Límite inferior]))))*(VLOOKUP(TabImpuestos[[#This Row],[Ingresos totales]],TabISR[],COLUMN(TabISR[Por ciento para aplicarse sobre el excedente del límite inferior]))))+(VLOOKUP(TabImpuestos[[#This Row],[Ingresos totales]],TabISR[],COLUMN(TabISR[Cuota fija]))))</f>
        <v>101.79090257534244</v>
      </c>
      <c r="W56" s="54" cm="1">
        <f t="array" ref="W56">(((TabImpuestos[[#This Row],[Ingreso ordinario]]-(VLOOKUP(TabImpuestos[[#This Row],[Ingreso ordinario]],TabISR[],COLUMN(TabISR[Límite inferior]))))*(VLOOKUP(TabImpuestos[[#This Row],[Ingreso ordinario]],TabISR[],COLUMN(TabISR[Por ciento para aplicarse sobre el excedente del límite inferior]))))+(VLOOKUP(TabImpuestos[[#This Row],[Ingreso ordinario]],TabISR[],COLUMN(TabISR[Cuota fija]))))</f>
        <v>111.90056</v>
      </c>
      <c r="X56" s="54">
        <f>TabImpuestos[[#This Row],[ISR Por ingresos totales]]-TabImpuestos[[#This Row],[ISR por ingreso ordinario]]</f>
        <v>-10.109657424657556</v>
      </c>
      <c r="Y56" s="236">
        <f>TabImpuestos[[#This Row],[Diferencia de ISR''s]]/TabImpuestos[[#This Row],[Aguinaldo Gravado Mensual]]</f>
        <v>6.400000000000014E-2</v>
      </c>
      <c r="Z56" s="54" cm="1">
        <f t="array" ref="Z56">IFERROR(IF('Desglose Salarios Fiscal'!$Q$1=1,((15*VLOOKUP(TabImpuestos[[#This Row],[ID]],TabEmpleados[],COLUMN(TabEmpleados[SD Fiscal]),FALSE))-(30*SMDF))*TabImpuestos[[#This Row],[Tasa D %]],0),0)</f>
        <v>-121.38240000000026</v>
      </c>
    </row>
    <row r="57" spans="1:26" x14ac:dyDescent="0.25">
      <c r="A57" s="31">
        <f t="shared" si="0"/>
        <v>55</v>
      </c>
      <c r="B57" s="30" t="str" cm="1">
        <f t="array" ref="B57">VLOOKUP(A57,TabEmpleados[],COLUMN(TabEmpleados[Nombre]),FALSE)</f>
        <v>MARTINEZ HERNANDEZ URIEL VALENTINO</v>
      </c>
      <c r="C57" s="54" cm="1">
        <f t="array" ref="C57">(VLOOKUP(TabImpuestos[[#This Row],[ID]],TabEmpleados[],COLUMN(TabEmpleados[SD Fiscal]))*VLOOKUP(TabImpuestos[[#This Row],[ID]],TabAsistencias[],COLUMN(TabAsistencias[''Total de dias laborados])))+
TabImpuestos[[#This Row],[Bono Asistencia]]+TabImpuestos[[#This Row],[Bono Puntualidad]]+TabImpuestos[[#This Row],[Prima Dominical]]+TabImpuestos[[#This Row],[Prima Vacacional]]+TabImpuestos[[#This Row],[Bono Festivo/ Descanso]]</f>
        <v>8082.1062000000002</v>
      </c>
      <c r="D57" s="54" cm="1">
        <f t="array" ref="D57">VLOOKUP(TabImpuestos[[#This Row],[ID]],TabDesSalariosFiscal[],COLUMN(TabDesSalariosFiscal[Bono Asistencia]),FALSE)</f>
        <v>756.05310000000009</v>
      </c>
      <c r="E57" s="54" cm="1">
        <f t="array" ref="E57">VLOOKUP(TabImpuestos[[#This Row],[ID]],TabDesSalariosFiscal[],COLUMN(TabDesSalariosFiscal[Bono Puntualidad]),FALSE)</f>
        <v>756.05310000000009</v>
      </c>
      <c r="F57" s="54" cm="1">
        <f t="array" ref="F57">IF(VLOOKUP(TabImpuestos[[#This Row],[ID]],TabDesSalariosFiscal[],COLUMN(TabDesSalariosFiscal[Prima dominical]),FALSE)-SMDF&lt;0,0,VLOOKUP(TabImpuestos[[#This Row],[ID]],TabDesSalariosFiscal[],COLUMN(TabDesSalariosFiscal[Prima dominical]),FALSE)-SMDF)</f>
        <v>0</v>
      </c>
      <c r="G57" s="54" cm="1">
        <f t="array" ref="G57">IF(VLOOKUP(TabImpuestos[[#This Row],[ID]],TabDesSalariosFiscal[],COLUMN(TabDesSalariosFiscal[Prima vacacional]),FALSE)-(15*SMDF)&lt;0,0,VLOOKUP(TabImpuestos[[#This Row],[ID]],TabDesSalariosFiscal[],COLUMN(TabDesSalariosFiscal[Prima vacacional]),FALSE)-(15*SMDF))</f>
        <v>0</v>
      </c>
      <c r="H57" s="54" cm="1">
        <f t="array" ref="H57">(VLOOKUP(TabImpuestos[[#This Row],[ID]],TabDesSalariosFiscal[],COLUMN(TabDesSalariosFiscal[Dia Festivo/ Descanso]),FALSE)*50%)</f>
        <v>0</v>
      </c>
      <c r="I57" s="54" cm="1">
        <f t="array" ref="I57">IFERROR(VLOOKUP(TabImpuestos[[#This Row],[Base Gravable]],TabISR[],COLUMN(TabISR[Límite inferior])),0)</f>
        <v>7641.91</v>
      </c>
      <c r="J57" s="54">
        <f>IFERROR(TabImpuestos[[#This Row],[Base Gravable]]-TabImpuestos[[#This Row],[(-) Lim. Inferior]],0)</f>
        <v>440.19620000000032</v>
      </c>
      <c r="K57" s="236" cm="1">
        <f t="array" ref="K57">IFERROR(VLOOKUP(TabImpuestos[[#This Row],[Base Gravable]],TabISR[],COLUMN(TabISR[Por ciento para aplicarse sobre el excedente del límite inferior])),0)</f>
        <v>0.21360000000000001</v>
      </c>
      <c r="L57" s="54">
        <f>IFERROR(TabImpuestos[[#This Row],[EXC. Lim. Inferior]]*TabImpuestos[[#This Row],[(*) % Lim. Inf.]],0)</f>
        <v>94.02590832000007</v>
      </c>
      <c r="M57" s="54" cm="1">
        <f t="array" ref="M57">IFERROR(VLOOKUP(TabImpuestos[[#This Row],[Base Gravable]],TabISR[],COLUMN(TabISR[Cuota fija])),0)</f>
        <v>809.25</v>
      </c>
      <c r="N57" s="54">
        <f>IFERROR(TabImpuestos[[#This Row],[Impuesto marginal]]+TabImpuestos[[#This Row],[(+) Cuota Fija]],0)</f>
        <v>903.2759083200001</v>
      </c>
      <c r="O57" s="54" cm="1">
        <f t="array" ref="O57">IFERROR(VLOOKUP(TabImpuestos[[#This Row],[Base Gravable]],TabSubsidio[],COLUMN(TabSubsidio[SUBSIDIO])),0)</f>
        <v>0</v>
      </c>
      <c r="P57" s="54">
        <f>IFERROR(TabImpuestos[[#This Row],[Imp. Art. 96 ISR]]-TabImpuestos[[#This Row],[(-) Subsidio para el empleo]],0)</f>
        <v>903.2759083200001</v>
      </c>
      <c r="Q57" s="54" cm="1">
        <f t="array" ref="Q57">IF('Desglose Salarios Fiscal'!$Q$1=1,TabImpuestos[[#This Row],[Ingreso ordinario]]+((15*VLOOKUP(TabImpuestos[[#This Row],[ID]],TabEmpleados[],COLUMN(TabEmpleados[SD Fiscal]),FALSE))-(30*SMDF)),0)</f>
        <v>1199.4000000000001</v>
      </c>
      <c r="R57" s="54" cm="1">
        <f t="array" ref="R57">IF('Desglose Salarios Fiscal'!$Q$1=1,(VLOOKUP(TabImpuestos[[#This Row],[ID]],TabEmpleados[],COLUMN(TabEmpleados[SD Fiscal]),FALSE)*30.4)-TabImpuestos[[#This Row],[(-) Subsidio para el empleo]],0)</f>
        <v>2736</v>
      </c>
      <c r="S57" s="54" cm="1">
        <f t="array" ref="S57">IFERROR(IF('Desglose Salarios Fiscal'!$Q$1=1,IFERROR((((TabImpuestos[[#This Row],[Ingreso Neto]]-(VLOOKUP(TabImpuestos[[#This Row],[Ingreso Neto]],TabISR[],COLUMN(TabISR[Límite inferior]))))*(VLOOKUP(TabImpuestos[[#This Row],[Ingreso Neto]],TabISR[],COLUMN(TabISR[Por ciento para aplicarse sobre el excedente del límite inferior]))))+(VLOOKUP(TabImpuestos[[#This Row],[Ingreso Neto]],TabISR[],COLUMN(TabISR[Cuota fija]))))-(((TabImpuestos[[#This Row],[Ingreso ordinario]]-(VLOOKUP(TabImpuestos[[#This Row],[Ingreso ordinario]],TabISR[],COLUMN(TabISR[Límite inferior]))))*(VLOOKUP(TabImpuestos[[#This Row],[Ingreso ordinario]],TabISR[],COLUMN(TabISR[Por ciento para aplicarse sobre el excedente del límite inferior]))))+(VLOOKUP(TabImpuestos[[#This Row],[Ingreso ordinario]],TabISR[],COLUMN(TabISR[Cuota fija])))),0),0),0)</f>
        <v>-98.342400000000012</v>
      </c>
      <c r="T57" s="54" cm="1">
        <f t="array" ref="T57">((15*VLOOKUP(TabImpuestos[[#This Row],[ID]],TabEmpleados[],COLUMN(TabEmpleados[SD Fiscal]),FALSE))-(30*SMDF))/365*30.4</f>
        <v>-127.97983561643835</v>
      </c>
      <c r="U57" s="54">
        <f>TabImpuestos[[#This Row],[Ingreso ordinario]]+TabImpuestos[[#This Row],[Aguinaldo Gravado Mensual]]</f>
        <v>2608.0201643835617</v>
      </c>
      <c r="V57" s="54" cm="1">
        <f t="array" ref="V57">(((TabImpuestos[[#This Row],[Ingresos totales]]-(VLOOKUP(TabImpuestos[[#This Row],[Ingresos totales]],TabISR[],COLUMN(TabISR[Límite inferior]))))*(VLOOKUP(TabImpuestos[[#This Row],[Ingresos totales]],TabISR[],COLUMN(TabISR[Por ciento para aplicarse sobre el excedente del límite inferior]))))+(VLOOKUP(TabImpuestos[[#This Row],[Ingresos totales]],TabISR[],COLUMN(TabISR[Cuota fija]))))</f>
        <v>150.40425052054795</v>
      </c>
      <c r="W57" s="54" cm="1">
        <f t="array" ref="W57">(((TabImpuestos[[#This Row],[Ingreso ordinario]]-(VLOOKUP(TabImpuestos[[#This Row],[Ingreso ordinario]],TabISR[],COLUMN(TabISR[Límite inferior]))))*(VLOOKUP(TabImpuestos[[#This Row],[Ingreso ordinario]],TabISR[],COLUMN(TabISR[Por ciento para aplicarse sobre el excedente del límite inferior]))))+(VLOOKUP(TabImpuestos[[#This Row],[Ingreso ordinario]],TabISR[],COLUMN(TabISR[Cuota fija]))))</f>
        <v>158.59496000000001</v>
      </c>
      <c r="X57" s="54">
        <f>TabImpuestos[[#This Row],[ISR Por ingresos totales]]-TabImpuestos[[#This Row],[ISR por ingreso ordinario]]</f>
        <v>-8.1907094794520674</v>
      </c>
      <c r="Y57" s="236">
        <f>TabImpuestos[[#This Row],[Diferencia de ISR''s]]/TabImpuestos[[#This Row],[Aguinaldo Gravado Mensual]]</f>
        <v>6.4000000000000098E-2</v>
      </c>
      <c r="Z57" s="54" cm="1">
        <f t="array" ref="Z57">IFERROR(IF('Desglose Salarios Fiscal'!$Q$1=1,((15*VLOOKUP(TabImpuestos[[#This Row],[ID]],TabEmpleados[],COLUMN(TabEmpleados[SD Fiscal]),FALSE))-(30*SMDF))*TabImpuestos[[#This Row],[Tasa D %]],0),0)</f>
        <v>-98.34240000000014</v>
      </c>
    </row>
    <row r="58" spans="1:26" x14ac:dyDescent="0.25">
      <c r="A58">
        <f t="shared" si="0"/>
        <v>56</v>
      </c>
      <c r="B58" t="str" cm="1">
        <f t="array" ref="B58">VLOOKUP(A58,TabEmpleados[],COLUMN(TabEmpleados[Nombre]),FALSE)</f>
        <v>ESPINDOLA CASTILLO JUAN MANUEL</v>
      </c>
      <c r="C58" s="54" cm="1">
        <f t="array" ref="C58">(VLOOKUP(TabImpuestos[[#This Row],[ID]],TabEmpleados[],COLUMN(TabEmpleados[SD Fiscal]))*VLOOKUP(TabImpuestos[[#This Row],[ID]],TabAsistencias[],COLUMN(TabAsistencias[''Total de dias laborados])))+
TabImpuestos[[#This Row],[Bono Asistencia]]+TabImpuestos[[#This Row],[Bono Puntualidad]]+TabImpuestos[[#This Row],[Prima Dominical]]+TabImpuestos[[#This Row],[Prima Vacacional]]+TabImpuestos[[#This Row],[Bono Festivo/ Descanso]]</f>
        <v>5388.0707999999995</v>
      </c>
      <c r="D58" s="54" cm="1">
        <f t="array" ref="D58">VLOOKUP(TabImpuestos[[#This Row],[ID]],TabDesSalariosFiscal[],COLUMN(TabDesSalariosFiscal[Bono Asistencia]),FALSE)</f>
        <v>504.03540000000004</v>
      </c>
      <c r="E58" s="54" cm="1">
        <f t="array" ref="E58">VLOOKUP(TabImpuestos[[#This Row],[ID]],TabDesSalariosFiscal[],COLUMN(TabDesSalariosFiscal[Bono Puntualidad]),FALSE)</f>
        <v>504.03540000000004</v>
      </c>
      <c r="F58" s="54" cm="1">
        <f t="array" ref="F58">IF(VLOOKUP(TabImpuestos[[#This Row],[ID]],TabDesSalariosFiscal[],COLUMN(TabDesSalariosFiscal[Prima dominical]),FALSE)-SMDF&lt;0,0,VLOOKUP(TabImpuestos[[#This Row],[ID]],TabDesSalariosFiscal[],COLUMN(TabDesSalariosFiscal[Prima dominical]),FALSE)-SMDF)</f>
        <v>0</v>
      </c>
      <c r="G58" s="54" cm="1">
        <f t="array" ref="G58">IF(VLOOKUP(TabImpuestos[[#This Row],[ID]],TabDesSalariosFiscal[],COLUMN(TabDesSalariosFiscal[Prima vacacional]),FALSE)-(15*SMDF)&lt;0,0,VLOOKUP(TabImpuestos[[#This Row],[ID]],TabDesSalariosFiscal[],COLUMN(TabDesSalariosFiscal[Prima vacacional]),FALSE)-(15*SMDF))</f>
        <v>0</v>
      </c>
      <c r="H58" s="54" cm="1">
        <f t="array" ref="H58">(VLOOKUP(TabImpuestos[[#This Row],[ID]],TabDesSalariosFiscal[],COLUMN(TabDesSalariosFiscal[Dia Festivo/ Descanso]),FALSE)*50%)</f>
        <v>0</v>
      </c>
      <c r="I58" s="54" cm="1">
        <f t="array" ref="I58">IFERROR(VLOOKUP(TabImpuestos[[#This Row],[Base Gravable]],TabISR[],COLUMN(TabISR[Límite inferior])),0)</f>
        <v>3124.36</v>
      </c>
      <c r="J58" s="54">
        <f>IFERROR(TabImpuestos[[#This Row],[Base Gravable]]-TabImpuestos[[#This Row],[(-) Lim. Inferior]],0)</f>
        <v>2263.7107999999994</v>
      </c>
      <c r="K58" s="236" cm="1">
        <f t="array" ref="K58">IFERROR(VLOOKUP(TabImpuestos[[#This Row],[Base Gravable]],TabISR[],COLUMN(TabISR[Por ciento para aplicarse sobre el excedente del límite inferior])),0)</f>
        <v>0.10879999999999999</v>
      </c>
      <c r="L58" s="54">
        <f>IFERROR(TabImpuestos[[#This Row],[EXC. Lim. Inferior]]*TabImpuestos[[#This Row],[(*) % Lim. Inf.]],0)</f>
        <v>246.29173503999991</v>
      </c>
      <c r="M58" s="54" cm="1">
        <f t="array" ref="M58">IFERROR(VLOOKUP(TabImpuestos[[#This Row],[Base Gravable]],TabISR[],COLUMN(TabISR[Cuota fija])),0)</f>
        <v>183.45</v>
      </c>
      <c r="N58" s="54">
        <f>IFERROR(TabImpuestos[[#This Row],[Impuesto marginal]]+TabImpuestos[[#This Row],[(+) Cuota Fija]],0)</f>
        <v>429.74173503999987</v>
      </c>
      <c r="O58" s="54" cm="1">
        <f t="array" ref="O58">IFERROR(VLOOKUP(TabImpuestos[[#This Row],[Base Gravable]],TabSubsidio[],COLUMN(TabSubsidio[SUBSIDIO])),0)</f>
        <v>0</v>
      </c>
      <c r="P58" s="54">
        <f>IFERROR(TabImpuestos[[#This Row],[Imp. Art. 96 ISR]]-TabImpuestos[[#This Row],[(-) Subsidio para el empleo]],0)</f>
        <v>429.74173503999987</v>
      </c>
      <c r="Q58" s="54" cm="1">
        <f t="array" ref="Q58">IF('Desglose Salarios Fiscal'!$Q$1=1,TabImpuestos[[#This Row],[Ingreso ordinario]]+((15*VLOOKUP(TabImpuestos[[#This Row],[ID]],TabEmpleados[],COLUMN(TabEmpleados[SD Fiscal]),FALSE))-(30*SMDF)),0)</f>
        <v>-162.59999999999991</v>
      </c>
      <c r="R58" s="54" cm="1">
        <f t="array" ref="R58">IF('Desglose Salarios Fiscal'!$Q$1=1,(VLOOKUP(TabImpuestos[[#This Row],[ID]],TabEmpleados[],COLUMN(TabEmpleados[SD Fiscal]),FALSE)*30.4)-TabImpuestos[[#This Row],[(-) Subsidio para el empleo]],0)</f>
        <v>1824</v>
      </c>
      <c r="S58" s="54" cm="1">
        <f t="array" ref="S58">IFERROR(IF('Desglose Salarios Fiscal'!$Q$1=1,IFERROR((((TabImpuestos[[#This Row],[Ingreso Neto]]-(VLOOKUP(TabImpuestos[[#This Row],[Ingreso Neto]],TabISR[],COLUMN(TabISR[Límite inferior]))))*(VLOOKUP(TabImpuestos[[#This Row],[Ingreso Neto]],TabISR[],COLUMN(TabISR[Por ciento para aplicarse sobre el excedente del límite inferior]))))+(VLOOKUP(TabImpuestos[[#This Row],[Ingreso Neto]],TabISR[],COLUMN(TabISR[Cuota fija]))))-(((TabImpuestos[[#This Row],[Ingreso ordinario]]-(VLOOKUP(TabImpuestos[[#This Row],[Ingreso ordinario]],TabISR[],COLUMN(TabISR[Límite inferior]))))*(VLOOKUP(TabImpuestos[[#This Row],[Ingreso ordinario]],TabISR[],COLUMN(TabISR[Por ciento para aplicarse sobre el excedente del límite inferior]))))+(VLOOKUP(TabImpuestos[[#This Row],[Ingreso ordinario]],TabISR[],COLUMN(TabISR[Cuota fija])))),0),0),0)</f>
        <v>0</v>
      </c>
      <c r="T58" s="54" cm="1">
        <f t="array" ref="T58">((15*VLOOKUP(TabImpuestos[[#This Row],[ID]],TabEmpleados[],COLUMN(TabEmpleados[SD Fiscal]),FALSE))-(30*SMDF))/365*30.4</f>
        <v>-165.45928767123286</v>
      </c>
      <c r="U58" s="54">
        <f>TabImpuestos[[#This Row],[Ingreso ordinario]]+TabImpuestos[[#This Row],[Aguinaldo Gravado Mensual]]</f>
        <v>1658.5407123287671</v>
      </c>
      <c r="V58" s="54" cm="1">
        <f t="array" ref="V58">(((TabImpuestos[[#This Row],[Ingresos totales]]-(VLOOKUP(TabImpuestos[[#This Row],[Ingresos totales]],TabISR[],COLUMN(TabISR[Límite inferior]))))*(VLOOKUP(TabImpuestos[[#This Row],[Ingresos totales]],TabISR[],COLUMN(TabISR[Por ciento para aplicarse sobre el excedente del límite inferior]))))+(VLOOKUP(TabImpuestos[[#This Row],[Ingresos totales]],TabISR[],COLUMN(TabISR[Cuota fija]))))</f>
        <v>89.637565589041102</v>
      </c>
      <c r="W58" s="54" cm="1">
        <f t="array" ref="W58">(((TabImpuestos[[#This Row],[Ingreso ordinario]]-(VLOOKUP(TabImpuestos[[#This Row],[Ingreso ordinario]],TabISR[],COLUMN(TabISR[Límite inferior]))))*(VLOOKUP(TabImpuestos[[#This Row],[Ingreso ordinario]],TabISR[],COLUMN(TabISR[Por ciento para aplicarse sobre el excedente del límite inferior]))))+(VLOOKUP(TabImpuestos[[#This Row],[Ingreso ordinario]],TabISR[],COLUMN(TabISR[Cuota fija]))))</f>
        <v>100.22695999999999</v>
      </c>
      <c r="X58" s="54">
        <f>TabImpuestos[[#This Row],[ISR Por ingresos totales]]-TabImpuestos[[#This Row],[ISR por ingreso ordinario]]</f>
        <v>-10.589394410958889</v>
      </c>
      <c r="Y58" s="236">
        <f>TabImpuestos[[#This Row],[Diferencia de ISR''s]]/TabImpuestos[[#This Row],[Aguinaldo Gravado Mensual]]</f>
        <v>6.3999999999999918E-2</v>
      </c>
      <c r="Z58" s="54" cm="1">
        <f t="array" ref="Z58">IFERROR(IF('Desglose Salarios Fiscal'!$Q$1=1,((15*VLOOKUP(TabImpuestos[[#This Row],[ID]],TabEmpleados[],COLUMN(TabEmpleados[SD Fiscal]),FALSE))-(30*SMDF))*TabImpuestos[[#This Row],[Tasa D %]],0),0)</f>
        <v>-127.14239999999982</v>
      </c>
    </row>
    <row r="59" spans="1:26" x14ac:dyDescent="0.25">
      <c r="A59" s="31">
        <f t="shared" si="0"/>
        <v>57</v>
      </c>
      <c r="B59" s="30" t="str" cm="1">
        <f t="array" ref="B59">VLOOKUP(A59,TabEmpleados[],COLUMN(TabEmpleados[Nombre]),FALSE)</f>
        <v>LOPEZ ALMARAZ JOSE ORIOL</v>
      </c>
      <c r="C59" s="54" cm="1">
        <f t="array" ref="C59">(VLOOKUP(TabImpuestos[[#This Row],[ID]],TabEmpleados[],COLUMN(TabEmpleados[SD Fiscal]))*VLOOKUP(TabImpuestos[[#This Row],[ID]],TabAsistencias[],COLUMN(TabAsistencias[''Total de dias laborados])))+
TabImpuestos[[#This Row],[Bono Asistencia]]+TabImpuestos[[#This Row],[Bono Puntualidad]]+TabImpuestos[[#This Row],[Prima Dominical]]+TabImpuestos[[#This Row],[Prima Vacacional]]+TabImpuestos[[#This Row],[Bono Festivo/ Descanso]]</f>
        <v>5926.87788</v>
      </c>
      <c r="D59" s="54" cm="1">
        <f t="array" ref="D59">VLOOKUP(TabImpuestos[[#This Row],[ID]],TabDesSalariosFiscal[],COLUMN(TabDesSalariosFiscal[Bono Asistencia]),FALSE)</f>
        <v>554.43894000000012</v>
      </c>
      <c r="E59" s="54" cm="1">
        <f t="array" ref="E59">VLOOKUP(TabImpuestos[[#This Row],[ID]],TabDesSalariosFiscal[],COLUMN(TabDesSalariosFiscal[Bono Puntualidad]),FALSE)</f>
        <v>554.43894000000012</v>
      </c>
      <c r="F59" s="54" cm="1">
        <f t="array" ref="F59">IF(VLOOKUP(TabImpuestos[[#This Row],[ID]],TabDesSalariosFiscal[],COLUMN(TabDesSalariosFiscal[Prima dominical]),FALSE)-SMDF&lt;0,0,VLOOKUP(TabImpuestos[[#This Row],[ID]],TabDesSalariosFiscal[],COLUMN(TabDesSalariosFiscal[Prima dominical]),FALSE)-SMDF)</f>
        <v>0</v>
      </c>
      <c r="G59" s="54" cm="1">
        <f t="array" ref="G59">IF(VLOOKUP(TabImpuestos[[#This Row],[ID]],TabDesSalariosFiscal[],COLUMN(TabDesSalariosFiscal[Prima vacacional]),FALSE)-(15*SMDF)&lt;0,0,VLOOKUP(TabImpuestos[[#This Row],[ID]],TabDesSalariosFiscal[],COLUMN(TabDesSalariosFiscal[Prima vacacional]),FALSE)-(15*SMDF))</f>
        <v>0</v>
      </c>
      <c r="H59" s="54" cm="1">
        <f t="array" ref="H59">(VLOOKUP(TabImpuestos[[#This Row],[ID]],TabDesSalariosFiscal[],COLUMN(TabDesSalariosFiscal[Dia Festivo/ Descanso]),FALSE)*50%)</f>
        <v>0</v>
      </c>
      <c r="I59" s="54" cm="1">
        <f t="array" ref="I59">IFERROR(VLOOKUP(TabImpuestos[[#This Row],[Base Gravable]],TabISR[],COLUMN(TabISR[Límite inferior])),0)</f>
        <v>5490.76</v>
      </c>
      <c r="J59" s="54">
        <f>IFERROR(TabImpuestos[[#This Row],[Base Gravable]]-TabImpuestos[[#This Row],[(-) Lim. Inferior]],0)</f>
        <v>436.11787999999979</v>
      </c>
      <c r="K59" s="236" cm="1">
        <f t="array" ref="K59">IFERROR(VLOOKUP(TabImpuestos[[#This Row],[Base Gravable]],TabISR[],COLUMN(TabISR[Por ciento para aplicarse sobre el excedente del límite inferior])),0)</f>
        <v>0.16</v>
      </c>
      <c r="L59" s="54">
        <f>IFERROR(TabImpuestos[[#This Row],[EXC. Lim. Inferior]]*TabImpuestos[[#This Row],[(*) % Lim. Inf.]],0)</f>
        <v>69.778860799999961</v>
      </c>
      <c r="M59" s="54" cm="1">
        <f t="array" ref="M59">IFERROR(VLOOKUP(TabImpuestos[[#This Row],[Base Gravable]],TabISR[],COLUMN(TabISR[Cuota fija])),0)</f>
        <v>441</v>
      </c>
      <c r="N59" s="54">
        <f>IFERROR(TabImpuestos[[#This Row],[Impuesto marginal]]+TabImpuestos[[#This Row],[(+) Cuota Fija]],0)</f>
        <v>510.77886079999996</v>
      </c>
      <c r="O59" s="54" cm="1">
        <f t="array" ref="O59">IFERROR(VLOOKUP(TabImpuestos[[#This Row],[Base Gravable]],TabSubsidio[],COLUMN(TabSubsidio[SUBSIDIO])),0)</f>
        <v>0</v>
      </c>
      <c r="P59" s="54">
        <f>IFERROR(TabImpuestos[[#This Row],[Imp. Art. 96 ISR]]-TabImpuestos[[#This Row],[(-) Subsidio para el empleo]],0)</f>
        <v>510.77886079999996</v>
      </c>
      <c r="Q59" s="54" cm="1">
        <f t="array" ref="Q59">IF('Desglose Salarios Fiscal'!$Q$1=1,TabImpuestos[[#This Row],[Ingreso ordinario]]+((15*VLOOKUP(TabImpuestos[[#This Row],[ID]],TabEmpleados[],COLUMN(TabEmpleados[SD Fiscal]),FALSE))-(30*SMDF)),0)</f>
        <v>109.79999999999995</v>
      </c>
      <c r="R59" s="54" cm="1">
        <f t="array" ref="R59">IF('Desglose Salarios Fiscal'!$Q$1=1,(VLOOKUP(TabImpuestos[[#This Row],[ID]],TabEmpleados[],COLUMN(TabEmpleados[SD Fiscal]),FALSE)*30.4)-TabImpuestos[[#This Row],[(-) Subsidio para el empleo]],0)</f>
        <v>2006.3999999999999</v>
      </c>
      <c r="S59" s="54" cm="1">
        <f t="array" ref="S59">IFERROR(IF('Desglose Salarios Fiscal'!$Q$1=1,IFERROR((((TabImpuestos[[#This Row],[Ingreso Neto]]-(VLOOKUP(TabImpuestos[[#This Row],[Ingreso Neto]],TabISR[],COLUMN(TabISR[Límite inferior]))))*(VLOOKUP(TabImpuestos[[#This Row],[Ingreso Neto]],TabISR[],COLUMN(TabISR[Por ciento para aplicarse sobre el excedente del límite inferior]))))+(VLOOKUP(TabImpuestos[[#This Row],[Ingreso Neto]],TabISR[],COLUMN(TabISR[Cuota fija]))))-(((TabImpuestos[[#This Row],[Ingreso ordinario]]-(VLOOKUP(TabImpuestos[[#This Row],[Ingreso ordinario]],TabISR[],COLUMN(TabISR[Límite inferior]))))*(VLOOKUP(TabImpuestos[[#This Row],[Ingreso ordinario]],TabISR[],COLUMN(TabISR[Por ciento para aplicarse sobre el excedente del límite inferior]))))+(VLOOKUP(TabImpuestos[[#This Row],[Ingreso ordinario]],TabISR[],COLUMN(TabISR[Cuota fija])))),0),0),0)</f>
        <v>-109.792592</v>
      </c>
      <c r="T59" s="54" cm="1">
        <f t="array" ref="T59">((15*VLOOKUP(TabImpuestos[[#This Row],[ID]],TabEmpleados[],COLUMN(TabEmpleados[SD Fiscal]),FALSE))-(30*SMDF))/365*30.4</f>
        <v>-157.96339726027395</v>
      </c>
      <c r="U59" s="54">
        <f>TabImpuestos[[#This Row],[Ingreso ordinario]]+TabImpuestos[[#This Row],[Aguinaldo Gravado Mensual]]</f>
        <v>1848.4366027397259</v>
      </c>
      <c r="V59" s="54" cm="1">
        <f t="array" ref="V59">(((TabImpuestos[[#This Row],[Ingresos totales]]-(VLOOKUP(TabImpuestos[[#This Row],[Ingresos totales]],TabISR[],COLUMN(TabISR[Límite inferior]))))*(VLOOKUP(TabImpuestos[[#This Row],[Ingresos totales]],TabISR[],COLUMN(TabISR[Por ciento para aplicarse sobre el excedente del límite inferior]))))+(VLOOKUP(TabImpuestos[[#This Row],[Ingresos totales]],TabISR[],COLUMN(TabISR[Cuota fija]))))</f>
        <v>101.79090257534244</v>
      </c>
      <c r="W59" s="54" cm="1">
        <f t="array" ref="W59">(((TabImpuestos[[#This Row],[Ingreso ordinario]]-(VLOOKUP(TabImpuestos[[#This Row],[Ingreso ordinario]],TabISR[],COLUMN(TabISR[Límite inferior]))))*(VLOOKUP(TabImpuestos[[#This Row],[Ingreso ordinario]],TabISR[],COLUMN(TabISR[Por ciento para aplicarse sobre el excedente del límite inferior]))))+(VLOOKUP(TabImpuestos[[#This Row],[Ingreso ordinario]],TabISR[],COLUMN(TabISR[Cuota fija]))))</f>
        <v>111.90056</v>
      </c>
      <c r="X59" s="54">
        <f>TabImpuestos[[#This Row],[ISR Por ingresos totales]]-TabImpuestos[[#This Row],[ISR por ingreso ordinario]]</f>
        <v>-10.109657424657556</v>
      </c>
      <c r="Y59" s="236">
        <f>TabImpuestos[[#This Row],[Diferencia de ISR''s]]/TabImpuestos[[#This Row],[Aguinaldo Gravado Mensual]]</f>
        <v>6.400000000000014E-2</v>
      </c>
      <c r="Z59" s="54" cm="1">
        <f t="array" ref="Z59">IFERROR(IF('Desglose Salarios Fiscal'!$Q$1=1,((15*VLOOKUP(TabImpuestos[[#This Row],[ID]],TabEmpleados[],COLUMN(TabEmpleados[SD Fiscal]),FALSE))-(30*SMDF))*TabImpuestos[[#This Row],[Tasa D %]],0),0)</f>
        <v>-121.38240000000026</v>
      </c>
    </row>
    <row r="60" spans="1:26" x14ac:dyDescent="0.25">
      <c r="A60">
        <f t="shared" si="0"/>
        <v>58</v>
      </c>
      <c r="B60" t="str" cm="1">
        <f t="array" ref="B60">VLOOKUP(A60,TabEmpleados[],COLUMN(TabEmpleados[Nombre]),FALSE)</f>
        <v>JUAREZ GARCIA NED</v>
      </c>
      <c r="C60" s="54" cm="1">
        <f t="array" ref="C60">(VLOOKUP(TabImpuestos[[#This Row],[ID]],TabEmpleados[],COLUMN(TabEmpleados[SD Fiscal]))*VLOOKUP(TabImpuestos[[#This Row],[ID]],TabAsistencias[],COLUMN(TabAsistencias[''Total de dias laborados])))+
TabImpuestos[[#This Row],[Bono Asistencia]]+TabImpuestos[[#This Row],[Bono Puntualidad]]+TabImpuestos[[#This Row],[Prima Dominical]]+TabImpuestos[[#This Row],[Prima Vacacional]]+TabImpuestos[[#This Row],[Bono Festivo/ Descanso]]</f>
        <v>5926.87788</v>
      </c>
      <c r="D60" s="54" cm="1">
        <f t="array" ref="D60">VLOOKUP(TabImpuestos[[#This Row],[ID]],TabDesSalariosFiscal[],COLUMN(TabDesSalariosFiscal[Bono Asistencia]),FALSE)</f>
        <v>554.43894000000012</v>
      </c>
      <c r="E60" s="54" cm="1">
        <f t="array" ref="E60">VLOOKUP(TabImpuestos[[#This Row],[ID]],TabDesSalariosFiscal[],COLUMN(TabDesSalariosFiscal[Bono Puntualidad]),FALSE)</f>
        <v>554.43894000000012</v>
      </c>
      <c r="F60" s="54" cm="1">
        <f t="array" ref="F60">IF(VLOOKUP(TabImpuestos[[#This Row],[ID]],TabDesSalariosFiscal[],COLUMN(TabDesSalariosFiscal[Prima dominical]),FALSE)-SMDF&lt;0,0,VLOOKUP(TabImpuestos[[#This Row],[ID]],TabDesSalariosFiscal[],COLUMN(TabDesSalariosFiscal[Prima dominical]),FALSE)-SMDF)</f>
        <v>0</v>
      </c>
      <c r="G60" s="54" cm="1">
        <f t="array" ref="G60">IF(VLOOKUP(TabImpuestos[[#This Row],[ID]],TabDesSalariosFiscal[],COLUMN(TabDesSalariosFiscal[Prima vacacional]),FALSE)-(15*SMDF)&lt;0,0,VLOOKUP(TabImpuestos[[#This Row],[ID]],TabDesSalariosFiscal[],COLUMN(TabDesSalariosFiscal[Prima vacacional]),FALSE)-(15*SMDF))</f>
        <v>0</v>
      </c>
      <c r="H60" s="54" cm="1">
        <f t="array" ref="H60">(VLOOKUP(TabImpuestos[[#This Row],[ID]],TabDesSalariosFiscal[],COLUMN(TabDesSalariosFiscal[Dia Festivo/ Descanso]),FALSE)*50%)</f>
        <v>0</v>
      </c>
      <c r="I60" s="54" cm="1">
        <f t="array" ref="I60">IFERROR(VLOOKUP(TabImpuestos[[#This Row],[Base Gravable]],TabISR[],COLUMN(TabISR[Límite inferior])),0)</f>
        <v>5490.76</v>
      </c>
      <c r="J60" s="54">
        <f>IFERROR(TabImpuestos[[#This Row],[Base Gravable]]-TabImpuestos[[#This Row],[(-) Lim. Inferior]],0)</f>
        <v>436.11787999999979</v>
      </c>
      <c r="K60" s="236" cm="1">
        <f t="array" ref="K60">IFERROR(VLOOKUP(TabImpuestos[[#This Row],[Base Gravable]],TabISR[],COLUMN(TabISR[Por ciento para aplicarse sobre el excedente del límite inferior])),0)</f>
        <v>0.16</v>
      </c>
      <c r="L60" s="54">
        <f>IFERROR(TabImpuestos[[#This Row],[EXC. Lim. Inferior]]*TabImpuestos[[#This Row],[(*) % Lim. Inf.]],0)</f>
        <v>69.778860799999961</v>
      </c>
      <c r="M60" s="54" cm="1">
        <f t="array" ref="M60">IFERROR(VLOOKUP(TabImpuestos[[#This Row],[Base Gravable]],TabISR[],COLUMN(TabISR[Cuota fija])),0)</f>
        <v>441</v>
      </c>
      <c r="N60" s="54">
        <f>IFERROR(TabImpuestos[[#This Row],[Impuesto marginal]]+TabImpuestos[[#This Row],[(+) Cuota Fija]],0)</f>
        <v>510.77886079999996</v>
      </c>
      <c r="O60" s="54" cm="1">
        <f t="array" ref="O60">IFERROR(VLOOKUP(TabImpuestos[[#This Row],[Base Gravable]],TabSubsidio[],COLUMN(TabSubsidio[SUBSIDIO])),0)</f>
        <v>0</v>
      </c>
      <c r="P60" s="54">
        <f>IFERROR(TabImpuestos[[#This Row],[Imp. Art. 96 ISR]]-TabImpuestos[[#This Row],[(-) Subsidio para el empleo]],0)</f>
        <v>510.77886079999996</v>
      </c>
      <c r="Q60" s="54" cm="1">
        <f t="array" ref="Q60">IF('Desglose Salarios Fiscal'!$Q$1=1,TabImpuestos[[#This Row],[Ingreso ordinario]]+((15*VLOOKUP(TabImpuestos[[#This Row],[ID]],TabEmpleados[],COLUMN(TabEmpleados[SD Fiscal]),FALSE))-(30*SMDF)),0)</f>
        <v>109.79999999999995</v>
      </c>
      <c r="R60" s="54" cm="1">
        <f t="array" ref="R60">IF('Desglose Salarios Fiscal'!$Q$1=1,(VLOOKUP(TabImpuestos[[#This Row],[ID]],TabEmpleados[],COLUMN(TabEmpleados[SD Fiscal]),FALSE)*30.4)-TabImpuestos[[#This Row],[(-) Subsidio para el empleo]],0)</f>
        <v>2006.3999999999999</v>
      </c>
      <c r="S60" s="54" cm="1">
        <f t="array" ref="S60">IFERROR(IF('Desglose Salarios Fiscal'!$Q$1=1,IFERROR((((TabImpuestos[[#This Row],[Ingreso Neto]]-(VLOOKUP(TabImpuestos[[#This Row],[Ingreso Neto]],TabISR[],COLUMN(TabISR[Límite inferior]))))*(VLOOKUP(TabImpuestos[[#This Row],[Ingreso Neto]],TabISR[],COLUMN(TabISR[Por ciento para aplicarse sobre el excedente del límite inferior]))))+(VLOOKUP(TabImpuestos[[#This Row],[Ingreso Neto]],TabISR[],COLUMN(TabISR[Cuota fija]))))-(((TabImpuestos[[#This Row],[Ingreso ordinario]]-(VLOOKUP(TabImpuestos[[#This Row],[Ingreso ordinario]],TabISR[],COLUMN(TabISR[Límite inferior]))))*(VLOOKUP(TabImpuestos[[#This Row],[Ingreso ordinario]],TabISR[],COLUMN(TabISR[Por ciento para aplicarse sobre el excedente del límite inferior]))))+(VLOOKUP(TabImpuestos[[#This Row],[Ingreso ordinario]],TabISR[],COLUMN(TabISR[Cuota fija])))),0),0),0)</f>
        <v>-109.792592</v>
      </c>
      <c r="T60" s="54" cm="1">
        <f t="array" ref="T60">((15*VLOOKUP(TabImpuestos[[#This Row],[ID]],TabEmpleados[],COLUMN(TabEmpleados[SD Fiscal]),FALSE))-(30*SMDF))/365*30.4</f>
        <v>-157.96339726027395</v>
      </c>
      <c r="U60" s="54">
        <f>TabImpuestos[[#This Row],[Ingreso ordinario]]+TabImpuestos[[#This Row],[Aguinaldo Gravado Mensual]]</f>
        <v>1848.4366027397259</v>
      </c>
      <c r="V60" s="54" cm="1">
        <f t="array" ref="V60">(((TabImpuestos[[#This Row],[Ingresos totales]]-(VLOOKUP(TabImpuestos[[#This Row],[Ingresos totales]],TabISR[],COLUMN(TabISR[Límite inferior]))))*(VLOOKUP(TabImpuestos[[#This Row],[Ingresos totales]],TabISR[],COLUMN(TabISR[Por ciento para aplicarse sobre el excedente del límite inferior]))))+(VLOOKUP(TabImpuestos[[#This Row],[Ingresos totales]],TabISR[],COLUMN(TabISR[Cuota fija]))))</f>
        <v>101.79090257534244</v>
      </c>
      <c r="W60" s="54" cm="1">
        <f t="array" ref="W60">(((TabImpuestos[[#This Row],[Ingreso ordinario]]-(VLOOKUP(TabImpuestos[[#This Row],[Ingreso ordinario]],TabISR[],COLUMN(TabISR[Límite inferior]))))*(VLOOKUP(TabImpuestos[[#This Row],[Ingreso ordinario]],TabISR[],COLUMN(TabISR[Por ciento para aplicarse sobre el excedente del límite inferior]))))+(VLOOKUP(TabImpuestos[[#This Row],[Ingreso ordinario]],TabISR[],COLUMN(TabISR[Cuota fija]))))</f>
        <v>111.90056</v>
      </c>
      <c r="X60" s="54">
        <f>TabImpuestos[[#This Row],[ISR Por ingresos totales]]-TabImpuestos[[#This Row],[ISR por ingreso ordinario]]</f>
        <v>-10.109657424657556</v>
      </c>
      <c r="Y60" s="236">
        <f>TabImpuestos[[#This Row],[Diferencia de ISR''s]]/TabImpuestos[[#This Row],[Aguinaldo Gravado Mensual]]</f>
        <v>6.400000000000014E-2</v>
      </c>
      <c r="Z60" s="54" cm="1">
        <f t="array" ref="Z60">IFERROR(IF('Desglose Salarios Fiscal'!$Q$1=1,((15*VLOOKUP(TabImpuestos[[#This Row],[ID]],TabEmpleados[],COLUMN(TabEmpleados[SD Fiscal]),FALSE))-(30*SMDF))*TabImpuestos[[#This Row],[Tasa D %]],0),0)</f>
        <v>-121.38240000000026</v>
      </c>
    </row>
    <row r="61" spans="1:26" x14ac:dyDescent="0.25">
      <c r="A61" s="31">
        <f t="shared" si="0"/>
        <v>59</v>
      </c>
      <c r="B61" s="30" t="str" cm="1">
        <f t="array" ref="B61">VLOOKUP(A61,TabEmpleados[],COLUMN(TabEmpleados[Nombre]),FALSE)</f>
        <v>SOLIS HERNANDEZ JAVIER</v>
      </c>
      <c r="C61" s="54" cm="1">
        <f t="array" ref="C61">(VLOOKUP(TabImpuestos[[#This Row],[ID]],TabEmpleados[],COLUMN(TabEmpleados[SD Fiscal]))*VLOOKUP(TabImpuestos[[#This Row],[ID]],TabAsistencias[],COLUMN(TabAsistencias[''Total de dias laborados])))+
TabImpuestos[[#This Row],[Bono Asistencia]]+TabImpuestos[[#This Row],[Bono Puntualidad]]+TabImpuestos[[#This Row],[Prima Dominical]]+TabImpuestos[[#This Row],[Prima Vacacional]]+TabImpuestos[[#This Row],[Bono Festivo/ Descanso]]</f>
        <v>5388.0707999999995</v>
      </c>
      <c r="D61" s="54" cm="1">
        <f t="array" ref="D61">VLOOKUP(TabImpuestos[[#This Row],[ID]],TabDesSalariosFiscal[],COLUMN(TabDesSalariosFiscal[Bono Asistencia]),FALSE)</f>
        <v>504.03540000000004</v>
      </c>
      <c r="E61" s="54" cm="1">
        <f t="array" ref="E61">VLOOKUP(TabImpuestos[[#This Row],[ID]],TabDesSalariosFiscal[],COLUMN(TabDesSalariosFiscal[Bono Puntualidad]),FALSE)</f>
        <v>504.03540000000004</v>
      </c>
      <c r="F61" s="54" cm="1">
        <f t="array" ref="F61">IF(VLOOKUP(TabImpuestos[[#This Row],[ID]],TabDesSalariosFiscal[],COLUMN(TabDesSalariosFiscal[Prima dominical]),FALSE)-SMDF&lt;0,0,VLOOKUP(TabImpuestos[[#This Row],[ID]],TabDesSalariosFiscal[],COLUMN(TabDesSalariosFiscal[Prima dominical]),FALSE)-SMDF)</f>
        <v>0</v>
      </c>
      <c r="G61" s="54" cm="1">
        <f t="array" ref="G61">IF(VLOOKUP(TabImpuestos[[#This Row],[ID]],TabDesSalariosFiscal[],COLUMN(TabDesSalariosFiscal[Prima vacacional]),FALSE)-(15*SMDF)&lt;0,0,VLOOKUP(TabImpuestos[[#This Row],[ID]],TabDesSalariosFiscal[],COLUMN(TabDesSalariosFiscal[Prima vacacional]),FALSE)-(15*SMDF))</f>
        <v>0</v>
      </c>
      <c r="H61" s="54" cm="1">
        <f t="array" ref="H61">(VLOOKUP(TabImpuestos[[#This Row],[ID]],TabDesSalariosFiscal[],COLUMN(TabDesSalariosFiscal[Dia Festivo/ Descanso]),FALSE)*50%)</f>
        <v>0</v>
      </c>
      <c r="I61" s="54" cm="1">
        <f t="array" ref="I61">IFERROR(VLOOKUP(TabImpuestos[[#This Row],[Base Gravable]],TabISR[],COLUMN(TabISR[Límite inferior])),0)</f>
        <v>3124.36</v>
      </c>
      <c r="J61" s="54">
        <f>IFERROR(TabImpuestos[[#This Row],[Base Gravable]]-TabImpuestos[[#This Row],[(-) Lim. Inferior]],0)</f>
        <v>2263.7107999999994</v>
      </c>
      <c r="K61" s="236" cm="1">
        <f t="array" ref="K61">IFERROR(VLOOKUP(TabImpuestos[[#This Row],[Base Gravable]],TabISR[],COLUMN(TabISR[Por ciento para aplicarse sobre el excedente del límite inferior])),0)</f>
        <v>0.10879999999999999</v>
      </c>
      <c r="L61" s="54">
        <f>IFERROR(TabImpuestos[[#This Row],[EXC. Lim. Inferior]]*TabImpuestos[[#This Row],[(*) % Lim. Inf.]],0)</f>
        <v>246.29173503999991</v>
      </c>
      <c r="M61" s="54" cm="1">
        <f t="array" ref="M61">IFERROR(VLOOKUP(TabImpuestos[[#This Row],[Base Gravable]],TabISR[],COLUMN(TabISR[Cuota fija])),0)</f>
        <v>183.45</v>
      </c>
      <c r="N61" s="54">
        <f>IFERROR(TabImpuestos[[#This Row],[Impuesto marginal]]+TabImpuestos[[#This Row],[(+) Cuota Fija]],0)</f>
        <v>429.74173503999987</v>
      </c>
      <c r="O61" s="54" cm="1">
        <f t="array" ref="O61">IFERROR(VLOOKUP(TabImpuestos[[#This Row],[Base Gravable]],TabSubsidio[],COLUMN(TabSubsidio[SUBSIDIO])),0)</f>
        <v>0</v>
      </c>
      <c r="P61" s="54">
        <f>IFERROR(TabImpuestos[[#This Row],[Imp. Art. 96 ISR]]-TabImpuestos[[#This Row],[(-) Subsidio para el empleo]],0)</f>
        <v>429.74173503999987</v>
      </c>
      <c r="Q61" s="54" cm="1">
        <f t="array" ref="Q61">IF('Desglose Salarios Fiscal'!$Q$1=1,TabImpuestos[[#This Row],[Ingreso ordinario]]+((15*VLOOKUP(TabImpuestos[[#This Row],[ID]],TabEmpleados[],COLUMN(TabEmpleados[SD Fiscal]),FALSE))-(30*SMDF)),0)</f>
        <v>-162.59999999999991</v>
      </c>
      <c r="R61" s="54" cm="1">
        <f t="array" ref="R61">IF('Desglose Salarios Fiscal'!$Q$1=1,(VLOOKUP(TabImpuestos[[#This Row],[ID]],TabEmpleados[],COLUMN(TabEmpleados[SD Fiscal]),FALSE)*30.4)-TabImpuestos[[#This Row],[(-) Subsidio para el empleo]],0)</f>
        <v>1824</v>
      </c>
      <c r="S61" s="54" cm="1">
        <f t="array" ref="S61">IFERROR(IF('Desglose Salarios Fiscal'!$Q$1=1,IFERROR((((TabImpuestos[[#This Row],[Ingreso Neto]]-(VLOOKUP(TabImpuestos[[#This Row],[Ingreso Neto]],TabISR[],COLUMN(TabISR[Límite inferior]))))*(VLOOKUP(TabImpuestos[[#This Row],[Ingreso Neto]],TabISR[],COLUMN(TabISR[Por ciento para aplicarse sobre el excedente del límite inferior]))))+(VLOOKUP(TabImpuestos[[#This Row],[Ingreso Neto]],TabISR[],COLUMN(TabISR[Cuota fija]))))-(((TabImpuestos[[#This Row],[Ingreso ordinario]]-(VLOOKUP(TabImpuestos[[#This Row],[Ingreso ordinario]],TabISR[],COLUMN(TabISR[Límite inferior]))))*(VLOOKUP(TabImpuestos[[#This Row],[Ingreso ordinario]],TabISR[],COLUMN(TabISR[Por ciento para aplicarse sobre el excedente del límite inferior]))))+(VLOOKUP(TabImpuestos[[#This Row],[Ingreso ordinario]],TabISR[],COLUMN(TabISR[Cuota fija])))),0),0),0)</f>
        <v>0</v>
      </c>
      <c r="T61" s="54" cm="1">
        <f t="array" ref="T61">((15*VLOOKUP(TabImpuestos[[#This Row],[ID]],TabEmpleados[],COLUMN(TabEmpleados[SD Fiscal]),FALSE))-(30*SMDF))/365*30.4</f>
        <v>-165.45928767123286</v>
      </c>
      <c r="U61" s="54">
        <f>TabImpuestos[[#This Row],[Ingreso ordinario]]+TabImpuestos[[#This Row],[Aguinaldo Gravado Mensual]]</f>
        <v>1658.5407123287671</v>
      </c>
      <c r="V61" s="54" cm="1">
        <f t="array" ref="V61">(((TabImpuestos[[#This Row],[Ingresos totales]]-(VLOOKUP(TabImpuestos[[#This Row],[Ingresos totales]],TabISR[],COLUMN(TabISR[Límite inferior]))))*(VLOOKUP(TabImpuestos[[#This Row],[Ingresos totales]],TabISR[],COLUMN(TabISR[Por ciento para aplicarse sobre el excedente del límite inferior]))))+(VLOOKUP(TabImpuestos[[#This Row],[Ingresos totales]],TabISR[],COLUMN(TabISR[Cuota fija]))))</f>
        <v>89.637565589041102</v>
      </c>
      <c r="W61" s="54" cm="1">
        <f t="array" ref="W61">(((TabImpuestos[[#This Row],[Ingreso ordinario]]-(VLOOKUP(TabImpuestos[[#This Row],[Ingreso ordinario]],TabISR[],COLUMN(TabISR[Límite inferior]))))*(VLOOKUP(TabImpuestos[[#This Row],[Ingreso ordinario]],TabISR[],COLUMN(TabISR[Por ciento para aplicarse sobre el excedente del límite inferior]))))+(VLOOKUP(TabImpuestos[[#This Row],[Ingreso ordinario]],TabISR[],COLUMN(TabISR[Cuota fija]))))</f>
        <v>100.22695999999999</v>
      </c>
      <c r="X61" s="54">
        <f>TabImpuestos[[#This Row],[ISR Por ingresos totales]]-TabImpuestos[[#This Row],[ISR por ingreso ordinario]]</f>
        <v>-10.589394410958889</v>
      </c>
      <c r="Y61" s="236">
        <f>TabImpuestos[[#This Row],[Diferencia de ISR''s]]/TabImpuestos[[#This Row],[Aguinaldo Gravado Mensual]]</f>
        <v>6.3999999999999918E-2</v>
      </c>
      <c r="Z61" s="54" cm="1">
        <f t="array" ref="Z61">IFERROR(IF('Desglose Salarios Fiscal'!$Q$1=1,((15*VLOOKUP(TabImpuestos[[#This Row],[ID]],TabEmpleados[],COLUMN(TabEmpleados[SD Fiscal]),FALSE))-(30*SMDF))*TabImpuestos[[#This Row],[Tasa D %]],0),0)</f>
        <v>-127.14239999999982</v>
      </c>
    </row>
    <row r="62" spans="1:26" x14ac:dyDescent="0.25">
      <c r="A62">
        <f t="shared" si="0"/>
        <v>60</v>
      </c>
      <c r="B62" t="str" cm="1">
        <f t="array" ref="B62">VLOOKUP(A62,TabEmpleados[],COLUMN(TabEmpleados[Nombre]),FALSE)</f>
        <v xml:space="preserve">LUIS MARTINEZ CESAR URIEL </v>
      </c>
      <c r="C62" s="54" cm="1">
        <f t="array" ref="C62">(VLOOKUP(TabImpuestos[[#This Row],[ID]],TabEmpleados[],COLUMN(TabEmpleados[SD Fiscal]))*VLOOKUP(TabImpuestos[[#This Row],[ID]],TabAsistencias[],COLUMN(TabAsistencias[''Total de dias laborados])))+
TabImpuestos[[#This Row],[Bono Asistencia]]+TabImpuestos[[#This Row],[Bono Puntualidad]]+TabImpuestos[[#This Row],[Prima Dominical]]+TabImpuestos[[#This Row],[Prima Vacacional]]+TabImpuestos[[#This Row],[Bono Festivo/ Descanso]]</f>
        <v>5388.0707999999995</v>
      </c>
      <c r="D62" s="54" cm="1">
        <f t="array" ref="D62">VLOOKUP(TabImpuestos[[#This Row],[ID]],TabDesSalariosFiscal[],COLUMN(TabDesSalariosFiscal[Bono Asistencia]),FALSE)</f>
        <v>504.03540000000004</v>
      </c>
      <c r="E62" s="54" cm="1">
        <f t="array" ref="E62">VLOOKUP(TabImpuestos[[#This Row],[ID]],TabDesSalariosFiscal[],COLUMN(TabDesSalariosFiscal[Bono Puntualidad]),FALSE)</f>
        <v>504.03540000000004</v>
      </c>
      <c r="F62" s="54" cm="1">
        <f t="array" ref="F62">IF(VLOOKUP(TabImpuestos[[#This Row],[ID]],TabDesSalariosFiscal[],COLUMN(TabDesSalariosFiscal[Prima dominical]),FALSE)-SMDF&lt;0,0,VLOOKUP(TabImpuestos[[#This Row],[ID]],TabDesSalariosFiscal[],COLUMN(TabDesSalariosFiscal[Prima dominical]),FALSE)-SMDF)</f>
        <v>0</v>
      </c>
      <c r="G62" s="54" cm="1">
        <f t="array" ref="G62">IF(VLOOKUP(TabImpuestos[[#This Row],[ID]],TabDesSalariosFiscal[],COLUMN(TabDesSalariosFiscal[Prima vacacional]),FALSE)-(15*SMDF)&lt;0,0,VLOOKUP(TabImpuestos[[#This Row],[ID]],TabDesSalariosFiscal[],COLUMN(TabDesSalariosFiscal[Prima vacacional]),FALSE)-(15*SMDF))</f>
        <v>0</v>
      </c>
      <c r="H62" s="54" cm="1">
        <f t="array" ref="H62">(VLOOKUP(TabImpuestos[[#This Row],[ID]],TabDesSalariosFiscal[],COLUMN(TabDesSalariosFiscal[Dia Festivo/ Descanso]),FALSE)*50%)</f>
        <v>0</v>
      </c>
      <c r="I62" s="54" cm="1">
        <f t="array" ref="I62">IFERROR(VLOOKUP(TabImpuestos[[#This Row],[Base Gravable]],TabISR[],COLUMN(TabISR[Límite inferior])),0)</f>
        <v>3124.36</v>
      </c>
      <c r="J62" s="54">
        <f>IFERROR(TabImpuestos[[#This Row],[Base Gravable]]-TabImpuestos[[#This Row],[(-) Lim. Inferior]],0)</f>
        <v>2263.7107999999994</v>
      </c>
      <c r="K62" s="236" cm="1">
        <f t="array" ref="K62">IFERROR(VLOOKUP(TabImpuestos[[#This Row],[Base Gravable]],TabISR[],COLUMN(TabISR[Por ciento para aplicarse sobre el excedente del límite inferior])),0)</f>
        <v>0.10879999999999999</v>
      </c>
      <c r="L62" s="54">
        <f>IFERROR(TabImpuestos[[#This Row],[EXC. Lim. Inferior]]*TabImpuestos[[#This Row],[(*) % Lim. Inf.]],0)</f>
        <v>246.29173503999991</v>
      </c>
      <c r="M62" s="54" cm="1">
        <f t="array" ref="M62">IFERROR(VLOOKUP(TabImpuestos[[#This Row],[Base Gravable]],TabISR[],COLUMN(TabISR[Cuota fija])),0)</f>
        <v>183.45</v>
      </c>
      <c r="N62" s="54">
        <f>IFERROR(TabImpuestos[[#This Row],[Impuesto marginal]]+TabImpuestos[[#This Row],[(+) Cuota Fija]],0)</f>
        <v>429.74173503999987</v>
      </c>
      <c r="O62" s="54" cm="1">
        <f t="array" ref="O62">IFERROR(VLOOKUP(TabImpuestos[[#This Row],[Base Gravable]],TabSubsidio[],COLUMN(TabSubsidio[SUBSIDIO])),0)</f>
        <v>0</v>
      </c>
      <c r="P62" s="54">
        <f>IFERROR(TabImpuestos[[#This Row],[Imp. Art. 96 ISR]]-TabImpuestos[[#This Row],[(-) Subsidio para el empleo]],0)</f>
        <v>429.74173503999987</v>
      </c>
      <c r="Q62" s="54" cm="1">
        <f t="array" ref="Q62">IF('Desglose Salarios Fiscal'!$Q$1=1,TabImpuestos[[#This Row],[Ingreso ordinario]]+((15*VLOOKUP(TabImpuestos[[#This Row],[ID]],TabEmpleados[],COLUMN(TabEmpleados[SD Fiscal]),FALSE))-(30*SMDF)),0)</f>
        <v>-162.59999999999991</v>
      </c>
      <c r="R62" s="54" cm="1">
        <f t="array" ref="R62">IF('Desglose Salarios Fiscal'!$Q$1=1,(VLOOKUP(TabImpuestos[[#This Row],[ID]],TabEmpleados[],COLUMN(TabEmpleados[SD Fiscal]),FALSE)*30.4)-TabImpuestos[[#This Row],[(-) Subsidio para el empleo]],0)</f>
        <v>1824</v>
      </c>
      <c r="S62" s="54" cm="1">
        <f t="array" ref="S62">IFERROR(IF('Desglose Salarios Fiscal'!$Q$1=1,IFERROR((((TabImpuestos[[#This Row],[Ingreso Neto]]-(VLOOKUP(TabImpuestos[[#This Row],[Ingreso Neto]],TabISR[],COLUMN(TabISR[Límite inferior]))))*(VLOOKUP(TabImpuestos[[#This Row],[Ingreso Neto]],TabISR[],COLUMN(TabISR[Por ciento para aplicarse sobre el excedente del límite inferior]))))+(VLOOKUP(TabImpuestos[[#This Row],[Ingreso Neto]],TabISR[],COLUMN(TabISR[Cuota fija]))))-(((TabImpuestos[[#This Row],[Ingreso ordinario]]-(VLOOKUP(TabImpuestos[[#This Row],[Ingreso ordinario]],TabISR[],COLUMN(TabISR[Límite inferior]))))*(VLOOKUP(TabImpuestos[[#This Row],[Ingreso ordinario]],TabISR[],COLUMN(TabISR[Por ciento para aplicarse sobre el excedente del límite inferior]))))+(VLOOKUP(TabImpuestos[[#This Row],[Ingreso ordinario]],TabISR[],COLUMN(TabISR[Cuota fija])))),0),0),0)</f>
        <v>0</v>
      </c>
      <c r="T62" s="54" cm="1">
        <f t="array" ref="T62">((15*VLOOKUP(TabImpuestos[[#This Row],[ID]],TabEmpleados[],COLUMN(TabEmpleados[SD Fiscal]),FALSE))-(30*SMDF))/365*30.4</f>
        <v>-165.45928767123286</v>
      </c>
      <c r="U62" s="54">
        <f>TabImpuestos[[#This Row],[Ingreso ordinario]]+TabImpuestos[[#This Row],[Aguinaldo Gravado Mensual]]</f>
        <v>1658.5407123287671</v>
      </c>
      <c r="V62" s="54" cm="1">
        <f t="array" ref="V62">(((TabImpuestos[[#This Row],[Ingresos totales]]-(VLOOKUP(TabImpuestos[[#This Row],[Ingresos totales]],TabISR[],COLUMN(TabISR[Límite inferior]))))*(VLOOKUP(TabImpuestos[[#This Row],[Ingresos totales]],TabISR[],COLUMN(TabISR[Por ciento para aplicarse sobre el excedente del límite inferior]))))+(VLOOKUP(TabImpuestos[[#This Row],[Ingresos totales]],TabISR[],COLUMN(TabISR[Cuota fija]))))</f>
        <v>89.637565589041102</v>
      </c>
      <c r="W62" s="54" cm="1">
        <f t="array" ref="W62">(((TabImpuestos[[#This Row],[Ingreso ordinario]]-(VLOOKUP(TabImpuestos[[#This Row],[Ingreso ordinario]],TabISR[],COLUMN(TabISR[Límite inferior]))))*(VLOOKUP(TabImpuestos[[#This Row],[Ingreso ordinario]],TabISR[],COLUMN(TabISR[Por ciento para aplicarse sobre el excedente del límite inferior]))))+(VLOOKUP(TabImpuestos[[#This Row],[Ingreso ordinario]],TabISR[],COLUMN(TabISR[Cuota fija]))))</f>
        <v>100.22695999999999</v>
      </c>
      <c r="X62" s="54">
        <f>TabImpuestos[[#This Row],[ISR Por ingresos totales]]-TabImpuestos[[#This Row],[ISR por ingreso ordinario]]</f>
        <v>-10.589394410958889</v>
      </c>
      <c r="Y62" s="236">
        <f>TabImpuestos[[#This Row],[Diferencia de ISR''s]]/TabImpuestos[[#This Row],[Aguinaldo Gravado Mensual]]</f>
        <v>6.3999999999999918E-2</v>
      </c>
      <c r="Z62" s="54" cm="1">
        <f t="array" ref="Z62">IFERROR(IF('Desglose Salarios Fiscal'!$Q$1=1,((15*VLOOKUP(TabImpuestos[[#This Row],[ID]],TabEmpleados[],COLUMN(TabEmpleados[SD Fiscal]),FALSE))-(30*SMDF))*TabImpuestos[[#This Row],[Tasa D %]],0),0)</f>
        <v>-127.14239999999982</v>
      </c>
    </row>
    <row r="63" spans="1:26" x14ac:dyDescent="0.25">
      <c r="A63" s="31">
        <f t="shared" si="0"/>
        <v>61</v>
      </c>
      <c r="B63" s="30" t="str" cm="1">
        <f t="array" ref="B63">VLOOKUP(A63,TabEmpleados[],COLUMN(TabEmpleados[Nombre]),FALSE)</f>
        <v xml:space="preserve">SOSA GONZALEZ ALEJANDRO </v>
      </c>
      <c r="C63" s="54" cm="1">
        <f t="array" ref="C63">(VLOOKUP(TabImpuestos[[#This Row],[ID]],TabEmpleados[],COLUMN(TabEmpleados[SD Fiscal]))*VLOOKUP(TabImpuestos[[#This Row],[ID]],TabAsistencias[],COLUMN(TabAsistencias[''Total de dias laborados])))+
TabImpuestos[[#This Row],[Bono Asistencia]]+TabImpuestos[[#This Row],[Bono Puntualidad]]+TabImpuestos[[#This Row],[Prima Dominical]]+TabImpuestos[[#This Row],[Prima Vacacional]]+TabImpuestos[[#This Row],[Bono Festivo/ Descanso]]</f>
        <v>5926.87788</v>
      </c>
      <c r="D63" s="54" cm="1">
        <f t="array" ref="D63">VLOOKUP(TabImpuestos[[#This Row],[ID]],TabDesSalariosFiscal[],COLUMN(TabDesSalariosFiscal[Bono Asistencia]),FALSE)</f>
        <v>554.43894000000012</v>
      </c>
      <c r="E63" s="54" cm="1">
        <f t="array" ref="E63">VLOOKUP(TabImpuestos[[#This Row],[ID]],TabDesSalariosFiscal[],COLUMN(TabDesSalariosFiscal[Bono Puntualidad]),FALSE)</f>
        <v>554.43894000000012</v>
      </c>
      <c r="F63" s="54" cm="1">
        <f t="array" ref="F63">IF(VLOOKUP(TabImpuestos[[#This Row],[ID]],TabDesSalariosFiscal[],COLUMN(TabDesSalariosFiscal[Prima dominical]),FALSE)-SMDF&lt;0,0,VLOOKUP(TabImpuestos[[#This Row],[ID]],TabDesSalariosFiscal[],COLUMN(TabDesSalariosFiscal[Prima dominical]),FALSE)-SMDF)</f>
        <v>0</v>
      </c>
      <c r="G63" s="54" cm="1">
        <f t="array" ref="G63">IF(VLOOKUP(TabImpuestos[[#This Row],[ID]],TabDesSalariosFiscal[],COLUMN(TabDesSalariosFiscal[Prima vacacional]),FALSE)-(15*SMDF)&lt;0,0,VLOOKUP(TabImpuestos[[#This Row],[ID]],TabDesSalariosFiscal[],COLUMN(TabDesSalariosFiscal[Prima vacacional]),FALSE)-(15*SMDF))</f>
        <v>0</v>
      </c>
      <c r="H63" s="54" cm="1">
        <f t="array" ref="H63">(VLOOKUP(TabImpuestos[[#This Row],[ID]],TabDesSalariosFiscal[],COLUMN(TabDesSalariosFiscal[Dia Festivo/ Descanso]),FALSE)*50%)</f>
        <v>0</v>
      </c>
      <c r="I63" s="54" cm="1">
        <f t="array" ref="I63">IFERROR(VLOOKUP(TabImpuestos[[#This Row],[Base Gravable]],TabISR[],COLUMN(TabISR[Límite inferior])),0)</f>
        <v>5490.76</v>
      </c>
      <c r="J63" s="54">
        <f>IFERROR(TabImpuestos[[#This Row],[Base Gravable]]-TabImpuestos[[#This Row],[(-) Lim. Inferior]],0)</f>
        <v>436.11787999999979</v>
      </c>
      <c r="K63" s="236" cm="1">
        <f t="array" ref="K63">IFERROR(VLOOKUP(TabImpuestos[[#This Row],[Base Gravable]],TabISR[],COLUMN(TabISR[Por ciento para aplicarse sobre el excedente del límite inferior])),0)</f>
        <v>0.16</v>
      </c>
      <c r="L63" s="54">
        <f>IFERROR(TabImpuestos[[#This Row],[EXC. Lim. Inferior]]*TabImpuestos[[#This Row],[(*) % Lim. Inf.]],0)</f>
        <v>69.778860799999961</v>
      </c>
      <c r="M63" s="54" cm="1">
        <f t="array" ref="M63">IFERROR(VLOOKUP(TabImpuestos[[#This Row],[Base Gravable]],TabISR[],COLUMN(TabISR[Cuota fija])),0)</f>
        <v>441</v>
      </c>
      <c r="N63" s="54">
        <f>IFERROR(TabImpuestos[[#This Row],[Impuesto marginal]]+TabImpuestos[[#This Row],[(+) Cuota Fija]],0)</f>
        <v>510.77886079999996</v>
      </c>
      <c r="O63" s="54" cm="1">
        <f t="array" ref="O63">IFERROR(VLOOKUP(TabImpuestos[[#This Row],[Base Gravable]],TabSubsidio[],COLUMN(TabSubsidio[SUBSIDIO])),0)</f>
        <v>0</v>
      </c>
      <c r="P63" s="54">
        <f>IFERROR(TabImpuestos[[#This Row],[Imp. Art. 96 ISR]]-TabImpuestos[[#This Row],[(-) Subsidio para el empleo]],0)</f>
        <v>510.77886079999996</v>
      </c>
      <c r="Q63" s="54" cm="1">
        <f t="array" ref="Q63">IF('Desglose Salarios Fiscal'!$Q$1=1,TabImpuestos[[#This Row],[Ingreso ordinario]]+((15*VLOOKUP(TabImpuestos[[#This Row],[ID]],TabEmpleados[],COLUMN(TabEmpleados[SD Fiscal]),FALSE))-(30*SMDF)),0)</f>
        <v>109.79999999999995</v>
      </c>
      <c r="R63" s="54" cm="1">
        <f t="array" ref="R63">IF('Desglose Salarios Fiscal'!$Q$1=1,(VLOOKUP(TabImpuestos[[#This Row],[ID]],TabEmpleados[],COLUMN(TabEmpleados[SD Fiscal]),FALSE)*30.4)-TabImpuestos[[#This Row],[(-) Subsidio para el empleo]],0)</f>
        <v>2006.3999999999999</v>
      </c>
      <c r="S63" s="54" cm="1">
        <f t="array" ref="S63">IFERROR(IF('Desglose Salarios Fiscal'!$Q$1=1,IFERROR((((TabImpuestos[[#This Row],[Ingreso Neto]]-(VLOOKUP(TabImpuestos[[#This Row],[Ingreso Neto]],TabISR[],COLUMN(TabISR[Límite inferior]))))*(VLOOKUP(TabImpuestos[[#This Row],[Ingreso Neto]],TabISR[],COLUMN(TabISR[Por ciento para aplicarse sobre el excedente del límite inferior]))))+(VLOOKUP(TabImpuestos[[#This Row],[Ingreso Neto]],TabISR[],COLUMN(TabISR[Cuota fija]))))-(((TabImpuestos[[#This Row],[Ingreso ordinario]]-(VLOOKUP(TabImpuestos[[#This Row],[Ingreso ordinario]],TabISR[],COLUMN(TabISR[Límite inferior]))))*(VLOOKUP(TabImpuestos[[#This Row],[Ingreso ordinario]],TabISR[],COLUMN(TabISR[Por ciento para aplicarse sobre el excedente del límite inferior]))))+(VLOOKUP(TabImpuestos[[#This Row],[Ingreso ordinario]],TabISR[],COLUMN(TabISR[Cuota fija])))),0),0),0)</f>
        <v>-109.792592</v>
      </c>
      <c r="T63" s="54" cm="1">
        <f t="array" ref="T63">((15*VLOOKUP(TabImpuestos[[#This Row],[ID]],TabEmpleados[],COLUMN(TabEmpleados[SD Fiscal]),FALSE))-(30*SMDF))/365*30.4</f>
        <v>-157.96339726027395</v>
      </c>
      <c r="U63" s="54">
        <f>TabImpuestos[[#This Row],[Ingreso ordinario]]+TabImpuestos[[#This Row],[Aguinaldo Gravado Mensual]]</f>
        <v>1848.4366027397259</v>
      </c>
      <c r="V63" s="54" cm="1">
        <f t="array" ref="V63">(((TabImpuestos[[#This Row],[Ingresos totales]]-(VLOOKUP(TabImpuestos[[#This Row],[Ingresos totales]],TabISR[],COLUMN(TabISR[Límite inferior]))))*(VLOOKUP(TabImpuestos[[#This Row],[Ingresos totales]],TabISR[],COLUMN(TabISR[Por ciento para aplicarse sobre el excedente del límite inferior]))))+(VLOOKUP(TabImpuestos[[#This Row],[Ingresos totales]],TabISR[],COLUMN(TabISR[Cuota fija]))))</f>
        <v>101.79090257534244</v>
      </c>
      <c r="W63" s="54" cm="1">
        <f t="array" ref="W63">(((TabImpuestos[[#This Row],[Ingreso ordinario]]-(VLOOKUP(TabImpuestos[[#This Row],[Ingreso ordinario]],TabISR[],COLUMN(TabISR[Límite inferior]))))*(VLOOKUP(TabImpuestos[[#This Row],[Ingreso ordinario]],TabISR[],COLUMN(TabISR[Por ciento para aplicarse sobre el excedente del límite inferior]))))+(VLOOKUP(TabImpuestos[[#This Row],[Ingreso ordinario]],TabISR[],COLUMN(TabISR[Cuota fija]))))</f>
        <v>111.90056</v>
      </c>
      <c r="X63" s="54">
        <f>TabImpuestos[[#This Row],[ISR Por ingresos totales]]-TabImpuestos[[#This Row],[ISR por ingreso ordinario]]</f>
        <v>-10.109657424657556</v>
      </c>
      <c r="Y63" s="236">
        <f>TabImpuestos[[#This Row],[Diferencia de ISR''s]]/TabImpuestos[[#This Row],[Aguinaldo Gravado Mensual]]</f>
        <v>6.400000000000014E-2</v>
      </c>
      <c r="Z63" s="54" cm="1">
        <f t="array" ref="Z63">IFERROR(IF('Desglose Salarios Fiscal'!$Q$1=1,((15*VLOOKUP(TabImpuestos[[#This Row],[ID]],TabEmpleados[],COLUMN(TabEmpleados[SD Fiscal]),FALSE))-(30*SMDF))*TabImpuestos[[#This Row],[Tasa D %]],0),0)</f>
        <v>-121.38240000000026</v>
      </c>
    </row>
    <row r="64" spans="1:26" x14ac:dyDescent="0.25">
      <c r="A64">
        <f t="shared" si="0"/>
        <v>62</v>
      </c>
      <c r="B64" t="str" cm="1">
        <f t="array" ref="B64">VLOOKUP(A64,TabEmpleados[],COLUMN(TabEmpleados[Nombre]),FALSE)</f>
        <v>GONZALEZ ARAGON ALEJANDRO FEDERICO</v>
      </c>
      <c r="C64" s="54" cm="1">
        <f t="array" ref="C64">(VLOOKUP(TabImpuestos[[#This Row],[ID]],TabEmpleados[],COLUMN(TabEmpleados[SD Fiscal]))*VLOOKUP(TabImpuestos[[#This Row],[ID]],TabAsistencias[],COLUMN(TabAsistencias[''Total de dias laborados])))+
TabImpuestos[[#This Row],[Bono Asistencia]]+TabImpuestos[[#This Row],[Bono Puntualidad]]+TabImpuestos[[#This Row],[Prima Dominical]]+TabImpuestos[[#This Row],[Prima Vacacional]]+TabImpuestos[[#This Row],[Bono Festivo/ Descanso]]</f>
        <v>8082.1062000000002</v>
      </c>
      <c r="D64" s="54" cm="1">
        <f t="array" ref="D64">VLOOKUP(TabImpuestos[[#This Row],[ID]],TabDesSalariosFiscal[],COLUMN(TabDesSalariosFiscal[Bono Asistencia]),FALSE)</f>
        <v>756.05310000000009</v>
      </c>
      <c r="E64" s="54" cm="1">
        <f t="array" ref="E64">VLOOKUP(TabImpuestos[[#This Row],[ID]],TabDesSalariosFiscal[],COLUMN(TabDesSalariosFiscal[Bono Puntualidad]),FALSE)</f>
        <v>756.05310000000009</v>
      </c>
      <c r="F64" s="54" cm="1">
        <f t="array" ref="F64">IF(VLOOKUP(TabImpuestos[[#This Row],[ID]],TabDesSalariosFiscal[],COLUMN(TabDesSalariosFiscal[Prima dominical]),FALSE)-SMDF&lt;0,0,VLOOKUP(TabImpuestos[[#This Row],[ID]],TabDesSalariosFiscal[],COLUMN(TabDesSalariosFiscal[Prima dominical]),FALSE)-SMDF)</f>
        <v>0</v>
      </c>
      <c r="G64" s="54" cm="1">
        <f t="array" ref="G64">IF(VLOOKUP(TabImpuestos[[#This Row],[ID]],TabDesSalariosFiscal[],COLUMN(TabDesSalariosFiscal[Prima vacacional]),FALSE)-(15*SMDF)&lt;0,0,VLOOKUP(TabImpuestos[[#This Row],[ID]],TabDesSalariosFiscal[],COLUMN(TabDesSalariosFiscal[Prima vacacional]),FALSE)-(15*SMDF))</f>
        <v>0</v>
      </c>
      <c r="H64" s="54" cm="1">
        <f t="array" ref="H64">(VLOOKUP(TabImpuestos[[#This Row],[ID]],TabDesSalariosFiscal[],COLUMN(TabDesSalariosFiscal[Dia Festivo/ Descanso]),FALSE)*50%)</f>
        <v>0</v>
      </c>
      <c r="I64" s="54" cm="1">
        <f t="array" ref="I64">IFERROR(VLOOKUP(TabImpuestos[[#This Row],[Base Gravable]],TabISR[],COLUMN(TabISR[Límite inferior])),0)</f>
        <v>7641.91</v>
      </c>
      <c r="J64" s="54">
        <f>IFERROR(TabImpuestos[[#This Row],[Base Gravable]]-TabImpuestos[[#This Row],[(-) Lim. Inferior]],0)</f>
        <v>440.19620000000032</v>
      </c>
      <c r="K64" s="236" cm="1">
        <f t="array" ref="K64">IFERROR(VLOOKUP(TabImpuestos[[#This Row],[Base Gravable]],TabISR[],COLUMN(TabISR[Por ciento para aplicarse sobre el excedente del límite inferior])),0)</f>
        <v>0.21360000000000001</v>
      </c>
      <c r="L64" s="54">
        <f>IFERROR(TabImpuestos[[#This Row],[EXC. Lim. Inferior]]*TabImpuestos[[#This Row],[(*) % Lim. Inf.]],0)</f>
        <v>94.02590832000007</v>
      </c>
      <c r="M64" s="54" cm="1">
        <f t="array" ref="M64">IFERROR(VLOOKUP(TabImpuestos[[#This Row],[Base Gravable]],TabISR[],COLUMN(TabISR[Cuota fija])),0)</f>
        <v>809.25</v>
      </c>
      <c r="N64" s="54">
        <f>IFERROR(TabImpuestos[[#This Row],[Impuesto marginal]]+TabImpuestos[[#This Row],[(+) Cuota Fija]],0)</f>
        <v>903.2759083200001</v>
      </c>
      <c r="O64" s="54" cm="1">
        <f t="array" ref="O64">IFERROR(VLOOKUP(TabImpuestos[[#This Row],[Base Gravable]],TabSubsidio[],COLUMN(TabSubsidio[SUBSIDIO])),0)</f>
        <v>0</v>
      </c>
      <c r="P64" s="54">
        <f>IFERROR(TabImpuestos[[#This Row],[Imp. Art. 96 ISR]]-TabImpuestos[[#This Row],[(-) Subsidio para el empleo]],0)</f>
        <v>903.2759083200001</v>
      </c>
      <c r="Q64" s="54" cm="1">
        <f t="array" ref="Q64">IF('Desglose Salarios Fiscal'!$Q$1=1,TabImpuestos[[#This Row],[Ingreso ordinario]]+((15*VLOOKUP(TabImpuestos[[#This Row],[ID]],TabEmpleados[],COLUMN(TabEmpleados[SD Fiscal]),FALSE))-(30*SMDF)),0)</f>
        <v>1199.4000000000001</v>
      </c>
      <c r="R64" s="54" cm="1">
        <f t="array" ref="R64">IF('Desglose Salarios Fiscal'!$Q$1=1,(VLOOKUP(TabImpuestos[[#This Row],[ID]],TabEmpleados[],COLUMN(TabEmpleados[SD Fiscal]),FALSE)*30.4)-TabImpuestos[[#This Row],[(-) Subsidio para el empleo]],0)</f>
        <v>2736</v>
      </c>
      <c r="S64" s="54" cm="1">
        <f t="array" ref="S64">IFERROR(IF('Desglose Salarios Fiscal'!$Q$1=1,IFERROR((((TabImpuestos[[#This Row],[Ingreso Neto]]-(VLOOKUP(TabImpuestos[[#This Row],[Ingreso Neto]],TabISR[],COLUMN(TabISR[Límite inferior]))))*(VLOOKUP(TabImpuestos[[#This Row],[Ingreso Neto]],TabISR[],COLUMN(TabISR[Por ciento para aplicarse sobre el excedente del límite inferior]))))+(VLOOKUP(TabImpuestos[[#This Row],[Ingreso Neto]],TabISR[],COLUMN(TabISR[Cuota fija]))))-(((TabImpuestos[[#This Row],[Ingreso ordinario]]-(VLOOKUP(TabImpuestos[[#This Row],[Ingreso ordinario]],TabISR[],COLUMN(TabISR[Límite inferior]))))*(VLOOKUP(TabImpuestos[[#This Row],[Ingreso ordinario]],TabISR[],COLUMN(TabISR[Por ciento para aplicarse sobre el excedente del límite inferior]))))+(VLOOKUP(TabImpuestos[[#This Row],[Ingreso ordinario]],TabISR[],COLUMN(TabISR[Cuota fija])))),0),0),0)</f>
        <v>-98.342400000000012</v>
      </c>
      <c r="T64" s="54" cm="1">
        <f t="array" ref="T64">((15*VLOOKUP(TabImpuestos[[#This Row],[ID]],TabEmpleados[],COLUMN(TabEmpleados[SD Fiscal]),FALSE))-(30*SMDF))/365*30.4</f>
        <v>-127.97983561643835</v>
      </c>
      <c r="U64" s="54">
        <f>TabImpuestos[[#This Row],[Ingreso ordinario]]+TabImpuestos[[#This Row],[Aguinaldo Gravado Mensual]]</f>
        <v>2608.0201643835617</v>
      </c>
      <c r="V64" s="54" cm="1">
        <f t="array" ref="V64">(((TabImpuestos[[#This Row],[Ingresos totales]]-(VLOOKUP(TabImpuestos[[#This Row],[Ingresos totales]],TabISR[],COLUMN(TabISR[Límite inferior]))))*(VLOOKUP(TabImpuestos[[#This Row],[Ingresos totales]],TabISR[],COLUMN(TabISR[Por ciento para aplicarse sobre el excedente del límite inferior]))))+(VLOOKUP(TabImpuestos[[#This Row],[Ingresos totales]],TabISR[],COLUMN(TabISR[Cuota fija]))))</f>
        <v>150.40425052054795</v>
      </c>
      <c r="W64" s="54" cm="1">
        <f t="array" ref="W64">(((TabImpuestos[[#This Row],[Ingreso ordinario]]-(VLOOKUP(TabImpuestos[[#This Row],[Ingreso ordinario]],TabISR[],COLUMN(TabISR[Límite inferior]))))*(VLOOKUP(TabImpuestos[[#This Row],[Ingreso ordinario]],TabISR[],COLUMN(TabISR[Por ciento para aplicarse sobre el excedente del límite inferior]))))+(VLOOKUP(TabImpuestos[[#This Row],[Ingreso ordinario]],TabISR[],COLUMN(TabISR[Cuota fija]))))</f>
        <v>158.59496000000001</v>
      </c>
      <c r="X64" s="54">
        <f>TabImpuestos[[#This Row],[ISR Por ingresos totales]]-TabImpuestos[[#This Row],[ISR por ingreso ordinario]]</f>
        <v>-8.1907094794520674</v>
      </c>
      <c r="Y64" s="236">
        <f>TabImpuestos[[#This Row],[Diferencia de ISR''s]]/TabImpuestos[[#This Row],[Aguinaldo Gravado Mensual]]</f>
        <v>6.4000000000000098E-2</v>
      </c>
      <c r="Z64" s="54" cm="1">
        <f t="array" ref="Z64">IFERROR(IF('Desglose Salarios Fiscal'!$Q$1=1,((15*VLOOKUP(TabImpuestos[[#This Row],[ID]],TabEmpleados[],COLUMN(TabEmpleados[SD Fiscal]),FALSE))-(30*SMDF))*TabImpuestos[[#This Row],[Tasa D %]],0),0)</f>
        <v>-98.34240000000014</v>
      </c>
    </row>
    <row r="65" spans="1:26" x14ac:dyDescent="0.25">
      <c r="A65" s="31">
        <f t="shared" si="0"/>
        <v>63</v>
      </c>
      <c r="B65" s="30" t="str" cm="1">
        <f t="array" ref="B65">VLOOKUP(A65,TabEmpleados[],COLUMN(TabEmpleados[Nombre]),FALSE)</f>
        <v>SANCHEZ RUIZ INGRID VIVIANA</v>
      </c>
      <c r="C65" s="54" cm="1">
        <f t="array" ref="C65">(VLOOKUP(TabImpuestos[[#This Row],[ID]],TabEmpleados[],COLUMN(TabEmpleados[SD Fiscal]))*VLOOKUP(TabImpuestos[[#This Row],[ID]],TabAsistencias[],COLUMN(TabAsistencias[''Total de dias laborados])))+
TabImpuestos[[#This Row],[Bono Asistencia]]+TabImpuestos[[#This Row],[Bono Puntualidad]]+TabImpuestos[[#This Row],[Prima Dominical]]+TabImpuestos[[#This Row],[Prima Vacacional]]+TabImpuestos[[#This Row],[Bono Festivo/ Descanso]]</f>
        <v>8082.1062000000002</v>
      </c>
      <c r="D65" s="54" cm="1">
        <f t="array" ref="D65">VLOOKUP(TabImpuestos[[#This Row],[ID]],TabDesSalariosFiscal[],COLUMN(TabDesSalariosFiscal[Bono Asistencia]),FALSE)</f>
        <v>756.05310000000009</v>
      </c>
      <c r="E65" s="54" cm="1">
        <f t="array" ref="E65">VLOOKUP(TabImpuestos[[#This Row],[ID]],TabDesSalariosFiscal[],COLUMN(TabDesSalariosFiscal[Bono Puntualidad]),FALSE)</f>
        <v>756.05310000000009</v>
      </c>
      <c r="F65" s="54" cm="1">
        <f t="array" ref="F65">IF(VLOOKUP(TabImpuestos[[#This Row],[ID]],TabDesSalariosFiscal[],COLUMN(TabDesSalariosFiscal[Prima dominical]),FALSE)-SMDF&lt;0,0,VLOOKUP(TabImpuestos[[#This Row],[ID]],TabDesSalariosFiscal[],COLUMN(TabDesSalariosFiscal[Prima dominical]),FALSE)-SMDF)</f>
        <v>0</v>
      </c>
      <c r="G65" s="54" cm="1">
        <f t="array" ref="G65">IF(VLOOKUP(TabImpuestos[[#This Row],[ID]],TabDesSalariosFiscal[],COLUMN(TabDesSalariosFiscal[Prima vacacional]),FALSE)-(15*SMDF)&lt;0,0,VLOOKUP(TabImpuestos[[#This Row],[ID]],TabDesSalariosFiscal[],COLUMN(TabDesSalariosFiscal[Prima vacacional]),FALSE)-(15*SMDF))</f>
        <v>0</v>
      </c>
      <c r="H65" s="54" cm="1">
        <f t="array" ref="H65">(VLOOKUP(TabImpuestos[[#This Row],[ID]],TabDesSalariosFiscal[],COLUMN(TabDesSalariosFiscal[Dia Festivo/ Descanso]),FALSE)*50%)</f>
        <v>0</v>
      </c>
      <c r="I65" s="54" cm="1">
        <f t="array" ref="I65">IFERROR(VLOOKUP(TabImpuestos[[#This Row],[Base Gravable]],TabISR[],COLUMN(TabISR[Límite inferior])),0)</f>
        <v>7641.91</v>
      </c>
      <c r="J65" s="54">
        <f>IFERROR(TabImpuestos[[#This Row],[Base Gravable]]-TabImpuestos[[#This Row],[(-) Lim. Inferior]],0)</f>
        <v>440.19620000000032</v>
      </c>
      <c r="K65" s="236" cm="1">
        <f t="array" ref="K65">IFERROR(VLOOKUP(TabImpuestos[[#This Row],[Base Gravable]],TabISR[],COLUMN(TabISR[Por ciento para aplicarse sobre el excedente del límite inferior])),0)</f>
        <v>0.21360000000000001</v>
      </c>
      <c r="L65" s="54">
        <f>IFERROR(TabImpuestos[[#This Row],[EXC. Lim. Inferior]]*TabImpuestos[[#This Row],[(*) % Lim. Inf.]],0)</f>
        <v>94.02590832000007</v>
      </c>
      <c r="M65" s="54" cm="1">
        <f t="array" ref="M65">IFERROR(VLOOKUP(TabImpuestos[[#This Row],[Base Gravable]],TabISR[],COLUMN(TabISR[Cuota fija])),0)</f>
        <v>809.25</v>
      </c>
      <c r="N65" s="54">
        <f>IFERROR(TabImpuestos[[#This Row],[Impuesto marginal]]+TabImpuestos[[#This Row],[(+) Cuota Fija]],0)</f>
        <v>903.2759083200001</v>
      </c>
      <c r="O65" s="54" cm="1">
        <f t="array" ref="O65">IFERROR(VLOOKUP(TabImpuestos[[#This Row],[Base Gravable]],TabSubsidio[],COLUMN(TabSubsidio[SUBSIDIO])),0)</f>
        <v>0</v>
      </c>
      <c r="P65" s="54">
        <f>IFERROR(TabImpuestos[[#This Row],[Imp. Art. 96 ISR]]-TabImpuestos[[#This Row],[(-) Subsidio para el empleo]],0)</f>
        <v>903.2759083200001</v>
      </c>
      <c r="Q65" s="54" cm="1">
        <f t="array" ref="Q65">IF('Desglose Salarios Fiscal'!$Q$1=1,TabImpuestos[[#This Row],[Ingreso ordinario]]+((15*VLOOKUP(TabImpuestos[[#This Row],[ID]],TabEmpleados[],COLUMN(TabEmpleados[SD Fiscal]),FALSE))-(30*SMDF)),0)</f>
        <v>1199.4000000000001</v>
      </c>
      <c r="R65" s="54" cm="1">
        <f t="array" ref="R65">IF('Desglose Salarios Fiscal'!$Q$1=1,(VLOOKUP(TabImpuestos[[#This Row],[ID]],TabEmpleados[],COLUMN(TabEmpleados[SD Fiscal]),FALSE)*30.4)-TabImpuestos[[#This Row],[(-) Subsidio para el empleo]],0)</f>
        <v>2736</v>
      </c>
      <c r="S65" s="54" cm="1">
        <f t="array" ref="S65">IFERROR(IF('Desglose Salarios Fiscal'!$Q$1=1,IFERROR((((TabImpuestos[[#This Row],[Ingreso Neto]]-(VLOOKUP(TabImpuestos[[#This Row],[Ingreso Neto]],TabISR[],COLUMN(TabISR[Límite inferior]))))*(VLOOKUP(TabImpuestos[[#This Row],[Ingreso Neto]],TabISR[],COLUMN(TabISR[Por ciento para aplicarse sobre el excedente del límite inferior]))))+(VLOOKUP(TabImpuestos[[#This Row],[Ingreso Neto]],TabISR[],COLUMN(TabISR[Cuota fija]))))-(((TabImpuestos[[#This Row],[Ingreso ordinario]]-(VLOOKUP(TabImpuestos[[#This Row],[Ingreso ordinario]],TabISR[],COLUMN(TabISR[Límite inferior]))))*(VLOOKUP(TabImpuestos[[#This Row],[Ingreso ordinario]],TabISR[],COLUMN(TabISR[Por ciento para aplicarse sobre el excedente del límite inferior]))))+(VLOOKUP(TabImpuestos[[#This Row],[Ingreso ordinario]],TabISR[],COLUMN(TabISR[Cuota fija])))),0),0),0)</f>
        <v>-98.342400000000012</v>
      </c>
      <c r="T65" s="54" cm="1">
        <f t="array" ref="T65">((15*VLOOKUP(TabImpuestos[[#This Row],[ID]],TabEmpleados[],COLUMN(TabEmpleados[SD Fiscal]),FALSE))-(30*SMDF))/365*30.4</f>
        <v>-127.97983561643835</v>
      </c>
      <c r="U65" s="54">
        <f>TabImpuestos[[#This Row],[Ingreso ordinario]]+TabImpuestos[[#This Row],[Aguinaldo Gravado Mensual]]</f>
        <v>2608.0201643835617</v>
      </c>
      <c r="V65" s="54" cm="1">
        <f t="array" ref="V65">(((TabImpuestos[[#This Row],[Ingresos totales]]-(VLOOKUP(TabImpuestos[[#This Row],[Ingresos totales]],TabISR[],COLUMN(TabISR[Límite inferior]))))*(VLOOKUP(TabImpuestos[[#This Row],[Ingresos totales]],TabISR[],COLUMN(TabISR[Por ciento para aplicarse sobre el excedente del límite inferior]))))+(VLOOKUP(TabImpuestos[[#This Row],[Ingresos totales]],TabISR[],COLUMN(TabISR[Cuota fija]))))</f>
        <v>150.40425052054795</v>
      </c>
      <c r="W65" s="54" cm="1">
        <f t="array" ref="W65">(((TabImpuestos[[#This Row],[Ingreso ordinario]]-(VLOOKUP(TabImpuestos[[#This Row],[Ingreso ordinario]],TabISR[],COLUMN(TabISR[Límite inferior]))))*(VLOOKUP(TabImpuestos[[#This Row],[Ingreso ordinario]],TabISR[],COLUMN(TabISR[Por ciento para aplicarse sobre el excedente del límite inferior]))))+(VLOOKUP(TabImpuestos[[#This Row],[Ingreso ordinario]],TabISR[],COLUMN(TabISR[Cuota fija]))))</f>
        <v>158.59496000000001</v>
      </c>
      <c r="X65" s="54">
        <f>TabImpuestos[[#This Row],[ISR Por ingresos totales]]-TabImpuestos[[#This Row],[ISR por ingreso ordinario]]</f>
        <v>-8.1907094794520674</v>
      </c>
      <c r="Y65" s="236">
        <f>TabImpuestos[[#This Row],[Diferencia de ISR''s]]/TabImpuestos[[#This Row],[Aguinaldo Gravado Mensual]]</f>
        <v>6.4000000000000098E-2</v>
      </c>
      <c r="Z65" s="54" cm="1">
        <f t="array" ref="Z65">IFERROR(IF('Desglose Salarios Fiscal'!$Q$1=1,((15*VLOOKUP(TabImpuestos[[#This Row],[ID]],TabEmpleados[],COLUMN(TabEmpleados[SD Fiscal]),FALSE))-(30*SMDF))*TabImpuestos[[#This Row],[Tasa D %]],0),0)</f>
        <v>-98.34240000000014</v>
      </c>
    </row>
    <row r="66" spans="1:26" x14ac:dyDescent="0.25">
      <c r="A66">
        <f t="shared" si="0"/>
        <v>64</v>
      </c>
      <c r="B66" t="str" cm="1">
        <f t="array" ref="B66">VLOOKUP(A66,TabEmpleados[],COLUMN(TabEmpleados[Nombre]),FALSE)</f>
        <v>QUIROZ HERNANDEZ ALEJANDRA MONSERRAT</v>
      </c>
      <c r="C66" s="54" cm="1">
        <f t="array" ref="C66">(VLOOKUP(TabImpuestos[[#This Row],[ID]],TabEmpleados[],COLUMN(TabEmpleados[SD Fiscal]))*VLOOKUP(TabImpuestos[[#This Row],[ID]],TabAsistencias[],COLUMN(TabAsistencias[''Total de dias laborados])))+
TabImpuestos[[#This Row],[Bono Asistencia]]+TabImpuestos[[#This Row],[Bono Puntualidad]]+TabImpuestos[[#This Row],[Prima Dominical]]+TabImpuestos[[#This Row],[Prima Vacacional]]+TabImpuestos[[#This Row],[Bono Festivo/ Descanso]]</f>
        <v>8082.1062000000002</v>
      </c>
      <c r="D66" s="54" cm="1">
        <f t="array" ref="D66">VLOOKUP(TabImpuestos[[#This Row],[ID]],TabDesSalariosFiscal[],COLUMN(TabDesSalariosFiscal[Bono Asistencia]),FALSE)</f>
        <v>756.05310000000009</v>
      </c>
      <c r="E66" s="54" cm="1">
        <f t="array" ref="E66">VLOOKUP(TabImpuestos[[#This Row],[ID]],TabDesSalariosFiscal[],COLUMN(TabDesSalariosFiscal[Bono Puntualidad]),FALSE)</f>
        <v>756.05310000000009</v>
      </c>
      <c r="F66" s="54" cm="1">
        <f t="array" ref="F66">IF(VLOOKUP(TabImpuestos[[#This Row],[ID]],TabDesSalariosFiscal[],COLUMN(TabDesSalariosFiscal[Prima dominical]),FALSE)-SMDF&lt;0,0,VLOOKUP(TabImpuestos[[#This Row],[ID]],TabDesSalariosFiscal[],COLUMN(TabDesSalariosFiscal[Prima dominical]),FALSE)-SMDF)</f>
        <v>0</v>
      </c>
      <c r="G66" s="54" cm="1">
        <f t="array" ref="G66">IF(VLOOKUP(TabImpuestos[[#This Row],[ID]],TabDesSalariosFiscal[],COLUMN(TabDesSalariosFiscal[Prima vacacional]),FALSE)-(15*SMDF)&lt;0,0,VLOOKUP(TabImpuestos[[#This Row],[ID]],TabDesSalariosFiscal[],COLUMN(TabDesSalariosFiscal[Prima vacacional]),FALSE)-(15*SMDF))</f>
        <v>0</v>
      </c>
      <c r="H66" s="54" cm="1">
        <f t="array" ref="H66">(VLOOKUP(TabImpuestos[[#This Row],[ID]],TabDesSalariosFiscal[],COLUMN(TabDesSalariosFiscal[Dia Festivo/ Descanso]),FALSE)*50%)</f>
        <v>0</v>
      </c>
      <c r="I66" s="54" cm="1">
        <f t="array" ref="I66">IFERROR(VLOOKUP(TabImpuestos[[#This Row],[Base Gravable]],TabISR[],COLUMN(TabISR[Límite inferior])),0)</f>
        <v>7641.91</v>
      </c>
      <c r="J66" s="54">
        <f>IFERROR(TabImpuestos[[#This Row],[Base Gravable]]-TabImpuestos[[#This Row],[(-) Lim. Inferior]],0)</f>
        <v>440.19620000000032</v>
      </c>
      <c r="K66" s="236" cm="1">
        <f t="array" ref="K66">IFERROR(VLOOKUP(TabImpuestos[[#This Row],[Base Gravable]],TabISR[],COLUMN(TabISR[Por ciento para aplicarse sobre el excedente del límite inferior])),0)</f>
        <v>0.21360000000000001</v>
      </c>
      <c r="L66" s="54">
        <f>IFERROR(TabImpuestos[[#This Row],[EXC. Lim. Inferior]]*TabImpuestos[[#This Row],[(*) % Lim. Inf.]],0)</f>
        <v>94.02590832000007</v>
      </c>
      <c r="M66" s="54" cm="1">
        <f t="array" ref="M66">IFERROR(VLOOKUP(TabImpuestos[[#This Row],[Base Gravable]],TabISR[],COLUMN(TabISR[Cuota fija])),0)</f>
        <v>809.25</v>
      </c>
      <c r="N66" s="54">
        <f>IFERROR(TabImpuestos[[#This Row],[Impuesto marginal]]+TabImpuestos[[#This Row],[(+) Cuota Fija]],0)</f>
        <v>903.2759083200001</v>
      </c>
      <c r="O66" s="54" cm="1">
        <f t="array" ref="O66">IFERROR(VLOOKUP(TabImpuestos[[#This Row],[Base Gravable]],TabSubsidio[],COLUMN(TabSubsidio[SUBSIDIO])),0)</f>
        <v>0</v>
      </c>
      <c r="P66" s="54">
        <f>IFERROR(TabImpuestos[[#This Row],[Imp. Art. 96 ISR]]-TabImpuestos[[#This Row],[(-) Subsidio para el empleo]],0)</f>
        <v>903.2759083200001</v>
      </c>
      <c r="Q66" s="54" cm="1">
        <f t="array" ref="Q66">IF('Desglose Salarios Fiscal'!$Q$1=1,TabImpuestos[[#This Row],[Ingreso ordinario]]+((15*VLOOKUP(TabImpuestos[[#This Row],[ID]],TabEmpleados[],COLUMN(TabEmpleados[SD Fiscal]),FALSE))-(30*SMDF)),0)</f>
        <v>1199.4000000000001</v>
      </c>
      <c r="R66" s="54" cm="1">
        <f t="array" ref="R66">IF('Desglose Salarios Fiscal'!$Q$1=1,(VLOOKUP(TabImpuestos[[#This Row],[ID]],TabEmpleados[],COLUMN(TabEmpleados[SD Fiscal]),FALSE)*30.4)-TabImpuestos[[#This Row],[(-) Subsidio para el empleo]],0)</f>
        <v>2736</v>
      </c>
      <c r="S66" s="54" cm="1">
        <f t="array" ref="S66">IFERROR(IF('Desglose Salarios Fiscal'!$Q$1=1,IFERROR((((TabImpuestos[[#This Row],[Ingreso Neto]]-(VLOOKUP(TabImpuestos[[#This Row],[Ingreso Neto]],TabISR[],COLUMN(TabISR[Límite inferior]))))*(VLOOKUP(TabImpuestos[[#This Row],[Ingreso Neto]],TabISR[],COLUMN(TabISR[Por ciento para aplicarse sobre el excedente del límite inferior]))))+(VLOOKUP(TabImpuestos[[#This Row],[Ingreso Neto]],TabISR[],COLUMN(TabISR[Cuota fija]))))-(((TabImpuestos[[#This Row],[Ingreso ordinario]]-(VLOOKUP(TabImpuestos[[#This Row],[Ingreso ordinario]],TabISR[],COLUMN(TabISR[Límite inferior]))))*(VLOOKUP(TabImpuestos[[#This Row],[Ingreso ordinario]],TabISR[],COLUMN(TabISR[Por ciento para aplicarse sobre el excedente del límite inferior]))))+(VLOOKUP(TabImpuestos[[#This Row],[Ingreso ordinario]],TabISR[],COLUMN(TabISR[Cuota fija])))),0),0),0)</f>
        <v>-98.342400000000012</v>
      </c>
      <c r="T66" s="54" cm="1">
        <f t="array" ref="T66">((15*VLOOKUP(TabImpuestos[[#This Row],[ID]],TabEmpleados[],COLUMN(TabEmpleados[SD Fiscal]),FALSE))-(30*SMDF))/365*30.4</f>
        <v>-127.97983561643835</v>
      </c>
      <c r="U66" s="54">
        <f>TabImpuestos[[#This Row],[Ingreso ordinario]]+TabImpuestos[[#This Row],[Aguinaldo Gravado Mensual]]</f>
        <v>2608.0201643835617</v>
      </c>
      <c r="V66" s="54" cm="1">
        <f t="array" ref="V66">(((TabImpuestos[[#This Row],[Ingresos totales]]-(VLOOKUP(TabImpuestos[[#This Row],[Ingresos totales]],TabISR[],COLUMN(TabISR[Límite inferior]))))*(VLOOKUP(TabImpuestos[[#This Row],[Ingresos totales]],TabISR[],COLUMN(TabISR[Por ciento para aplicarse sobre el excedente del límite inferior]))))+(VLOOKUP(TabImpuestos[[#This Row],[Ingresos totales]],TabISR[],COLUMN(TabISR[Cuota fija]))))</f>
        <v>150.40425052054795</v>
      </c>
      <c r="W66" s="54" cm="1">
        <f t="array" ref="W66">(((TabImpuestos[[#This Row],[Ingreso ordinario]]-(VLOOKUP(TabImpuestos[[#This Row],[Ingreso ordinario]],TabISR[],COLUMN(TabISR[Límite inferior]))))*(VLOOKUP(TabImpuestos[[#This Row],[Ingreso ordinario]],TabISR[],COLUMN(TabISR[Por ciento para aplicarse sobre el excedente del límite inferior]))))+(VLOOKUP(TabImpuestos[[#This Row],[Ingreso ordinario]],TabISR[],COLUMN(TabISR[Cuota fija]))))</f>
        <v>158.59496000000001</v>
      </c>
      <c r="X66" s="54">
        <f>TabImpuestos[[#This Row],[ISR Por ingresos totales]]-TabImpuestos[[#This Row],[ISR por ingreso ordinario]]</f>
        <v>-8.1907094794520674</v>
      </c>
      <c r="Y66" s="236">
        <f>TabImpuestos[[#This Row],[Diferencia de ISR''s]]/TabImpuestos[[#This Row],[Aguinaldo Gravado Mensual]]</f>
        <v>6.4000000000000098E-2</v>
      </c>
      <c r="Z66" s="54" cm="1">
        <f t="array" ref="Z66">IFERROR(IF('Desglose Salarios Fiscal'!$Q$1=1,((15*VLOOKUP(TabImpuestos[[#This Row],[ID]],TabEmpleados[],COLUMN(TabEmpleados[SD Fiscal]),FALSE))-(30*SMDF))*TabImpuestos[[#This Row],[Tasa D %]],0),0)</f>
        <v>-98.34240000000014</v>
      </c>
    </row>
    <row r="67" spans="1:26" x14ac:dyDescent="0.25">
      <c r="A67" s="31">
        <f t="shared" si="0"/>
        <v>65</v>
      </c>
      <c r="B67" s="30" t="str" cm="1">
        <f t="array" ref="B67">VLOOKUP(A67,TabEmpleados[],COLUMN(TabEmpleados[Nombre]),FALSE)</f>
        <v>VASQUEZ PEREZ ARTURO</v>
      </c>
      <c r="C67" s="54" cm="1">
        <f t="array" ref="C67">(VLOOKUP(TabImpuestos[[#This Row],[ID]],TabEmpleados[],COLUMN(TabEmpleados[SD Fiscal]))*VLOOKUP(TabImpuestos[[#This Row],[ID]],TabAsistencias[],COLUMN(TabAsistencias[''Total de dias laborados])))+
TabImpuestos[[#This Row],[Bono Asistencia]]+TabImpuestos[[#This Row],[Bono Puntualidad]]+TabImpuestos[[#This Row],[Prima Dominical]]+TabImpuestos[[#This Row],[Prima Vacacional]]+TabImpuestos[[#This Row],[Bono Festivo/ Descanso]]</f>
        <v>7948.7999999999993</v>
      </c>
      <c r="D67" s="54" cm="1">
        <f t="array" ref="D67">VLOOKUP(TabImpuestos[[#This Row],[ID]],TabDesSalariosFiscal[],COLUMN(TabDesSalariosFiscal[Bono Asistencia]),FALSE)</f>
        <v>689.4</v>
      </c>
      <c r="E67" s="54" cm="1">
        <f t="array" ref="E67">VLOOKUP(TabImpuestos[[#This Row],[ID]],TabDesSalariosFiscal[],COLUMN(TabDesSalariosFiscal[Bono Puntualidad]),FALSE)</f>
        <v>689.4</v>
      </c>
      <c r="F67" s="54" cm="1">
        <f t="array" ref="F67">IF(VLOOKUP(TabImpuestos[[#This Row],[ID]],TabDesSalariosFiscal[],COLUMN(TabDesSalariosFiscal[Prima dominical]),FALSE)-SMDF&lt;0,0,VLOOKUP(TabImpuestos[[#This Row],[ID]],TabDesSalariosFiscal[],COLUMN(TabDesSalariosFiscal[Prima dominical]),FALSE)-SMDF)</f>
        <v>0</v>
      </c>
      <c r="G67" s="54" cm="1">
        <f t="array" ref="G67">IF(VLOOKUP(TabImpuestos[[#This Row],[ID]],TabDesSalariosFiscal[],COLUMN(TabDesSalariosFiscal[Prima vacacional]),FALSE)-(15*SMDF)&lt;0,0,VLOOKUP(TabImpuestos[[#This Row],[ID]],TabDesSalariosFiscal[],COLUMN(TabDesSalariosFiscal[Prima vacacional]),FALSE)-(15*SMDF))</f>
        <v>0</v>
      </c>
      <c r="H67" s="54" cm="1">
        <f t="array" ref="H67">(VLOOKUP(TabImpuestos[[#This Row],[ID]],TabDesSalariosFiscal[],COLUMN(TabDesSalariosFiscal[Dia Festivo/ Descanso]),FALSE)*50%)</f>
        <v>0</v>
      </c>
      <c r="I67" s="54" cm="1">
        <f t="array" ref="I67">IFERROR(VLOOKUP(TabImpuestos[[#This Row],[Base Gravable]],TabISR[],COLUMN(TabISR[Límite inferior])),0)</f>
        <v>7641.91</v>
      </c>
      <c r="J67" s="54">
        <f>IFERROR(TabImpuestos[[#This Row],[Base Gravable]]-TabImpuestos[[#This Row],[(-) Lim. Inferior]],0)</f>
        <v>306.88999999999942</v>
      </c>
      <c r="K67" s="236" cm="1">
        <f t="array" ref="K67">IFERROR(VLOOKUP(TabImpuestos[[#This Row],[Base Gravable]],TabISR[],COLUMN(TabISR[Por ciento para aplicarse sobre el excedente del límite inferior])),0)</f>
        <v>0.21360000000000001</v>
      </c>
      <c r="L67" s="54">
        <f>IFERROR(TabImpuestos[[#This Row],[EXC. Lim. Inferior]]*TabImpuestos[[#This Row],[(*) % Lim. Inf.]],0)</f>
        <v>65.551703999999873</v>
      </c>
      <c r="M67" s="54" cm="1">
        <f t="array" ref="M67">IFERROR(VLOOKUP(TabImpuestos[[#This Row],[Base Gravable]],TabISR[],COLUMN(TabISR[Cuota fija])),0)</f>
        <v>809.25</v>
      </c>
      <c r="N67" s="54">
        <f>IFERROR(TabImpuestos[[#This Row],[Impuesto marginal]]+TabImpuestos[[#This Row],[(+) Cuota Fija]],0)</f>
        <v>874.80170399999986</v>
      </c>
      <c r="O67" s="54" cm="1">
        <f t="array" ref="O67">IFERROR(VLOOKUP(TabImpuestos[[#This Row],[Base Gravable]],TabSubsidio[],COLUMN(TabSubsidio[SUBSIDIO])),0)</f>
        <v>0</v>
      </c>
      <c r="P67" s="54">
        <f>IFERROR(TabImpuestos[[#This Row],[Imp. Art. 96 ISR]]-TabImpuestos[[#This Row],[(-) Subsidio para el empleo]],0)</f>
        <v>874.80170399999986</v>
      </c>
      <c r="Q67" s="54" cm="1">
        <f t="array" ref="Q67">IF('Desglose Salarios Fiscal'!$Q$1=1,TabImpuestos[[#This Row],[Ingreso ordinario]]+((15*VLOOKUP(TabImpuestos[[#This Row],[ID]],TabEmpleados[],COLUMN(TabEmpleados[SD Fiscal]),FALSE))-(30*SMDF)),0)</f>
        <v>1199.4000000000001</v>
      </c>
      <c r="R67" s="54" cm="1">
        <f t="array" ref="R67">IF('Desglose Salarios Fiscal'!$Q$1=1,(VLOOKUP(TabImpuestos[[#This Row],[ID]],TabEmpleados[],COLUMN(TabEmpleados[SD Fiscal]),FALSE)*30.4)-TabImpuestos[[#This Row],[(-) Subsidio para el empleo]],0)</f>
        <v>2736</v>
      </c>
      <c r="S67" s="54" cm="1">
        <f t="array" ref="S67">IFERROR(IF('Desglose Salarios Fiscal'!$Q$1=1,IFERROR((((TabImpuestos[[#This Row],[Ingreso Neto]]-(VLOOKUP(TabImpuestos[[#This Row],[Ingreso Neto]],TabISR[],COLUMN(TabISR[Límite inferior]))))*(VLOOKUP(TabImpuestos[[#This Row],[Ingreso Neto]],TabISR[],COLUMN(TabISR[Por ciento para aplicarse sobre el excedente del límite inferior]))))+(VLOOKUP(TabImpuestos[[#This Row],[Ingreso Neto]],TabISR[],COLUMN(TabISR[Cuota fija]))))-(((TabImpuestos[[#This Row],[Ingreso ordinario]]-(VLOOKUP(TabImpuestos[[#This Row],[Ingreso ordinario]],TabISR[],COLUMN(TabISR[Límite inferior]))))*(VLOOKUP(TabImpuestos[[#This Row],[Ingreso ordinario]],TabISR[],COLUMN(TabISR[Por ciento para aplicarse sobre el excedente del límite inferior]))))+(VLOOKUP(TabImpuestos[[#This Row],[Ingreso ordinario]],TabISR[],COLUMN(TabISR[Cuota fija])))),0),0),0)</f>
        <v>-98.342400000000012</v>
      </c>
      <c r="T67" s="54" cm="1">
        <f t="array" ref="T67">((15*VLOOKUP(TabImpuestos[[#This Row],[ID]],TabEmpleados[],COLUMN(TabEmpleados[SD Fiscal]),FALSE))-(30*SMDF))/365*30.4</f>
        <v>-127.97983561643835</v>
      </c>
      <c r="U67" s="54">
        <f>TabImpuestos[[#This Row],[Ingreso ordinario]]+TabImpuestos[[#This Row],[Aguinaldo Gravado Mensual]]</f>
        <v>2608.0201643835617</v>
      </c>
      <c r="V67" s="54" cm="1">
        <f t="array" ref="V67">(((TabImpuestos[[#This Row],[Ingresos totales]]-(VLOOKUP(TabImpuestos[[#This Row],[Ingresos totales]],TabISR[],COLUMN(TabISR[Límite inferior]))))*(VLOOKUP(TabImpuestos[[#This Row],[Ingresos totales]],TabISR[],COLUMN(TabISR[Por ciento para aplicarse sobre el excedente del límite inferior]))))+(VLOOKUP(TabImpuestos[[#This Row],[Ingresos totales]],TabISR[],COLUMN(TabISR[Cuota fija]))))</f>
        <v>150.40425052054795</v>
      </c>
      <c r="W67" s="54" cm="1">
        <f t="array" ref="W67">(((TabImpuestos[[#This Row],[Ingreso ordinario]]-(VLOOKUP(TabImpuestos[[#This Row],[Ingreso ordinario]],TabISR[],COLUMN(TabISR[Límite inferior]))))*(VLOOKUP(TabImpuestos[[#This Row],[Ingreso ordinario]],TabISR[],COLUMN(TabISR[Por ciento para aplicarse sobre el excedente del límite inferior]))))+(VLOOKUP(TabImpuestos[[#This Row],[Ingreso ordinario]],TabISR[],COLUMN(TabISR[Cuota fija]))))</f>
        <v>158.59496000000001</v>
      </c>
      <c r="X67" s="54">
        <f>TabImpuestos[[#This Row],[ISR Por ingresos totales]]-TabImpuestos[[#This Row],[ISR por ingreso ordinario]]</f>
        <v>-8.1907094794520674</v>
      </c>
      <c r="Y67" s="236">
        <f>TabImpuestos[[#This Row],[Diferencia de ISR''s]]/TabImpuestos[[#This Row],[Aguinaldo Gravado Mensual]]</f>
        <v>6.4000000000000098E-2</v>
      </c>
      <c r="Z67" s="54" cm="1">
        <f t="array" ref="Z67">IFERROR(IF('Desglose Salarios Fiscal'!$Q$1=1,((15*VLOOKUP(TabImpuestos[[#This Row],[ID]],TabEmpleados[],COLUMN(TabEmpleados[SD Fiscal]),FALSE))-(30*SMDF))*TabImpuestos[[#This Row],[Tasa D %]],0),0)</f>
        <v>-98.34240000000014</v>
      </c>
    </row>
    <row r="68" spans="1:26" x14ac:dyDescent="0.25">
      <c r="A68">
        <f t="shared" si="0"/>
        <v>66</v>
      </c>
      <c r="B68" t="str" cm="1">
        <f t="array" ref="B68">VLOOKUP(A68,TabEmpleados[],COLUMN(TabEmpleados[Nombre]),FALSE)</f>
        <v xml:space="preserve">SALINAS CORTES ANGEL GABRIEL </v>
      </c>
      <c r="C68" s="54" cm="1">
        <f t="array" ref="C68">(VLOOKUP(TabImpuestos[[#This Row],[ID]],TabEmpleados[],COLUMN(TabEmpleados[SD Fiscal]))*VLOOKUP(TabImpuestos[[#This Row],[ID]],TabAsistencias[],COLUMN(TabAsistencias[''Total de dias laborados])))+
TabImpuestos[[#This Row],[Bono Asistencia]]+TabImpuestos[[#This Row],[Bono Puntualidad]]+TabImpuestos[[#This Row],[Prima Dominical]]+TabImpuestos[[#This Row],[Prima Vacacional]]+TabImpuestos[[#This Row],[Bono Festivo/ Descanso]]</f>
        <v>5926.87788</v>
      </c>
      <c r="D68" s="54" cm="1">
        <f t="array" ref="D68">VLOOKUP(TabImpuestos[[#This Row],[ID]],TabDesSalariosFiscal[],COLUMN(TabDesSalariosFiscal[Bono Asistencia]),FALSE)</f>
        <v>554.43894000000012</v>
      </c>
      <c r="E68" s="54" cm="1">
        <f t="array" ref="E68">VLOOKUP(TabImpuestos[[#This Row],[ID]],TabDesSalariosFiscal[],COLUMN(TabDesSalariosFiscal[Bono Puntualidad]),FALSE)</f>
        <v>554.43894000000012</v>
      </c>
      <c r="F68" s="54" cm="1">
        <f t="array" ref="F68">IF(VLOOKUP(TabImpuestos[[#This Row],[ID]],TabDesSalariosFiscal[],COLUMN(TabDesSalariosFiscal[Prima dominical]),FALSE)-SMDF&lt;0,0,VLOOKUP(TabImpuestos[[#This Row],[ID]],TabDesSalariosFiscal[],COLUMN(TabDesSalariosFiscal[Prima dominical]),FALSE)-SMDF)</f>
        <v>0</v>
      </c>
      <c r="G68" s="54" cm="1">
        <f t="array" ref="G68">IF(VLOOKUP(TabImpuestos[[#This Row],[ID]],TabDesSalariosFiscal[],COLUMN(TabDesSalariosFiscal[Prima vacacional]),FALSE)-(15*SMDF)&lt;0,0,VLOOKUP(TabImpuestos[[#This Row],[ID]],TabDesSalariosFiscal[],COLUMN(TabDesSalariosFiscal[Prima vacacional]),FALSE)-(15*SMDF))</f>
        <v>0</v>
      </c>
      <c r="H68" s="54" cm="1">
        <f t="array" ref="H68">(VLOOKUP(TabImpuestos[[#This Row],[ID]],TabDesSalariosFiscal[],COLUMN(TabDesSalariosFiscal[Dia Festivo/ Descanso]),FALSE)*50%)</f>
        <v>0</v>
      </c>
      <c r="I68" s="54" cm="1">
        <f t="array" ref="I68">IFERROR(VLOOKUP(TabImpuestos[[#This Row],[Base Gravable]],TabISR[],COLUMN(TabISR[Límite inferior])),0)</f>
        <v>5490.76</v>
      </c>
      <c r="J68" s="54">
        <f>IFERROR(TabImpuestos[[#This Row],[Base Gravable]]-TabImpuestos[[#This Row],[(-) Lim. Inferior]],0)</f>
        <v>436.11787999999979</v>
      </c>
      <c r="K68" s="236" cm="1">
        <f t="array" ref="K68">IFERROR(VLOOKUP(TabImpuestos[[#This Row],[Base Gravable]],TabISR[],COLUMN(TabISR[Por ciento para aplicarse sobre el excedente del límite inferior])),0)</f>
        <v>0.16</v>
      </c>
      <c r="L68" s="54">
        <f>IFERROR(TabImpuestos[[#This Row],[EXC. Lim. Inferior]]*TabImpuestos[[#This Row],[(*) % Lim. Inf.]],0)</f>
        <v>69.778860799999961</v>
      </c>
      <c r="M68" s="54" cm="1">
        <f t="array" ref="M68">IFERROR(VLOOKUP(TabImpuestos[[#This Row],[Base Gravable]],TabISR[],COLUMN(TabISR[Cuota fija])),0)</f>
        <v>441</v>
      </c>
      <c r="N68" s="54">
        <f>IFERROR(TabImpuestos[[#This Row],[Impuesto marginal]]+TabImpuestos[[#This Row],[(+) Cuota Fija]],0)</f>
        <v>510.77886079999996</v>
      </c>
      <c r="O68" s="54" cm="1">
        <f t="array" ref="O68">IFERROR(VLOOKUP(TabImpuestos[[#This Row],[Base Gravable]],TabSubsidio[],COLUMN(TabSubsidio[SUBSIDIO])),0)</f>
        <v>0</v>
      </c>
      <c r="P68" s="54">
        <f>IFERROR(TabImpuestos[[#This Row],[Imp. Art. 96 ISR]]-TabImpuestos[[#This Row],[(-) Subsidio para el empleo]],0)</f>
        <v>510.77886079999996</v>
      </c>
      <c r="Q68" s="54" cm="1">
        <f t="array" ref="Q68">IF('Desglose Salarios Fiscal'!$Q$1=1,TabImpuestos[[#This Row],[Ingreso ordinario]]+((15*VLOOKUP(TabImpuestos[[#This Row],[ID]],TabEmpleados[],COLUMN(TabEmpleados[SD Fiscal]),FALSE))-(30*SMDF)),0)</f>
        <v>109.79999999999995</v>
      </c>
      <c r="R68" s="54" cm="1">
        <f t="array" ref="R68">IF('Desglose Salarios Fiscal'!$Q$1=1,(VLOOKUP(TabImpuestos[[#This Row],[ID]],TabEmpleados[],COLUMN(TabEmpleados[SD Fiscal]),FALSE)*30.4)-TabImpuestos[[#This Row],[(-) Subsidio para el empleo]],0)</f>
        <v>2006.3999999999999</v>
      </c>
      <c r="S68" s="54" cm="1">
        <f t="array" ref="S68">IFERROR(IF('Desglose Salarios Fiscal'!$Q$1=1,IFERROR((((TabImpuestos[[#This Row],[Ingreso Neto]]-(VLOOKUP(TabImpuestos[[#This Row],[Ingreso Neto]],TabISR[],COLUMN(TabISR[Límite inferior]))))*(VLOOKUP(TabImpuestos[[#This Row],[Ingreso Neto]],TabISR[],COLUMN(TabISR[Por ciento para aplicarse sobre el excedente del límite inferior]))))+(VLOOKUP(TabImpuestos[[#This Row],[Ingreso Neto]],TabISR[],COLUMN(TabISR[Cuota fija]))))-(((TabImpuestos[[#This Row],[Ingreso ordinario]]-(VLOOKUP(TabImpuestos[[#This Row],[Ingreso ordinario]],TabISR[],COLUMN(TabISR[Límite inferior]))))*(VLOOKUP(TabImpuestos[[#This Row],[Ingreso ordinario]],TabISR[],COLUMN(TabISR[Por ciento para aplicarse sobre el excedente del límite inferior]))))+(VLOOKUP(TabImpuestos[[#This Row],[Ingreso ordinario]],TabISR[],COLUMN(TabISR[Cuota fija])))),0),0),0)</f>
        <v>-109.792592</v>
      </c>
      <c r="T68" s="54" cm="1">
        <f t="array" ref="T68">((15*VLOOKUP(TabImpuestos[[#This Row],[ID]],TabEmpleados[],COLUMN(TabEmpleados[SD Fiscal]),FALSE))-(30*SMDF))/365*30.4</f>
        <v>-157.96339726027395</v>
      </c>
      <c r="U68" s="54">
        <f>TabImpuestos[[#This Row],[Ingreso ordinario]]+TabImpuestos[[#This Row],[Aguinaldo Gravado Mensual]]</f>
        <v>1848.4366027397259</v>
      </c>
      <c r="V68" s="54" cm="1">
        <f t="array" ref="V68">(((TabImpuestos[[#This Row],[Ingresos totales]]-(VLOOKUP(TabImpuestos[[#This Row],[Ingresos totales]],TabISR[],COLUMN(TabISR[Límite inferior]))))*(VLOOKUP(TabImpuestos[[#This Row],[Ingresos totales]],TabISR[],COLUMN(TabISR[Por ciento para aplicarse sobre el excedente del límite inferior]))))+(VLOOKUP(TabImpuestos[[#This Row],[Ingresos totales]],TabISR[],COLUMN(TabISR[Cuota fija]))))</f>
        <v>101.79090257534244</v>
      </c>
      <c r="W68" s="54" cm="1">
        <f t="array" ref="W68">(((TabImpuestos[[#This Row],[Ingreso ordinario]]-(VLOOKUP(TabImpuestos[[#This Row],[Ingreso ordinario]],TabISR[],COLUMN(TabISR[Límite inferior]))))*(VLOOKUP(TabImpuestos[[#This Row],[Ingreso ordinario]],TabISR[],COLUMN(TabISR[Por ciento para aplicarse sobre el excedente del límite inferior]))))+(VLOOKUP(TabImpuestos[[#This Row],[Ingreso ordinario]],TabISR[],COLUMN(TabISR[Cuota fija]))))</f>
        <v>111.90056</v>
      </c>
      <c r="X68" s="54">
        <f>TabImpuestos[[#This Row],[ISR Por ingresos totales]]-TabImpuestos[[#This Row],[ISR por ingreso ordinario]]</f>
        <v>-10.109657424657556</v>
      </c>
      <c r="Y68" s="236">
        <f>TabImpuestos[[#This Row],[Diferencia de ISR''s]]/TabImpuestos[[#This Row],[Aguinaldo Gravado Mensual]]</f>
        <v>6.400000000000014E-2</v>
      </c>
      <c r="Z68" s="54" cm="1">
        <f t="array" ref="Z68">IFERROR(IF('Desglose Salarios Fiscal'!$Q$1=1,((15*VLOOKUP(TabImpuestos[[#This Row],[ID]],TabEmpleados[],COLUMN(TabEmpleados[SD Fiscal]),FALSE))-(30*SMDF))*TabImpuestos[[#This Row],[Tasa D %]],0),0)</f>
        <v>-121.38240000000026</v>
      </c>
    </row>
    <row r="69" spans="1:26" x14ac:dyDescent="0.25">
      <c r="A69" s="31">
        <f t="shared" ref="A69:A77" si="1">A68+1</f>
        <v>67</v>
      </c>
      <c r="B69" s="30" t="str" cm="1">
        <f t="array" ref="B69">VLOOKUP(A69,TabEmpleados[],COLUMN(TabEmpleados[Nombre]),FALSE)</f>
        <v>MORALES JIMENEZ JOSE IGNACIO</v>
      </c>
      <c r="C69" s="54" cm="1">
        <f t="array" ref="C69">(VLOOKUP(TabImpuestos[[#This Row],[ID]],TabEmpleados[],COLUMN(TabEmpleados[SD Fiscal]))*VLOOKUP(TabImpuestos[[#This Row],[ID]],TabAsistencias[],COLUMN(TabAsistencias[''Total de dias laborados])))+
TabImpuestos[[#This Row],[Bono Asistencia]]+TabImpuestos[[#This Row],[Bono Puntualidad]]+TabImpuestos[[#This Row],[Prima Dominical]]+TabImpuestos[[#This Row],[Prima Vacacional]]+TabImpuestos[[#This Row],[Bono Festivo/ Descanso]]</f>
        <v>5388.0707999999995</v>
      </c>
      <c r="D69" s="54" cm="1">
        <f t="array" ref="D69">VLOOKUP(TabImpuestos[[#This Row],[ID]],TabDesSalariosFiscal[],COLUMN(TabDesSalariosFiscal[Bono Asistencia]),FALSE)</f>
        <v>504.03540000000004</v>
      </c>
      <c r="E69" s="54" cm="1">
        <f t="array" ref="E69">VLOOKUP(TabImpuestos[[#This Row],[ID]],TabDesSalariosFiscal[],COLUMN(TabDesSalariosFiscal[Bono Puntualidad]),FALSE)</f>
        <v>504.03540000000004</v>
      </c>
      <c r="F69" s="54" cm="1">
        <f t="array" ref="F69">IF(VLOOKUP(TabImpuestos[[#This Row],[ID]],TabDesSalariosFiscal[],COLUMN(TabDesSalariosFiscal[Prima dominical]),FALSE)-SMDF&lt;0,0,VLOOKUP(TabImpuestos[[#This Row],[ID]],TabDesSalariosFiscal[],COLUMN(TabDesSalariosFiscal[Prima dominical]),FALSE)-SMDF)</f>
        <v>0</v>
      </c>
      <c r="G69" s="54" cm="1">
        <f t="array" ref="G69">IF(VLOOKUP(TabImpuestos[[#This Row],[ID]],TabDesSalariosFiscal[],COLUMN(TabDesSalariosFiscal[Prima vacacional]),FALSE)-(15*SMDF)&lt;0,0,VLOOKUP(TabImpuestos[[#This Row],[ID]],TabDesSalariosFiscal[],COLUMN(TabDesSalariosFiscal[Prima vacacional]),FALSE)-(15*SMDF))</f>
        <v>0</v>
      </c>
      <c r="H69" s="54" cm="1">
        <f t="array" ref="H69">(VLOOKUP(TabImpuestos[[#This Row],[ID]],TabDesSalariosFiscal[],COLUMN(TabDesSalariosFiscal[Dia Festivo/ Descanso]),FALSE)*50%)</f>
        <v>0</v>
      </c>
      <c r="I69" s="54" cm="1">
        <f t="array" ref="I69">IFERROR(VLOOKUP(TabImpuestos[[#This Row],[Base Gravable]],TabISR[],COLUMN(TabISR[Límite inferior])),0)</f>
        <v>3124.36</v>
      </c>
      <c r="J69" s="54">
        <f>IFERROR(TabImpuestos[[#This Row],[Base Gravable]]-TabImpuestos[[#This Row],[(-) Lim. Inferior]],0)</f>
        <v>2263.7107999999994</v>
      </c>
      <c r="K69" s="236" cm="1">
        <f t="array" ref="K69">IFERROR(VLOOKUP(TabImpuestos[[#This Row],[Base Gravable]],TabISR[],COLUMN(TabISR[Por ciento para aplicarse sobre el excedente del límite inferior])),0)</f>
        <v>0.10879999999999999</v>
      </c>
      <c r="L69" s="54">
        <f>IFERROR(TabImpuestos[[#This Row],[EXC. Lim. Inferior]]*TabImpuestos[[#This Row],[(*) % Lim. Inf.]],0)</f>
        <v>246.29173503999991</v>
      </c>
      <c r="M69" s="54" cm="1">
        <f t="array" ref="M69">IFERROR(VLOOKUP(TabImpuestos[[#This Row],[Base Gravable]],TabISR[],COLUMN(TabISR[Cuota fija])),0)</f>
        <v>183.45</v>
      </c>
      <c r="N69" s="54">
        <f>IFERROR(TabImpuestos[[#This Row],[Impuesto marginal]]+TabImpuestos[[#This Row],[(+) Cuota Fija]],0)</f>
        <v>429.74173503999987</v>
      </c>
      <c r="O69" s="54" cm="1">
        <f t="array" ref="O69">IFERROR(VLOOKUP(TabImpuestos[[#This Row],[Base Gravable]],TabSubsidio[],COLUMN(TabSubsidio[SUBSIDIO])),0)</f>
        <v>0</v>
      </c>
      <c r="P69" s="54">
        <f>IFERROR(TabImpuestos[[#This Row],[Imp. Art. 96 ISR]]-TabImpuestos[[#This Row],[(-) Subsidio para el empleo]],0)</f>
        <v>429.74173503999987</v>
      </c>
      <c r="Q69" s="54" cm="1">
        <f t="array" ref="Q69">IF('Desglose Salarios Fiscal'!$Q$1=1,TabImpuestos[[#This Row],[Ingreso ordinario]]+((15*VLOOKUP(TabImpuestos[[#This Row],[ID]],TabEmpleados[],COLUMN(TabEmpleados[SD Fiscal]),FALSE))-(30*SMDF)),0)</f>
        <v>-162.59999999999991</v>
      </c>
      <c r="R69" s="54" cm="1">
        <f t="array" ref="R69">IF('Desglose Salarios Fiscal'!$Q$1=1,(VLOOKUP(TabImpuestos[[#This Row],[ID]],TabEmpleados[],COLUMN(TabEmpleados[SD Fiscal]),FALSE)*30.4)-TabImpuestos[[#This Row],[(-) Subsidio para el empleo]],0)</f>
        <v>1824</v>
      </c>
      <c r="S69" s="54" cm="1">
        <f t="array" ref="S69">IFERROR(IF('Desglose Salarios Fiscal'!$Q$1=1,IFERROR((((TabImpuestos[[#This Row],[Ingreso Neto]]-(VLOOKUP(TabImpuestos[[#This Row],[Ingreso Neto]],TabISR[],COLUMN(TabISR[Límite inferior]))))*(VLOOKUP(TabImpuestos[[#This Row],[Ingreso Neto]],TabISR[],COLUMN(TabISR[Por ciento para aplicarse sobre el excedente del límite inferior]))))+(VLOOKUP(TabImpuestos[[#This Row],[Ingreso Neto]],TabISR[],COLUMN(TabISR[Cuota fija]))))-(((TabImpuestos[[#This Row],[Ingreso ordinario]]-(VLOOKUP(TabImpuestos[[#This Row],[Ingreso ordinario]],TabISR[],COLUMN(TabISR[Límite inferior]))))*(VLOOKUP(TabImpuestos[[#This Row],[Ingreso ordinario]],TabISR[],COLUMN(TabISR[Por ciento para aplicarse sobre el excedente del límite inferior]))))+(VLOOKUP(TabImpuestos[[#This Row],[Ingreso ordinario]],TabISR[],COLUMN(TabISR[Cuota fija])))),0),0),0)</f>
        <v>0</v>
      </c>
      <c r="T69" s="54" cm="1">
        <f t="array" ref="T69">((15*VLOOKUP(TabImpuestos[[#This Row],[ID]],TabEmpleados[],COLUMN(TabEmpleados[SD Fiscal]),FALSE))-(30*SMDF))/365*30.4</f>
        <v>-165.45928767123286</v>
      </c>
      <c r="U69" s="54">
        <f>TabImpuestos[[#This Row],[Ingreso ordinario]]+TabImpuestos[[#This Row],[Aguinaldo Gravado Mensual]]</f>
        <v>1658.5407123287671</v>
      </c>
      <c r="V69" s="54" cm="1">
        <f t="array" ref="V69">(((TabImpuestos[[#This Row],[Ingresos totales]]-(VLOOKUP(TabImpuestos[[#This Row],[Ingresos totales]],TabISR[],COLUMN(TabISR[Límite inferior]))))*(VLOOKUP(TabImpuestos[[#This Row],[Ingresos totales]],TabISR[],COLUMN(TabISR[Por ciento para aplicarse sobre el excedente del límite inferior]))))+(VLOOKUP(TabImpuestos[[#This Row],[Ingresos totales]],TabISR[],COLUMN(TabISR[Cuota fija]))))</f>
        <v>89.637565589041102</v>
      </c>
      <c r="W69" s="54" cm="1">
        <f t="array" ref="W69">(((TabImpuestos[[#This Row],[Ingreso ordinario]]-(VLOOKUP(TabImpuestos[[#This Row],[Ingreso ordinario]],TabISR[],COLUMN(TabISR[Límite inferior]))))*(VLOOKUP(TabImpuestos[[#This Row],[Ingreso ordinario]],TabISR[],COLUMN(TabISR[Por ciento para aplicarse sobre el excedente del límite inferior]))))+(VLOOKUP(TabImpuestos[[#This Row],[Ingreso ordinario]],TabISR[],COLUMN(TabISR[Cuota fija]))))</f>
        <v>100.22695999999999</v>
      </c>
      <c r="X69" s="54">
        <f>TabImpuestos[[#This Row],[ISR Por ingresos totales]]-TabImpuestos[[#This Row],[ISR por ingreso ordinario]]</f>
        <v>-10.589394410958889</v>
      </c>
      <c r="Y69" s="236">
        <f>TabImpuestos[[#This Row],[Diferencia de ISR''s]]/TabImpuestos[[#This Row],[Aguinaldo Gravado Mensual]]</f>
        <v>6.3999999999999918E-2</v>
      </c>
      <c r="Z69" s="54" cm="1">
        <f t="array" ref="Z69">IFERROR(IF('Desglose Salarios Fiscal'!$Q$1=1,((15*VLOOKUP(TabImpuestos[[#This Row],[ID]],TabEmpleados[],COLUMN(TabEmpleados[SD Fiscal]),FALSE))-(30*SMDF))*TabImpuestos[[#This Row],[Tasa D %]],0),0)</f>
        <v>-127.14239999999982</v>
      </c>
    </row>
    <row r="70" spans="1:26" x14ac:dyDescent="0.25">
      <c r="A70">
        <f t="shared" si="1"/>
        <v>68</v>
      </c>
      <c r="B70" t="str" cm="1">
        <f t="array" ref="B70">VLOOKUP(A70,TabEmpleados[],COLUMN(TabEmpleados[Nombre]),FALSE)</f>
        <v>LOPEZ VALENCIA ZOSIMO</v>
      </c>
      <c r="C70" s="54" cm="1">
        <f t="array" ref="C70">(VLOOKUP(TabImpuestos[[#This Row],[ID]],TabEmpleados[],COLUMN(TabEmpleados[SD Fiscal]))*VLOOKUP(TabImpuestos[[#This Row],[ID]],TabAsistencias[],COLUMN(TabAsistencias[''Total de dias laborados])))+
TabImpuestos[[#This Row],[Bono Asistencia]]+TabImpuestos[[#This Row],[Bono Puntualidad]]+TabImpuestos[[#This Row],[Prima Dominical]]+TabImpuestos[[#This Row],[Prima Vacacional]]+TabImpuestos[[#This Row],[Bono Festivo/ Descanso]]</f>
        <v>5926.87788</v>
      </c>
      <c r="D70" s="54" cm="1">
        <f t="array" ref="D70">VLOOKUP(TabImpuestos[[#This Row],[ID]],TabDesSalariosFiscal[],COLUMN(TabDesSalariosFiscal[Bono Asistencia]),FALSE)</f>
        <v>554.43894000000012</v>
      </c>
      <c r="E70" s="54" cm="1">
        <f t="array" ref="E70">VLOOKUP(TabImpuestos[[#This Row],[ID]],TabDesSalariosFiscal[],COLUMN(TabDesSalariosFiscal[Bono Puntualidad]),FALSE)</f>
        <v>554.43894000000012</v>
      </c>
      <c r="F70" s="54" cm="1">
        <f t="array" ref="F70">IF(VLOOKUP(TabImpuestos[[#This Row],[ID]],TabDesSalariosFiscal[],COLUMN(TabDesSalariosFiscal[Prima dominical]),FALSE)-SMDF&lt;0,0,VLOOKUP(TabImpuestos[[#This Row],[ID]],TabDesSalariosFiscal[],COLUMN(TabDesSalariosFiscal[Prima dominical]),FALSE)-SMDF)</f>
        <v>0</v>
      </c>
      <c r="G70" s="54" cm="1">
        <f t="array" ref="G70">IF(VLOOKUP(TabImpuestos[[#This Row],[ID]],TabDesSalariosFiscal[],COLUMN(TabDesSalariosFiscal[Prima vacacional]),FALSE)-(15*SMDF)&lt;0,0,VLOOKUP(TabImpuestos[[#This Row],[ID]],TabDesSalariosFiscal[],COLUMN(TabDesSalariosFiscal[Prima vacacional]),FALSE)-(15*SMDF))</f>
        <v>0</v>
      </c>
      <c r="H70" s="54" cm="1">
        <f t="array" ref="H70">(VLOOKUP(TabImpuestos[[#This Row],[ID]],TabDesSalariosFiscal[],COLUMN(TabDesSalariosFiscal[Dia Festivo/ Descanso]),FALSE)*50%)</f>
        <v>0</v>
      </c>
      <c r="I70" s="54" cm="1">
        <f t="array" ref="I70">IFERROR(VLOOKUP(TabImpuestos[[#This Row],[Base Gravable]],TabISR[],COLUMN(TabISR[Límite inferior])),0)</f>
        <v>5490.76</v>
      </c>
      <c r="J70" s="54">
        <f>IFERROR(TabImpuestos[[#This Row],[Base Gravable]]-TabImpuestos[[#This Row],[(-) Lim. Inferior]],0)</f>
        <v>436.11787999999979</v>
      </c>
      <c r="K70" s="236" cm="1">
        <f t="array" ref="K70">IFERROR(VLOOKUP(TabImpuestos[[#This Row],[Base Gravable]],TabISR[],COLUMN(TabISR[Por ciento para aplicarse sobre el excedente del límite inferior])),0)</f>
        <v>0.16</v>
      </c>
      <c r="L70" s="54">
        <f>IFERROR(TabImpuestos[[#This Row],[EXC. Lim. Inferior]]*TabImpuestos[[#This Row],[(*) % Lim. Inf.]],0)</f>
        <v>69.778860799999961</v>
      </c>
      <c r="M70" s="54" cm="1">
        <f t="array" ref="M70">IFERROR(VLOOKUP(TabImpuestos[[#This Row],[Base Gravable]],TabISR[],COLUMN(TabISR[Cuota fija])),0)</f>
        <v>441</v>
      </c>
      <c r="N70" s="54">
        <f>IFERROR(TabImpuestos[[#This Row],[Impuesto marginal]]+TabImpuestos[[#This Row],[(+) Cuota Fija]],0)</f>
        <v>510.77886079999996</v>
      </c>
      <c r="O70" s="54" cm="1">
        <f t="array" ref="O70">IFERROR(VLOOKUP(TabImpuestos[[#This Row],[Base Gravable]],TabSubsidio[],COLUMN(TabSubsidio[SUBSIDIO])),0)</f>
        <v>0</v>
      </c>
      <c r="P70" s="54">
        <f>IFERROR(TabImpuestos[[#This Row],[Imp. Art. 96 ISR]]-TabImpuestos[[#This Row],[(-) Subsidio para el empleo]],0)</f>
        <v>510.77886079999996</v>
      </c>
      <c r="Q70" s="54" cm="1">
        <f t="array" ref="Q70">IF('Desglose Salarios Fiscal'!$Q$1=1,TabImpuestos[[#This Row],[Ingreso ordinario]]+((15*VLOOKUP(TabImpuestos[[#This Row],[ID]],TabEmpleados[],COLUMN(TabEmpleados[SD Fiscal]),FALSE))-(30*SMDF)),0)</f>
        <v>109.79999999999995</v>
      </c>
      <c r="R70" s="54" cm="1">
        <f t="array" ref="R70">IF('Desglose Salarios Fiscal'!$Q$1=1,(VLOOKUP(TabImpuestos[[#This Row],[ID]],TabEmpleados[],COLUMN(TabEmpleados[SD Fiscal]),FALSE)*30.4)-TabImpuestos[[#This Row],[(-) Subsidio para el empleo]],0)</f>
        <v>2006.3999999999999</v>
      </c>
      <c r="S70" s="54" cm="1">
        <f t="array" ref="S70">IFERROR(IF('Desglose Salarios Fiscal'!$Q$1=1,IFERROR((((TabImpuestos[[#This Row],[Ingreso Neto]]-(VLOOKUP(TabImpuestos[[#This Row],[Ingreso Neto]],TabISR[],COLUMN(TabISR[Límite inferior]))))*(VLOOKUP(TabImpuestos[[#This Row],[Ingreso Neto]],TabISR[],COLUMN(TabISR[Por ciento para aplicarse sobre el excedente del límite inferior]))))+(VLOOKUP(TabImpuestos[[#This Row],[Ingreso Neto]],TabISR[],COLUMN(TabISR[Cuota fija]))))-(((TabImpuestos[[#This Row],[Ingreso ordinario]]-(VLOOKUP(TabImpuestos[[#This Row],[Ingreso ordinario]],TabISR[],COLUMN(TabISR[Límite inferior]))))*(VLOOKUP(TabImpuestos[[#This Row],[Ingreso ordinario]],TabISR[],COLUMN(TabISR[Por ciento para aplicarse sobre el excedente del límite inferior]))))+(VLOOKUP(TabImpuestos[[#This Row],[Ingreso ordinario]],TabISR[],COLUMN(TabISR[Cuota fija])))),0),0),0)</f>
        <v>-109.792592</v>
      </c>
      <c r="T70" s="54" cm="1">
        <f t="array" ref="T70">((15*VLOOKUP(TabImpuestos[[#This Row],[ID]],TabEmpleados[],COLUMN(TabEmpleados[SD Fiscal]),FALSE))-(30*SMDF))/365*30.4</f>
        <v>-157.96339726027395</v>
      </c>
      <c r="U70" s="54">
        <f>TabImpuestos[[#This Row],[Ingreso ordinario]]+TabImpuestos[[#This Row],[Aguinaldo Gravado Mensual]]</f>
        <v>1848.4366027397259</v>
      </c>
      <c r="V70" s="54" cm="1">
        <f t="array" ref="V70">(((TabImpuestos[[#This Row],[Ingresos totales]]-(VLOOKUP(TabImpuestos[[#This Row],[Ingresos totales]],TabISR[],COLUMN(TabISR[Límite inferior]))))*(VLOOKUP(TabImpuestos[[#This Row],[Ingresos totales]],TabISR[],COLUMN(TabISR[Por ciento para aplicarse sobre el excedente del límite inferior]))))+(VLOOKUP(TabImpuestos[[#This Row],[Ingresos totales]],TabISR[],COLUMN(TabISR[Cuota fija]))))</f>
        <v>101.79090257534244</v>
      </c>
      <c r="W70" s="54" cm="1">
        <f t="array" ref="W70">(((TabImpuestos[[#This Row],[Ingreso ordinario]]-(VLOOKUP(TabImpuestos[[#This Row],[Ingreso ordinario]],TabISR[],COLUMN(TabISR[Límite inferior]))))*(VLOOKUP(TabImpuestos[[#This Row],[Ingreso ordinario]],TabISR[],COLUMN(TabISR[Por ciento para aplicarse sobre el excedente del límite inferior]))))+(VLOOKUP(TabImpuestos[[#This Row],[Ingreso ordinario]],TabISR[],COLUMN(TabISR[Cuota fija]))))</f>
        <v>111.90056</v>
      </c>
      <c r="X70" s="54">
        <f>TabImpuestos[[#This Row],[ISR Por ingresos totales]]-TabImpuestos[[#This Row],[ISR por ingreso ordinario]]</f>
        <v>-10.109657424657556</v>
      </c>
      <c r="Y70" s="236">
        <f>TabImpuestos[[#This Row],[Diferencia de ISR''s]]/TabImpuestos[[#This Row],[Aguinaldo Gravado Mensual]]</f>
        <v>6.400000000000014E-2</v>
      </c>
      <c r="Z70" s="54" cm="1">
        <f t="array" ref="Z70">IFERROR(IF('Desglose Salarios Fiscal'!$Q$1=1,((15*VLOOKUP(TabImpuestos[[#This Row],[ID]],TabEmpleados[],COLUMN(TabEmpleados[SD Fiscal]),FALSE))-(30*SMDF))*TabImpuestos[[#This Row],[Tasa D %]],0),0)</f>
        <v>-121.38240000000026</v>
      </c>
    </row>
    <row r="71" spans="1:26" x14ac:dyDescent="0.25">
      <c r="A71" s="31">
        <f t="shared" si="1"/>
        <v>69</v>
      </c>
      <c r="B71" s="30" t="str" cm="1">
        <f t="array" ref="B71">VLOOKUP(A71,TabEmpleados[],COLUMN(TabEmpleados[Nombre]),FALSE)</f>
        <v xml:space="preserve">RUIZ CRUZ CESAR DANIEL </v>
      </c>
      <c r="C71" s="54" cm="1">
        <f t="array" ref="C71">(VLOOKUP(TabImpuestos[[#This Row],[ID]],TabEmpleados[],COLUMN(TabEmpleados[SD Fiscal]))*VLOOKUP(TabImpuestos[[#This Row],[ID]],TabAsistencias[],COLUMN(TabAsistencias[''Total de dias laborados])))+
TabImpuestos[[#This Row],[Bono Asistencia]]+TabImpuestos[[#This Row],[Bono Puntualidad]]+TabImpuestos[[#This Row],[Prima Dominical]]+TabImpuestos[[#This Row],[Prima Vacacional]]+TabImpuestos[[#This Row],[Bono Festivo/ Descanso]]</f>
        <v>5372.1707999999999</v>
      </c>
      <c r="D71" s="54" cm="1">
        <f t="array" ref="D71">VLOOKUP(TabImpuestos[[#This Row],[ID]],TabDesSalariosFiscal[],COLUMN(TabDesSalariosFiscal[Bono Asistencia]),FALSE)</f>
        <v>496.08540000000005</v>
      </c>
      <c r="E71" s="54" cm="1">
        <f t="array" ref="E71">VLOOKUP(TabImpuestos[[#This Row],[ID]],TabDesSalariosFiscal[],COLUMN(TabDesSalariosFiscal[Bono Puntualidad]),FALSE)</f>
        <v>496.08540000000005</v>
      </c>
      <c r="F71" s="54" cm="1">
        <f t="array" ref="F71">IF(VLOOKUP(TabImpuestos[[#This Row],[ID]],TabDesSalariosFiscal[],COLUMN(TabDesSalariosFiscal[Prima dominical]),FALSE)-SMDF&lt;0,0,VLOOKUP(TabImpuestos[[#This Row],[ID]],TabDesSalariosFiscal[],COLUMN(TabDesSalariosFiscal[Prima dominical]),FALSE)-SMDF)</f>
        <v>0</v>
      </c>
      <c r="G71" s="54" cm="1">
        <f t="array" ref="G71">IF(VLOOKUP(TabImpuestos[[#This Row],[ID]],TabDesSalariosFiscal[],COLUMN(TabDesSalariosFiscal[Prima vacacional]),FALSE)-(15*SMDF)&lt;0,0,VLOOKUP(TabImpuestos[[#This Row],[ID]],TabDesSalariosFiscal[],COLUMN(TabDesSalariosFiscal[Prima vacacional]),FALSE)-(15*SMDF))</f>
        <v>0</v>
      </c>
      <c r="H71" s="54" cm="1">
        <f t="array" ref="H71">(VLOOKUP(TabImpuestos[[#This Row],[ID]],TabDesSalariosFiscal[],COLUMN(TabDesSalariosFiscal[Dia Festivo/ Descanso]),FALSE)*50%)</f>
        <v>0</v>
      </c>
      <c r="I71" s="54" cm="1">
        <f t="array" ref="I71">IFERROR(VLOOKUP(TabImpuestos[[#This Row],[Base Gravable]],TabISR[],COLUMN(TabISR[Límite inferior])),0)</f>
        <v>3124.36</v>
      </c>
      <c r="J71" s="54">
        <f>IFERROR(TabImpuestos[[#This Row],[Base Gravable]]-TabImpuestos[[#This Row],[(-) Lim. Inferior]],0)</f>
        <v>2247.8107999999997</v>
      </c>
      <c r="K71" s="236" cm="1">
        <f t="array" ref="K71">IFERROR(VLOOKUP(TabImpuestos[[#This Row],[Base Gravable]],TabISR[],COLUMN(TabISR[Por ciento para aplicarse sobre el excedente del límite inferior])),0)</f>
        <v>0.10879999999999999</v>
      </c>
      <c r="L71" s="54">
        <f>IFERROR(TabImpuestos[[#This Row],[EXC. Lim. Inferior]]*TabImpuestos[[#This Row],[(*) % Lim. Inf.]],0)</f>
        <v>244.56181503999997</v>
      </c>
      <c r="M71" s="54" cm="1">
        <f t="array" ref="M71">IFERROR(VLOOKUP(TabImpuestos[[#This Row],[Base Gravable]],TabISR[],COLUMN(TabISR[Cuota fija])),0)</f>
        <v>183.45</v>
      </c>
      <c r="N71" s="54">
        <f>IFERROR(TabImpuestos[[#This Row],[Impuesto marginal]]+TabImpuestos[[#This Row],[(+) Cuota Fija]],0)</f>
        <v>428.01181503999999</v>
      </c>
      <c r="O71" s="54" cm="1">
        <f t="array" ref="O71">IFERROR(VLOOKUP(TabImpuestos[[#This Row],[Base Gravable]],TabSubsidio[],COLUMN(TabSubsidio[SUBSIDIO])),0)</f>
        <v>0</v>
      </c>
      <c r="P71" s="54">
        <f>IFERROR(TabImpuestos[[#This Row],[Imp. Art. 96 ISR]]-TabImpuestos[[#This Row],[(-) Subsidio para el empleo]],0)</f>
        <v>428.01181503999999</v>
      </c>
      <c r="Q71" s="54" cm="1">
        <f t="array" ref="Q71">IF('Desglose Salarios Fiscal'!$Q$1=1,TabImpuestos[[#This Row],[Ingreso ordinario]]+((15*VLOOKUP(TabImpuestos[[#This Row],[ID]],TabEmpleados[],COLUMN(TabEmpleados[SD Fiscal]),FALSE))-(30*SMDF)),0)</f>
        <v>-162.59999999999991</v>
      </c>
      <c r="R71" s="54" cm="1">
        <f t="array" ref="R71">IF('Desglose Salarios Fiscal'!$Q$1=1,(VLOOKUP(TabImpuestos[[#This Row],[ID]],TabEmpleados[],COLUMN(TabEmpleados[SD Fiscal]),FALSE)*30.4)-TabImpuestos[[#This Row],[(-) Subsidio para el empleo]],0)</f>
        <v>1824</v>
      </c>
      <c r="S71" s="54" cm="1">
        <f t="array" ref="S71">IFERROR(IF('Desglose Salarios Fiscal'!$Q$1=1,IFERROR((((TabImpuestos[[#This Row],[Ingreso Neto]]-(VLOOKUP(TabImpuestos[[#This Row],[Ingreso Neto]],TabISR[],COLUMN(TabISR[Límite inferior]))))*(VLOOKUP(TabImpuestos[[#This Row],[Ingreso Neto]],TabISR[],COLUMN(TabISR[Por ciento para aplicarse sobre el excedente del límite inferior]))))+(VLOOKUP(TabImpuestos[[#This Row],[Ingreso Neto]],TabISR[],COLUMN(TabISR[Cuota fija]))))-(((TabImpuestos[[#This Row],[Ingreso ordinario]]-(VLOOKUP(TabImpuestos[[#This Row],[Ingreso ordinario]],TabISR[],COLUMN(TabISR[Límite inferior]))))*(VLOOKUP(TabImpuestos[[#This Row],[Ingreso ordinario]],TabISR[],COLUMN(TabISR[Por ciento para aplicarse sobre el excedente del límite inferior]))))+(VLOOKUP(TabImpuestos[[#This Row],[Ingreso ordinario]],TabISR[],COLUMN(TabISR[Cuota fija])))),0),0),0)</f>
        <v>0</v>
      </c>
      <c r="T71" s="54" cm="1">
        <f t="array" ref="T71">((15*VLOOKUP(TabImpuestos[[#This Row],[ID]],TabEmpleados[],COLUMN(TabEmpleados[SD Fiscal]),FALSE))-(30*SMDF))/365*30.4</f>
        <v>-165.45928767123286</v>
      </c>
      <c r="U71" s="54">
        <f>TabImpuestos[[#This Row],[Ingreso ordinario]]+TabImpuestos[[#This Row],[Aguinaldo Gravado Mensual]]</f>
        <v>1658.5407123287671</v>
      </c>
      <c r="V71" s="54" cm="1">
        <f t="array" ref="V71">(((TabImpuestos[[#This Row],[Ingresos totales]]-(VLOOKUP(TabImpuestos[[#This Row],[Ingresos totales]],TabISR[],COLUMN(TabISR[Límite inferior]))))*(VLOOKUP(TabImpuestos[[#This Row],[Ingresos totales]],TabISR[],COLUMN(TabISR[Por ciento para aplicarse sobre el excedente del límite inferior]))))+(VLOOKUP(TabImpuestos[[#This Row],[Ingresos totales]],TabISR[],COLUMN(TabISR[Cuota fija]))))</f>
        <v>89.637565589041102</v>
      </c>
      <c r="W71" s="54" cm="1">
        <f t="array" ref="W71">(((TabImpuestos[[#This Row],[Ingreso ordinario]]-(VLOOKUP(TabImpuestos[[#This Row],[Ingreso ordinario]],TabISR[],COLUMN(TabISR[Límite inferior]))))*(VLOOKUP(TabImpuestos[[#This Row],[Ingreso ordinario]],TabISR[],COLUMN(TabISR[Por ciento para aplicarse sobre el excedente del límite inferior]))))+(VLOOKUP(TabImpuestos[[#This Row],[Ingreso ordinario]],TabISR[],COLUMN(TabISR[Cuota fija]))))</f>
        <v>100.22695999999999</v>
      </c>
      <c r="X71" s="54">
        <f>TabImpuestos[[#This Row],[ISR Por ingresos totales]]-TabImpuestos[[#This Row],[ISR por ingreso ordinario]]</f>
        <v>-10.589394410958889</v>
      </c>
      <c r="Y71" s="236">
        <f>TabImpuestos[[#This Row],[Diferencia de ISR''s]]/TabImpuestos[[#This Row],[Aguinaldo Gravado Mensual]]</f>
        <v>6.3999999999999918E-2</v>
      </c>
      <c r="Z71" s="54" cm="1">
        <f t="array" ref="Z71">IFERROR(IF('Desglose Salarios Fiscal'!$Q$1=1,((15*VLOOKUP(TabImpuestos[[#This Row],[ID]],TabEmpleados[],COLUMN(TabEmpleados[SD Fiscal]),FALSE))-(30*SMDF))*TabImpuestos[[#This Row],[Tasa D %]],0),0)</f>
        <v>-127.14239999999982</v>
      </c>
    </row>
    <row r="72" spans="1:26" x14ac:dyDescent="0.25">
      <c r="A72">
        <f t="shared" si="1"/>
        <v>70</v>
      </c>
      <c r="B72" t="str" cm="1">
        <f t="array" ref="B72">VLOOKUP(A72,TabEmpleados[],COLUMN(TabEmpleados[Nombre]),FALSE)</f>
        <v>GONZALEZ LEYVA ADRIAN EDUARDO</v>
      </c>
      <c r="C72" s="54" cm="1">
        <f t="array" ref="C72">(VLOOKUP(TabImpuestos[[#This Row],[ID]],TabEmpleados[],COLUMN(TabEmpleados[SD Fiscal]))*VLOOKUP(TabImpuestos[[#This Row],[ID]],TabAsistencias[],COLUMN(TabAsistencias[''Total de dias laborados])))+
TabImpuestos[[#This Row],[Bono Asistencia]]+TabImpuestos[[#This Row],[Bono Puntualidad]]+TabImpuestos[[#This Row],[Prima Dominical]]+TabImpuestos[[#This Row],[Prima Vacacional]]+TabImpuestos[[#This Row],[Bono Festivo/ Descanso]]</f>
        <v>5388.0707999999995</v>
      </c>
      <c r="D72" s="54" cm="1">
        <f t="array" ref="D72">VLOOKUP(TabImpuestos[[#This Row],[ID]],TabDesSalariosFiscal[],COLUMN(TabDesSalariosFiscal[Bono Asistencia]),FALSE)</f>
        <v>504.03540000000004</v>
      </c>
      <c r="E72" s="54" cm="1">
        <f t="array" ref="E72">VLOOKUP(TabImpuestos[[#This Row],[ID]],TabDesSalariosFiscal[],COLUMN(TabDesSalariosFiscal[Bono Puntualidad]),FALSE)</f>
        <v>504.03540000000004</v>
      </c>
      <c r="F72" s="54" cm="1">
        <f t="array" ref="F72">IF(VLOOKUP(TabImpuestos[[#This Row],[ID]],TabDesSalariosFiscal[],COLUMN(TabDesSalariosFiscal[Prima dominical]),FALSE)-SMDF&lt;0,0,VLOOKUP(TabImpuestos[[#This Row],[ID]],TabDesSalariosFiscal[],COLUMN(TabDesSalariosFiscal[Prima dominical]),FALSE)-SMDF)</f>
        <v>0</v>
      </c>
      <c r="G72" s="54" cm="1">
        <f t="array" ref="G72">IF(VLOOKUP(TabImpuestos[[#This Row],[ID]],TabDesSalariosFiscal[],COLUMN(TabDesSalariosFiscal[Prima vacacional]),FALSE)-(15*SMDF)&lt;0,0,VLOOKUP(TabImpuestos[[#This Row],[ID]],TabDesSalariosFiscal[],COLUMN(TabDesSalariosFiscal[Prima vacacional]),FALSE)-(15*SMDF))</f>
        <v>0</v>
      </c>
      <c r="H72" s="54" cm="1">
        <f t="array" ref="H72">(VLOOKUP(TabImpuestos[[#This Row],[ID]],TabDesSalariosFiscal[],COLUMN(TabDesSalariosFiscal[Dia Festivo/ Descanso]),FALSE)*50%)</f>
        <v>0</v>
      </c>
      <c r="I72" s="54" cm="1">
        <f t="array" ref="I72">IFERROR(VLOOKUP(TabImpuestos[[#This Row],[Base Gravable]],TabISR[],COLUMN(TabISR[Límite inferior])),0)</f>
        <v>3124.36</v>
      </c>
      <c r="J72" s="54">
        <f>IFERROR(TabImpuestos[[#This Row],[Base Gravable]]-TabImpuestos[[#This Row],[(-) Lim. Inferior]],0)</f>
        <v>2263.7107999999994</v>
      </c>
      <c r="K72" s="236" cm="1">
        <f t="array" ref="K72">IFERROR(VLOOKUP(TabImpuestos[[#This Row],[Base Gravable]],TabISR[],COLUMN(TabISR[Por ciento para aplicarse sobre el excedente del límite inferior])),0)</f>
        <v>0.10879999999999999</v>
      </c>
      <c r="L72" s="54">
        <f>IFERROR(TabImpuestos[[#This Row],[EXC. Lim. Inferior]]*TabImpuestos[[#This Row],[(*) % Lim. Inf.]],0)</f>
        <v>246.29173503999991</v>
      </c>
      <c r="M72" s="54" cm="1">
        <f t="array" ref="M72">IFERROR(VLOOKUP(TabImpuestos[[#This Row],[Base Gravable]],TabISR[],COLUMN(TabISR[Cuota fija])),0)</f>
        <v>183.45</v>
      </c>
      <c r="N72" s="54">
        <f>IFERROR(TabImpuestos[[#This Row],[Impuesto marginal]]+TabImpuestos[[#This Row],[(+) Cuota Fija]],0)</f>
        <v>429.74173503999987</v>
      </c>
      <c r="O72" s="54" cm="1">
        <f t="array" ref="O72">IFERROR(VLOOKUP(TabImpuestos[[#This Row],[Base Gravable]],TabSubsidio[],COLUMN(TabSubsidio[SUBSIDIO])),0)</f>
        <v>0</v>
      </c>
      <c r="P72" s="54">
        <f>IFERROR(TabImpuestos[[#This Row],[Imp. Art. 96 ISR]]-TabImpuestos[[#This Row],[(-) Subsidio para el empleo]],0)</f>
        <v>429.74173503999987</v>
      </c>
      <c r="Q72" s="54" cm="1">
        <f t="array" ref="Q72">IF('Desglose Salarios Fiscal'!$Q$1=1,TabImpuestos[[#This Row],[Ingreso ordinario]]+((15*VLOOKUP(TabImpuestos[[#This Row],[ID]],TabEmpleados[],COLUMN(TabEmpleados[SD Fiscal]),FALSE))-(30*SMDF)),0)</f>
        <v>-162.59999999999991</v>
      </c>
      <c r="R72" s="54" cm="1">
        <f t="array" ref="R72">IF('Desglose Salarios Fiscal'!$Q$1=1,(VLOOKUP(TabImpuestos[[#This Row],[ID]],TabEmpleados[],COLUMN(TabEmpleados[SD Fiscal]),FALSE)*30.4)-TabImpuestos[[#This Row],[(-) Subsidio para el empleo]],0)</f>
        <v>1824</v>
      </c>
      <c r="S72" s="54" cm="1">
        <f t="array" ref="S72">IFERROR(IF('Desglose Salarios Fiscal'!$Q$1=1,IFERROR((((TabImpuestos[[#This Row],[Ingreso Neto]]-(VLOOKUP(TabImpuestos[[#This Row],[Ingreso Neto]],TabISR[],COLUMN(TabISR[Límite inferior]))))*(VLOOKUP(TabImpuestos[[#This Row],[Ingreso Neto]],TabISR[],COLUMN(TabISR[Por ciento para aplicarse sobre el excedente del límite inferior]))))+(VLOOKUP(TabImpuestos[[#This Row],[Ingreso Neto]],TabISR[],COLUMN(TabISR[Cuota fija]))))-(((TabImpuestos[[#This Row],[Ingreso ordinario]]-(VLOOKUP(TabImpuestos[[#This Row],[Ingreso ordinario]],TabISR[],COLUMN(TabISR[Límite inferior]))))*(VLOOKUP(TabImpuestos[[#This Row],[Ingreso ordinario]],TabISR[],COLUMN(TabISR[Por ciento para aplicarse sobre el excedente del límite inferior]))))+(VLOOKUP(TabImpuestos[[#This Row],[Ingreso ordinario]],TabISR[],COLUMN(TabISR[Cuota fija])))),0),0),0)</f>
        <v>0</v>
      </c>
      <c r="T72" s="54" cm="1">
        <f t="array" ref="T72">((15*VLOOKUP(TabImpuestos[[#This Row],[ID]],TabEmpleados[],COLUMN(TabEmpleados[SD Fiscal]),FALSE))-(30*SMDF))/365*30.4</f>
        <v>-165.45928767123286</v>
      </c>
      <c r="U72" s="54">
        <f>TabImpuestos[[#This Row],[Ingreso ordinario]]+TabImpuestos[[#This Row],[Aguinaldo Gravado Mensual]]</f>
        <v>1658.5407123287671</v>
      </c>
      <c r="V72" s="54" cm="1">
        <f t="array" ref="V72">(((TabImpuestos[[#This Row],[Ingresos totales]]-(VLOOKUP(TabImpuestos[[#This Row],[Ingresos totales]],TabISR[],COLUMN(TabISR[Límite inferior]))))*(VLOOKUP(TabImpuestos[[#This Row],[Ingresos totales]],TabISR[],COLUMN(TabISR[Por ciento para aplicarse sobre el excedente del límite inferior]))))+(VLOOKUP(TabImpuestos[[#This Row],[Ingresos totales]],TabISR[],COLUMN(TabISR[Cuota fija]))))</f>
        <v>89.637565589041102</v>
      </c>
      <c r="W72" s="54" cm="1">
        <f t="array" ref="W72">(((TabImpuestos[[#This Row],[Ingreso ordinario]]-(VLOOKUP(TabImpuestos[[#This Row],[Ingreso ordinario]],TabISR[],COLUMN(TabISR[Límite inferior]))))*(VLOOKUP(TabImpuestos[[#This Row],[Ingreso ordinario]],TabISR[],COLUMN(TabISR[Por ciento para aplicarse sobre el excedente del límite inferior]))))+(VLOOKUP(TabImpuestos[[#This Row],[Ingreso ordinario]],TabISR[],COLUMN(TabISR[Cuota fija]))))</f>
        <v>100.22695999999999</v>
      </c>
      <c r="X72" s="54">
        <f>TabImpuestos[[#This Row],[ISR Por ingresos totales]]-TabImpuestos[[#This Row],[ISR por ingreso ordinario]]</f>
        <v>-10.589394410958889</v>
      </c>
      <c r="Y72" s="236">
        <f>TabImpuestos[[#This Row],[Diferencia de ISR''s]]/TabImpuestos[[#This Row],[Aguinaldo Gravado Mensual]]</f>
        <v>6.3999999999999918E-2</v>
      </c>
      <c r="Z72" s="54" cm="1">
        <f t="array" ref="Z72">IFERROR(IF('Desglose Salarios Fiscal'!$Q$1=1,((15*VLOOKUP(TabImpuestos[[#This Row],[ID]],TabEmpleados[],COLUMN(TabEmpleados[SD Fiscal]),FALSE))-(30*SMDF))*TabImpuestos[[#This Row],[Tasa D %]],0),0)</f>
        <v>-127.14239999999982</v>
      </c>
    </row>
    <row r="73" spans="1:26" x14ac:dyDescent="0.25">
      <c r="A73" s="31">
        <f t="shared" si="1"/>
        <v>71</v>
      </c>
      <c r="B73" s="30" t="str" cm="1">
        <f t="array" ref="B73">VLOOKUP(A73,TabEmpleados[],COLUMN(TabEmpleados[Nombre]),FALSE)</f>
        <v>GARCIA ALONZO ANGEL MARTIN</v>
      </c>
      <c r="C73" s="54" cm="1">
        <f t="array" ref="C73">(VLOOKUP(TabImpuestos[[#This Row],[ID]],TabEmpleados[],COLUMN(TabEmpleados[SD Fiscal]))*VLOOKUP(TabImpuestos[[#This Row],[ID]],TabAsistencias[],COLUMN(TabAsistencias[''Total de dias laborados])))+
TabImpuestos[[#This Row],[Bono Asistencia]]+TabImpuestos[[#This Row],[Bono Puntualidad]]+TabImpuestos[[#This Row],[Prima Dominical]]+TabImpuestos[[#This Row],[Prima Vacacional]]+TabImpuestos[[#This Row],[Bono Festivo/ Descanso]]</f>
        <v>5388.0707999999995</v>
      </c>
      <c r="D73" s="54" cm="1">
        <f t="array" ref="D73">VLOOKUP(TabImpuestos[[#This Row],[ID]],TabDesSalariosFiscal[],COLUMN(TabDesSalariosFiscal[Bono Asistencia]),FALSE)</f>
        <v>504.03540000000004</v>
      </c>
      <c r="E73" s="54" cm="1">
        <f t="array" ref="E73">VLOOKUP(TabImpuestos[[#This Row],[ID]],TabDesSalariosFiscal[],COLUMN(TabDesSalariosFiscal[Bono Puntualidad]),FALSE)</f>
        <v>504.03540000000004</v>
      </c>
      <c r="F73" s="54" cm="1">
        <f t="array" ref="F73">IF(VLOOKUP(TabImpuestos[[#This Row],[ID]],TabDesSalariosFiscal[],COLUMN(TabDesSalariosFiscal[Prima dominical]),FALSE)-SMDF&lt;0,0,VLOOKUP(TabImpuestos[[#This Row],[ID]],TabDesSalariosFiscal[],COLUMN(TabDesSalariosFiscal[Prima dominical]),FALSE)-SMDF)</f>
        <v>0</v>
      </c>
      <c r="G73" s="54" cm="1">
        <f t="array" ref="G73">IF(VLOOKUP(TabImpuestos[[#This Row],[ID]],TabDesSalariosFiscal[],COLUMN(TabDesSalariosFiscal[Prima vacacional]),FALSE)-(15*SMDF)&lt;0,0,VLOOKUP(TabImpuestos[[#This Row],[ID]],TabDesSalariosFiscal[],COLUMN(TabDesSalariosFiscal[Prima vacacional]),FALSE)-(15*SMDF))</f>
        <v>0</v>
      </c>
      <c r="H73" s="54" cm="1">
        <f t="array" ref="H73">(VLOOKUP(TabImpuestos[[#This Row],[ID]],TabDesSalariosFiscal[],COLUMN(TabDesSalariosFiscal[Dia Festivo/ Descanso]),FALSE)*50%)</f>
        <v>0</v>
      </c>
      <c r="I73" s="54" cm="1">
        <f t="array" ref="I73">IFERROR(VLOOKUP(TabImpuestos[[#This Row],[Base Gravable]],TabISR[],COLUMN(TabISR[Límite inferior])),0)</f>
        <v>3124.36</v>
      </c>
      <c r="J73" s="54">
        <f>IFERROR(TabImpuestos[[#This Row],[Base Gravable]]-TabImpuestos[[#This Row],[(-) Lim. Inferior]],0)</f>
        <v>2263.7107999999994</v>
      </c>
      <c r="K73" s="236" cm="1">
        <f t="array" ref="K73">IFERROR(VLOOKUP(TabImpuestos[[#This Row],[Base Gravable]],TabISR[],COLUMN(TabISR[Por ciento para aplicarse sobre el excedente del límite inferior])),0)</f>
        <v>0.10879999999999999</v>
      </c>
      <c r="L73" s="54">
        <f>IFERROR(TabImpuestos[[#This Row],[EXC. Lim. Inferior]]*TabImpuestos[[#This Row],[(*) % Lim. Inf.]],0)</f>
        <v>246.29173503999991</v>
      </c>
      <c r="M73" s="54" cm="1">
        <f t="array" ref="M73">IFERROR(VLOOKUP(TabImpuestos[[#This Row],[Base Gravable]],TabISR[],COLUMN(TabISR[Cuota fija])),0)</f>
        <v>183.45</v>
      </c>
      <c r="N73" s="54">
        <f>IFERROR(TabImpuestos[[#This Row],[Impuesto marginal]]+TabImpuestos[[#This Row],[(+) Cuota Fija]],0)</f>
        <v>429.74173503999987</v>
      </c>
      <c r="O73" s="54" cm="1">
        <f t="array" ref="O73">IFERROR(VLOOKUP(TabImpuestos[[#This Row],[Base Gravable]],TabSubsidio[],COLUMN(TabSubsidio[SUBSIDIO])),0)</f>
        <v>0</v>
      </c>
      <c r="P73" s="54">
        <f>IFERROR(TabImpuestos[[#This Row],[Imp. Art. 96 ISR]]-TabImpuestos[[#This Row],[(-) Subsidio para el empleo]],0)</f>
        <v>429.74173503999987</v>
      </c>
      <c r="Q73" s="54" cm="1">
        <f t="array" ref="Q73">IF('Desglose Salarios Fiscal'!$Q$1=1,TabImpuestos[[#This Row],[Ingreso ordinario]]+((15*VLOOKUP(TabImpuestos[[#This Row],[ID]],TabEmpleados[],COLUMN(TabEmpleados[SD Fiscal]),FALSE))-(30*SMDF)),0)</f>
        <v>-162.59999999999991</v>
      </c>
      <c r="R73" s="54" cm="1">
        <f t="array" ref="R73">IF('Desglose Salarios Fiscal'!$Q$1=1,(VLOOKUP(TabImpuestos[[#This Row],[ID]],TabEmpleados[],COLUMN(TabEmpleados[SD Fiscal]),FALSE)*30.4)-TabImpuestos[[#This Row],[(-) Subsidio para el empleo]],0)</f>
        <v>1824</v>
      </c>
      <c r="S73" s="54" cm="1">
        <f t="array" ref="S73">IFERROR(IF('Desglose Salarios Fiscal'!$Q$1=1,IFERROR((((TabImpuestos[[#This Row],[Ingreso Neto]]-(VLOOKUP(TabImpuestos[[#This Row],[Ingreso Neto]],TabISR[],COLUMN(TabISR[Límite inferior]))))*(VLOOKUP(TabImpuestos[[#This Row],[Ingreso Neto]],TabISR[],COLUMN(TabISR[Por ciento para aplicarse sobre el excedente del límite inferior]))))+(VLOOKUP(TabImpuestos[[#This Row],[Ingreso Neto]],TabISR[],COLUMN(TabISR[Cuota fija]))))-(((TabImpuestos[[#This Row],[Ingreso ordinario]]-(VLOOKUP(TabImpuestos[[#This Row],[Ingreso ordinario]],TabISR[],COLUMN(TabISR[Límite inferior]))))*(VLOOKUP(TabImpuestos[[#This Row],[Ingreso ordinario]],TabISR[],COLUMN(TabISR[Por ciento para aplicarse sobre el excedente del límite inferior]))))+(VLOOKUP(TabImpuestos[[#This Row],[Ingreso ordinario]],TabISR[],COLUMN(TabISR[Cuota fija])))),0),0),0)</f>
        <v>0</v>
      </c>
      <c r="T73" s="54" cm="1">
        <f t="array" ref="T73">((15*VLOOKUP(TabImpuestos[[#This Row],[ID]],TabEmpleados[],COLUMN(TabEmpleados[SD Fiscal]),FALSE))-(30*SMDF))/365*30.4</f>
        <v>-165.45928767123286</v>
      </c>
      <c r="U73" s="54">
        <f>TabImpuestos[[#This Row],[Ingreso ordinario]]+TabImpuestos[[#This Row],[Aguinaldo Gravado Mensual]]</f>
        <v>1658.5407123287671</v>
      </c>
      <c r="V73" s="54" cm="1">
        <f t="array" ref="V73">(((TabImpuestos[[#This Row],[Ingresos totales]]-(VLOOKUP(TabImpuestos[[#This Row],[Ingresos totales]],TabISR[],COLUMN(TabISR[Límite inferior]))))*(VLOOKUP(TabImpuestos[[#This Row],[Ingresos totales]],TabISR[],COLUMN(TabISR[Por ciento para aplicarse sobre el excedente del límite inferior]))))+(VLOOKUP(TabImpuestos[[#This Row],[Ingresos totales]],TabISR[],COLUMN(TabISR[Cuota fija]))))</f>
        <v>89.637565589041102</v>
      </c>
      <c r="W73" s="54" cm="1">
        <f t="array" ref="W73">(((TabImpuestos[[#This Row],[Ingreso ordinario]]-(VLOOKUP(TabImpuestos[[#This Row],[Ingreso ordinario]],TabISR[],COLUMN(TabISR[Límite inferior]))))*(VLOOKUP(TabImpuestos[[#This Row],[Ingreso ordinario]],TabISR[],COLUMN(TabISR[Por ciento para aplicarse sobre el excedente del límite inferior]))))+(VLOOKUP(TabImpuestos[[#This Row],[Ingreso ordinario]],TabISR[],COLUMN(TabISR[Cuota fija]))))</f>
        <v>100.22695999999999</v>
      </c>
      <c r="X73" s="54">
        <f>TabImpuestos[[#This Row],[ISR Por ingresos totales]]-TabImpuestos[[#This Row],[ISR por ingreso ordinario]]</f>
        <v>-10.589394410958889</v>
      </c>
      <c r="Y73" s="236">
        <f>TabImpuestos[[#This Row],[Diferencia de ISR''s]]/TabImpuestos[[#This Row],[Aguinaldo Gravado Mensual]]</f>
        <v>6.3999999999999918E-2</v>
      </c>
      <c r="Z73" s="54" cm="1">
        <f t="array" ref="Z73">IFERROR(IF('Desglose Salarios Fiscal'!$Q$1=1,((15*VLOOKUP(TabImpuestos[[#This Row],[ID]],TabEmpleados[],COLUMN(TabEmpleados[SD Fiscal]),FALSE))-(30*SMDF))*TabImpuestos[[#This Row],[Tasa D %]],0),0)</f>
        <v>-127.14239999999982</v>
      </c>
    </row>
    <row r="74" spans="1:26" x14ac:dyDescent="0.25">
      <c r="A74">
        <f t="shared" si="1"/>
        <v>72</v>
      </c>
      <c r="B74" t="str" cm="1">
        <f t="array" ref="B74">VLOOKUP(A74,TabEmpleados[],COLUMN(TabEmpleados[Nombre]),FALSE)</f>
        <v>JIMENEZ GODINEZ GABRIELA</v>
      </c>
      <c r="C74" s="54" cm="1">
        <f t="array" ref="C74">(VLOOKUP(TabImpuestos[[#This Row],[ID]],TabEmpleados[],COLUMN(TabEmpleados[SD Fiscal]))*VLOOKUP(TabImpuestos[[#This Row],[ID]],TabAsistencias[],COLUMN(TabAsistencias[''Total de dias laborados])))+
TabImpuestos[[#This Row],[Bono Asistencia]]+TabImpuestos[[#This Row],[Bono Puntualidad]]+TabImpuestos[[#This Row],[Prima Dominical]]+TabImpuestos[[#This Row],[Prima Vacacional]]+TabImpuestos[[#This Row],[Bono Festivo/ Descanso]]</f>
        <v>8082.1062000000002</v>
      </c>
      <c r="D74" s="54" cm="1">
        <f t="array" ref="D74">VLOOKUP(TabImpuestos[[#This Row],[ID]],TabDesSalariosFiscal[],COLUMN(TabDesSalariosFiscal[Bono Asistencia]),FALSE)</f>
        <v>756.05310000000009</v>
      </c>
      <c r="E74" s="54" cm="1">
        <f t="array" ref="E74">VLOOKUP(TabImpuestos[[#This Row],[ID]],TabDesSalariosFiscal[],COLUMN(TabDesSalariosFiscal[Bono Puntualidad]),FALSE)</f>
        <v>756.05310000000009</v>
      </c>
      <c r="F74" s="54" cm="1">
        <f t="array" ref="F74">IF(VLOOKUP(TabImpuestos[[#This Row],[ID]],TabDesSalariosFiscal[],COLUMN(TabDesSalariosFiscal[Prima dominical]),FALSE)-SMDF&lt;0,0,VLOOKUP(TabImpuestos[[#This Row],[ID]],TabDesSalariosFiscal[],COLUMN(TabDesSalariosFiscal[Prima dominical]),FALSE)-SMDF)</f>
        <v>0</v>
      </c>
      <c r="G74" s="54" cm="1">
        <f t="array" ref="G74">IF(VLOOKUP(TabImpuestos[[#This Row],[ID]],TabDesSalariosFiscal[],COLUMN(TabDesSalariosFiscal[Prima vacacional]),FALSE)-(15*SMDF)&lt;0,0,VLOOKUP(TabImpuestos[[#This Row],[ID]],TabDesSalariosFiscal[],COLUMN(TabDesSalariosFiscal[Prima vacacional]),FALSE)-(15*SMDF))</f>
        <v>0</v>
      </c>
      <c r="H74" s="54" cm="1">
        <f t="array" ref="H74">(VLOOKUP(TabImpuestos[[#This Row],[ID]],TabDesSalariosFiscal[],COLUMN(TabDesSalariosFiscal[Dia Festivo/ Descanso]),FALSE)*50%)</f>
        <v>0</v>
      </c>
      <c r="I74" s="54" cm="1">
        <f t="array" ref="I74">IFERROR(VLOOKUP(TabImpuestos[[#This Row],[Base Gravable]],TabISR[],COLUMN(TabISR[Límite inferior])),0)</f>
        <v>7641.91</v>
      </c>
      <c r="J74" s="54">
        <f>IFERROR(TabImpuestos[[#This Row],[Base Gravable]]-TabImpuestos[[#This Row],[(-) Lim. Inferior]],0)</f>
        <v>440.19620000000032</v>
      </c>
      <c r="K74" s="236" cm="1">
        <f t="array" ref="K74">IFERROR(VLOOKUP(TabImpuestos[[#This Row],[Base Gravable]],TabISR[],COLUMN(TabISR[Por ciento para aplicarse sobre el excedente del límite inferior])),0)</f>
        <v>0.21360000000000001</v>
      </c>
      <c r="L74" s="54">
        <f>IFERROR(TabImpuestos[[#This Row],[EXC. Lim. Inferior]]*TabImpuestos[[#This Row],[(*) % Lim. Inf.]],0)</f>
        <v>94.02590832000007</v>
      </c>
      <c r="M74" s="54" cm="1">
        <f t="array" ref="M74">IFERROR(VLOOKUP(TabImpuestos[[#This Row],[Base Gravable]],TabISR[],COLUMN(TabISR[Cuota fija])),0)</f>
        <v>809.25</v>
      </c>
      <c r="N74" s="54">
        <f>IFERROR(TabImpuestos[[#This Row],[Impuesto marginal]]+TabImpuestos[[#This Row],[(+) Cuota Fija]],0)</f>
        <v>903.2759083200001</v>
      </c>
      <c r="O74" s="54" cm="1">
        <f t="array" ref="O74">IFERROR(VLOOKUP(TabImpuestos[[#This Row],[Base Gravable]],TabSubsidio[],COLUMN(TabSubsidio[SUBSIDIO])),0)</f>
        <v>0</v>
      </c>
      <c r="P74" s="54">
        <f>IFERROR(TabImpuestos[[#This Row],[Imp. Art. 96 ISR]]-TabImpuestos[[#This Row],[(-) Subsidio para el empleo]],0)</f>
        <v>903.2759083200001</v>
      </c>
      <c r="Q74" s="54" cm="1">
        <f t="array" ref="Q74">IF('Desglose Salarios Fiscal'!$Q$1=1,TabImpuestos[[#This Row],[Ingreso ordinario]]+((15*VLOOKUP(TabImpuestos[[#This Row],[ID]],TabEmpleados[],COLUMN(TabEmpleados[SD Fiscal]),FALSE))-(30*SMDF)),0)</f>
        <v>1199.4000000000001</v>
      </c>
      <c r="R74" s="54" cm="1">
        <f t="array" ref="R74">IF('Desglose Salarios Fiscal'!$Q$1=1,(VLOOKUP(TabImpuestos[[#This Row],[ID]],TabEmpleados[],COLUMN(TabEmpleados[SD Fiscal]),FALSE)*30.4)-TabImpuestos[[#This Row],[(-) Subsidio para el empleo]],0)</f>
        <v>2736</v>
      </c>
      <c r="S74" s="54" cm="1">
        <f t="array" ref="S74">IFERROR(IF('Desglose Salarios Fiscal'!$Q$1=1,IFERROR((((TabImpuestos[[#This Row],[Ingreso Neto]]-(VLOOKUP(TabImpuestos[[#This Row],[Ingreso Neto]],TabISR[],COLUMN(TabISR[Límite inferior]))))*(VLOOKUP(TabImpuestos[[#This Row],[Ingreso Neto]],TabISR[],COLUMN(TabISR[Por ciento para aplicarse sobre el excedente del límite inferior]))))+(VLOOKUP(TabImpuestos[[#This Row],[Ingreso Neto]],TabISR[],COLUMN(TabISR[Cuota fija]))))-(((TabImpuestos[[#This Row],[Ingreso ordinario]]-(VLOOKUP(TabImpuestos[[#This Row],[Ingreso ordinario]],TabISR[],COLUMN(TabISR[Límite inferior]))))*(VLOOKUP(TabImpuestos[[#This Row],[Ingreso ordinario]],TabISR[],COLUMN(TabISR[Por ciento para aplicarse sobre el excedente del límite inferior]))))+(VLOOKUP(TabImpuestos[[#This Row],[Ingreso ordinario]],TabISR[],COLUMN(TabISR[Cuota fija])))),0),0),0)</f>
        <v>-98.342400000000012</v>
      </c>
      <c r="T74" s="54" cm="1">
        <f t="array" ref="T74">((15*VLOOKUP(TabImpuestos[[#This Row],[ID]],TabEmpleados[],COLUMN(TabEmpleados[SD Fiscal]),FALSE))-(30*SMDF))/365*30.4</f>
        <v>-127.97983561643835</v>
      </c>
      <c r="U74" s="54">
        <f>TabImpuestos[[#This Row],[Ingreso ordinario]]+TabImpuestos[[#This Row],[Aguinaldo Gravado Mensual]]</f>
        <v>2608.0201643835617</v>
      </c>
      <c r="V74" s="54" cm="1">
        <f t="array" ref="V74">(((TabImpuestos[[#This Row],[Ingresos totales]]-(VLOOKUP(TabImpuestos[[#This Row],[Ingresos totales]],TabISR[],COLUMN(TabISR[Límite inferior]))))*(VLOOKUP(TabImpuestos[[#This Row],[Ingresos totales]],TabISR[],COLUMN(TabISR[Por ciento para aplicarse sobre el excedente del límite inferior]))))+(VLOOKUP(TabImpuestos[[#This Row],[Ingresos totales]],TabISR[],COLUMN(TabISR[Cuota fija]))))</f>
        <v>150.40425052054795</v>
      </c>
      <c r="W74" s="54" cm="1">
        <f t="array" ref="W74">(((TabImpuestos[[#This Row],[Ingreso ordinario]]-(VLOOKUP(TabImpuestos[[#This Row],[Ingreso ordinario]],TabISR[],COLUMN(TabISR[Límite inferior]))))*(VLOOKUP(TabImpuestos[[#This Row],[Ingreso ordinario]],TabISR[],COLUMN(TabISR[Por ciento para aplicarse sobre el excedente del límite inferior]))))+(VLOOKUP(TabImpuestos[[#This Row],[Ingreso ordinario]],TabISR[],COLUMN(TabISR[Cuota fija]))))</f>
        <v>158.59496000000001</v>
      </c>
      <c r="X74" s="54">
        <f>TabImpuestos[[#This Row],[ISR Por ingresos totales]]-TabImpuestos[[#This Row],[ISR por ingreso ordinario]]</f>
        <v>-8.1907094794520674</v>
      </c>
      <c r="Y74" s="236">
        <f>TabImpuestos[[#This Row],[Diferencia de ISR''s]]/TabImpuestos[[#This Row],[Aguinaldo Gravado Mensual]]</f>
        <v>6.4000000000000098E-2</v>
      </c>
      <c r="Z74" s="54" cm="1">
        <f t="array" ref="Z74">IFERROR(IF('Desglose Salarios Fiscal'!$Q$1=1,((15*VLOOKUP(TabImpuestos[[#This Row],[ID]],TabEmpleados[],COLUMN(TabEmpleados[SD Fiscal]),FALSE))-(30*SMDF))*TabImpuestos[[#This Row],[Tasa D %]],0),0)</f>
        <v>-98.34240000000014</v>
      </c>
    </row>
    <row r="75" spans="1:26" x14ac:dyDescent="0.25">
      <c r="A75" s="31">
        <f t="shared" si="1"/>
        <v>73</v>
      </c>
      <c r="B75" s="30" t="str" cm="1">
        <f t="array" ref="B75">VLOOKUP(A75,TabEmpleados[],COLUMN(TabEmpleados[Nombre]),FALSE)</f>
        <v>CORTES SILVA MONICA</v>
      </c>
      <c r="C75" s="54" cm="1">
        <f t="array" ref="C75">(VLOOKUP(TabImpuestos[[#This Row],[ID]],TabEmpleados[],COLUMN(TabEmpleados[SD Fiscal]))*VLOOKUP(TabImpuestos[[#This Row],[ID]],TabAsistencias[],COLUMN(TabAsistencias[''Total de dias laborados])))+
TabImpuestos[[#This Row],[Bono Asistencia]]+TabImpuestos[[#This Row],[Bono Puntualidad]]+TabImpuestos[[#This Row],[Prima Dominical]]+TabImpuestos[[#This Row],[Prima Vacacional]]+TabImpuestos[[#This Row],[Bono Festivo/ Descanso]]</f>
        <v>8082.1062000000002</v>
      </c>
      <c r="D75" s="54" cm="1">
        <f t="array" ref="D75">VLOOKUP(TabImpuestos[[#This Row],[ID]],TabDesSalariosFiscal[],COLUMN(TabDesSalariosFiscal[Bono Asistencia]),FALSE)</f>
        <v>756.05310000000009</v>
      </c>
      <c r="E75" s="54" cm="1">
        <f t="array" ref="E75">VLOOKUP(TabImpuestos[[#This Row],[ID]],TabDesSalariosFiscal[],COLUMN(TabDesSalariosFiscal[Bono Puntualidad]),FALSE)</f>
        <v>756.05310000000009</v>
      </c>
      <c r="F75" s="54" cm="1">
        <f t="array" ref="F75">IF(VLOOKUP(TabImpuestos[[#This Row],[ID]],TabDesSalariosFiscal[],COLUMN(TabDesSalariosFiscal[Prima dominical]),FALSE)-SMDF&lt;0,0,VLOOKUP(TabImpuestos[[#This Row],[ID]],TabDesSalariosFiscal[],COLUMN(TabDesSalariosFiscal[Prima dominical]),FALSE)-SMDF)</f>
        <v>0</v>
      </c>
      <c r="G75" s="54" cm="1">
        <f t="array" ref="G75">IF(VLOOKUP(TabImpuestos[[#This Row],[ID]],TabDesSalariosFiscal[],COLUMN(TabDesSalariosFiscal[Prima vacacional]),FALSE)-(15*SMDF)&lt;0,0,VLOOKUP(TabImpuestos[[#This Row],[ID]],TabDesSalariosFiscal[],COLUMN(TabDesSalariosFiscal[Prima vacacional]),FALSE)-(15*SMDF))</f>
        <v>0</v>
      </c>
      <c r="H75" s="54" cm="1">
        <f t="array" ref="H75">(VLOOKUP(TabImpuestos[[#This Row],[ID]],TabDesSalariosFiscal[],COLUMN(TabDesSalariosFiscal[Dia Festivo/ Descanso]),FALSE)*50%)</f>
        <v>0</v>
      </c>
      <c r="I75" s="54" cm="1">
        <f t="array" ref="I75">IFERROR(VLOOKUP(TabImpuestos[[#This Row],[Base Gravable]],TabISR[],COLUMN(TabISR[Límite inferior])),0)</f>
        <v>7641.91</v>
      </c>
      <c r="J75" s="54">
        <f>IFERROR(TabImpuestos[[#This Row],[Base Gravable]]-TabImpuestos[[#This Row],[(-) Lim. Inferior]],0)</f>
        <v>440.19620000000032</v>
      </c>
      <c r="K75" s="236" cm="1">
        <f t="array" ref="K75">IFERROR(VLOOKUP(TabImpuestos[[#This Row],[Base Gravable]],TabISR[],COLUMN(TabISR[Por ciento para aplicarse sobre el excedente del límite inferior])),0)</f>
        <v>0.21360000000000001</v>
      </c>
      <c r="L75" s="54">
        <f>IFERROR(TabImpuestos[[#This Row],[EXC. Lim. Inferior]]*TabImpuestos[[#This Row],[(*) % Lim. Inf.]],0)</f>
        <v>94.02590832000007</v>
      </c>
      <c r="M75" s="54" cm="1">
        <f t="array" ref="M75">IFERROR(VLOOKUP(TabImpuestos[[#This Row],[Base Gravable]],TabISR[],COLUMN(TabISR[Cuota fija])),0)</f>
        <v>809.25</v>
      </c>
      <c r="N75" s="54">
        <f>IFERROR(TabImpuestos[[#This Row],[Impuesto marginal]]+TabImpuestos[[#This Row],[(+) Cuota Fija]],0)</f>
        <v>903.2759083200001</v>
      </c>
      <c r="O75" s="54" cm="1">
        <f t="array" ref="O75">IFERROR(VLOOKUP(TabImpuestos[[#This Row],[Base Gravable]],TabSubsidio[],COLUMN(TabSubsidio[SUBSIDIO])),0)</f>
        <v>0</v>
      </c>
      <c r="P75" s="54">
        <f>IFERROR(TabImpuestos[[#This Row],[Imp. Art. 96 ISR]]-TabImpuestos[[#This Row],[(-) Subsidio para el empleo]],0)</f>
        <v>903.2759083200001</v>
      </c>
      <c r="Q75" s="54" cm="1">
        <f t="array" ref="Q75">IF('Desglose Salarios Fiscal'!$Q$1=1,TabImpuestos[[#This Row],[Ingreso ordinario]]+((15*VLOOKUP(TabImpuestos[[#This Row],[ID]],TabEmpleados[],COLUMN(TabEmpleados[SD Fiscal]),FALSE))-(30*SMDF)),0)</f>
        <v>1199.4000000000001</v>
      </c>
      <c r="R75" s="54" cm="1">
        <f t="array" ref="R75">IF('Desglose Salarios Fiscal'!$Q$1=1,(VLOOKUP(TabImpuestos[[#This Row],[ID]],TabEmpleados[],COLUMN(TabEmpleados[SD Fiscal]),FALSE)*30.4)-TabImpuestos[[#This Row],[(-) Subsidio para el empleo]],0)</f>
        <v>2736</v>
      </c>
      <c r="S75" s="54" cm="1">
        <f t="array" ref="S75">IFERROR(IF('Desglose Salarios Fiscal'!$Q$1=1,IFERROR((((TabImpuestos[[#This Row],[Ingreso Neto]]-(VLOOKUP(TabImpuestos[[#This Row],[Ingreso Neto]],TabISR[],COLUMN(TabISR[Límite inferior]))))*(VLOOKUP(TabImpuestos[[#This Row],[Ingreso Neto]],TabISR[],COLUMN(TabISR[Por ciento para aplicarse sobre el excedente del límite inferior]))))+(VLOOKUP(TabImpuestos[[#This Row],[Ingreso Neto]],TabISR[],COLUMN(TabISR[Cuota fija]))))-(((TabImpuestos[[#This Row],[Ingreso ordinario]]-(VLOOKUP(TabImpuestos[[#This Row],[Ingreso ordinario]],TabISR[],COLUMN(TabISR[Límite inferior]))))*(VLOOKUP(TabImpuestos[[#This Row],[Ingreso ordinario]],TabISR[],COLUMN(TabISR[Por ciento para aplicarse sobre el excedente del límite inferior]))))+(VLOOKUP(TabImpuestos[[#This Row],[Ingreso ordinario]],TabISR[],COLUMN(TabISR[Cuota fija])))),0),0),0)</f>
        <v>-98.342400000000012</v>
      </c>
      <c r="T75" s="54" cm="1">
        <f t="array" ref="T75">((15*VLOOKUP(TabImpuestos[[#This Row],[ID]],TabEmpleados[],COLUMN(TabEmpleados[SD Fiscal]),FALSE))-(30*SMDF))/365*30.4</f>
        <v>-127.97983561643835</v>
      </c>
      <c r="U75" s="54">
        <f>TabImpuestos[[#This Row],[Ingreso ordinario]]+TabImpuestos[[#This Row],[Aguinaldo Gravado Mensual]]</f>
        <v>2608.0201643835617</v>
      </c>
      <c r="V75" s="54" cm="1">
        <f t="array" ref="V75">(((TabImpuestos[[#This Row],[Ingresos totales]]-(VLOOKUP(TabImpuestos[[#This Row],[Ingresos totales]],TabISR[],COLUMN(TabISR[Límite inferior]))))*(VLOOKUP(TabImpuestos[[#This Row],[Ingresos totales]],TabISR[],COLUMN(TabISR[Por ciento para aplicarse sobre el excedente del límite inferior]))))+(VLOOKUP(TabImpuestos[[#This Row],[Ingresos totales]],TabISR[],COLUMN(TabISR[Cuota fija]))))</f>
        <v>150.40425052054795</v>
      </c>
      <c r="W75" s="54" cm="1">
        <f t="array" ref="W75">(((TabImpuestos[[#This Row],[Ingreso ordinario]]-(VLOOKUP(TabImpuestos[[#This Row],[Ingreso ordinario]],TabISR[],COLUMN(TabISR[Límite inferior]))))*(VLOOKUP(TabImpuestos[[#This Row],[Ingreso ordinario]],TabISR[],COLUMN(TabISR[Por ciento para aplicarse sobre el excedente del límite inferior]))))+(VLOOKUP(TabImpuestos[[#This Row],[Ingreso ordinario]],TabISR[],COLUMN(TabISR[Cuota fija]))))</f>
        <v>158.59496000000001</v>
      </c>
      <c r="X75" s="54">
        <f>TabImpuestos[[#This Row],[ISR Por ingresos totales]]-TabImpuestos[[#This Row],[ISR por ingreso ordinario]]</f>
        <v>-8.1907094794520674</v>
      </c>
      <c r="Y75" s="236">
        <f>TabImpuestos[[#This Row],[Diferencia de ISR''s]]/TabImpuestos[[#This Row],[Aguinaldo Gravado Mensual]]</f>
        <v>6.4000000000000098E-2</v>
      </c>
      <c r="Z75" s="54" cm="1">
        <f t="array" ref="Z75">IFERROR(IF('Desglose Salarios Fiscal'!$Q$1=1,((15*VLOOKUP(TabImpuestos[[#This Row],[ID]],TabEmpleados[],COLUMN(TabEmpleados[SD Fiscal]),FALSE))-(30*SMDF))*TabImpuestos[[#This Row],[Tasa D %]],0),0)</f>
        <v>-98.34240000000014</v>
      </c>
    </row>
    <row r="76" spans="1:26" x14ac:dyDescent="0.25">
      <c r="A76">
        <f t="shared" si="1"/>
        <v>74</v>
      </c>
      <c r="B76" t="str" cm="1">
        <f t="array" ref="B76">VLOOKUP(A76,TabEmpleados[],COLUMN(TabEmpleados[Nombre]),FALSE)</f>
        <v>SAMARIO PEREZ JESUS FELIPE</v>
      </c>
      <c r="C76" s="54" cm="1">
        <f t="array" ref="C76">(VLOOKUP(TabImpuestos[[#This Row],[ID]],TabEmpleados[],COLUMN(TabEmpleados[SD Fiscal]))*VLOOKUP(TabImpuestos[[#This Row],[ID]],TabAsistencias[],COLUMN(TabAsistencias[''Total de dias laborados])))+
TabImpuestos[[#This Row],[Bono Asistencia]]+TabImpuestos[[#This Row],[Bono Puntualidad]]+TabImpuestos[[#This Row],[Prima Dominical]]+TabImpuestos[[#This Row],[Prima Vacacional]]+TabImpuestos[[#This Row],[Bono Festivo/ Descanso]]</f>
        <v>5388.0707999999995</v>
      </c>
      <c r="D76" s="54" cm="1">
        <f t="array" ref="D76">VLOOKUP(TabImpuestos[[#This Row],[ID]],TabDesSalariosFiscal[],COLUMN(TabDesSalariosFiscal[Bono Asistencia]),FALSE)</f>
        <v>504.03540000000004</v>
      </c>
      <c r="E76" s="54" cm="1">
        <f t="array" ref="E76">VLOOKUP(TabImpuestos[[#This Row],[ID]],TabDesSalariosFiscal[],COLUMN(TabDesSalariosFiscal[Bono Puntualidad]),FALSE)</f>
        <v>504.03540000000004</v>
      </c>
      <c r="F76" s="54" cm="1">
        <f t="array" ref="F76">IF(VLOOKUP(TabImpuestos[[#This Row],[ID]],TabDesSalariosFiscal[],COLUMN(TabDesSalariosFiscal[Prima dominical]),FALSE)-SMDF&lt;0,0,VLOOKUP(TabImpuestos[[#This Row],[ID]],TabDesSalariosFiscal[],COLUMN(TabDesSalariosFiscal[Prima dominical]),FALSE)-SMDF)</f>
        <v>0</v>
      </c>
      <c r="G76" s="54" cm="1">
        <f t="array" ref="G76">IF(VLOOKUP(TabImpuestos[[#This Row],[ID]],TabDesSalariosFiscal[],COLUMN(TabDesSalariosFiscal[Prima vacacional]),FALSE)-(15*SMDF)&lt;0,0,VLOOKUP(TabImpuestos[[#This Row],[ID]],TabDesSalariosFiscal[],COLUMN(TabDesSalariosFiscal[Prima vacacional]),FALSE)-(15*SMDF))</f>
        <v>0</v>
      </c>
      <c r="H76" s="54" cm="1">
        <f t="array" ref="H76">(VLOOKUP(TabImpuestos[[#This Row],[ID]],TabDesSalariosFiscal[],COLUMN(TabDesSalariosFiscal[Dia Festivo/ Descanso]),FALSE)*50%)</f>
        <v>0</v>
      </c>
      <c r="I76" s="54" cm="1">
        <f t="array" ref="I76">IFERROR(VLOOKUP(TabImpuestos[[#This Row],[Base Gravable]],TabISR[],COLUMN(TabISR[Límite inferior])),0)</f>
        <v>3124.36</v>
      </c>
      <c r="J76" s="54">
        <f>IFERROR(TabImpuestos[[#This Row],[Base Gravable]]-TabImpuestos[[#This Row],[(-) Lim. Inferior]],0)</f>
        <v>2263.7107999999994</v>
      </c>
      <c r="K76" s="236" cm="1">
        <f t="array" ref="K76">IFERROR(VLOOKUP(TabImpuestos[[#This Row],[Base Gravable]],TabISR[],COLUMN(TabISR[Por ciento para aplicarse sobre el excedente del límite inferior])),0)</f>
        <v>0.10879999999999999</v>
      </c>
      <c r="L76" s="54">
        <f>IFERROR(TabImpuestos[[#This Row],[EXC. Lim. Inferior]]*TabImpuestos[[#This Row],[(*) % Lim. Inf.]],0)</f>
        <v>246.29173503999991</v>
      </c>
      <c r="M76" s="54" cm="1">
        <f t="array" ref="M76">IFERROR(VLOOKUP(TabImpuestos[[#This Row],[Base Gravable]],TabISR[],COLUMN(TabISR[Cuota fija])),0)</f>
        <v>183.45</v>
      </c>
      <c r="N76" s="54">
        <f>IFERROR(TabImpuestos[[#This Row],[Impuesto marginal]]+TabImpuestos[[#This Row],[(+) Cuota Fija]],0)</f>
        <v>429.74173503999987</v>
      </c>
      <c r="O76" s="54" cm="1">
        <f t="array" ref="O76">IFERROR(VLOOKUP(TabImpuestos[[#This Row],[Base Gravable]],TabSubsidio[],COLUMN(TabSubsidio[SUBSIDIO])),0)</f>
        <v>0</v>
      </c>
      <c r="P76" s="54">
        <f>IFERROR(TabImpuestos[[#This Row],[Imp. Art. 96 ISR]]-TabImpuestos[[#This Row],[(-) Subsidio para el empleo]],0)</f>
        <v>429.74173503999987</v>
      </c>
      <c r="Q76" s="54" cm="1">
        <f t="array" ref="Q76">IF('Desglose Salarios Fiscal'!$Q$1=1,TabImpuestos[[#This Row],[Ingreso ordinario]]+((15*VLOOKUP(TabImpuestos[[#This Row],[ID]],TabEmpleados[],COLUMN(TabEmpleados[SD Fiscal]),FALSE))-(30*SMDF)),0)</f>
        <v>-162.59999999999991</v>
      </c>
      <c r="R76" s="54" cm="1">
        <f t="array" ref="R76">IF('Desglose Salarios Fiscal'!$Q$1=1,(VLOOKUP(TabImpuestos[[#This Row],[ID]],TabEmpleados[],COLUMN(TabEmpleados[SD Fiscal]),FALSE)*30.4)-TabImpuestos[[#This Row],[(-) Subsidio para el empleo]],0)</f>
        <v>1824</v>
      </c>
      <c r="S76" s="54" cm="1">
        <f t="array" ref="S76">IFERROR(IF('Desglose Salarios Fiscal'!$Q$1=1,IFERROR((((TabImpuestos[[#This Row],[Ingreso Neto]]-(VLOOKUP(TabImpuestos[[#This Row],[Ingreso Neto]],TabISR[],COLUMN(TabISR[Límite inferior]))))*(VLOOKUP(TabImpuestos[[#This Row],[Ingreso Neto]],TabISR[],COLUMN(TabISR[Por ciento para aplicarse sobre el excedente del límite inferior]))))+(VLOOKUP(TabImpuestos[[#This Row],[Ingreso Neto]],TabISR[],COLUMN(TabISR[Cuota fija]))))-(((TabImpuestos[[#This Row],[Ingreso ordinario]]-(VLOOKUP(TabImpuestos[[#This Row],[Ingreso ordinario]],TabISR[],COLUMN(TabISR[Límite inferior]))))*(VLOOKUP(TabImpuestos[[#This Row],[Ingreso ordinario]],TabISR[],COLUMN(TabISR[Por ciento para aplicarse sobre el excedente del límite inferior]))))+(VLOOKUP(TabImpuestos[[#This Row],[Ingreso ordinario]],TabISR[],COLUMN(TabISR[Cuota fija])))),0),0),0)</f>
        <v>0</v>
      </c>
      <c r="T76" s="54" cm="1">
        <f t="array" ref="T76">((15*VLOOKUP(TabImpuestos[[#This Row],[ID]],TabEmpleados[],COLUMN(TabEmpleados[SD Fiscal]),FALSE))-(30*SMDF))/365*30.4</f>
        <v>-165.45928767123286</v>
      </c>
      <c r="U76" s="54">
        <f>TabImpuestos[[#This Row],[Ingreso ordinario]]+TabImpuestos[[#This Row],[Aguinaldo Gravado Mensual]]</f>
        <v>1658.5407123287671</v>
      </c>
      <c r="V76" s="54" cm="1">
        <f t="array" ref="V76">(((TabImpuestos[[#This Row],[Ingresos totales]]-(VLOOKUP(TabImpuestos[[#This Row],[Ingresos totales]],TabISR[],COLUMN(TabISR[Límite inferior]))))*(VLOOKUP(TabImpuestos[[#This Row],[Ingresos totales]],TabISR[],COLUMN(TabISR[Por ciento para aplicarse sobre el excedente del límite inferior]))))+(VLOOKUP(TabImpuestos[[#This Row],[Ingresos totales]],TabISR[],COLUMN(TabISR[Cuota fija]))))</f>
        <v>89.637565589041102</v>
      </c>
      <c r="W76" s="54" cm="1">
        <f t="array" ref="W76">(((TabImpuestos[[#This Row],[Ingreso ordinario]]-(VLOOKUP(TabImpuestos[[#This Row],[Ingreso ordinario]],TabISR[],COLUMN(TabISR[Límite inferior]))))*(VLOOKUP(TabImpuestos[[#This Row],[Ingreso ordinario]],TabISR[],COLUMN(TabISR[Por ciento para aplicarse sobre el excedente del límite inferior]))))+(VLOOKUP(TabImpuestos[[#This Row],[Ingreso ordinario]],TabISR[],COLUMN(TabISR[Cuota fija]))))</f>
        <v>100.22695999999999</v>
      </c>
      <c r="X76" s="54">
        <f>TabImpuestos[[#This Row],[ISR Por ingresos totales]]-TabImpuestos[[#This Row],[ISR por ingreso ordinario]]</f>
        <v>-10.589394410958889</v>
      </c>
      <c r="Y76" s="236">
        <f>TabImpuestos[[#This Row],[Diferencia de ISR''s]]/TabImpuestos[[#This Row],[Aguinaldo Gravado Mensual]]</f>
        <v>6.3999999999999918E-2</v>
      </c>
      <c r="Z76" s="54" cm="1">
        <f t="array" ref="Z76">IFERROR(IF('Desglose Salarios Fiscal'!$Q$1=1,((15*VLOOKUP(TabImpuestos[[#This Row],[ID]],TabEmpleados[],COLUMN(TabEmpleados[SD Fiscal]),FALSE))-(30*SMDF))*TabImpuestos[[#This Row],[Tasa D %]],0),0)</f>
        <v>-127.14239999999982</v>
      </c>
    </row>
    <row r="77" spans="1:26" x14ac:dyDescent="0.25">
      <c r="A77" s="32">
        <f t="shared" si="1"/>
        <v>75</v>
      </c>
      <c r="B77" s="30" t="str" cm="1">
        <f t="array" ref="B77">VLOOKUP(A77,TabEmpleados[],COLUMN(TabEmpleados[Nombre]),FALSE)</f>
        <v xml:space="preserve">RUIZ MIJANGOS ISABEL </v>
      </c>
      <c r="C77" s="54" cm="1">
        <f t="array" ref="C77">(VLOOKUP(TabImpuestos[[#This Row],[ID]],TabEmpleados[],COLUMN(TabEmpleados[SD Fiscal]))*VLOOKUP(TabImpuestos[[#This Row],[ID]],TabAsistencias[],COLUMN(TabAsistencias[''Total de dias laborados])))+
TabImpuestos[[#This Row],[Bono Asistencia]]+TabImpuestos[[#This Row],[Bono Puntualidad]]+TabImpuestos[[#This Row],[Prima Dominical]]+TabImpuestos[[#This Row],[Prima Vacacional]]+TabImpuestos[[#This Row],[Bono Festivo/ Descanso]]</f>
        <v>18499.043080000003</v>
      </c>
      <c r="D77" s="54" cm="1">
        <f t="array" ref="D77">VLOOKUP(TabImpuestos[[#This Row],[ID]],TabDesSalariosFiscal[],COLUMN(TabDesSalariosFiscal[Bono Asistencia]),FALSE)</f>
        <v>1730.52154</v>
      </c>
      <c r="E77" s="54" cm="1">
        <f t="array" ref="E77">VLOOKUP(TabImpuestos[[#This Row],[ID]],TabDesSalariosFiscal[],COLUMN(TabDesSalariosFiscal[Bono Puntualidad]),FALSE)</f>
        <v>1730.52154</v>
      </c>
      <c r="F77" s="54" cm="1">
        <f t="array" ref="F77">IF(VLOOKUP(TabImpuestos[[#This Row],[ID]],TabDesSalariosFiscal[],COLUMN(TabDesSalariosFiscal[Prima dominical]),FALSE)-SMDF&lt;0,0,VLOOKUP(TabImpuestos[[#This Row],[ID]],TabDesSalariosFiscal[],COLUMN(TabDesSalariosFiscal[Prima dominical]),FALSE)-SMDF)</f>
        <v>0</v>
      </c>
      <c r="G77" s="54" cm="1">
        <f t="array" ref="G77">IF(VLOOKUP(TabImpuestos[[#This Row],[ID]],TabDesSalariosFiscal[],COLUMN(TabDesSalariosFiscal[Prima vacacional]),FALSE)-(15*SMDF)&lt;0,0,VLOOKUP(TabImpuestos[[#This Row],[ID]],TabDesSalariosFiscal[],COLUMN(TabDesSalariosFiscal[Prima vacacional]),FALSE)-(15*SMDF))</f>
        <v>0</v>
      </c>
      <c r="H77" s="54" cm="1">
        <f t="array" ref="H77">(VLOOKUP(TabImpuestos[[#This Row],[ID]],TabDesSalariosFiscal[],COLUMN(TabDesSalariosFiscal[Dia Festivo/ Descanso]),FALSE)*50%)</f>
        <v>0</v>
      </c>
      <c r="I77" s="54" cm="1">
        <f t="array" ref="I77">IFERROR(VLOOKUP(TabImpuestos[[#This Row],[Base Gravable]],TabISR[],COLUMN(TabISR[Límite inferior])),0)</f>
        <v>15412.81</v>
      </c>
      <c r="J77" s="54">
        <f>IFERROR(TabImpuestos[[#This Row],[Base Gravable]]-TabImpuestos[[#This Row],[(-) Lim. Inferior]],0)</f>
        <v>3086.2330800000036</v>
      </c>
      <c r="K77" s="236" cm="1">
        <f t="array" ref="K77">IFERROR(VLOOKUP(TabImpuestos[[#This Row],[Base Gravable]],TabISR[],COLUMN(TabISR[Por ciento para aplicarse sobre el excedente del límite inferior])),0)</f>
        <v>0.23519999999999999</v>
      </c>
      <c r="L77" s="54">
        <f>IFERROR(TabImpuestos[[#This Row],[EXC. Lim. Inferior]]*TabImpuestos[[#This Row],[(*) % Lim. Inf.]],0)</f>
        <v>725.88202041600084</v>
      </c>
      <c r="M77" s="54" cm="1">
        <f t="array" ref="M77">IFERROR(VLOOKUP(TabImpuestos[[#This Row],[Base Gravable]],TabISR[],COLUMN(TabISR[Cuota fija])),0)</f>
        <v>2469.15</v>
      </c>
      <c r="N77" s="54">
        <f>IFERROR(TabImpuestos[[#This Row],[Impuesto marginal]]+TabImpuestos[[#This Row],[(+) Cuota Fija]],0)</f>
        <v>3195.0320204160007</v>
      </c>
      <c r="O77" s="54" cm="1">
        <f t="array" ref="O77">IFERROR(VLOOKUP(TabImpuestos[[#This Row],[Base Gravable]],TabSubsidio[],COLUMN(TabSubsidio[SUBSIDIO])),0)</f>
        <v>0</v>
      </c>
      <c r="P77" s="54">
        <f>IFERROR(TabImpuestos[[#This Row],[Imp. Art. 96 ISR]]-TabImpuestos[[#This Row],[(-) Subsidio para el empleo]],0)</f>
        <v>3195.0320204160007</v>
      </c>
      <c r="Q77" s="54" cm="1">
        <f t="array" ref="Q77">IF('Desglose Salarios Fiscal'!$Q$1=1,TabImpuestos[[#This Row],[Ingreso ordinario]]+((15*VLOOKUP(TabImpuestos[[#This Row],[ID]],TabEmpleados[],COLUMN(TabEmpleados[SD Fiscal]),FALSE))-(30*SMDF)),0)</f>
        <v>6465.7999999999993</v>
      </c>
      <c r="R77" s="54" cm="1">
        <f t="array" ref="R77">IF('Desglose Salarios Fiscal'!$Q$1=1,(VLOOKUP(TabImpuestos[[#This Row],[ID]],TabEmpleados[],COLUMN(TabEmpleados[SD Fiscal]),FALSE)*30.4)-TabImpuestos[[#This Row],[(-) Subsidio para el empleo]],0)</f>
        <v>6262.4</v>
      </c>
      <c r="S77" s="54" cm="1">
        <f t="array" ref="S77">IFERROR(IF('Desglose Salarios Fiscal'!$Q$1=1,IFERROR((((TabImpuestos[[#This Row],[Ingreso Neto]]-(VLOOKUP(TabImpuestos[[#This Row],[Ingreso Neto]],TabISR[],COLUMN(TabISR[Límite inferior]))))*(VLOOKUP(TabImpuestos[[#This Row],[Ingreso Neto]],TabISR[],COLUMN(TabISR[Por ciento para aplicarse sobre el excedente del límite inferior]))))+(VLOOKUP(TabImpuestos[[#This Row],[Ingreso Neto]],TabISR[],COLUMN(TabISR[Cuota fija]))))-(((TabImpuestos[[#This Row],[Ingreso ordinario]]-(VLOOKUP(TabImpuestos[[#This Row],[Ingreso ordinario]],TabISR[],COLUMN(TabISR[Límite inferior]))))*(VLOOKUP(TabImpuestos[[#This Row],[Ingreso ordinario]],TabISR[],COLUMN(TabISR[Por ciento para aplicarse sobre el excedente del límite inferior]))))+(VLOOKUP(TabImpuestos[[#This Row],[Ingreso ordinario]],TabISR[],COLUMN(TabISR[Cuota fija])))),0),0),0)</f>
        <v>34.059407999999848</v>
      </c>
      <c r="T77" s="54" cm="1">
        <f t="array" ref="T77">((15*VLOOKUP(TabImpuestos[[#This Row],[ID]],TabEmpleados[],COLUMN(TabEmpleados[SD Fiscal]),FALSE))-(30*SMDF))/365*30.4</f>
        <v>16.94071232876713</v>
      </c>
      <c r="U77" s="54">
        <f>TabImpuestos[[#This Row],[Ingreso ordinario]]+TabImpuestos[[#This Row],[Aguinaldo Gravado Mensual]]</f>
        <v>6279.340712328767</v>
      </c>
      <c r="V77" s="54" cm="1">
        <f t="array" ref="V77">(((TabImpuestos[[#This Row],[Ingresos totales]]-(VLOOKUP(TabImpuestos[[#This Row],[Ingresos totales]],TabISR[],COLUMN(TabISR[Límite inferior]))))*(VLOOKUP(TabImpuestos[[#This Row],[Ingresos totales]],TabISR[],COLUMN(TabISR[Por ciento para aplicarse sobre el excedente del límite inferior]))))+(VLOOKUP(TabImpuestos[[#This Row],[Ingresos totales]],TabISR[],COLUMN(TabISR[Cuota fija]))))</f>
        <v>567.17291397260271</v>
      </c>
      <c r="W77" s="54" cm="1">
        <f t="array" ref="W77">(((TabImpuestos[[#This Row],[Ingreso ordinario]]-(VLOOKUP(TabImpuestos[[#This Row],[Ingreso ordinario]],TabISR[],COLUMN(TabISR[Límite inferior]))))*(VLOOKUP(TabImpuestos[[#This Row],[Ingreso ordinario]],TabISR[],COLUMN(TabISR[Por ciento para aplicarse sobre el excedente del límite inferior]))))+(VLOOKUP(TabImpuestos[[#This Row],[Ingreso ordinario]],TabISR[],COLUMN(TabISR[Cuota fija]))))</f>
        <v>564.46239999999989</v>
      </c>
      <c r="X77" s="54">
        <f>TabImpuestos[[#This Row],[ISR Por ingresos totales]]-TabImpuestos[[#This Row],[ISR por ingreso ordinario]]</f>
        <v>2.7105139726028256</v>
      </c>
      <c r="Y77" s="236">
        <f>TabImpuestos[[#This Row],[Diferencia de ISR''s]]/TabImpuestos[[#This Row],[Aguinaldo Gravado Mensual]]</f>
        <v>0.160000000000005</v>
      </c>
      <c r="Z77" s="54" cm="1">
        <f t="array" ref="Z77">IFERROR(IF('Desglose Salarios Fiscal'!$Q$1=1,((15*VLOOKUP(TabImpuestos[[#This Row],[ID]],TabEmpleados[],COLUMN(TabEmpleados[SD Fiscal]),FALSE))-(30*SMDF))*TabImpuestos[[#This Row],[Tasa D %]],0),0)</f>
        <v>32.544000000001034</v>
      </c>
    </row>
  </sheetData>
  <mergeCells count="1">
    <mergeCell ref="A1:S1"/>
  </mergeCells>
  <phoneticPr fontId="7" type="noConversion"/>
  <conditionalFormatting sqref="A3:A77">
    <cfRule type="duplicateValues" dxfId="40" priority="2"/>
  </conditionalFormatting>
  <conditionalFormatting sqref="B3:B77">
    <cfRule type="duplicateValues" dxfId="39" priority="1"/>
  </conditionalFormatting>
  <dataValidations disablePrompts="1" count="1">
    <dataValidation type="whole" allowBlank="1" showInputMessage="1" showErrorMessage="1" promptTitle="1 = SI, 0 =NO" prompt="Poner número." sqref="Z1" xr:uid="{93C47C4C-611A-4E3C-AA12-78B894CBA8D9}">
      <formula1>0</formula1>
      <formula2>1</formula2>
    </dataValidation>
  </dataValidations>
  <pageMargins left="0.7" right="0.7" top="0.75" bottom="0.75" header="0.3" footer="0.3"/>
  <pageSetup orientation="portrait" r:id="rId1"/>
  <legacy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7BFFD23-90B3-48DA-A907-05ABE60A80F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11</vt:i4>
      </vt:variant>
      <vt:variant>
        <vt:lpstr>Rangos con nombre</vt:lpstr>
      </vt:variant>
      <vt:variant>
        <vt:i4>39</vt:i4>
      </vt:variant>
    </vt:vector>
  </HeadingPairs>
  <TitlesOfParts>
    <vt:vector size="50" baseType="lpstr">
      <vt:lpstr>Tablas de informacion</vt:lpstr>
      <vt:lpstr>Empleados</vt:lpstr>
      <vt:lpstr>Asistencias</vt:lpstr>
      <vt:lpstr>Descuentos</vt:lpstr>
      <vt:lpstr>Descuentos-Pagos</vt:lpstr>
      <vt:lpstr>DescuentosFiscal</vt:lpstr>
      <vt:lpstr>Descuentos-PagosFiscal</vt:lpstr>
      <vt:lpstr>Desglose Salarios Fiscal</vt:lpstr>
      <vt:lpstr>Desglose de Salarios</vt:lpstr>
      <vt:lpstr>Cuotas IMSS</vt:lpstr>
      <vt:lpstr>ISR</vt:lpstr>
      <vt:lpstr>AñoActual</vt:lpstr>
      <vt:lpstr>DescuentosFiscal!AporteComision</vt:lpstr>
      <vt:lpstr>'Descuentos-PagosFiscal'!AporteComision</vt:lpstr>
      <vt:lpstr>AporteComision</vt:lpstr>
      <vt:lpstr>Banco1</vt:lpstr>
      <vt:lpstr>Banco2</vt:lpstr>
      <vt:lpstr>Banco3</vt:lpstr>
      <vt:lpstr>Banco4</vt:lpstr>
      <vt:lpstr>Bono</vt:lpstr>
      <vt:lpstr>CF</vt:lpstr>
      <vt:lpstr>CFO</vt:lpstr>
      <vt:lpstr>CFP</vt:lpstr>
      <vt:lpstr>CV</vt:lpstr>
      <vt:lpstr>CVO</vt:lpstr>
      <vt:lpstr>CVP</vt:lpstr>
      <vt:lpstr>DominicalFiscal</vt:lpstr>
      <vt:lpstr>EFE</vt:lpstr>
      <vt:lpstr>GMP</vt:lpstr>
      <vt:lpstr>GMPO</vt:lpstr>
      <vt:lpstr>GMPP</vt:lpstr>
      <vt:lpstr>GPS</vt:lpstr>
      <vt:lpstr>I</vt:lpstr>
      <vt:lpstr>IV</vt:lpstr>
      <vt:lpstr>IVO</vt:lpstr>
      <vt:lpstr>IVP</vt:lpstr>
      <vt:lpstr>ListaEmpleados</vt:lpstr>
      <vt:lpstr>NUMDescuento</vt:lpstr>
      <vt:lpstr>NUMDescuentoFiscal</vt:lpstr>
      <vt:lpstr>PD</vt:lpstr>
      <vt:lpstr>PDO</vt:lpstr>
      <vt:lpstr>PDP</vt:lpstr>
      <vt:lpstr>PRTO</vt:lpstr>
      <vt:lpstr>PRTP</vt:lpstr>
      <vt:lpstr>PuestoS</vt:lpstr>
      <vt:lpstr>R_</vt:lpstr>
      <vt:lpstr>SaldoMaximo</vt:lpstr>
      <vt:lpstr>SMDF</vt:lpstr>
      <vt:lpstr>SMDF3</vt:lpstr>
      <vt:lpstr>SMGI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Francisco Javier Velasco Cruz</dc:creator>
  <cp:lastModifiedBy>Francisco Javier Velasco Cruz</cp:lastModifiedBy>
  <dcterms:created xsi:type="dcterms:W3CDTF">2022-11-09T23:23:45Z</dcterms:created>
  <dcterms:modified xsi:type="dcterms:W3CDTF">2023-04-19T04:37:08Z</dcterms:modified>
</cp:coreProperties>
</file>